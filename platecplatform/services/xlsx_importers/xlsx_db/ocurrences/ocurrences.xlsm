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_rels/sheet15.xml.rels" ContentType="application/vnd.openxmlformats-package.relationships+xml"/>
  <Override PartName="/xl/worksheets/_rels/sheet12.xml.rels" ContentType="application/vnd.openxmlformats-package.relationships+xml"/>
  <Override PartName="/xl/worksheets/_rels/sheet8.xml.rels" ContentType="application/vnd.openxmlformats-package.relationships+xml"/>
  <Override PartName="/xl/worksheets/_rels/sheet14.xml.rels" ContentType="application/vnd.openxmlformats-package.relationships+xml"/>
  <Override PartName="/xl/worksheets/_rels/sheet10.xml.rels" ContentType="application/vnd.openxmlformats-package.relationships+xml"/>
  <Override PartName="/xl/worksheets/_rels/sheet13.xml.rels" ContentType="application/vnd.openxmlformats-package.relationships+xml"/>
  <Override PartName="/xl/worksheets/_rels/sheet9.xml.rels" ContentType="application/vnd.openxmlformats-package.relationships+xml"/>
  <Override PartName="/xl/worksheets/sheet9.xml" ContentType="application/vnd.openxmlformats-officedocument.spreadsheetml.worksheet+xml"/>
  <Override PartName="/xl/worksheets/sheet8.xml" ContentType="application/vnd.openxmlformats-officedocument.spreadsheetml.worksheet+xml"/>
  <Override PartName="/xl/worksheets/sheet15.xml" ContentType="application/vnd.openxmlformats-officedocument.spreadsheetml.worksheet+xml"/>
  <Override PartName="/xl/worksheets/sheet6.xml" ContentType="application/vnd.openxmlformats-officedocument.spreadsheetml.worksheet+xml"/>
  <Override PartName="/xl/worksheets/sheet14.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7.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xl/media/image6.png" ContentType="image/png"/>
  <Override PartName="/xl/drawings/_rels/drawing7.xml.rels" ContentType="application/vnd.openxmlformats-package.relationships+xml"/>
  <Override PartName="/xl/drawings/_rels/drawing6.xml.rels" ContentType="application/vnd.openxmlformats-package.relationships+xml"/>
  <Override PartName="/xl/drawings/_rels/drawing5.xml.rels" ContentType="application/vnd.openxmlformats-package.relationships+xml"/>
  <Override PartName="/xl/drawings/_rels/drawing4.xml.rels" ContentType="application/vnd.openxmlformats-package.relationships+xml"/>
  <Override PartName="/xl/drawings/_rels/drawing3.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4.xml.rels" ContentType="application/vnd.openxmlformats-package.relationships+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Override PartName="/customXml/item4.xml" ContentType="application/xml"/>
  <Override PartName="/customXml/itemProps4.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Relationship Id="rId8" Type="http://schemas.openxmlformats.org/officeDocument/2006/relationships/customXml" Target="../customXml/item4.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6"/>
  </bookViews>
  <sheets>
    <sheet name="bdRelat (2)" sheetId="1" state="hidden" r:id="rId3"/>
    <sheet name="MENU" sheetId="2" state="visible" r:id="rId4"/>
    <sheet name="bdRelat" sheetId="3" state="hidden" r:id="rId5"/>
    <sheet name="bdArea" sheetId="4" state="hidden" r:id="rId6"/>
    <sheet name="bdTurno" sheetId="5" state="hidden" r:id="rId7"/>
    <sheet name="bdProducao" sheetId="6" state="hidden" r:id="rId8"/>
    <sheet name="2022" sheetId="7" state="visible" r:id="rId9"/>
    <sheet name="bdOcorrencia" sheetId="8" state="visible" r:id="rId10"/>
    <sheet name="Relatório_Ocorrencias" sheetId="9" state="visible" r:id="rId11"/>
    <sheet name="Qtd Semana 2021" sheetId="10" state="visible" r:id="rId12"/>
    <sheet name="Qtd Semana 2022" sheetId="11" state="visible" r:id="rId13"/>
    <sheet name="Dashboard" sheetId="12" state="visible" r:id="rId14"/>
    <sheet name="Relat(2 Pag)" sheetId="13" state="hidden" r:id="rId15"/>
    <sheet name="Relat(3 Pag)" sheetId="14" state="hidden" r:id="rId16"/>
    <sheet name="Relat (2)" sheetId="15" state="hidden" r:id="rId17"/>
  </sheets>
  <definedNames>
    <definedName function="false" hidden="true" localSheetId="7" name="_xlnm._FilterDatabase" vbProcedure="false">bdOcorrencia!$A$1:$T$3189</definedName>
    <definedName function="false" hidden="false" localSheetId="14" name="_xlnm.Print_Area" vbProcedure="false">'Relat (2)'!$A$1:$W$64</definedName>
    <definedName function="false" hidden="false" localSheetId="12" name="_xlnm.Print_Area" vbProcedure="false">'Relat(2 Pag)'!$A$1:$M$128</definedName>
    <definedName function="false" hidden="false" localSheetId="13" name="_xlnm.Print_Area" vbProcedure="false">'Relat(3 Pag)'!$A$1:$M$192</definedName>
    <definedName function="false" hidden="true" localSheetId="8" name="_xlnm._FilterDatabase" vbProcedure="false">Relatório_Ocorrencias!$A$1:$N$1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<sst xmlns="http://schemas.openxmlformats.org/spreadsheetml/2006/main" count="43991" uniqueCount="14397">
  <si>
    <t xml:space="preserve">ID_Relat</t>
  </si>
  <si>
    <t xml:space="preserve">Data</t>
  </si>
  <si>
    <t xml:space="preserve">Produção MON CVP 1</t>
  </si>
  <si>
    <t xml:space="preserve">RGU CVP 1</t>
  </si>
  <si>
    <t xml:space="preserve">Produção MON CVU 1</t>
  </si>
  <si>
    <t xml:space="preserve">RGU CVU 1</t>
  </si>
  <si>
    <t xml:space="preserve">Produção MON MM01 1</t>
  </si>
  <si>
    <t xml:space="preserve">RO MM01 1</t>
  </si>
  <si>
    <t xml:space="preserve">Produção MON MM13 1</t>
  </si>
  <si>
    <t xml:space="preserve">RO MM13 1</t>
  </si>
  <si>
    <t xml:space="preserve">Produção CMO 1</t>
  </si>
  <si>
    <t xml:space="preserve">RO CMO 1</t>
  </si>
  <si>
    <t xml:space="preserve">Produção MON CVP 2</t>
  </si>
  <si>
    <t xml:space="preserve">RGU CVP 2</t>
  </si>
  <si>
    <t xml:space="preserve">Produção MON CVU 2</t>
  </si>
  <si>
    <t xml:space="preserve">RGU CVU 2</t>
  </si>
  <si>
    <t xml:space="preserve">Produção MON MM01 2</t>
  </si>
  <si>
    <t xml:space="preserve">RO MM01 2</t>
  </si>
  <si>
    <t xml:space="preserve">Produção MON MM13 2</t>
  </si>
  <si>
    <t xml:space="preserve">RO MM13 2</t>
  </si>
  <si>
    <t xml:space="preserve">Produção CMO 2</t>
  </si>
  <si>
    <t xml:space="preserve">RO CMO 2</t>
  </si>
  <si>
    <t xml:space="preserve">Produção MON CVP 3</t>
  </si>
  <si>
    <t xml:space="preserve">RGU CVP 3</t>
  </si>
  <si>
    <t xml:space="preserve">Produção MON CVU 3</t>
  </si>
  <si>
    <t xml:space="preserve">RGU CVU 3</t>
  </si>
  <si>
    <t xml:space="preserve">Produção MON MM01 3</t>
  </si>
  <si>
    <t xml:space="preserve">RO MM01 3</t>
  </si>
  <si>
    <t xml:space="preserve">Produção MON MM13 3</t>
  </si>
  <si>
    <t xml:space="preserve">RO MM13 3</t>
  </si>
  <si>
    <t xml:space="preserve">Produção CMO 3</t>
  </si>
  <si>
    <t xml:space="preserve">RO CMO 3</t>
  </si>
  <si>
    <t xml:space="preserve">Semana</t>
  </si>
  <si>
    <t xml:space="preserve">Mês</t>
  </si>
  <si>
    <t xml:space="preserve">Ano</t>
  </si>
  <si>
    <t xml:space="preserve">id_Area</t>
  </si>
  <si>
    <t xml:space="preserve">Area</t>
  </si>
  <si>
    <t xml:space="preserve">CARVP</t>
  </si>
  <si>
    <t xml:space="preserve">PINVP</t>
  </si>
  <si>
    <t xml:space="preserve">MONVP</t>
  </si>
  <si>
    <t xml:space="preserve">CARVU</t>
  </si>
  <si>
    <t xml:space="preserve">PINVU</t>
  </si>
  <si>
    <t xml:space="preserve">MONVU</t>
  </si>
  <si>
    <t xml:space="preserve">ESTAMP</t>
  </si>
  <si>
    <t xml:space="preserve">CMO-MON</t>
  </si>
  <si>
    <t xml:space="preserve">CMO-USI</t>
  </si>
  <si>
    <t xml:space="preserve">id_turno</t>
  </si>
  <si>
    <t xml:space="preserve">Turno</t>
  </si>
  <si>
    <t xml:space="preserve">1º Turno</t>
  </si>
  <si>
    <t xml:space="preserve">2º Turno</t>
  </si>
  <si>
    <t xml:space="preserve">3º Turno</t>
  </si>
  <si>
    <t xml:space="preserve">ID_Producao</t>
  </si>
  <si>
    <t xml:space="preserve">MONVP_PROD_1</t>
  </si>
  <si>
    <t xml:space="preserve">MONVP_CAPAC_1</t>
  </si>
  <si>
    <t xml:space="preserve">MONVP_RGU_1</t>
  </si>
  <si>
    <t xml:space="preserve">MONVP_PROD_2</t>
  </si>
  <si>
    <t xml:space="preserve">MONVP_CAPAC_2</t>
  </si>
  <si>
    <t xml:space="preserve">MONVP_RGU_2</t>
  </si>
  <si>
    <t xml:space="preserve">MONVP_PROD_3</t>
  </si>
  <si>
    <t xml:space="preserve">MONVP_CAPAC_3</t>
  </si>
  <si>
    <t xml:space="preserve">MONVP_RGU_3</t>
  </si>
  <si>
    <t xml:space="preserve">MONVU_PROD_1</t>
  </si>
  <si>
    <t xml:space="preserve">MONVU_CAPAC_1</t>
  </si>
  <si>
    <t xml:space="preserve">MONVU_RGU_1</t>
  </si>
  <si>
    <t xml:space="preserve">MONVU_PROD_2</t>
  </si>
  <si>
    <t xml:space="preserve">MONVU_CAPAC_2</t>
  </si>
  <si>
    <t xml:space="preserve">MONVU_RGU_2</t>
  </si>
  <si>
    <t xml:space="preserve">MONVU_PROD_3</t>
  </si>
  <si>
    <t xml:space="preserve">MONVU_CAPAC_3</t>
  </si>
  <si>
    <t xml:space="preserve">MONVU_RGU_3</t>
  </si>
  <si>
    <t xml:space="preserve">CARVP_PROD_1</t>
  </si>
  <si>
    <t xml:space="preserve">CARVP_CAPAC_1</t>
  </si>
  <si>
    <t xml:space="preserve">CARVP_RGU_1</t>
  </si>
  <si>
    <t xml:space="preserve">CARVP_PROD_2</t>
  </si>
  <si>
    <t xml:space="preserve">CARVP_CAPAC_2</t>
  </si>
  <si>
    <t xml:space="preserve">CARVP_RGU_2</t>
  </si>
  <si>
    <t xml:space="preserve">CARVP_PROD_3</t>
  </si>
  <si>
    <t xml:space="preserve">CARVP_CAPAC_3</t>
  </si>
  <si>
    <t xml:space="preserve">CARVP_RGU_3</t>
  </si>
  <si>
    <t xml:space="preserve">MM01_PROD_1</t>
  </si>
  <si>
    <t xml:space="preserve">MM01_CAPAC_1</t>
  </si>
  <si>
    <t xml:space="preserve">MM01_RGU_1</t>
  </si>
  <si>
    <t xml:space="preserve">MM01_PROD_2</t>
  </si>
  <si>
    <t xml:space="preserve">MM01_CAPAC_2</t>
  </si>
  <si>
    <t xml:space="preserve">MM01_RGU_2</t>
  </si>
  <si>
    <t xml:space="preserve">MM01_PROD_3</t>
  </si>
  <si>
    <t xml:space="preserve">MM01_CAPAC_3</t>
  </si>
  <si>
    <t xml:space="preserve">MM01_RGU_3</t>
  </si>
  <si>
    <t xml:space="preserve">MM13_PROD_1</t>
  </si>
  <si>
    <t xml:space="preserve">MM13_CAPAC_1</t>
  </si>
  <si>
    <t xml:space="preserve">MM13_RGU_1</t>
  </si>
  <si>
    <t xml:space="preserve">MM13_PROD_2</t>
  </si>
  <si>
    <t xml:space="preserve">MM13_CAPAC_2</t>
  </si>
  <si>
    <t xml:space="preserve">MM13_RGU_2</t>
  </si>
  <si>
    <t xml:space="preserve">MM13_PROD_3</t>
  </si>
  <si>
    <t xml:space="preserve">MM13_CAPAC_3</t>
  </si>
  <si>
    <t xml:space="preserve">MM13_RGU_3</t>
  </si>
  <si>
    <t xml:space="preserve">CMO_PROD_1</t>
  </si>
  <si>
    <t xml:space="preserve">CMO_CAPAC_1</t>
  </si>
  <si>
    <t xml:space="preserve">CMO_RGU_1</t>
  </si>
  <si>
    <t xml:space="preserve">CMO_PROD_2</t>
  </si>
  <si>
    <t xml:space="preserve">CMO_CAPAC_2</t>
  </si>
  <si>
    <t xml:space="preserve">CMO_RGU_2</t>
  </si>
  <si>
    <t xml:space="preserve">CMO_PROD_3</t>
  </si>
  <si>
    <t xml:space="preserve">CMO_CAPAC_3</t>
  </si>
  <si>
    <t xml:space="preserve">CMO_RGU_3</t>
  </si>
  <si>
    <t xml:space="preserve">18042017</t>
  </si>
  <si>
    <t xml:space="preserve">100,4</t>
  </si>
  <si>
    <t xml:space="preserve">100,7</t>
  </si>
  <si>
    <t xml:space="preserve">56,0</t>
  </si>
  <si>
    <t xml:space="preserve">100,0</t>
  </si>
  <si>
    <t xml:space="preserve">0,0</t>
  </si>
  <si>
    <t xml:space="preserve">96,8</t>
  </si>
  <si>
    <t xml:space="preserve">90,8</t>
  </si>
  <si>
    <t xml:space="preserve">82,6</t>
  </si>
  <si>
    <t xml:space="preserve">44,6</t>
  </si>
  <si>
    <t xml:space="preserve">65,3</t>
  </si>
  <si>
    <t xml:space="preserve">11.400,0</t>
  </si>
  <si>
    <t xml:space="preserve">19042017</t>
  </si>
  <si>
    <t xml:space="preserve">96,6</t>
  </si>
  <si>
    <t xml:space="preserve">98,5</t>
  </si>
  <si>
    <t xml:space="preserve">66,3</t>
  </si>
  <si>
    <t xml:space="preserve">89,5</t>
  </si>
  <si>
    <t xml:space="preserve">89,7</t>
  </si>
  <si>
    <t xml:space="preserve">89,2</t>
  </si>
  <si>
    <t xml:space="preserve">51,7</t>
  </si>
  <si>
    <t xml:space="preserve">13062017</t>
  </si>
  <si>
    <t xml:space="preserve">95,5</t>
  </si>
  <si>
    <t xml:space="preserve">97,2</t>
  </si>
  <si>
    <t xml:space="preserve">11,5</t>
  </si>
  <si>
    <t xml:space="preserve">10,3</t>
  </si>
  <si>
    <t xml:space="preserve">98,0</t>
  </si>
  <si>
    <t xml:space="preserve">22,9</t>
  </si>
  <si>
    <t xml:space="preserve">78,1</t>
  </si>
  <si>
    <t xml:space="preserve">57,8</t>
  </si>
  <si>
    <t xml:space="preserve">06062017</t>
  </si>
  <si>
    <t xml:space="preserve">95,8</t>
  </si>
  <si>
    <t xml:space="preserve">82,2</t>
  </si>
  <si>
    <t xml:space="preserve">97,7</t>
  </si>
  <si>
    <t xml:space="preserve">97,4</t>
  </si>
  <si>
    <t xml:space="preserve">07062017</t>
  </si>
  <si>
    <t xml:space="preserve">94,2</t>
  </si>
  <si>
    <t xml:space="preserve">94,9</t>
  </si>
  <si>
    <t xml:space="preserve">98,9</t>
  </si>
  <si>
    <t xml:space="preserve">95,7</t>
  </si>
  <si>
    <t xml:space="preserve">27,0</t>
  </si>
  <si>
    <t xml:space="preserve">73,9</t>
  </si>
  <si>
    <t xml:space="preserve">47,7</t>
  </si>
  <si>
    <t xml:space="preserve">08062017</t>
  </si>
  <si>
    <t xml:space="preserve">97,3</t>
  </si>
  <si>
    <t xml:space="preserve">71,8</t>
  </si>
  <si>
    <t xml:space="preserve">93,1</t>
  </si>
  <si>
    <t xml:space="preserve">10,6</t>
  </si>
  <si>
    <t xml:space="preserve">98,8</t>
  </si>
  <si>
    <t xml:space="preserve">33,9</t>
  </si>
  <si>
    <t xml:space="preserve">77,3</t>
  </si>
  <si>
    <t xml:space="preserve">67,4</t>
  </si>
  <si>
    <t xml:space="preserve">12062017</t>
  </si>
  <si>
    <t xml:space="preserve">88,0</t>
  </si>
  <si>
    <t xml:space="preserve">82,3</t>
  </si>
  <si>
    <t xml:space="preserve">94,4</t>
  </si>
  <si>
    <t xml:space="preserve">90,2</t>
  </si>
  <si>
    <t xml:space="preserve">24,1</t>
  </si>
  <si>
    <t xml:space="preserve">64,7</t>
  </si>
  <si>
    <t xml:space="preserve">70,1</t>
  </si>
  <si>
    <t xml:space="preserve">14062017</t>
  </si>
  <si>
    <t xml:space="preserve">88,8</t>
  </si>
  <si>
    <t xml:space="preserve">86,4</t>
  </si>
  <si>
    <t xml:space="preserve">92,0</t>
  </si>
  <si>
    <t xml:space="preserve">10,0</t>
  </si>
  <si>
    <t xml:space="preserve">22,0</t>
  </si>
  <si>
    <t xml:space="preserve">71,2</t>
  </si>
  <si>
    <t xml:space="preserve">62,9</t>
  </si>
  <si>
    <t xml:space="preserve">19062017</t>
  </si>
  <si>
    <t xml:space="preserve">91,3</t>
  </si>
  <si>
    <t xml:space="preserve">82,8</t>
  </si>
  <si>
    <t xml:space="preserve">91,2</t>
  </si>
  <si>
    <t xml:space="preserve">22,7</t>
  </si>
  <si>
    <t xml:space="preserve">20062017</t>
  </si>
  <si>
    <t xml:space="preserve">98,3</t>
  </si>
  <si>
    <t xml:space="preserve">21062017</t>
  </si>
  <si>
    <t xml:space="preserve">79,5</t>
  </si>
  <si>
    <t xml:space="preserve">96,3</t>
  </si>
  <si>
    <t xml:space="preserve">72,6</t>
  </si>
  <si>
    <t xml:space="preserve">58,8</t>
  </si>
  <si>
    <t xml:space="preserve">22062017</t>
  </si>
  <si>
    <t xml:space="preserve">90,7</t>
  </si>
  <si>
    <t xml:space="preserve">96,4</t>
  </si>
  <si>
    <t xml:space="preserve">95,4</t>
  </si>
  <si>
    <t xml:space="preserve">22,4</t>
  </si>
  <si>
    <t xml:space="preserve">23062017</t>
  </si>
  <si>
    <t xml:space="preserve">94,8</t>
  </si>
  <si>
    <t xml:space="preserve">18,5</t>
  </si>
  <si>
    <t xml:space="preserve">92,3</t>
  </si>
  <si>
    <t xml:space="preserve">21,3</t>
  </si>
  <si>
    <t xml:space="preserve">37,2</t>
  </si>
  <si>
    <t xml:space="preserve">67,8</t>
  </si>
  <si>
    <t xml:space="preserve">24062017</t>
  </si>
  <si>
    <t xml:space="preserve">88,7</t>
  </si>
  <si>
    <t xml:space="preserve">86,8</t>
  </si>
  <si>
    <t xml:space="preserve">96,2</t>
  </si>
  <si>
    <t xml:space="preserve">2,9</t>
  </si>
  <si>
    <t xml:space="preserve">26062017</t>
  </si>
  <si>
    <t xml:space="preserve">73,6</t>
  </si>
  <si>
    <t xml:space="preserve">91,5</t>
  </si>
  <si>
    <t xml:space="preserve">76,5</t>
  </si>
  <si>
    <t xml:space="preserve">35,5</t>
  </si>
  <si>
    <t xml:space="preserve">92,9</t>
  </si>
  <si>
    <t xml:space="preserve">15,4</t>
  </si>
  <si>
    <t xml:space="preserve">27062017</t>
  </si>
  <si>
    <t xml:space="preserve">95,1</t>
  </si>
  <si>
    <t xml:space="preserve">80,9</t>
  </si>
  <si>
    <t xml:space="preserve">17,6</t>
  </si>
  <si>
    <t xml:space="preserve">72,2</t>
  </si>
  <si>
    <t xml:space="preserve">34,6</t>
  </si>
  <si>
    <t xml:space="preserve">28062017</t>
  </si>
  <si>
    <t xml:space="preserve">88,2</t>
  </si>
  <si>
    <t xml:space="preserve">85,6</t>
  </si>
  <si>
    <t xml:space="preserve">60,1</t>
  </si>
  <si>
    <t xml:space="preserve">50,0</t>
  </si>
  <si>
    <t xml:space="preserve">29062017</t>
  </si>
  <si>
    <t xml:space="preserve">74,1</t>
  </si>
  <si>
    <t xml:space="preserve">80,3</t>
  </si>
  <si>
    <t xml:space="preserve">10,2</t>
  </si>
  <si>
    <t xml:space="preserve">28,0</t>
  </si>
  <si>
    <t xml:space="preserve">66,8</t>
  </si>
  <si>
    <t xml:space="preserve">61,9</t>
  </si>
  <si>
    <t xml:space="preserve">30062017</t>
  </si>
  <si>
    <t xml:space="preserve">21,5</t>
  </si>
  <si>
    <t xml:space="preserve">18,0</t>
  </si>
  <si>
    <t xml:space="preserve">80,0</t>
  </si>
  <si>
    <t xml:space="preserve">64,1</t>
  </si>
  <si>
    <t xml:space="preserve">44,2</t>
  </si>
  <si>
    <t xml:space="preserve">36,8</t>
  </si>
  <si>
    <t xml:space="preserve">12072017</t>
  </si>
  <si>
    <t xml:space="preserve">77,4</t>
  </si>
  <si>
    <t xml:space="preserve">78,8</t>
  </si>
  <si>
    <t xml:space="preserve">35,0</t>
  </si>
  <si>
    <t xml:space="preserve">67,1</t>
  </si>
  <si>
    <t xml:space="preserve">13072017</t>
  </si>
  <si>
    <t xml:space="preserve">77,2</t>
  </si>
  <si>
    <t xml:space="preserve">77,9</t>
  </si>
  <si>
    <t xml:space="preserve">79,4</t>
  </si>
  <si>
    <t xml:space="preserve">20,3</t>
  </si>
  <si>
    <t xml:space="preserve">56,3</t>
  </si>
  <si>
    <t xml:space="preserve">14072017</t>
  </si>
  <si>
    <t xml:space="preserve">86,9</t>
  </si>
  <si>
    <t xml:space="preserve">67,6</t>
  </si>
  <si>
    <t xml:space="preserve">82,0</t>
  </si>
  <si>
    <t xml:space="preserve">17072017</t>
  </si>
  <si>
    <t xml:space="preserve">76,9</t>
  </si>
  <si>
    <t xml:space="preserve">83,1</t>
  </si>
  <si>
    <t xml:space="preserve">77,7</t>
  </si>
  <si>
    <t xml:space="preserve">69,4</t>
  </si>
  <si>
    <t xml:space="preserve">47,2</t>
  </si>
  <si>
    <t xml:space="preserve">18072017</t>
  </si>
  <si>
    <t xml:space="preserve">78,6</t>
  </si>
  <si>
    <t xml:space="preserve">61,0</t>
  </si>
  <si>
    <t xml:space="preserve">19,1</t>
  </si>
  <si>
    <t xml:space="preserve">73,8</t>
  </si>
  <si>
    <t xml:space="preserve">19072017</t>
  </si>
  <si>
    <t xml:space="preserve">68,3</t>
  </si>
  <si>
    <t xml:space="preserve">74,9</t>
  </si>
  <si>
    <t xml:space="preserve">69,0</t>
  </si>
  <si>
    <t xml:space="preserve">75,7</t>
  </si>
  <si>
    <t xml:space="preserve">20072017</t>
  </si>
  <si>
    <t xml:space="preserve">75,3</t>
  </si>
  <si>
    <t xml:space="preserve">21,8</t>
  </si>
  <si>
    <t xml:space="preserve">81,2</t>
  </si>
  <si>
    <t xml:space="preserve">65,9</t>
  </si>
  <si>
    <t xml:space="preserve">21072017</t>
  </si>
  <si>
    <t xml:space="preserve">78,2</t>
  </si>
  <si>
    <t xml:space="preserve">85,8</t>
  </si>
  <si>
    <t xml:space="preserve">19,6</t>
  </si>
  <si>
    <t xml:space="preserve">72,9</t>
  </si>
  <si>
    <t xml:space="preserve">69,8</t>
  </si>
  <si>
    <t xml:space="preserve">22072017</t>
  </si>
  <si>
    <t xml:space="preserve">76,1</t>
  </si>
  <si>
    <t xml:space="preserve">74,3</t>
  </si>
  <si>
    <t xml:space="preserve">82,4</t>
  </si>
  <si>
    <t xml:space="preserve">69,3</t>
  </si>
  <si>
    <t xml:space="preserve">42,1</t>
  </si>
  <si>
    <t xml:space="preserve">24072017</t>
  </si>
  <si>
    <t xml:space="preserve">86,1</t>
  </si>
  <si>
    <t xml:space="preserve">61,5</t>
  </si>
  <si>
    <t xml:space="preserve">23,0</t>
  </si>
  <si>
    <t xml:space="preserve">62,6</t>
  </si>
  <si>
    <t xml:space="preserve">74,5</t>
  </si>
  <si>
    <t xml:space="preserve">25072017</t>
  </si>
  <si>
    <t xml:space="preserve">42,0</t>
  </si>
  <si>
    <t xml:space="preserve">76,4</t>
  </si>
  <si>
    <t xml:space="preserve">96,5</t>
  </si>
  <si>
    <t xml:space="preserve">91,6</t>
  </si>
  <si>
    <t xml:space="preserve">65,2</t>
  </si>
  <si>
    <t xml:space="preserve">26072017</t>
  </si>
  <si>
    <t xml:space="preserve">78,0</t>
  </si>
  <si>
    <t xml:space="preserve">86,6</t>
  </si>
  <si>
    <t xml:space="preserve">26,5</t>
  </si>
  <si>
    <t xml:space="preserve">74,2</t>
  </si>
  <si>
    <t xml:space="preserve">70,4</t>
  </si>
  <si>
    <t xml:space="preserve">27072017</t>
  </si>
  <si>
    <t xml:space="preserve">83,6</t>
  </si>
  <si>
    <t xml:space="preserve">81,3</t>
  </si>
  <si>
    <t xml:space="preserve">68,5</t>
  </si>
  <si>
    <t xml:space="preserve">28072017</t>
  </si>
  <si>
    <t xml:space="preserve">88,6</t>
  </si>
  <si>
    <t xml:space="preserve">84,8</t>
  </si>
  <si>
    <t xml:space="preserve">73,1</t>
  </si>
  <si>
    <t xml:space="preserve">31072017</t>
  </si>
  <si>
    <t xml:space="preserve">80,7</t>
  </si>
  <si>
    <t xml:space="preserve">37,4</t>
  </si>
  <si>
    <t xml:space="preserve">87,9</t>
  </si>
  <si>
    <t xml:space="preserve">81,1</t>
  </si>
  <si>
    <t xml:space="preserve">17,9</t>
  </si>
  <si>
    <t xml:space="preserve">63,9</t>
  </si>
  <si>
    <t xml:space="preserve">01082017</t>
  </si>
  <si>
    <t xml:space="preserve">84,7</t>
  </si>
  <si>
    <t xml:space="preserve">82,5</t>
  </si>
  <si>
    <t xml:space="preserve">85,4</t>
  </si>
  <si>
    <t xml:space="preserve">02082017</t>
  </si>
  <si>
    <t xml:space="preserve">81,0</t>
  </si>
  <si>
    <t xml:space="preserve">87,5</t>
  </si>
  <si>
    <t xml:space="preserve">23,3</t>
  </si>
  <si>
    <t xml:space="preserve">76,8</t>
  </si>
  <si>
    <t xml:space="preserve">03082017</t>
  </si>
  <si>
    <t xml:space="preserve">78,5</t>
  </si>
  <si>
    <t xml:space="preserve">59,3</t>
  </si>
  <si>
    <t xml:space="preserve">70,3</t>
  </si>
  <si>
    <t xml:space="preserve">79,0</t>
  </si>
  <si>
    <t xml:space="preserve">04082017</t>
  </si>
  <si>
    <t xml:space="preserve">70,0</t>
  </si>
  <si>
    <t xml:space="preserve">67,0</t>
  </si>
  <si>
    <t xml:space="preserve">94,6</t>
  </si>
  <si>
    <t xml:space="preserve">68,9</t>
  </si>
  <si>
    <t xml:space="preserve">05082017</t>
  </si>
  <si>
    <t xml:space="preserve">92,2</t>
  </si>
  <si>
    <t xml:space="preserve">72,8</t>
  </si>
  <si>
    <t xml:space="preserve">39,2</t>
  </si>
  <si>
    <t xml:space="preserve">07082017</t>
  </si>
  <si>
    <t xml:space="preserve">87,6</t>
  </si>
  <si>
    <t xml:space="preserve">57,7</t>
  </si>
  <si>
    <t xml:space="preserve">30,3</t>
  </si>
  <si>
    <t xml:space="preserve">59,9</t>
  </si>
  <si>
    <t xml:space="preserve">08082017</t>
  </si>
  <si>
    <t xml:space="preserve">25,0</t>
  </si>
  <si>
    <t xml:space="preserve">09082017</t>
  </si>
  <si>
    <t xml:space="preserve">0,1</t>
  </si>
  <si>
    <t xml:space="preserve">84,1</t>
  </si>
  <si>
    <t xml:space="preserve">27,9</t>
  </si>
  <si>
    <t xml:space="preserve">75,8</t>
  </si>
  <si>
    <t xml:space="preserve">64,9</t>
  </si>
  <si>
    <t xml:space="preserve">10082017</t>
  </si>
  <si>
    <t xml:space="preserve">81,4</t>
  </si>
  <si>
    <t xml:space="preserve">10,9</t>
  </si>
  <si>
    <t xml:space="preserve">82,9</t>
  </si>
  <si>
    <t xml:space="preserve">11082017</t>
  </si>
  <si>
    <t xml:space="preserve">15,1</t>
  </si>
  <si>
    <t xml:space="preserve">15082017</t>
  </si>
  <si>
    <t xml:space="preserve">66,9</t>
  </si>
  <si>
    <t xml:space="preserve">29,4</t>
  </si>
  <si>
    <t xml:space="preserve">68,1</t>
  </si>
  <si>
    <t xml:space="preserve">14082017</t>
  </si>
  <si>
    <t xml:space="preserve">63,1</t>
  </si>
  <si>
    <t xml:space="preserve">91,7</t>
  </si>
  <si>
    <t xml:space="preserve">30,0</t>
  </si>
  <si>
    <t xml:space="preserve">85,1</t>
  </si>
  <si>
    <t xml:space="preserve">70,8</t>
  </si>
  <si>
    <t xml:space="preserve">16082017</t>
  </si>
  <si>
    <t xml:space="preserve">76,0</t>
  </si>
  <si>
    <t xml:space="preserve">84,6</t>
  </si>
  <si>
    <t xml:space="preserve">97,5</t>
  </si>
  <si>
    <t xml:space="preserve">67,2</t>
  </si>
  <si>
    <t xml:space="preserve">18082017</t>
  </si>
  <si>
    <t xml:space="preserve">90,3</t>
  </si>
  <si>
    <t xml:space="preserve">61,6</t>
  </si>
  <si>
    <t xml:space="preserve">59,5</t>
  </si>
  <si>
    <t xml:space="preserve">19082017</t>
  </si>
  <si>
    <t xml:space="preserve">89,6</t>
  </si>
  <si>
    <t xml:space="preserve">58,9</t>
  </si>
  <si>
    <t xml:space="preserve">31,9</t>
  </si>
  <si>
    <t xml:space="preserve">21082017</t>
  </si>
  <si>
    <t xml:space="preserve">85,7</t>
  </si>
  <si>
    <t xml:space="preserve">86,7</t>
  </si>
  <si>
    <t xml:space="preserve">93,8</t>
  </si>
  <si>
    <t xml:space="preserve">53,3</t>
  </si>
  <si>
    <t xml:space="preserve">22082017</t>
  </si>
  <si>
    <t xml:space="preserve">87,7</t>
  </si>
  <si>
    <t xml:space="preserve">71,3</t>
  </si>
  <si>
    <t xml:space="preserve">50,5</t>
  </si>
  <si>
    <t xml:space="preserve">23082017</t>
  </si>
  <si>
    <t xml:space="preserve">85,3</t>
  </si>
  <si>
    <t xml:space="preserve">23,7</t>
  </si>
  <si>
    <t xml:space="preserve">24082017</t>
  </si>
  <si>
    <t xml:space="preserve">83,4</t>
  </si>
  <si>
    <t xml:space="preserve">88,9</t>
  </si>
  <si>
    <t xml:space="preserve">30,4</t>
  </si>
  <si>
    <t xml:space="preserve">89,4</t>
  </si>
  <si>
    <t xml:space="preserve">25082017</t>
  </si>
  <si>
    <t xml:space="preserve">91,9</t>
  </si>
  <si>
    <t xml:space="preserve">17,0</t>
  </si>
  <si>
    <t xml:space="preserve">88,4</t>
  </si>
  <si>
    <t xml:space="preserve">87,1</t>
  </si>
  <si>
    <t xml:space="preserve">26082017</t>
  </si>
  <si>
    <t xml:space="preserve">89,8</t>
  </si>
  <si>
    <t xml:space="preserve">72,5</t>
  </si>
  <si>
    <t xml:space="preserve">28082017</t>
  </si>
  <si>
    <t xml:space="preserve">30,9</t>
  </si>
  <si>
    <t xml:space="preserve">81,7</t>
  </si>
  <si>
    <t xml:space="preserve">29082017</t>
  </si>
  <si>
    <t xml:space="preserve">87,2</t>
  </si>
  <si>
    <t xml:space="preserve">85,2</t>
  </si>
  <si>
    <t xml:space="preserve">28,9</t>
  </si>
  <si>
    <t xml:space="preserve">70,9</t>
  </si>
  <si>
    <t xml:space="preserve">30082017</t>
  </si>
  <si>
    <t xml:space="preserve">88,5</t>
  </si>
  <si>
    <t xml:space="preserve">90,0</t>
  </si>
  <si>
    <t xml:space="preserve">71,5</t>
  </si>
  <si>
    <t xml:space="preserve">01092017</t>
  </si>
  <si>
    <t xml:space="preserve">86,5</t>
  </si>
  <si>
    <t xml:space="preserve">87,4</t>
  </si>
  <si>
    <t xml:space="preserve">31082017</t>
  </si>
  <si>
    <t xml:space="preserve">89,1</t>
  </si>
  <si>
    <t xml:space="preserve">77,8</t>
  </si>
  <si>
    <t xml:space="preserve">02092017</t>
  </si>
  <si>
    <t xml:space="preserve">75,9</t>
  </si>
  <si>
    <t xml:space="preserve">61,4</t>
  </si>
  <si>
    <t xml:space="preserve">04092017</t>
  </si>
  <si>
    <t xml:space="preserve">30,2</t>
  </si>
  <si>
    <t xml:space="preserve">05092017</t>
  </si>
  <si>
    <t xml:space="preserve">88,1</t>
  </si>
  <si>
    <t xml:space="preserve">32,9</t>
  </si>
  <si>
    <t xml:space="preserve">89,0</t>
  </si>
  <si>
    <t xml:space="preserve">06092017</t>
  </si>
  <si>
    <t xml:space="preserve">07092017</t>
  </si>
  <si>
    <t xml:space="preserve">93,6</t>
  </si>
  <si>
    <t xml:space="preserve">35,7</t>
  </si>
  <si>
    <t xml:space="preserve">08092017</t>
  </si>
  <si>
    <t xml:space="preserve">92,6</t>
  </si>
  <si>
    <t xml:space="preserve">96,0</t>
  </si>
  <si>
    <t xml:space="preserve">32,2</t>
  </si>
  <si>
    <t xml:space="preserve">71,0</t>
  </si>
  <si>
    <t xml:space="preserve">11092017</t>
  </si>
  <si>
    <t xml:space="preserve">10,8</t>
  </si>
  <si>
    <t xml:space="preserve">100,6</t>
  </si>
  <si>
    <t xml:space="preserve">69,9</t>
  </si>
  <si>
    <t xml:space="preserve">79,7</t>
  </si>
  <si>
    <t xml:space="preserve">12092017</t>
  </si>
  <si>
    <t xml:space="preserve">92,4</t>
  </si>
  <si>
    <t xml:space="preserve">94,1</t>
  </si>
  <si>
    <t xml:space="preserve">10,1</t>
  </si>
  <si>
    <t xml:space="preserve">36,7</t>
  </si>
  <si>
    <t xml:space="preserve">13092017</t>
  </si>
  <si>
    <t xml:space="preserve">90,9</t>
  </si>
  <si>
    <t xml:space="preserve">11,7</t>
  </si>
  <si>
    <t xml:space="preserve">34,8</t>
  </si>
  <si>
    <t xml:space="preserve">73,4</t>
  </si>
  <si>
    <t xml:space="preserve">15092017</t>
  </si>
  <si>
    <t xml:space="preserve">98,1</t>
  </si>
  <si>
    <t xml:space="preserve">79,8</t>
  </si>
  <si>
    <t xml:space="preserve">14092017</t>
  </si>
  <si>
    <t xml:space="preserve">60,3</t>
  </si>
  <si>
    <t xml:space="preserve">61,8</t>
  </si>
  <si>
    <t xml:space="preserve">32,0</t>
  </si>
  <si>
    <t xml:space="preserve">90,4</t>
  </si>
  <si>
    <t xml:space="preserve">70,5</t>
  </si>
  <si>
    <t xml:space="preserve">16092017</t>
  </si>
  <si>
    <t xml:space="preserve">80,6</t>
  </si>
  <si>
    <t xml:space="preserve">93,7</t>
  </si>
  <si>
    <t xml:space="preserve">57,1</t>
  </si>
  <si>
    <t xml:space="preserve">65,5</t>
  </si>
  <si>
    <t xml:space="preserve">41,0</t>
  </si>
  <si>
    <t xml:space="preserve">18092017</t>
  </si>
  <si>
    <t xml:space="preserve">80,4</t>
  </si>
  <si>
    <t xml:space="preserve">94,7</t>
  </si>
  <si>
    <t xml:space="preserve">19092017</t>
  </si>
  <si>
    <t xml:space="preserve">92,8</t>
  </si>
  <si>
    <t xml:space="preserve">20092017</t>
  </si>
  <si>
    <t xml:space="preserve">81,9</t>
  </si>
  <si>
    <t xml:space="preserve">21092017</t>
  </si>
  <si>
    <t xml:space="preserve">83,2</t>
  </si>
  <si>
    <t xml:space="preserve">84,4</t>
  </si>
  <si>
    <t xml:space="preserve">23092017</t>
  </si>
  <si>
    <t xml:space="preserve">80,8</t>
  </si>
  <si>
    <t xml:space="preserve">22092017</t>
  </si>
  <si>
    <t xml:space="preserve">81,6</t>
  </si>
  <si>
    <t xml:space="preserve">33,0</t>
  </si>
  <si>
    <t xml:space="preserve">25092017</t>
  </si>
  <si>
    <t xml:space="preserve">81,5</t>
  </si>
  <si>
    <t xml:space="preserve">26092017</t>
  </si>
  <si>
    <t xml:space="preserve">89,9</t>
  </si>
  <si>
    <t xml:space="preserve">93,3</t>
  </si>
  <si>
    <t xml:space="preserve">93,2</t>
  </si>
  <si>
    <t xml:space="preserve">97,1</t>
  </si>
  <si>
    <t xml:space="preserve">27092017</t>
  </si>
  <si>
    <t xml:space="preserve">39,7</t>
  </si>
  <si>
    <t xml:space="preserve">45,5</t>
  </si>
  <si>
    <t xml:space="preserve">02102017</t>
  </si>
  <si>
    <t xml:space="preserve">97,6</t>
  </si>
  <si>
    <t xml:space="preserve">45,0</t>
  </si>
  <si>
    <t xml:space="preserve">29092017</t>
  </si>
  <si>
    <t xml:space="preserve">76,3</t>
  </si>
  <si>
    <t xml:space="preserve">87,3</t>
  </si>
  <si>
    <t xml:space="preserve">57,6</t>
  </si>
  <si>
    <t xml:space="preserve">28092017</t>
  </si>
  <si>
    <t xml:space="preserve">86,0</t>
  </si>
  <si>
    <t xml:space="preserve">42,9</t>
  </si>
  <si>
    <t xml:space="preserve">50,3</t>
  </si>
  <si>
    <t xml:space="preserve">03102017</t>
  </si>
  <si>
    <t xml:space="preserve">47,1</t>
  </si>
  <si>
    <t xml:space="preserve">85,5</t>
  </si>
  <si>
    <t xml:space="preserve">52,5</t>
  </si>
  <si>
    <t xml:space="preserve">04102017</t>
  </si>
  <si>
    <t xml:space="preserve">44,7</t>
  </si>
  <si>
    <t xml:space="preserve">80,1</t>
  </si>
  <si>
    <t xml:space="preserve">45,8</t>
  </si>
  <si>
    <t xml:space="preserve">06102017</t>
  </si>
  <si>
    <t xml:space="preserve">99,5</t>
  </si>
  <si>
    <t xml:space="preserve">45,3</t>
  </si>
  <si>
    <t xml:space="preserve">85,0</t>
  </si>
  <si>
    <t xml:space="preserve">39,4</t>
  </si>
  <si>
    <t xml:space="preserve">05102017</t>
  </si>
  <si>
    <t xml:space="preserve">83,8</t>
  </si>
  <si>
    <t xml:space="preserve">10,5</t>
  </si>
  <si>
    <t xml:space="preserve">94,3</t>
  </si>
  <si>
    <t xml:space="preserve">39,0</t>
  </si>
  <si>
    <t xml:space="preserve">09102017</t>
  </si>
  <si>
    <t xml:space="preserve">94,0</t>
  </si>
  <si>
    <t xml:space="preserve">44,4</t>
  </si>
  <si>
    <t xml:space="preserve">10102017</t>
  </si>
  <si>
    <t xml:space="preserve">11102017</t>
  </si>
  <si>
    <t xml:space="preserve">90,1</t>
  </si>
  <si>
    <t xml:space="preserve">51,9</t>
  </si>
  <si>
    <t xml:space="preserve">42,2</t>
  </si>
  <si>
    <t xml:space="preserve">16102017</t>
  </si>
  <si>
    <t xml:space="preserve">86,2</t>
  </si>
  <si>
    <t xml:space="preserve">47,9</t>
  </si>
  <si>
    <t xml:space="preserve">53,4</t>
  </si>
  <si>
    <t xml:space="preserve">17102017</t>
  </si>
  <si>
    <t xml:space="preserve">96,7</t>
  </si>
  <si>
    <t xml:space="preserve">37,7</t>
  </si>
  <si>
    <t xml:space="preserve">75,4</t>
  </si>
  <si>
    <t xml:space="preserve">20102017</t>
  </si>
  <si>
    <t xml:space="preserve">68,4</t>
  </si>
  <si>
    <t xml:space="preserve">21102017</t>
  </si>
  <si>
    <t xml:space="preserve">95,6</t>
  </si>
  <si>
    <t xml:space="preserve">19102017</t>
  </si>
  <si>
    <t xml:space="preserve">22102017</t>
  </si>
  <si>
    <t xml:space="preserve">24102017</t>
  </si>
  <si>
    <t xml:space="preserve">45,4</t>
  </si>
  <si>
    <t xml:space="preserve">83,9</t>
  </si>
  <si>
    <t xml:space="preserve">23102017</t>
  </si>
  <si>
    <t xml:space="preserve">97,9</t>
  </si>
  <si>
    <t xml:space="preserve">48,9</t>
  </si>
  <si>
    <t xml:space="preserve">25102017</t>
  </si>
  <si>
    <t xml:space="preserve">84,2</t>
  </si>
  <si>
    <t xml:space="preserve">26102017</t>
  </si>
  <si>
    <t xml:space="preserve">43,8</t>
  </si>
  <si>
    <t xml:space="preserve">27102017</t>
  </si>
  <si>
    <t xml:space="preserve">14,6</t>
  </si>
  <si>
    <t xml:space="preserve">43,6</t>
  </si>
  <si>
    <t xml:space="preserve">79,9</t>
  </si>
  <si>
    <t xml:space="preserve">72,4</t>
  </si>
  <si>
    <t xml:space="preserve">29102017</t>
  </si>
  <si>
    <t xml:space="preserve">30102017</t>
  </si>
  <si>
    <t xml:space="preserve">43,9</t>
  </si>
  <si>
    <t xml:space="preserve">74,8</t>
  </si>
  <si>
    <t xml:space="preserve">31102017</t>
  </si>
  <si>
    <t xml:space="preserve">40,4</t>
  </si>
  <si>
    <t xml:space="preserve">71,1</t>
  </si>
  <si>
    <t xml:space="preserve">01112017</t>
  </si>
  <si>
    <t xml:space="preserve">05112017</t>
  </si>
  <si>
    <t xml:space="preserve">06112017</t>
  </si>
  <si>
    <t xml:space="preserve">07112017</t>
  </si>
  <si>
    <t xml:space="preserve">84,5</t>
  </si>
  <si>
    <t xml:space="preserve">89,3</t>
  </si>
  <si>
    <t xml:space="preserve">35,3</t>
  </si>
  <si>
    <t xml:space="preserve">75,1</t>
  </si>
  <si>
    <t xml:space="preserve">08112017</t>
  </si>
  <si>
    <t xml:space="preserve">92,5</t>
  </si>
  <si>
    <t xml:space="preserve">40,3</t>
  </si>
  <si>
    <t xml:space="preserve">12112017</t>
  </si>
  <si>
    <t xml:space="preserve">94,5</t>
  </si>
  <si>
    <t xml:space="preserve">11112017</t>
  </si>
  <si>
    <t xml:space="preserve">10112017</t>
  </si>
  <si>
    <t xml:space="preserve">68,6</t>
  </si>
  <si>
    <t xml:space="preserve">09112017</t>
  </si>
  <si>
    <t xml:space="preserve">93,0</t>
  </si>
  <si>
    <t xml:space="preserve">13112017</t>
  </si>
  <si>
    <t xml:space="preserve">15112017</t>
  </si>
  <si>
    <t xml:space="preserve">14112017</t>
  </si>
  <si>
    <t xml:space="preserve">86,3</t>
  </si>
  <si>
    <t xml:space="preserve">19112017</t>
  </si>
  <si>
    <t xml:space="preserve">17112017</t>
  </si>
  <si>
    <t xml:space="preserve">41,3</t>
  </si>
  <si>
    <t xml:space="preserve">96,1</t>
  </si>
  <si>
    <t xml:space="preserve">16112017</t>
  </si>
  <si>
    <t xml:space="preserve">99,3</t>
  </si>
  <si>
    <t xml:space="preserve">38,0</t>
  </si>
  <si>
    <t xml:space="preserve">92,1</t>
  </si>
  <si>
    <t xml:space="preserve">20111201</t>
  </si>
  <si>
    <t xml:space="preserve">98,2</t>
  </si>
  <si>
    <t xml:space="preserve">62,1</t>
  </si>
  <si>
    <t xml:space="preserve">11/20/1201</t>
  </si>
  <si>
    <t xml:space="preserve">21112017</t>
  </si>
  <si>
    <t xml:space="preserve">93,9</t>
  </si>
  <si>
    <t xml:space="preserve">39,1</t>
  </si>
  <si>
    <t xml:space="preserve">95,0</t>
  </si>
  <si>
    <t xml:space="preserve">22112017</t>
  </si>
  <si>
    <t xml:space="preserve">90,5</t>
  </si>
  <si>
    <t xml:space="preserve">23112017</t>
  </si>
  <si>
    <t xml:space="preserve">106,5</t>
  </si>
  <si>
    <t xml:space="preserve">108,8</t>
  </si>
  <si>
    <t xml:space="preserve">101,7</t>
  </si>
  <si>
    <t xml:space="preserve">36,2</t>
  </si>
  <si>
    <t xml:space="preserve">24112017</t>
  </si>
  <si>
    <t xml:space="preserve">103,4</t>
  </si>
  <si>
    <t xml:space="preserve">105,7</t>
  </si>
  <si>
    <t xml:space="preserve">66,5</t>
  </si>
  <si>
    <t xml:space="preserve">92,7</t>
  </si>
  <si>
    <t xml:space="preserve">25112017</t>
  </si>
  <si>
    <t xml:space="preserve">26112017</t>
  </si>
  <si>
    <t xml:space="preserve">101,2</t>
  </si>
  <si>
    <t xml:space="preserve">27112017</t>
  </si>
  <si>
    <t xml:space="preserve">99,8</t>
  </si>
  <si>
    <t xml:space="preserve">28112017</t>
  </si>
  <si>
    <t xml:space="preserve">88,3</t>
  </si>
  <si>
    <t xml:space="preserve">29112017</t>
  </si>
  <si>
    <t xml:space="preserve">66,7</t>
  </si>
  <si>
    <t xml:space="preserve">03122017</t>
  </si>
  <si>
    <t xml:space="preserve">01122017</t>
  </si>
  <si>
    <t xml:space="preserve">102,8</t>
  </si>
  <si>
    <t xml:space="preserve">52,8</t>
  </si>
  <si>
    <t xml:space="preserve">101,6</t>
  </si>
  <si>
    <t xml:space="preserve">30112017</t>
  </si>
  <si>
    <t xml:space="preserve">95,2</t>
  </si>
  <si>
    <t xml:space="preserve">114,7</t>
  </si>
  <si>
    <t xml:space="preserve">68,7</t>
  </si>
  <si>
    <t xml:space="preserve">04122017</t>
  </si>
  <si>
    <t xml:space="preserve">84,9</t>
  </si>
  <si>
    <t xml:space="preserve">36,1</t>
  </si>
  <si>
    <t xml:space="preserve">05122017</t>
  </si>
  <si>
    <t xml:space="preserve">06122017</t>
  </si>
  <si>
    <t xml:space="preserve">69,6</t>
  </si>
  <si>
    <t xml:space="preserve">36,5</t>
  </si>
  <si>
    <t xml:space="preserve">103,0</t>
  </si>
  <si>
    <t xml:space="preserve">08122017</t>
  </si>
  <si>
    <t xml:space="preserve">91,1</t>
  </si>
  <si>
    <t xml:space="preserve">07122017</t>
  </si>
  <si>
    <t xml:space="preserve">35,4</t>
  </si>
  <si>
    <t xml:space="preserve">11122017</t>
  </si>
  <si>
    <t xml:space="preserve">28,7</t>
  </si>
  <si>
    <t xml:space="preserve">12122017</t>
  </si>
  <si>
    <t xml:space="preserve">97,8</t>
  </si>
  <si>
    <t xml:space="preserve">101,3</t>
  </si>
  <si>
    <t xml:space="preserve">13122017</t>
  </si>
  <si>
    <t xml:space="preserve">83,7</t>
  </si>
  <si>
    <t xml:space="preserve">108,3</t>
  </si>
  <si>
    <t xml:space="preserve">83,3</t>
  </si>
  <si>
    <t xml:space="preserve">91,0</t>
  </si>
  <si>
    <t xml:space="preserve">93,4</t>
  </si>
  <si>
    <t xml:space="preserve">16012017</t>
  </si>
  <si>
    <t xml:space="preserve">53,5</t>
  </si>
  <si>
    <t xml:space="preserve">41,9</t>
  </si>
  <si>
    <t xml:space="preserve">53,9</t>
  </si>
  <si>
    <t xml:space="preserve">18,7</t>
  </si>
  <si>
    <t xml:space="preserve">54,8</t>
  </si>
  <si>
    <t xml:space="preserve">17012018</t>
  </si>
  <si>
    <t xml:space="preserve">54,0</t>
  </si>
  <si>
    <t xml:space="preserve">21,7</t>
  </si>
  <si>
    <t xml:space="preserve">21012018</t>
  </si>
  <si>
    <t xml:space="preserve">19012018</t>
  </si>
  <si>
    <t xml:space="preserve">18,3</t>
  </si>
  <si>
    <t xml:space="preserve">73,2</t>
  </si>
  <si>
    <t xml:space="preserve">51,6</t>
  </si>
  <si>
    <t xml:space="preserve">18012018</t>
  </si>
  <si>
    <t xml:space="preserve">65,7</t>
  </si>
  <si>
    <t xml:space="preserve">79,2</t>
  </si>
  <si>
    <t xml:space="preserve">22012018</t>
  </si>
  <si>
    <t xml:space="preserve">19,3</t>
  </si>
  <si>
    <t xml:space="preserve">53,6</t>
  </si>
  <si>
    <t xml:space="preserve">23012018</t>
  </si>
  <si>
    <t xml:space="preserve">82,1</t>
  </si>
  <si>
    <t xml:space="preserve">24,6</t>
  </si>
  <si>
    <t xml:space="preserve">24012018</t>
  </si>
  <si>
    <t xml:space="preserve">83,5</t>
  </si>
  <si>
    <t xml:space="preserve">78,9</t>
  </si>
  <si>
    <t xml:space="preserve">24,8</t>
  </si>
  <si>
    <t xml:space="preserve">71,9</t>
  </si>
  <si>
    <t xml:space="preserve">25012018</t>
  </si>
  <si>
    <t xml:space="preserve">63,2</t>
  </si>
  <si>
    <t xml:space="preserve">20,0</t>
  </si>
  <si>
    <t xml:space="preserve">60,5</t>
  </si>
  <si>
    <t xml:space="preserve">26012018</t>
  </si>
  <si>
    <t xml:space="preserve">58,5</t>
  </si>
  <si>
    <t xml:space="preserve">72,3</t>
  </si>
  <si>
    <t xml:space="preserve">102,2</t>
  </si>
  <si>
    <t xml:space="preserve">16,3</t>
  </si>
  <si>
    <t xml:space="preserve">58,3</t>
  </si>
  <si>
    <t xml:space="preserve">28012018</t>
  </si>
  <si>
    <t xml:space="preserve">79,3</t>
  </si>
  <si>
    <t xml:space="preserve">29012018</t>
  </si>
  <si>
    <t xml:space="preserve">102,3</t>
  </si>
  <si>
    <t xml:space="preserve">0,9</t>
  </si>
  <si>
    <t xml:space="preserve">77,6</t>
  </si>
  <si>
    <t xml:space="preserve">30012018</t>
  </si>
  <si>
    <t xml:space="preserve">60,0</t>
  </si>
  <si>
    <t xml:space="preserve">98,4</t>
  </si>
  <si>
    <t xml:space="preserve">69,5</t>
  </si>
  <si>
    <t xml:space="preserve">31012018</t>
  </si>
  <si>
    <t xml:space="preserve">91,8</t>
  </si>
  <si>
    <t xml:space="preserve">0,2</t>
  </si>
  <si>
    <t xml:space="preserve">01022018</t>
  </si>
  <si>
    <t xml:space="preserve">02022018</t>
  </si>
  <si>
    <t xml:space="preserve">93,5</t>
  </si>
  <si>
    <t xml:space="preserve">04022018</t>
  </si>
  <si>
    <t xml:space="preserve">05022018</t>
  </si>
  <si>
    <t xml:space="preserve">64,0</t>
  </si>
  <si>
    <t xml:space="preserve">0,4</t>
  </si>
  <si>
    <t xml:space="preserve">06022018</t>
  </si>
  <si>
    <t xml:space="preserve">65,4</t>
  </si>
  <si>
    <t xml:space="preserve">07022018</t>
  </si>
  <si>
    <t xml:space="preserve">76,2</t>
  </si>
  <si>
    <t xml:space="preserve">90,6</t>
  </si>
  <si>
    <t xml:space="preserve">99,7</t>
  </si>
  <si>
    <t xml:space="preserve">08022018</t>
  </si>
  <si>
    <t xml:space="preserve">09022018</t>
  </si>
  <si>
    <t xml:space="preserve">13022018</t>
  </si>
  <si>
    <t xml:space="preserve">14022018</t>
  </si>
  <si>
    <t xml:space="preserve">20,9</t>
  </si>
  <si>
    <t xml:space="preserve">55,8</t>
  </si>
  <si>
    <t xml:space="preserve">74,4</t>
  </si>
  <si>
    <t xml:space="preserve">48,0</t>
  </si>
  <si>
    <t xml:space="preserve">19022018</t>
  </si>
  <si>
    <t xml:space="preserve">69,7</t>
  </si>
  <si>
    <t xml:space="preserve">55,9</t>
  </si>
  <si>
    <t xml:space="preserve">16022018</t>
  </si>
  <si>
    <t xml:space="preserve">47,6</t>
  </si>
  <si>
    <t xml:space="preserve">17022018</t>
  </si>
  <si>
    <t xml:space="preserve">18022018</t>
  </si>
  <si>
    <t xml:space="preserve">20022018</t>
  </si>
  <si>
    <t xml:space="preserve">15022018</t>
  </si>
  <si>
    <t xml:space="preserve">49,1</t>
  </si>
  <si>
    <t xml:space="preserve">83,0</t>
  </si>
  <si>
    <t xml:space="preserve">21022018</t>
  </si>
  <si>
    <t xml:space="preserve">22022018</t>
  </si>
  <si>
    <t xml:space="preserve">13,9</t>
  </si>
  <si>
    <t xml:space="preserve">23022018</t>
  </si>
  <si>
    <t xml:space="preserve">87,0</t>
  </si>
  <si>
    <t xml:space="preserve">52,4</t>
  </si>
  <si>
    <t xml:space="preserve">24022018</t>
  </si>
  <si>
    <t xml:space="preserve">25022018</t>
  </si>
  <si>
    <t xml:space="preserve">26022018</t>
  </si>
  <si>
    <t xml:space="preserve">27022018</t>
  </si>
  <si>
    <t xml:space="preserve">95,3</t>
  </si>
  <si>
    <t xml:space="preserve">01032018</t>
  </si>
  <si>
    <t xml:space="preserve">02032018</t>
  </si>
  <si>
    <t xml:space="preserve">97,0</t>
  </si>
  <si>
    <t xml:space="preserve">03032018</t>
  </si>
  <si>
    <t xml:space="preserve">96,9</t>
  </si>
  <si>
    <t xml:space="preserve">04032018</t>
  </si>
  <si>
    <t xml:space="preserve">05032018</t>
  </si>
  <si>
    <t xml:space="preserve">65,0</t>
  </si>
  <si>
    <t xml:space="preserve">06032018</t>
  </si>
  <si>
    <t xml:space="preserve">07032018</t>
  </si>
  <si>
    <t xml:space="preserve">11032018</t>
  </si>
  <si>
    <t xml:space="preserve">09032018</t>
  </si>
  <si>
    <t xml:space="preserve">08032018</t>
  </si>
  <si>
    <t xml:space="preserve">56,6</t>
  </si>
  <si>
    <t xml:space="preserve">66,1</t>
  </si>
  <si>
    <t xml:space="preserve">12032018</t>
  </si>
  <si>
    <t xml:space="preserve">52,0</t>
  </si>
  <si>
    <t xml:space="preserve">13032018</t>
  </si>
  <si>
    <t xml:space="preserve">14032018</t>
  </si>
  <si>
    <t xml:space="preserve">10,7</t>
  </si>
  <si>
    <t xml:space="preserve">19032018</t>
  </si>
  <si>
    <t xml:space="preserve">17032018</t>
  </si>
  <si>
    <t xml:space="preserve">16032018</t>
  </si>
  <si>
    <t xml:space="preserve">95,9</t>
  </si>
  <si>
    <t xml:space="preserve">100,3</t>
  </si>
  <si>
    <t xml:space="preserve">15032018</t>
  </si>
  <si>
    <t xml:space="preserve">20032018</t>
  </si>
  <si>
    <t xml:space="preserve">21032018</t>
  </si>
  <si>
    <t xml:space="preserve">22032018</t>
  </si>
  <si>
    <t xml:space="preserve">23032018</t>
  </si>
  <si>
    <t xml:space="preserve">24032018</t>
  </si>
  <si>
    <t xml:space="preserve">102,4</t>
  </si>
  <si>
    <t xml:space="preserve">27032018</t>
  </si>
  <si>
    <t xml:space="preserve">28032018</t>
  </si>
  <si>
    <t xml:space="preserve">29032018</t>
  </si>
  <si>
    <t xml:space="preserve">98,7</t>
  </si>
  <si>
    <t xml:space="preserve">98,6</t>
  </si>
  <si>
    <t xml:space="preserve">02042018</t>
  </si>
  <si>
    <t xml:space="preserve">03042018</t>
  </si>
  <si>
    <t xml:space="preserve">60,7</t>
  </si>
  <si>
    <t xml:space="preserve">04042018</t>
  </si>
  <si>
    <t xml:space="preserve">91,4</t>
  </si>
  <si>
    <t xml:space="preserve">07042018</t>
  </si>
  <si>
    <t xml:space="preserve">06042018</t>
  </si>
  <si>
    <t xml:space="preserve">99,1</t>
  </si>
  <si>
    <t xml:space="preserve">05042018</t>
  </si>
  <si>
    <t xml:space="preserve">08042018</t>
  </si>
  <si>
    <t xml:space="preserve">09042018</t>
  </si>
  <si>
    <t xml:space="preserve">36,3</t>
  </si>
  <si>
    <t xml:space="preserve">77,0</t>
  </si>
  <si>
    <t xml:space="preserve">10042018</t>
  </si>
  <si>
    <t xml:space="preserve">11042018</t>
  </si>
  <si>
    <t xml:space="preserve">12042018</t>
  </si>
  <si>
    <t xml:space="preserve">13042018</t>
  </si>
  <si>
    <t xml:space="preserve">16042018</t>
  </si>
  <si>
    <t xml:space="preserve">17042018</t>
  </si>
  <si>
    <t xml:space="preserve">71,4</t>
  </si>
  <si>
    <t xml:space="preserve">20042018</t>
  </si>
  <si>
    <t xml:space="preserve">19042018</t>
  </si>
  <si>
    <t xml:space="preserve">21042018</t>
  </si>
  <si>
    <t xml:space="preserve">59,2</t>
  </si>
  <si>
    <t xml:space="preserve">22042018</t>
  </si>
  <si>
    <t xml:space="preserve">24042018</t>
  </si>
  <si>
    <t xml:space="preserve">27042018</t>
  </si>
  <si>
    <t xml:space="preserve">29042018</t>
  </si>
  <si>
    <t xml:space="preserve">01052018</t>
  </si>
  <si>
    <t xml:space="preserve">07052018</t>
  </si>
  <si>
    <t xml:space="preserve">08052018</t>
  </si>
  <si>
    <t xml:space="preserve">104,4</t>
  </si>
  <si>
    <t xml:space="preserve">09052018</t>
  </si>
  <si>
    <t xml:space="preserve">99,4</t>
  </si>
  <si>
    <t xml:space="preserve">10052018</t>
  </si>
  <si>
    <t xml:space="preserve">34,3</t>
  </si>
  <si>
    <t xml:space="preserve">18,6</t>
  </si>
  <si>
    <t xml:space="preserve">11052018</t>
  </si>
  <si>
    <t xml:space="preserve">101,1</t>
  </si>
  <si>
    <t xml:space="preserve">31,7</t>
  </si>
  <si>
    <t xml:space="preserve">12052018</t>
  </si>
  <si>
    <t xml:space="preserve">13052018</t>
  </si>
  <si>
    <t xml:space="preserve">14052018</t>
  </si>
  <si>
    <t xml:space="preserve">99,9</t>
  </si>
  <si>
    <t xml:space="preserve">17052018</t>
  </si>
  <si>
    <t xml:space="preserve">20052018</t>
  </si>
  <si>
    <t xml:space="preserve">21052018</t>
  </si>
  <si>
    <t xml:space="preserve">22052018</t>
  </si>
  <si>
    <t xml:space="preserve">23052018</t>
  </si>
  <si>
    <t xml:space="preserve">03062018</t>
  </si>
  <si>
    <t xml:space="preserve">31052018</t>
  </si>
  <si>
    <t xml:space="preserve">01062018</t>
  </si>
  <si>
    <t xml:space="preserve">04062018</t>
  </si>
  <si>
    <t xml:space="preserve">05062018</t>
  </si>
  <si>
    <t xml:space="preserve">104,5</t>
  </si>
  <si>
    <t xml:space="preserve">06062018</t>
  </si>
  <si>
    <t xml:space="preserve">07062018</t>
  </si>
  <si>
    <t xml:space="preserve">10062018</t>
  </si>
  <si>
    <t xml:space="preserve">08062018</t>
  </si>
  <si>
    <t xml:space="preserve">09062018</t>
  </si>
  <si>
    <t xml:space="preserve">105,3</t>
  </si>
  <si>
    <t xml:space="preserve">106,0</t>
  </si>
  <si>
    <t xml:space="preserve">11062018</t>
  </si>
  <si>
    <t xml:space="preserve">12062018</t>
  </si>
  <si>
    <t xml:space="preserve">13062018</t>
  </si>
  <si>
    <t xml:space="preserve">14062018</t>
  </si>
  <si>
    <t xml:space="preserve">17062018</t>
  </si>
  <si>
    <t xml:space="preserve">16062018</t>
  </si>
  <si>
    <t xml:space="preserve">102,0</t>
  </si>
  <si>
    <t xml:space="preserve">106,4</t>
  </si>
  <si>
    <t xml:space="preserve">18062018</t>
  </si>
  <si>
    <t xml:space="preserve">19062018</t>
  </si>
  <si>
    <t xml:space="preserve">99,2</t>
  </si>
  <si>
    <t xml:space="preserve">20062018</t>
  </si>
  <si>
    <t xml:space="preserve">21062018</t>
  </si>
  <si>
    <t xml:space="preserve">22062018</t>
  </si>
  <si>
    <t xml:space="preserve">23062018</t>
  </si>
  <si>
    <t xml:space="preserve">24062018</t>
  </si>
  <si>
    <t xml:space="preserve">25062018</t>
  </si>
  <si>
    <t xml:space="preserve">99,0</t>
  </si>
  <si>
    <t xml:space="preserve">26062018</t>
  </si>
  <si>
    <t xml:space="preserve">27062018</t>
  </si>
  <si>
    <t xml:space="preserve">77,1</t>
  </si>
  <si>
    <t xml:space="preserve">03072018</t>
  </si>
  <si>
    <t xml:space="preserve">04072018</t>
  </si>
  <si>
    <t xml:space="preserve">78,3</t>
  </si>
  <si>
    <t xml:space="preserve">05072018</t>
  </si>
  <si>
    <t xml:space="preserve">08072018</t>
  </si>
  <si>
    <t xml:space="preserve">06072018</t>
  </si>
  <si>
    <t xml:space="preserve">102,6</t>
  </si>
  <si>
    <t xml:space="preserve">10072018</t>
  </si>
  <si>
    <t xml:space="preserve">11072018</t>
  </si>
  <si>
    <t xml:space="preserve">12072018</t>
  </si>
  <si>
    <t xml:space="preserve">13072018</t>
  </si>
  <si>
    <t xml:space="preserve">32,4</t>
  </si>
  <si>
    <t xml:space="preserve">14072018</t>
  </si>
  <si>
    <t xml:space="preserve">15072018</t>
  </si>
  <si>
    <t xml:space="preserve">16072018</t>
  </si>
  <si>
    <t xml:space="preserve">17072018</t>
  </si>
  <si>
    <t xml:space="preserve">21072018</t>
  </si>
  <si>
    <t xml:space="preserve">22072018</t>
  </si>
  <si>
    <t xml:space="preserve">23072018</t>
  </si>
  <si>
    <t xml:space="preserve">107,9</t>
  </si>
  <si>
    <t xml:space="preserve">79,1</t>
  </si>
  <si>
    <t xml:space="preserve">24072018</t>
  </si>
  <si>
    <t xml:space="preserve">25072018</t>
  </si>
  <si>
    <t xml:space="preserve">27,6</t>
  </si>
  <si>
    <t xml:space="preserve">26072018</t>
  </si>
  <si>
    <t xml:space="preserve">99,6</t>
  </si>
  <si>
    <t xml:space="preserve">27072018</t>
  </si>
  <si>
    <t xml:space="preserve">76,7</t>
  </si>
  <si>
    <t xml:space="preserve">31072018</t>
  </si>
  <si>
    <t xml:space="preserve">01082018</t>
  </si>
  <si>
    <t xml:space="preserve">30072018</t>
  </si>
  <si>
    <t xml:space="preserve">02082018</t>
  </si>
  <si>
    <t xml:space="preserve">03082018</t>
  </si>
  <si>
    <t xml:space="preserve">04082018</t>
  </si>
  <si>
    <t xml:space="preserve">05082018</t>
  </si>
  <si>
    <t xml:space="preserve">06082018</t>
  </si>
  <si>
    <t xml:space="preserve">134,7</t>
  </si>
  <si>
    <t xml:space="preserve">07082018</t>
  </si>
  <si>
    <t xml:space="preserve">74,0</t>
  </si>
  <si>
    <t xml:space="preserve">08082018</t>
  </si>
  <si>
    <t xml:space="preserve">106,7</t>
  </si>
  <si>
    <t xml:space="preserve">09082018</t>
  </si>
  <si>
    <t xml:space="preserve">87,8</t>
  </si>
  <si>
    <t xml:space="preserve">10082018</t>
  </si>
  <si>
    <t xml:space="preserve">81,8</t>
  </si>
  <si>
    <t xml:space="preserve">12082018</t>
  </si>
  <si>
    <t xml:space="preserve">13082018</t>
  </si>
  <si>
    <t xml:space="preserve">14082018</t>
  </si>
  <si>
    <t xml:space="preserve">15082018</t>
  </si>
  <si>
    <t xml:space="preserve">104,3</t>
  </si>
  <si>
    <t xml:space="preserve">16082018</t>
  </si>
  <si>
    <t xml:space="preserve">17082018</t>
  </si>
  <si>
    <t xml:space="preserve">19082018</t>
  </si>
  <si>
    <t xml:space="preserve">20082018</t>
  </si>
  <si>
    <t xml:space="preserve">21082018</t>
  </si>
  <si>
    <t xml:space="preserve">22082018</t>
  </si>
  <si>
    <t xml:space="preserve">104,9</t>
  </si>
  <si>
    <t xml:space="preserve">23082018</t>
  </si>
  <si>
    <t xml:space="preserve">24082018</t>
  </si>
  <si>
    <t xml:space="preserve">25082018</t>
  </si>
  <si>
    <t xml:space="preserve">26082018</t>
  </si>
  <si>
    <t xml:space="preserve">27082018</t>
  </si>
  <si>
    <t xml:space="preserve">75,2</t>
  </si>
  <si>
    <t xml:space="preserve">56,9</t>
  </si>
  <si>
    <t xml:space="preserve">28082018</t>
  </si>
  <si>
    <t xml:space="preserve">29082018</t>
  </si>
  <si>
    <t xml:space="preserve">30082018</t>
  </si>
  <si>
    <t xml:space="preserve">31082018</t>
  </si>
  <si>
    <t xml:space="preserve">02092018</t>
  </si>
  <si>
    <t xml:space="preserve">03092018</t>
  </si>
  <si>
    <t xml:space="preserve">04092018</t>
  </si>
  <si>
    <t xml:space="preserve">42,7</t>
  </si>
  <si>
    <t xml:space="preserve">06092018</t>
  </si>
  <si>
    <t xml:space="preserve">111,7</t>
  </si>
  <si>
    <t xml:space="preserve">10092018</t>
  </si>
  <si>
    <t xml:space="preserve">102,1</t>
  </si>
  <si>
    <t xml:space="preserve">11092018</t>
  </si>
  <si>
    <t xml:space="preserve">12092018</t>
  </si>
  <si>
    <t xml:space="preserve">104,2</t>
  </si>
  <si>
    <t xml:space="preserve">13092018</t>
  </si>
  <si>
    <t xml:space="preserve">77,5</t>
  </si>
  <si>
    <t xml:space="preserve">14092018</t>
  </si>
  <si>
    <t xml:space="preserve">18092018</t>
  </si>
  <si>
    <t xml:space="preserve">17092018</t>
  </si>
  <si>
    <t xml:space="preserve">19092018</t>
  </si>
  <si>
    <t xml:space="preserve">20092018</t>
  </si>
  <si>
    <t xml:space="preserve">102,9</t>
  </si>
  <si>
    <t xml:space="preserve">21092018</t>
  </si>
  <si>
    <t xml:space="preserve">11,6</t>
  </si>
  <si>
    <t xml:space="preserve">106,3</t>
  </si>
  <si>
    <t xml:space="preserve">24092018</t>
  </si>
  <si>
    <t xml:space="preserve">58,7</t>
  </si>
  <si>
    <t xml:space="preserve">25092018</t>
  </si>
  <si>
    <t xml:space="preserve">104,1</t>
  </si>
  <si>
    <t xml:space="preserve">26092018</t>
  </si>
  <si>
    <t xml:space="preserve">108,0</t>
  </si>
  <si>
    <t xml:space="preserve">27092018</t>
  </si>
  <si>
    <t xml:space="preserve">30092018</t>
  </si>
  <si>
    <t xml:space="preserve">01102018</t>
  </si>
  <si>
    <t xml:space="preserve">02102018</t>
  </si>
  <si>
    <t xml:space="preserve">100,9</t>
  </si>
  <si>
    <t xml:space="preserve">03102018</t>
  </si>
  <si>
    <t xml:space="preserve">04102018</t>
  </si>
  <si>
    <t xml:space="preserve">05102018</t>
  </si>
  <si>
    <t xml:space="preserve">08102018</t>
  </si>
  <si>
    <t xml:space="preserve">101,8</t>
  </si>
  <si>
    <t xml:space="preserve">08092018</t>
  </si>
  <si>
    <t xml:space="preserve">09102018</t>
  </si>
  <si>
    <t xml:space="preserve">10102018</t>
  </si>
  <si>
    <t xml:space="preserve">14102018</t>
  </si>
  <si>
    <t xml:space="preserve">15102018</t>
  </si>
  <si>
    <t xml:space="preserve">16102018</t>
  </si>
  <si>
    <t xml:space="preserve">101,9</t>
  </si>
  <si>
    <t xml:space="preserve">17102018</t>
  </si>
  <si>
    <t xml:space="preserve">19102018</t>
  </si>
  <si>
    <t xml:space="preserve">21102018</t>
  </si>
  <si>
    <t xml:space="preserve">20102018</t>
  </si>
  <si>
    <t xml:space="preserve">23102018</t>
  </si>
  <si>
    <t xml:space="preserve">22102018</t>
  </si>
  <si>
    <t xml:space="preserve">24102018</t>
  </si>
  <si>
    <t xml:space="preserve">108,9</t>
  </si>
  <si>
    <t xml:space="preserve">18102018</t>
  </si>
  <si>
    <t xml:space="preserve">23,6</t>
  </si>
  <si>
    <t xml:space="preserve">105,6</t>
  </si>
  <si>
    <t xml:space="preserve">25102018</t>
  </si>
  <si>
    <t xml:space="preserve">100,1</t>
  </si>
  <si>
    <t xml:space="preserve">26102018</t>
  </si>
  <si>
    <t xml:space="preserve">28102018</t>
  </si>
  <si>
    <t xml:space="preserve">29102018</t>
  </si>
  <si>
    <t xml:space="preserve">30102018</t>
  </si>
  <si>
    <t xml:space="preserve">31112018</t>
  </si>
  <si>
    <t xml:space="preserve">103,3</t>
  </si>
  <si>
    <t xml:space="preserve">31/11/2018</t>
  </si>
  <si>
    <t xml:space="preserve">01112018</t>
  </si>
  <si>
    <t xml:space="preserve">31102018</t>
  </si>
  <si>
    <t xml:space="preserve">05112018</t>
  </si>
  <si>
    <t xml:space="preserve">06112018</t>
  </si>
  <si>
    <t xml:space="preserve">07112018</t>
  </si>
  <si>
    <t xml:space="preserve">100,2</t>
  </si>
  <si>
    <t xml:space="preserve">08112018</t>
  </si>
  <si>
    <t xml:space="preserve">09112018</t>
  </si>
  <si>
    <t xml:space="preserve">11112018</t>
  </si>
  <si>
    <t xml:space="preserve">12112018</t>
  </si>
  <si>
    <t xml:space="preserve">105,8</t>
  </si>
  <si>
    <t xml:space="preserve">13112018</t>
  </si>
  <si>
    <t xml:space="preserve">14112018</t>
  </si>
  <si>
    <t xml:space="preserve">102,5</t>
  </si>
  <si>
    <t xml:space="preserve">19112018</t>
  </si>
  <si>
    <t xml:space="preserve">20112018</t>
  </si>
  <si>
    <t xml:space="preserve">21112018</t>
  </si>
  <si>
    <t xml:space="preserve">23112018</t>
  </si>
  <si>
    <t xml:space="preserve">103,5</t>
  </si>
  <si>
    <t xml:space="preserve">104,6</t>
  </si>
  <si>
    <t xml:space="preserve">22112018</t>
  </si>
  <si>
    <t xml:space="preserve">106,6</t>
  </si>
  <si>
    <t xml:space="preserve">36,9</t>
  </si>
  <si>
    <t xml:space="preserve">25112018</t>
  </si>
  <si>
    <t xml:space="preserve">24112018</t>
  </si>
  <si>
    <t xml:space="preserve">26112018</t>
  </si>
  <si>
    <t xml:space="preserve">103,2</t>
  </si>
  <si>
    <t xml:space="preserve">111,8</t>
  </si>
  <si>
    <t xml:space="preserve">27112018</t>
  </si>
  <si>
    <t xml:space="preserve">105,0</t>
  </si>
  <si>
    <t xml:space="preserve">28112018</t>
  </si>
  <si>
    <t xml:space="preserve">30112018</t>
  </si>
  <si>
    <t xml:space="preserve">29112018</t>
  </si>
  <si>
    <t xml:space="preserve">103,8</t>
  </si>
  <si>
    <t xml:space="preserve">03122018</t>
  </si>
  <si>
    <t xml:space="preserve">04122018</t>
  </si>
  <si>
    <t xml:space="preserve">05122018</t>
  </si>
  <si>
    <t xml:space="preserve">06122018</t>
  </si>
  <si>
    <t xml:space="preserve">07122018</t>
  </si>
  <si>
    <t xml:space="preserve">08122018</t>
  </si>
  <si>
    <t xml:space="preserve">09122018</t>
  </si>
  <si>
    <t xml:space="preserve">10122018</t>
  </si>
  <si>
    <t xml:space="preserve">11122018</t>
  </si>
  <si>
    <t xml:space="preserve">12122018</t>
  </si>
  <si>
    <t xml:space="preserve">13122018</t>
  </si>
  <si>
    <t xml:space="preserve">103,1</t>
  </si>
  <si>
    <t xml:space="preserve">14122018</t>
  </si>
  <si>
    <t xml:space="preserve">123,3</t>
  </si>
  <si>
    <t xml:space="preserve">17122018</t>
  </si>
  <si>
    <t xml:space="preserve">01122018</t>
  </si>
  <si>
    <t xml:space="preserve">19122018</t>
  </si>
  <si>
    <t xml:space="preserve">18122018</t>
  </si>
  <si>
    <t xml:space="preserve">20122018</t>
  </si>
  <si>
    <t xml:space="preserve">111,2</t>
  </si>
  <si>
    <t xml:space="preserve">18112019</t>
  </si>
  <si>
    <t xml:space="preserve">18012019</t>
  </si>
  <si>
    <t xml:space="preserve">20012019</t>
  </si>
  <si>
    <t xml:space="preserve">21012019</t>
  </si>
  <si>
    <t xml:space="preserve">22012019</t>
  </si>
  <si>
    <t xml:space="preserve">23012019</t>
  </si>
  <si>
    <t xml:space="preserve">24012019</t>
  </si>
  <si>
    <t xml:space="preserve">25012019</t>
  </si>
  <si>
    <t xml:space="preserve">26012019</t>
  </si>
  <si>
    <t xml:space="preserve">27012019</t>
  </si>
  <si>
    <t xml:space="preserve">28012019</t>
  </si>
  <si>
    <t xml:space="preserve">29012019</t>
  </si>
  <si>
    <t xml:space="preserve">30012019</t>
  </si>
  <si>
    <t xml:space="preserve">31012019</t>
  </si>
  <si>
    <t xml:space="preserve">01022019</t>
  </si>
  <si>
    <t xml:space="preserve">03012019</t>
  </si>
  <si>
    <t xml:space="preserve">03022019</t>
  </si>
  <si>
    <t xml:space="preserve">02022019</t>
  </si>
  <si>
    <t xml:space="preserve">04022019</t>
  </si>
  <si>
    <t xml:space="preserve">05022019</t>
  </si>
  <si>
    <t xml:space="preserve">06022019</t>
  </si>
  <si>
    <t xml:space="preserve">07022019</t>
  </si>
  <si>
    <t xml:space="preserve">32,6</t>
  </si>
  <si>
    <t xml:space="preserve">08022019</t>
  </si>
  <si>
    <t xml:space="preserve">11022019</t>
  </si>
  <si>
    <t xml:space="preserve">101,4</t>
  </si>
  <si>
    <t xml:space="preserve">12022019</t>
  </si>
  <si>
    <t xml:space="preserve">13022019</t>
  </si>
  <si>
    <t xml:space="preserve">15022019</t>
  </si>
  <si>
    <t xml:space="preserve">85,9</t>
  </si>
  <si>
    <t xml:space="preserve">14022019</t>
  </si>
  <si>
    <t xml:space="preserve">101,5</t>
  </si>
  <si>
    <t xml:space="preserve">104,8</t>
  </si>
  <si>
    <t xml:space="preserve">17022019</t>
  </si>
  <si>
    <t xml:space="preserve">18022019</t>
  </si>
  <si>
    <t xml:space="preserve">19022019</t>
  </si>
  <si>
    <t xml:space="preserve">20022019</t>
  </si>
  <si>
    <t xml:space="preserve">73,5</t>
  </si>
  <si>
    <t xml:space="preserve">21022019</t>
  </si>
  <si>
    <t xml:space="preserve">22022019</t>
  </si>
  <si>
    <t xml:space="preserve">23022019</t>
  </si>
  <si>
    <t xml:space="preserve">25022019</t>
  </si>
  <si>
    <t xml:space="preserve">26022019</t>
  </si>
  <si>
    <t xml:space="preserve">27022019</t>
  </si>
  <si>
    <t xml:space="preserve">28022019</t>
  </si>
  <si>
    <t xml:space="preserve">01032019</t>
  </si>
  <si>
    <t xml:space="preserve">05032019</t>
  </si>
  <si>
    <t xml:space="preserve">06032019</t>
  </si>
  <si>
    <t xml:space="preserve">07032019</t>
  </si>
  <si>
    <t xml:space="preserve">08032019</t>
  </si>
  <si>
    <t xml:space="preserve">10032019</t>
  </si>
  <si>
    <t xml:space="preserve">11032019</t>
  </si>
  <si>
    <t xml:space="preserve">12032019</t>
  </si>
  <si>
    <t xml:space="preserve">56,1</t>
  </si>
  <si>
    <t xml:space="preserve">116,1</t>
  </si>
  <si>
    <t xml:space="preserve">13032019</t>
  </si>
  <si>
    <t xml:space="preserve">14032019</t>
  </si>
  <si>
    <t xml:space="preserve">15032019</t>
  </si>
  <si>
    <t xml:space="preserve">17032019</t>
  </si>
  <si>
    <t xml:space="preserve">18032019</t>
  </si>
  <si>
    <t xml:space="preserve">19032019</t>
  </si>
  <si>
    <t xml:space="preserve">20032019</t>
  </si>
  <si>
    <t xml:space="preserve">21032019</t>
  </si>
  <si>
    <t xml:space="preserve">22032019</t>
  </si>
  <si>
    <t xml:space="preserve">24032019</t>
  </si>
  <si>
    <t xml:space="preserve">25032019</t>
  </si>
  <si>
    <t xml:space="preserve">26032019</t>
  </si>
  <si>
    <t xml:space="preserve">27032019</t>
  </si>
  <si>
    <t xml:space="preserve">28032019</t>
  </si>
  <si>
    <t xml:space="preserve">29032019</t>
  </si>
  <si>
    <t xml:space="preserve">30032019</t>
  </si>
  <si>
    <t xml:space="preserve">31032019</t>
  </si>
  <si>
    <t xml:space="preserve">01042019</t>
  </si>
  <si>
    <t xml:space="preserve">02042019</t>
  </si>
  <si>
    <t xml:space="preserve">72,1</t>
  </si>
  <si>
    <t xml:space="preserve">03042019</t>
  </si>
  <si>
    <t xml:space="preserve">04032019</t>
  </si>
  <si>
    <t xml:space="preserve">04042019</t>
  </si>
  <si>
    <t xml:space="preserve">05042019</t>
  </si>
  <si>
    <t xml:space="preserve">09042019</t>
  </si>
  <si>
    <t xml:space="preserve">10042019</t>
  </si>
  <si>
    <t xml:space="preserve">11042019</t>
  </si>
  <si>
    <t xml:space="preserve">12042019</t>
  </si>
  <si>
    <t xml:space="preserve">102,7</t>
  </si>
  <si>
    <t xml:space="preserve">14042019</t>
  </si>
  <si>
    <t xml:space="preserve">15042019</t>
  </si>
  <si>
    <t xml:space="preserve">16042019</t>
  </si>
  <si>
    <t xml:space="preserve">113,8</t>
  </si>
  <si>
    <t xml:space="preserve">17042019</t>
  </si>
  <si>
    <t xml:space="preserve">18042019</t>
  </si>
  <si>
    <t xml:space="preserve">100,8</t>
  </si>
  <si>
    <t xml:space="preserve">61,3</t>
  </si>
  <si>
    <t xml:space="preserve">22042019</t>
  </si>
  <si>
    <t xml:space="preserve">23042019</t>
  </si>
  <si>
    <t xml:space="preserve">59,6</t>
  </si>
  <si>
    <t xml:space="preserve">24042019</t>
  </si>
  <si>
    <t xml:space="preserve">64,8</t>
  </si>
  <si>
    <t xml:space="preserve">25042019</t>
  </si>
  <si>
    <t xml:space="preserve">26042019</t>
  </si>
  <si>
    <t xml:space="preserve">28042019</t>
  </si>
  <si>
    <t xml:space="preserve">29042019</t>
  </si>
  <si>
    <t xml:space="preserve">30042019</t>
  </si>
  <si>
    <t xml:space="preserve">01052019</t>
  </si>
  <si>
    <t xml:space="preserve">02052019</t>
  </si>
  <si>
    <t xml:space="preserve">03052019</t>
  </si>
  <si>
    <t xml:space="preserve">06052019</t>
  </si>
  <si>
    <t xml:space="preserve">07052019</t>
  </si>
  <si>
    <t xml:space="preserve">08052019</t>
  </si>
  <si>
    <t xml:space="preserve">09052019</t>
  </si>
  <si>
    <t xml:space="preserve">10052019</t>
  </si>
  <si>
    <t xml:space="preserve">12052019</t>
  </si>
  <si>
    <t xml:space="preserve">13052019</t>
  </si>
  <si>
    <t xml:space="preserve">14052019</t>
  </si>
  <si>
    <t xml:space="preserve">15052019</t>
  </si>
  <si>
    <t xml:space="preserve">16052019</t>
  </si>
  <si>
    <t xml:space="preserve">17052019</t>
  </si>
  <si>
    <t xml:space="preserve">54,3</t>
  </si>
  <si>
    <t xml:space="preserve">20052019</t>
  </si>
  <si>
    <t xml:space="preserve">21052019</t>
  </si>
  <si>
    <t xml:space="preserve">22052017</t>
  </si>
  <si>
    <t xml:space="preserve">84,0</t>
  </si>
  <si>
    <t xml:space="preserve">22052019</t>
  </si>
  <si>
    <t xml:space="preserve">23052019</t>
  </si>
  <si>
    <t xml:space="preserve">24052019</t>
  </si>
  <si>
    <t xml:space="preserve">25052019</t>
  </si>
  <si>
    <t xml:space="preserve">26052019</t>
  </si>
  <si>
    <t xml:space="preserve">27052019</t>
  </si>
  <si>
    <t xml:space="preserve">120,6</t>
  </si>
  <si>
    <t xml:space="preserve">28052019</t>
  </si>
  <si>
    <t xml:space="preserve">29052019</t>
  </si>
  <si>
    <t xml:space="preserve">30052019</t>
  </si>
  <si>
    <t xml:space="preserve">31052019</t>
  </si>
  <si>
    <t xml:space="preserve">9,4</t>
  </si>
  <si>
    <t xml:space="preserve">03062019</t>
  </si>
  <si>
    <t xml:space="preserve">63,8</t>
  </si>
  <si>
    <t xml:space="preserve">04062019</t>
  </si>
  <si>
    <t xml:space="preserve">05062019</t>
  </si>
  <si>
    <t xml:space="preserve">06062019</t>
  </si>
  <si>
    <t xml:space="preserve">07062019</t>
  </si>
  <si>
    <t xml:space="preserve">08062019</t>
  </si>
  <si>
    <t xml:space="preserve">09062019</t>
  </si>
  <si>
    <t xml:space="preserve">10062019</t>
  </si>
  <si>
    <t xml:space="preserve">11062019</t>
  </si>
  <si>
    <t xml:space="preserve">12062019</t>
  </si>
  <si>
    <t xml:space="preserve">13062019</t>
  </si>
  <si>
    <t xml:space="preserve">16062019</t>
  </si>
  <si>
    <t xml:space="preserve">17062019</t>
  </si>
  <si>
    <t xml:space="preserve">18062019</t>
  </si>
  <si>
    <t xml:space="preserve">19062019</t>
  </si>
  <si>
    <t xml:space="preserve">24062019</t>
  </si>
  <si>
    <t xml:space="preserve">25062019</t>
  </si>
  <si>
    <t xml:space="preserve">26062019</t>
  </si>
  <si>
    <t xml:space="preserve">27062019</t>
  </si>
  <si>
    <t xml:space="preserve">28062019</t>
  </si>
  <si>
    <t xml:space="preserve">01072019</t>
  </si>
  <si>
    <t xml:space="preserve">02072019</t>
  </si>
  <si>
    <t xml:space="preserve">03072019</t>
  </si>
  <si>
    <t xml:space="preserve">04072019</t>
  </si>
  <si>
    <t xml:space="preserve">05072019</t>
  </si>
  <si>
    <t xml:space="preserve">07072019</t>
  </si>
  <si>
    <t xml:space="preserve">08072019</t>
  </si>
  <si>
    <t xml:space="preserve">09072019</t>
  </si>
  <si>
    <t xml:space="preserve">10072019</t>
  </si>
  <si>
    <t xml:space="preserve">11072019</t>
  </si>
  <si>
    <t xml:space="preserve">12072019</t>
  </si>
  <si>
    <t xml:space="preserve">14072019</t>
  </si>
  <si>
    <t xml:space="preserve">15072019</t>
  </si>
  <si>
    <t xml:space="preserve">146,7</t>
  </si>
  <si>
    <t xml:space="preserve">16072019</t>
  </si>
  <si>
    <t xml:space="preserve">17072019</t>
  </si>
  <si>
    <t xml:space="preserve">18072019</t>
  </si>
  <si>
    <t xml:space="preserve">138,5</t>
  </si>
  <si>
    <t xml:space="preserve">19072019</t>
  </si>
  <si>
    <t xml:space="preserve">20072019</t>
  </si>
  <si>
    <t xml:space="preserve">22072019</t>
  </si>
  <si>
    <t xml:space="preserve">23072019</t>
  </si>
  <si>
    <t xml:space="preserve">24072019</t>
  </si>
  <si>
    <t xml:space="preserve">26072019</t>
  </si>
  <si>
    <t xml:space="preserve">25072019</t>
  </si>
  <si>
    <t xml:space="preserve">28072019</t>
  </si>
  <si>
    <t xml:space="preserve">29072019</t>
  </si>
  <si>
    <t xml:space="preserve">30072019</t>
  </si>
  <si>
    <t xml:space="preserve">31072019</t>
  </si>
  <si>
    <t xml:space="preserve">02082019</t>
  </si>
  <si>
    <t xml:space="preserve">10.216,7</t>
  </si>
  <si>
    <t xml:space="preserve">01082019</t>
  </si>
  <si>
    <t xml:space="preserve">05082019</t>
  </si>
  <si>
    <t xml:space="preserve">06082019</t>
  </si>
  <si>
    <t xml:space="preserve">07082019</t>
  </si>
  <si>
    <t xml:space="preserve">08082019</t>
  </si>
  <si>
    <t xml:space="preserve">09082019</t>
  </si>
  <si>
    <t xml:space="preserve">12082019</t>
  </si>
  <si>
    <t xml:space="preserve">13082019</t>
  </si>
  <si>
    <t xml:space="preserve">111,1</t>
  </si>
  <si>
    <t xml:space="preserve">14082019</t>
  </si>
  <si>
    <t xml:space="preserve">15082019</t>
  </si>
  <si>
    <t xml:space="preserve">363,6</t>
  </si>
  <si>
    <t xml:space="preserve">16082019</t>
  </si>
  <si>
    <t xml:space="preserve">17082019</t>
  </si>
  <si>
    <t xml:space="preserve">18082019</t>
  </si>
  <si>
    <t xml:space="preserve">19082019</t>
  </si>
  <si>
    <t xml:space="preserve">78,7</t>
  </si>
  <si>
    <t xml:space="preserve">20082019</t>
  </si>
  <si>
    <t xml:space="preserve">21082019</t>
  </si>
  <si>
    <t xml:space="preserve">22082019</t>
  </si>
  <si>
    <t xml:space="preserve">23082019</t>
  </si>
  <si>
    <t xml:space="preserve">24082019</t>
  </si>
  <si>
    <t xml:space="preserve">26082019</t>
  </si>
  <si>
    <t xml:space="preserve">27082019</t>
  </si>
  <si>
    <t xml:space="preserve">28082019</t>
  </si>
  <si>
    <t xml:space="preserve">107,7</t>
  </si>
  <si>
    <t xml:space="preserve">29082019</t>
  </si>
  <si>
    <t xml:space="preserve">30082019</t>
  </si>
  <si>
    <t xml:space="preserve">49,4</t>
  </si>
  <si>
    <t xml:space="preserve">01092019</t>
  </si>
  <si>
    <t xml:space="preserve">02092019</t>
  </si>
  <si>
    <t xml:space="preserve">03092019</t>
  </si>
  <si>
    <t xml:space="preserve">04092019</t>
  </si>
  <si>
    <t xml:space="preserve">05092019</t>
  </si>
  <si>
    <t xml:space="preserve">109,1</t>
  </si>
  <si>
    <t xml:space="preserve">06092019</t>
  </si>
  <si>
    <t xml:space="preserve">09092019</t>
  </si>
  <si>
    <t xml:space="preserve">10092019</t>
  </si>
  <si>
    <t xml:space="preserve">11092019</t>
  </si>
  <si>
    <t xml:space="preserve">12092019</t>
  </si>
  <si>
    <t xml:space="preserve">76,6</t>
  </si>
  <si>
    <t xml:space="preserve">13092019</t>
  </si>
  <si>
    <t xml:space="preserve">15092019</t>
  </si>
  <si>
    <t xml:space="preserve">16092019</t>
  </si>
  <si>
    <t xml:space="preserve">17092019</t>
  </si>
  <si>
    <t xml:space="preserve">18092019</t>
  </si>
  <si>
    <t xml:space="preserve">19092019</t>
  </si>
  <si>
    <t xml:space="preserve">20092019</t>
  </si>
  <si>
    <t xml:space="preserve">22092019</t>
  </si>
  <si>
    <t xml:space="preserve">23092019</t>
  </si>
  <si>
    <t xml:space="preserve">24092019</t>
  </si>
  <si>
    <t xml:space="preserve">25092019</t>
  </si>
  <si>
    <t xml:space="preserve">26092019</t>
  </si>
  <si>
    <t xml:space="preserve">27092019</t>
  </si>
  <si>
    <t xml:space="preserve">29092019</t>
  </si>
  <si>
    <t xml:space="preserve">30092019</t>
  </si>
  <si>
    <t xml:space="preserve">01010201</t>
  </si>
  <si>
    <t xml:space="preserve">01/01/0201</t>
  </si>
  <si>
    <t xml:space="preserve">01100201</t>
  </si>
  <si>
    <t xml:space="preserve">10/01/0201</t>
  </si>
  <si>
    <t xml:space="preserve">02102019</t>
  </si>
  <si>
    <t xml:space="preserve">01102019</t>
  </si>
  <si>
    <t xml:space="preserve">03102019</t>
  </si>
  <si>
    <t xml:space="preserve">04102019</t>
  </si>
  <si>
    <t xml:space="preserve">05102019</t>
  </si>
  <si>
    <t xml:space="preserve">07102019</t>
  </si>
  <si>
    <t xml:space="preserve">08102019</t>
  </si>
  <si>
    <t xml:space="preserve">09102019</t>
  </si>
  <si>
    <t xml:space="preserve">10102019</t>
  </si>
  <si>
    <t xml:space="preserve">11102019</t>
  </si>
  <si>
    <t xml:space="preserve">13102019</t>
  </si>
  <si>
    <t xml:space="preserve">14102019</t>
  </si>
  <si>
    <t xml:space="preserve">15102019</t>
  </si>
  <si>
    <t xml:space="preserve">16102019</t>
  </si>
  <si>
    <t xml:space="preserve">17102019</t>
  </si>
  <si>
    <t xml:space="preserve">18102019</t>
  </si>
  <si>
    <t xml:space="preserve">21102019</t>
  </si>
  <si>
    <t xml:space="preserve">22102019</t>
  </si>
  <si>
    <t xml:space="preserve">23102019</t>
  </si>
  <si>
    <t xml:space="preserve">24102019</t>
  </si>
  <si>
    <t xml:space="preserve">25102019</t>
  </si>
  <si>
    <t xml:space="preserve">27102019</t>
  </si>
  <si>
    <t xml:space="preserve">28102019</t>
  </si>
  <si>
    <t xml:space="preserve">29102019</t>
  </si>
  <si>
    <t xml:space="preserve">30102019</t>
  </si>
  <si>
    <t xml:space="preserve">31102019</t>
  </si>
  <si>
    <t xml:space="preserve">01112019</t>
  </si>
  <si>
    <t xml:space="preserve">04112019</t>
  </si>
  <si>
    <t xml:space="preserve">51,2</t>
  </si>
  <si>
    <t xml:space="preserve">05112019</t>
  </si>
  <si>
    <t xml:space="preserve">06112019</t>
  </si>
  <si>
    <t xml:space="preserve">07112019</t>
  </si>
  <si>
    <t xml:space="preserve">08112019</t>
  </si>
  <si>
    <t xml:space="preserve">10112019</t>
  </si>
  <si>
    <t xml:space="preserve">11112019</t>
  </si>
  <si>
    <t xml:space="preserve">12112019</t>
  </si>
  <si>
    <t xml:space="preserve">13112019</t>
  </si>
  <si>
    <t xml:space="preserve">110,0</t>
  </si>
  <si>
    <t xml:space="preserve">28092019</t>
  </si>
  <si>
    <t xml:space="preserve">14112019</t>
  </si>
  <si>
    <t xml:space="preserve">19112019</t>
  </si>
  <si>
    <t xml:space="preserve">20112019</t>
  </si>
  <si>
    <t xml:space="preserve">21112019</t>
  </si>
  <si>
    <t xml:space="preserve">22112019</t>
  </si>
  <si>
    <t xml:space="preserve">24112019</t>
  </si>
  <si>
    <t xml:space="preserve">25112019</t>
  </si>
  <si>
    <t xml:space="preserve">26112019</t>
  </si>
  <si>
    <t xml:space="preserve">27112019</t>
  </si>
  <si>
    <t xml:space="preserve">28112019</t>
  </si>
  <si>
    <t xml:space="preserve">29112019</t>
  </si>
  <si>
    <t xml:space="preserve">02122019</t>
  </si>
  <si>
    <t xml:space="preserve">03122019</t>
  </si>
  <si>
    <t xml:space="preserve">04122019</t>
  </si>
  <si>
    <t xml:space="preserve">05122019</t>
  </si>
  <si>
    <t xml:space="preserve">06122019</t>
  </si>
  <si>
    <t xml:space="preserve">08122019</t>
  </si>
  <si>
    <t xml:space="preserve">09122019</t>
  </si>
  <si>
    <t xml:space="preserve">10122019</t>
  </si>
  <si>
    <t xml:space="preserve">11122019</t>
  </si>
  <si>
    <t xml:space="preserve">12122019</t>
  </si>
  <si>
    <t xml:space="preserve">13122019</t>
  </si>
  <si>
    <t xml:space="preserve">14122019</t>
  </si>
  <si>
    <t xml:space="preserve">16122019</t>
  </si>
  <si>
    <t xml:space="preserve">17122019</t>
  </si>
  <si>
    <t xml:space="preserve">18122019</t>
  </si>
  <si>
    <t xml:space="preserve">19122019</t>
  </si>
  <si>
    <t xml:space="preserve">16012020</t>
  </si>
  <si>
    <t xml:space="preserve">66,2</t>
  </si>
  <si>
    <t xml:space="preserve">17012020</t>
  </si>
  <si>
    <t xml:space="preserve">20012020</t>
  </si>
  <si>
    <t xml:space="preserve">27,5</t>
  </si>
  <si>
    <t xml:space="preserve">19012020</t>
  </si>
  <si>
    <t xml:space="preserve">55,7</t>
  </si>
  <si>
    <t xml:space="preserve">15012020</t>
  </si>
  <si>
    <t xml:space="preserve">30,1</t>
  </si>
  <si>
    <t xml:space="preserve">18012020</t>
  </si>
  <si>
    <t xml:space="preserve">21012020</t>
  </si>
  <si>
    <t xml:space="preserve">56,4</t>
  </si>
  <si>
    <t xml:space="preserve">131,3</t>
  </si>
  <si>
    <t xml:space="preserve">22012020</t>
  </si>
  <si>
    <t xml:space="preserve">23012020</t>
  </si>
  <si>
    <t xml:space="preserve">71,7</t>
  </si>
  <si>
    <t xml:space="preserve">24012020</t>
  </si>
  <si>
    <t xml:space="preserve">05092018</t>
  </si>
  <si>
    <t xml:space="preserve">18082018</t>
  </si>
  <si>
    <t xml:space="preserve">27012020</t>
  </si>
  <si>
    <t xml:space="preserve">28012020</t>
  </si>
  <si>
    <t xml:space="preserve">29012020</t>
  </si>
  <si>
    <t xml:space="preserve">30012020</t>
  </si>
  <si>
    <t xml:space="preserve">31012020</t>
  </si>
  <si>
    <t xml:space="preserve">70,2</t>
  </si>
  <si>
    <t xml:space="preserve">02022020</t>
  </si>
  <si>
    <t xml:space="preserve">03022020</t>
  </si>
  <si>
    <t xml:space="preserve">04022020</t>
  </si>
  <si>
    <t xml:space="preserve">05022020</t>
  </si>
  <si>
    <t xml:space="preserve">46,9</t>
  </si>
  <si>
    <t xml:space="preserve">06022020</t>
  </si>
  <si>
    <t xml:space="preserve">79,6</t>
  </si>
  <si>
    <t xml:space="preserve">07022020</t>
  </si>
  <si>
    <t xml:space="preserve">122,2</t>
  </si>
  <si>
    <t xml:space="preserve">08022020</t>
  </si>
  <si>
    <t xml:space="preserve">09022020</t>
  </si>
  <si>
    <t xml:space="preserve">10022020</t>
  </si>
  <si>
    <t xml:space="preserve">114,3</t>
  </si>
  <si>
    <t xml:space="preserve">11022020</t>
  </si>
  <si>
    <t xml:space="preserve">65,8</t>
  </si>
  <si>
    <t xml:space="preserve">12022020</t>
  </si>
  <si>
    <t xml:space="preserve">13022020</t>
  </si>
  <si>
    <t xml:space="preserve">109,5</t>
  </si>
  <si>
    <t xml:space="preserve">14022020</t>
  </si>
  <si>
    <t xml:space="preserve">119,0</t>
  </si>
  <si>
    <t xml:space="preserve">15022020</t>
  </si>
  <si>
    <t xml:space="preserve">64,2</t>
  </si>
  <si>
    <t xml:space="preserve">16022020</t>
  </si>
  <si>
    <t xml:space="preserve">17022020</t>
  </si>
  <si>
    <t xml:space="preserve">68,2</t>
  </si>
  <si>
    <t xml:space="preserve">23,1</t>
  </si>
  <si>
    <t xml:space="preserve">18022020</t>
  </si>
  <si>
    <t xml:space="preserve">19022020</t>
  </si>
  <si>
    <t xml:space="preserve">128,6</t>
  </si>
  <si>
    <t xml:space="preserve">28022020</t>
  </si>
  <si>
    <t xml:space="preserve">161,9</t>
  </si>
  <si>
    <t xml:space="preserve">26022020</t>
  </si>
  <si>
    <t xml:space="preserve">138,1</t>
  </si>
  <si>
    <t xml:space="preserve">20022020</t>
  </si>
  <si>
    <t xml:space="preserve">21022020</t>
  </si>
  <si>
    <t xml:space="preserve">147,6</t>
  </si>
  <si>
    <t xml:space="preserve">25022020</t>
  </si>
  <si>
    <t xml:space="preserve">27022020</t>
  </si>
  <si>
    <t xml:space="preserve">29022020</t>
  </si>
  <si>
    <t xml:space="preserve">01032020</t>
  </si>
  <si>
    <t xml:space="preserve">02032020</t>
  </si>
  <si>
    <t xml:space="preserve">03032020</t>
  </si>
  <si>
    <t xml:space="preserve">123,8</t>
  </si>
  <si>
    <t xml:space="preserve">04032020</t>
  </si>
  <si>
    <t xml:space="preserve">84,3</t>
  </si>
  <si>
    <t xml:space="preserve">05032020</t>
  </si>
  <si>
    <t xml:space="preserve">06032020</t>
  </si>
  <si>
    <t xml:space="preserve">133,3</t>
  </si>
  <si>
    <t xml:space="preserve">07032020</t>
  </si>
  <si>
    <t xml:space="preserve">09032020</t>
  </si>
  <si>
    <t xml:space="preserve">10032020</t>
  </si>
  <si>
    <t xml:space="preserve">120,7</t>
  </si>
  <si>
    <t xml:space="preserve">11032020</t>
  </si>
  <si>
    <t xml:space="preserve">152,4</t>
  </si>
  <si>
    <t xml:space="preserve">12032020</t>
  </si>
  <si>
    <t xml:space="preserve">101,0</t>
  </si>
  <si>
    <t xml:space="preserve">13032020</t>
  </si>
  <si>
    <t xml:space="preserve">14032020</t>
  </si>
  <si>
    <t xml:space="preserve">15032020</t>
  </si>
  <si>
    <t xml:space="preserve">29,6</t>
  </si>
  <si>
    <t xml:space="preserve">15032021</t>
  </si>
  <si>
    <t xml:space="preserve">25012021</t>
  </si>
  <si>
    <t xml:space="preserve">02022021</t>
  </si>
  <si>
    <t xml:space="preserve">19022021</t>
  </si>
  <si>
    <t xml:space="preserve">26022021</t>
  </si>
  <si>
    <t xml:space="preserve">08032021</t>
  </si>
  <si>
    <t xml:space="preserve">16032021</t>
  </si>
  <si>
    <t xml:space="preserve">Usina</t>
  </si>
  <si>
    <t xml:space="preserve">Departamento</t>
  </si>
  <si>
    <t xml:space="preserve">Id_Area</t>
  </si>
  <si>
    <t xml:space="preserve">Id_Turno</t>
  </si>
  <si>
    <t xml:space="preserve">Equipamento</t>
  </si>
  <si>
    <t xml:space="preserve">Local</t>
  </si>
  <si>
    <t xml:space="preserve">Hora da Pane</t>
  </si>
  <si>
    <t xml:space="preserve">Hora Inicio do chamado</t>
  </si>
  <si>
    <t xml:space="preserve">Veic. Perdidos</t>
  </si>
  <si>
    <t xml:space="preserve">T. Equip. Parado</t>
  </si>
  <si>
    <t xml:space="preserve">Sintoma</t>
  </si>
  <si>
    <t xml:space="preserve">Causa</t>
  </si>
  <si>
    <t xml:space="preserve">Causa Raíz</t>
  </si>
  <si>
    <t xml:space="preserve">Remédio</t>
  </si>
  <si>
    <t xml:space="preserve">MBR</t>
  </si>
  <si>
    <t xml:space="preserve">CVP</t>
  </si>
  <si>
    <t xml:space="preserve">ESTAMPARIA</t>
  </si>
  <si>
    <t xml:space="preserve">Prensa MP1</t>
  </si>
  <si>
    <t xml:space="preserve">Prensa MP</t>
  </si>
  <si>
    <t xml:space="preserve">Desligamento do acionamento da prensa e falha de comunicação da rede profibus</t>
  </si>
  <si>
    <t xml:space="preserve">Desarme do drive de controle da prensa</t>
  </si>
  <si>
    <t xml:space="preserve">Módulo de comunicação profibus com defeito</t>
  </si>
  <si>
    <t xml:space="preserve">Efetuada a troca do módulo de comunicação e testada a movimentação da prensa</t>
  </si>
  <si>
    <t xml:space="preserve">CARROCERIA</t>
  </si>
  <si>
    <t xml:space="preserve">Carroceria CVP</t>
  </si>
  <si>
    <t xml:space="preserve">Mesa A0</t>
  </si>
  <si>
    <t xml:space="preserve">ASL 10</t>
  </si>
  <si>
    <t xml:space="preserve">Falha de transferencia entre mesas</t>
  </si>
  <si>
    <t xml:space="preserve">Perda do sinal de segurança durante o deslocamento manual do skid</t>
  </si>
  <si>
    <t xml:space="preserve">Intrusão na barreira entre A0 e B0</t>
  </si>
  <si>
    <t xml:space="preserve">Retornado skid manualmente na mesa A0 e reset da barreira</t>
  </si>
  <si>
    <t xml:space="preserve">CVU</t>
  </si>
  <si>
    <t xml:space="preserve">PINTURA</t>
  </si>
  <si>
    <t xml:space="preserve">Robô 2</t>
  </si>
  <si>
    <t xml:space="preserve">Base</t>
  </si>
  <si>
    <t xml:space="preserve">Robô não carrega rotina main</t>
  </si>
  <si>
    <t xml:space="preserve">Robô 2 sem comunicação com a Sames </t>
  </si>
  <si>
    <t xml:space="preserve">Travamento do bit de vida após comando operacional de parada dos robôs</t>
  </si>
  <si>
    <t xml:space="preserve">Realizado procedimento de bypass para testes e retornado o ciclo operacional normal</t>
  </si>
  <si>
    <t xml:space="preserve">CMO</t>
  </si>
  <si>
    <t xml:space="preserve">USINAGEM</t>
  </si>
  <si>
    <t xml:space="preserve">Posto XX Robox</t>
  </si>
  <si>
    <t xml:space="preserve">Cabeçote CU11</t>
  </si>
  <si>
    <t xml:space="preserve">Parada geral robo no momento da verificação parafusamento</t>
  </si>
  <si>
    <t xml:space="preserve">Falha na verificação do parafusamento</t>
  </si>
  <si>
    <t xml:space="preserve">Problema no cabo</t>
  </si>
  <si>
    <t xml:space="preserve">Substituição do cabo do sensor da ferramenta do robo até o distribuidor da chabata</t>
  </si>
  <si>
    <t xml:space="preserve">Mesa translação TB01</t>
  </si>
  <si>
    <t xml:space="preserve">Byton</t>
  </si>
  <si>
    <t xml:space="preserve">Falha detecção radar</t>
  </si>
  <si>
    <t xml:space="preserve">Erro no leitor sick</t>
  </si>
  <si>
    <t xml:space="preserve">Problema no conector de alimentação do leitor</t>
  </si>
  <si>
    <t xml:space="preserve">Substituição do sick e substituição do conector de alimentação</t>
  </si>
  <si>
    <t xml:space="preserve">OP 100.3</t>
  </si>
  <si>
    <t xml:space="preserve">Cabeçote Bloco CC01</t>
  </si>
  <si>
    <t xml:space="preserve">Falha geral comunicação drives</t>
  </si>
  <si>
    <t xml:space="preserve">Problemas eixos</t>
  </si>
  <si>
    <t xml:space="preserve">Drives e reguladores com problema</t>
  </si>
  <si>
    <t xml:space="preserve">Substituição de duas reguladoras e uma unidade de potencia</t>
  </si>
  <si>
    <t xml:space="preserve">PC MOP</t>
  </si>
  <si>
    <t xml:space="preserve">GSE</t>
  </si>
  <si>
    <t xml:space="preserve">Linha em projeto RGE</t>
  </si>
  <si>
    <t xml:space="preserve">Problemas comunicação PC MOP com PLC's da linha</t>
  </si>
  <si>
    <t xml:space="preserve">instabilidade na comunicação</t>
  </si>
  <si>
    <t xml:space="preserve">Problema físico cabo Ethernet entre PC do MOP e painel do PLC do destacker</t>
  </si>
  <si>
    <t xml:space="preserve">Realizado o RESET dos controladores e reiniciado o software</t>
  </si>
  <si>
    <t xml:space="preserve">Prensa P21</t>
  </si>
  <si>
    <t xml:space="preserve">Problemas comunicação PC MOP com PLC da prensa P21</t>
  </si>
  <si>
    <t xml:space="preserve">Perda de comunicação PC MOP com a P21</t>
  </si>
  <si>
    <t xml:space="preserve">Travou o programa de leitura</t>
  </si>
  <si>
    <t xml:space="preserve">Realizado o reset dos controladores e reiniciado o software</t>
  </si>
  <si>
    <t xml:space="preserve">MONTAGEM</t>
  </si>
  <si>
    <t xml:space="preserve">Robôs FANUC sistema de visão</t>
  </si>
  <si>
    <t xml:space="preserve">SC5</t>
  </si>
  <si>
    <t xml:space="preserve">Falha na leitura do sistema de visão</t>
  </si>
  <si>
    <t xml:space="preserve">Erro no controlador e no software do sistema</t>
  </si>
  <si>
    <t xml:space="preserve">Mesa 16/18</t>
  </si>
  <si>
    <t xml:space="preserve">Linha final</t>
  </si>
  <si>
    <t xml:space="preserve">20min</t>
  </si>
  <si>
    <t xml:space="preserve">50min</t>
  </si>
  <si>
    <t xml:space="preserve">Não realizava o descarregamento da mesa</t>
  </si>
  <si>
    <t xml:space="preserve">Falha na transferencia entre mesas</t>
  </si>
  <si>
    <t xml:space="preserve">Demora devido ao software estar bugado, não realizava as buscas globalmente e com isso dificultou achar as memórias que eram necessárias setar</t>
  </si>
  <si>
    <t xml:space="preserve">Realizado o set das memórias para realizar autorização de transferência</t>
  </si>
  <si>
    <t xml:space="preserve">33min</t>
  </si>
  <si>
    <t xml:space="preserve">Erro (Comunicação Mcob e Entradas e Saídas e Backplane open) durante aplicação</t>
  </si>
  <si>
    <t xml:space="preserve">Falha na alimentação para os dispositivos</t>
  </si>
  <si>
    <t xml:space="preserve">Fonte do robô avariada</t>
  </si>
  <si>
    <t xml:space="preserve">Substituição da fonte reinicialização warm do robo para reestabelecimento (simulação a vazio e retorno do robo a aplicação)</t>
  </si>
  <si>
    <t xml:space="preserve">PC Destacker</t>
  </si>
  <si>
    <t xml:space="preserve"> Desarme geral da Zona 1</t>
  </si>
  <si>
    <t xml:space="preserve">Falha na comunicação PC Destacker com PLCs Destacker e prensas</t>
  </si>
  <si>
    <t xml:space="preserve">Travamento da placa de rede nível 1 do PC</t>
  </si>
  <si>
    <t xml:space="preserve">Braço Romer</t>
  </si>
  <si>
    <t xml:space="preserve">Dobradora de tubos</t>
  </si>
  <si>
    <t xml:space="preserve">Sem perdas</t>
  </si>
  <si>
    <t xml:space="preserve">PC travando</t>
  </si>
  <si>
    <t xml:space="preserve">Windows corrompido</t>
  </si>
  <si>
    <t xml:space="preserve">Diagnóstico e substituição do freio do motor</t>
  </si>
  <si>
    <t xml:space="preserve">Elevador de jdip zona 12</t>
  </si>
  <si>
    <t xml:space="preserve">TTS</t>
  </si>
  <si>
    <t xml:space="preserve">Desarme disjuntor proteção elevador de Jdip zona 12</t>
  </si>
  <si>
    <t xml:space="preserve">Problema no freio</t>
  </si>
  <si>
    <t xml:space="preserve">Freio do motor em curto</t>
  </si>
  <si>
    <t xml:space="preserve">P10</t>
  </si>
  <si>
    <t xml:space="preserve">TGSE1</t>
  </si>
  <si>
    <t xml:space="preserve">Não realizava o fechamento de segurança prensa P10</t>
  </si>
  <si>
    <t xml:space="preserve">Defeito no controlador PILZ</t>
  </si>
  <si>
    <t xml:space="preserve">Falha no módulo</t>
  </si>
  <si>
    <t xml:space="preserve">Tentativa de adaptação e substituição por controlador PILZ retirado da GSE</t>
  </si>
  <si>
    <t xml:space="preserve">Não realizava o fechamento de segurança da linha</t>
  </si>
  <si>
    <t xml:space="preserve">Substituição do controlador PILZ por outro reserva</t>
  </si>
  <si>
    <t xml:space="preserve">PLC</t>
  </si>
  <si>
    <t xml:space="preserve">Linha capo cofre SPHHA</t>
  </si>
  <si>
    <t xml:space="preserve">75min</t>
  </si>
  <si>
    <t xml:space="preserve">Falha de comunicação devicenet no nó 1</t>
  </si>
  <si>
    <t xml:space="preserve">Falha na comunicação do módulo ASB</t>
  </si>
  <si>
    <t xml:space="preserve">Erro do módulo</t>
  </si>
  <si>
    <t xml:space="preserve">Realizado o reset do módulo e desligado o disjuntor do CLP, para que pudesse subir e buscar os dispositivos na rede</t>
  </si>
  <si>
    <t xml:space="preserve">PEV Estação 181 Rlin</t>
  </si>
  <si>
    <t xml:space="preserve">ME5</t>
  </si>
  <si>
    <t xml:space="preserve">Não é possível fazer teste de retoque em linha</t>
  </si>
  <si>
    <t xml:space="preserve">Problema PC Retoque em linha estação 181</t>
  </si>
  <si>
    <t xml:space="preserve">Windows com problema</t>
  </si>
  <si>
    <t xml:space="preserve">Reiniciado algumas vezes e colocação em operação mesmo HD as 8:00, descarregado imagem e tentativa substituição no horário do almoço</t>
  </si>
  <si>
    <t xml:space="preserve">PEV maleta MPS 136</t>
  </si>
  <si>
    <t xml:space="preserve">Retoque</t>
  </si>
  <si>
    <t xml:space="preserve">Maleta só mostrando informações do teste do modelo BBB</t>
  </si>
  <si>
    <t xml:space="preserve">Em análise junto com a engenharia</t>
  </si>
  <si>
    <t xml:space="preserve">OP 290.1</t>
  </si>
  <si>
    <t xml:space="preserve">Bloco CC01</t>
  </si>
  <si>
    <t xml:space="preserve">95min</t>
  </si>
  <si>
    <t xml:space="preserve">Falha no levantamento do palete de bloco</t>
  </si>
  <si>
    <t xml:space="preserve">Desarme disjntor motor proteção motor elevador do palete de bloco</t>
  </si>
  <si>
    <t xml:space="preserve">Problema no retificador do freio do motor</t>
  </si>
  <si>
    <t xml:space="preserve">Diagnóstico e substituição do retificador do freio do motor</t>
  </si>
  <si>
    <t xml:space="preserve">Estamparia</t>
  </si>
  <si>
    <t xml:space="preserve">1 Turno</t>
  </si>
  <si>
    <t xml:space="preserve"> Mesa entrada de bobinas</t>
  </si>
  <si>
    <t xml:space="preserve"> Linha PAL</t>
  </si>
  <si>
    <t xml:space="preserve"> 10:57</t>
  </si>
  <si>
    <t xml:space="preserve"> 11:20</t>
  </si>
  <si>
    <t xml:space="preserve"> Nao informado</t>
  </si>
  <si>
    <t xml:space="preserve"> 83 min</t>
  </si>
  <si>
    <t xml:space="preserve"> Falha de seguranca mesa entrada bobinas</t>
  </si>
  <si>
    <t xml:space="preserve"> Intrusao durante movimentacao desarme da emergencia</t>
  </si>
  <si>
    <t xml:space="preserve"> Perda de pressao do cilindro, vazamento na valvula de retencao</t>
  </si>
  <si>
    <t xml:space="preserve"> Movimentacoes em manual (plataforma e cilindros de portao) para rearme da seguranca e abertura e fechamento das valvulas de entrada de ar da prensa para restabelecimento de falha de pressao minima. (Ficaram Duas conexoes quebradas necessaria substituicao para seguimento do ciclo de carregamento da bobina)</t>
  </si>
  <si>
    <t xml:space="preserve">2 Turno</t>
  </si>
  <si>
    <t xml:space="preserve"> 14:00</t>
  </si>
  <si>
    <t xml:space="preserve"> 15:00</t>
  </si>
  <si>
    <t xml:space="preserve"> 131 min</t>
  </si>
  <si>
    <t xml:space="preserve"> Mesa nao aceitava posicao levantada</t>
  </si>
  <si>
    <t xml:space="preserve"> Falha no posicionamento dos cames da mesa, vazamento de ar na retencao do cilindro</t>
  </si>
  <si>
    <t xml:space="preserve"> Realizado ajustes nas posicoes do came, substituodo valvula de retencao do cilindro de fechamento e no 3 Turno sera substituodo uma valvula de acionamento de uma das garras por estar dando passagem de ar.</t>
  </si>
  <si>
    <t xml:space="preserve">Pintura CVU</t>
  </si>
  <si>
    <t xml:space="preserve"> Estagio 5</t>
  </si>
  <si>
    <t xml:space="preserve"> TTS</t>
  </si>
  <si>
    <t xml:space="preserve"> 7:20</t>
  </si>
  <si>
    <t xml:space="preserve"> 7:27</t>
  </si>
  <si>
    <t xml:space="preserve"> 4 carros no TTS</t>
  </si>
  <si>
    <t xml:space="preserve"> 45 min</t>
  </si>
  <si>
    <t xml:space="preserve"> Queda Master L3 no Banho Estagio 5</t>
  </si>
  <si>
    <t xml:space="preserve"> Skid desindexou parte dianteira do Elevador de JDIP</t>
  </si>
  <si>
    <t xml:space="preserve"> Amarrado carroceria e movimentado Elevadores de JDIP e Navette para reposicionamento da carroceria. Perda da carroceria sucata, passado a vazio para retirada do fluxo</t>
  </si>
  <si>
    <t xml:space="preserve"> Robo E0</t>
  </si>
  <si>
    <t xml:space="preserve"> ACL3</t>
  </si>
  <si>
    <t xml:space="preserve"> Sab 29/01</t>
  </si>
  <si>
    <t xml:space="preserve"> 01/02</t>
  </si>
  <si>
    <t xml:space="preserve"> Sem perdas</t>
  </si>
  <si>
    <t xml:space="preserve"> Sem parada suporte analise</t>
  </si>
  <si>
    <t xml:space="preserve"> Erro Servoleg Eixo 2 do Robo</t>
  </si>
  <si>
    <t xml:space="preserve"> Perda de sincronismo eixo 2 (Problema na fixacao do Robo)</t>
  </si>
  <si>
    <t xml:space="preserve"> Parafusos frouxos e 2 chumbadores da base fixados na junta de dilatacao de uniao do piso</t>
  </si>
  <si>
    <t xml:space="preserve"> Reaperto Geral dos parafusos dos chumbadores da base e verificacao para colocacao de grapa nos 2 chumbadores que estao na junta de dilatacao</t>
  </si>
  <si>
    <t xml:space="preserve">Montagem CVP</t>
  </si>
  <si>
    <t xml:space="preserve"> MOP TMD</t>
  </si>
  <si>
    <t xml:space="preserve"> SC5</t>
  </si>
  <si>
    <t xml:space="preserve"> Faltam informacoes do PC SMPLOC no SMP99</t>
  </si>
  <si>
    <t xml:space="preserve"> SMPLOC travado no estado aguarda autorizacao</t>
  </si>
  <si>
    <t xml:space="preserve"> Em diagnostico</t>
  </si>
  <si>
    <t xml:space="preserve"> Tentativa de reparo mas SMPLOC fica em Sincronizacao</t>
  </si>
  <si>
    <t xml:space="preserve"> Problema de diferenca de lingua entre Base Local e Central</t>
  </si>
  <si>
    <t xml:space="preserve"> Reinstalacao SMPLOC criacao de Base limpa e desc conf da Central</t>
  </si>
  <si>
    <t xml:space="preserve">CIA</t>
  </si>
  <si>
    <t xml:space="preserve"> DEB 1</t>
  </si>
  <si>
    <t xml:space="preserve"> Injecao</t>
  </si>
  <si>
    <t xml:space="preserve"> xxx</t>
  </si>
  <si>
    <t xml:space="preserve"> Falha de Toll Lock na Deburring 1, falha no Spindle</t>
  </si>
  <si>
    <t xml:space="preserve"> Falha no fechamento da ferramenta</t>
  </si>
  <si>
    <t xml:space="preserve"> Em analise</t>
  </si>
  <si>
    <t xml:space="preserve"> Realizado modificacao na comunicacao entre PLC e Spindle, modificado logica</t>
  </si>
  <si>
    <t xml:space="preserve">Carroceria CVU</t>
  </si>
  <si>
    <t xml:space="preserve"> Robo M3</t>
  </si>
  <si>
    <t xml:space="preserve"> CS 130</t>
  </si>
  <si>
    <t xml:space="preserve"> 16:20</t>
  </si>
  <si>
    <t xml:space="preserve"> Falha na solda, aquecimento no porta eletrodo</t>
  </si>
  <si>
    <t xml:space="preserve"> Problema na mangueira de refrigeracao da pinca e baixa pressao de agua</t>
  </si>
  <si>
    <t xml:space="preserve"> Mangueira colada sem fluxo de agua, tambem danificou o cabo unipolar da solda</t>
  </si>
  <si>
    <t xml:space="preserve"> Substituodo mangueira de refrigeracao e tambem o cabo unipolar</t>
  </si>
  <si>
    <t xml:space="preserve">CMO Usinagem</t>
  </si>
  <si>
    <t xml:space="preserve"> OP210 Portal</t>
  </si>
  <si>
    <t xml:space="preserve"> Virabrequim VI08</t>
  </si>
  <si>
    <t xml:space="preserve"> 6:00</t>
  </si>
  <si>
    <t xml:space="preserve"> 6:56</t>
  </si>
  <si>
    <t xml:space="preserve"> Falha na ativacao do comando</t>
  </si>
  <si>
    <t xml:space="preserve"> Falha na rotina de verificacao de freio</t>
  </si>
  <si>
    <t xml:space="preserve"> Verificacao parte eletrica e desativacao momentanea da verificacao de freio (programacao posterior para restabelecimento do funcionamento com a verificacao</t>
  </si>
  <si>
    <t xml:space="preserve">Montagem CVU</t>
  </si>
  <si>
    <t xml:space="preserve"> Gestor de fluxo</t>
  </si>
  <si>
    <t xml:space="preserve"> Tristock</t>
  </si>
  <si>
    <t xml:space="preserve"> 6:53</t>
  </si>
  <si>
    <t xml:space="preserve"> 7:53</t>
  </si>
  <si>
    <t xml:space="preserve"> Rodando degradado sem impacto na producao</t>
  </si>
  <si>
    <t xml:space="preserve"> Time out na comunicacao com Gestor de Fluxo</t>
  </si>
  <si>
    <t xml:space="preserve"> Executado algumas missoes em manual, zerado missoes e comunicacoes, restabelecimento da comunicacao e funcionamento com PSF ativado.</t>
  </si>
  <si>
    <t xml:space="preserve">Pintura CVP</t>
  </si>
  <si>
    <t xml:space="preserve"> PC Exploracao</t>
  </si>
  <si>
    <t xml:space="preserve"> Cera P3</t>
  </si>
  <si>
    <t xml:space="preserve"> Falta informacoes do SMPLOC no SMP99</t>
  </si>
  <si>
    <t xml:space="preserve"> SMPLOC em modo mudo nao transfere os dados para o SMP99</t>
  </si>
  <si>
    <t xml:space="preserve"> Modificacao da area pelo projeto</t>
  </si>
  <si>
    <t xml:space="preserve"> Instalacao versao atualizada do SMPLOC e ferramentas de diagnostico, efetuado ajustes e sincronizacao do SMPLOC com a Central (Posterior Programado a semana tipo).</t>
  </si>
  <si>
    <t xml:space="preserve"> Balanceadora</t>
  </si>
  <si>
    <t xml:space="preserve"> RO7</t>
  </si>
  <si>
    <t xml:space="preserve"> Start-Up</t>
  </si>
  <si>
    <t xml:space="preserve"> 5:36</t>
  </si>
  <si>
    <t xml:space="preserve"> Utilizacao Buffer</t>
  </si>
  <si>
    <t xml:space="preserve"> 50 min</t>
  </si>
  <si>
    <t xml:space="preserve"> Falha no Drive</t>
  </si>
  <si>
    <t xml:space="preserve"> Defeito F2821 Resistor de Freio</t>
  </si>
  <si>
    <t xml:space="preserve"> Unidade de potencia avariada</t>
  </si>
  <si>
    <t xml:space="preserve"> Substituicao da unidade de potencia e contator de alimentacao</t>
  </si>
  <si>
    <t xml:space="preserve"> OP234 Nagel</t>
  </si>
  <si>
    <t xml:space="preserve"> Bloco CC01</t>
  </si>
  <si>
    <t xml:space="preserve"> 7:16</t>
  </si>
  <si>
    <t xml:space="preserve"> todo o dia</t>
  </si>
  <si>
    <t xml:space="preserve"> Maquina nao entra em operacao</t>
  </si>
  <si>
    <t xml:space="preserve"> Falha no sistema operacional HDs avariados</t>
  </si>
  <si>
    <t xml:space="preserve"> Modulo Bateria de Seguranca avariado danificando HDs com sistema operacional</t>
  </si>
  <si>
    <t xml:space="preserve"> Substituicao do Modulo de bateria e configuracao do Team Viewer para acesso do fabricante (Horario comercial na Alemanha)</t>
  </si>
  <si>
    <t xml:space="preserve"> Deburring 1</t>
  </si>
  <si>
    <t xml:space="preserve"> 7:14</t>
  </si>
  <si>
    <t xml:space="preserve"> PC SMPLOC</t>
  </si>
  <si>
    <t xml:space="preserve"> Prensa Manuais MPs</t>
  </si>
  <si>
    <t xml:space="preserve"> 6:10</t>
  </si>
  <si>
    <t xml:space="preserve"> sem impacto na producao</t>
  </si>
  <si>
    <t xml:space="preserve"> Instalacao versao atualizada do SMPLOC e ferramentas de diagnostico, efetuado ajustes e sincronizacao do SMPLOC com a Central).</t>
  </si>
  <si>
    <t xml:space="preserve">CAR CVU</t>
  </si>
  <si>
    <t xml:space="preserve"> MOP / PSF</t>
  </si>
  <si>
    <t xml:space="preserve"> ECFF</t>
  </si>
  <si>
    <t xml:space="preserve"> 15:30 +/-</t>
  </si>
  <si>
    <t xml:space="preserve"> 17:30</t>
  </si>
  <si>
    <t xml:space="preserve"> 03:30</t>
  </si>
  <si>
    <t xml:space="preserve"> Perda de comunicacao ETH 2 (PSF)</t>
  </si>
  <si>
    <t xml:space="preserve"> Possovel travamento na taxa de comunicacao do MOP com o PSF</t>
  </si>
  <si>
    <t xml:space="preserve"> Ainda em analise entre engenharia e PSF</t>
  </si>
  <si>
    <t xml:space="preserve"> Realizado reset do modulo CP343, instalado maos um modulo CP343 e deixado instalado no Hardware e software e interligado ao ponto reserva do PSF, tambem feito reset pelo PSF. Apos realizar o download e reset do PSF, voltou a comunicar. Obs- Engenharia junto com a informatica do PSF irao averiguar o que houve</t>
  </si>
  <si>
    <t xml:space="preserve">MON CVP</t>
  </si>
  <si>
    <t xml:space="preserve"> AR03B</t>
  </si>
  <si>
    <t xml:space="preserve"> ME5</t>
  </si>
  <si>
    <t xml:space="preserve"> 17:55</t>
  </si>
  <si>
    <t xml:space="preserve"> 18:00</t>
  </si>
  <si>
    <t xml:space="preserve"> 17 min</t>
  </si>
  <si>
    <t xml:space="preserve"> Parada do correntao ME5</t>
  </si>
  <si>
    <t xml:space="preserve"> Falha no Drive de acionamento do AR03B, porem gerou tambem erro nas friccoes de descida de ME3</t>
  </si>
  <si>
    <t xml:space="preserve"> Ainda em analise. No Starter a unica falha que tem e comunicacao entre a CU e o Power modulo.</t>
  </si>
  <si>
    <t xml:space="preserve"> realizado reset do Drive Obs- Durante a noite, sera feito um check up e testes para verificacao dos cabos de rede, verificacao do drive, tambem foi deixado uma CU do mesmo modelo, porem com firmware diferente apenas (caso haja necessidade de substituicao) "Substituida a Control Unit no terceiro Turno "</t>
  </si>
  <si>
    <t xml:space="preserve">MON CVU</t>
  </si>
  <si>
    <t xml:space="preserve"> Entrada do circuito aereo de carroceria</t>
  </si>
  <si>
    <t xml:space="preserve"> ME1</t>
  </si>
  <si>
    <t xml:space="preserve"> 19:00</t>
  </si>
  <si>
    <t xml:space="preserve"> 19:24</t>
  </si>
  <si>
    <t xml:space="preserve"> 02:20</t>
  </si>
  <si>
    <t xml:space="preserve"> Balanceles nao se movimentavam</t>
  </si>
  <si>
    <t xml:space="preserve"> Encavalou balanceles (1/7) na entrada da linha aerea</t>
  </si>
  <si>
    <t xml:space="preserve"> houve movimentacoes manuais dos balanceles antes da pane, pode ser que tenha ficado com a falta de alguma presenca no circuito o que ocasionou as colisoes.</t>
  </si>
  <si>
    <t xml:space="preserve"> depois de algumas tentativas, sem sucesso em desenroscar os balanceles, foi cortado uma parte onde chamam (rabo de andorinha) com esmeril para poder destravar. Obs- O Balancele 7 passou a vazio devido seu problemas apos o enrosco - Balanceles 8 e 4 necessitaram de reparos devido aos mesmo tambem terem colidido, porem com menor impacto; O Balancele 2 tambem sera verificado assim como o barramento onde ocorreu esta pane. Todas as verificacoes serao em 3 Turno</t>
  </si>
  <si>
    <t xml:space="preserve"> Modulo Bateria de Seguranca avariado</t>
  </si>
  <si>
    <t xml:space="preserve"> Substituicao do Modulo de bateria e configuracao da maquina pelo fabricante via Acesso remoto (verificacao dos eixos e colocacao em funcionamento)</t>
  </si>
  <si>
    <t xml:space="preserve"> MOP Destacker</t>
  </si>
  <si>
    <t xml:space="preserve"> TGSE 2</t>
  </si>
  <si>
    <t xml:space="preserve"> 17:30 +/-</t>
  </si>
  <si>
    <t xml:space="preserve"> 17:52</t>
  </si>
  <si>
    <t xml:space="preserve"> 160 min</t>
  </si>
  <si>
    <t xml:space="preserve"> Falha na comunicacao com a IHM</t>
  </si>
  <si>
    <t xml:space="preserve"> Perdeu a configuracao e a comunicacao com o MOP via OPC Server</t>
  </si>
  <si>
    <t xml:space="preserve"> Ainda em analise devido ao tipo da falha</t>
  </si>
  <si>
    <t xml:space="preserve"> Apos verificacao da rede, verificacao dos Scalances, substituicao do PC para verificar a placa de rede foi Reconfigurado o MOP e IHM e apos isso realizado o Download do hardware do OPC. Obs- Na solucao do problema foi auxiliado pelo Claudio da Engenharia</t>
  </si>
  <si>
    <t xml:space="preserve"> Transportadores</t>
  </si>
  <si>
    <t xml:space="preserve"> 22:03</t>
  </si>
  <si>
    <t xml:space="preserve"> 22:08</t>
  </si>
  <si>
    <t xml:space="preserve"> 8 min</t>
  </si>
  <si>
    <t xml:space="preserve"> Transportadores nao ligavam</t>
  </si>
  <si>
    <t xml:space="preserve"> Apos colisao da luge com o anteparo de intrusao desarmou a linha, porem devido a um sinal que estava ativo no programa umas mesas ainda continuaram rodando e nao deixava resetar a falha.</t>
  </si>
  <si>
    <t xml:space="preserve"> Sinal ativo no programa a analisar causa</t>
  </si>
  <si>
    <t xml:space="preserve"> Foi ativado o sinal que estava no programa e reset da linha para retorno de funcionamento</t>
  </si>
  <si>
    <t xml:space="preserve"> Robo 2</t>
  </si>
  <si>
    <t xml:space="preserve"> Cross Carbeam</t>
  </si>
  <si>
    <t xml:space="preserve"> 09:37</t>
  </si>
  <si>
    <t xml:space="preserve"> Falha de colisao de tocha</t>
  </si>
  <si>
    <t xml:space="preserve"> Mau acoplamento da Robacta com a flange do robo</t>
  </si>
  <si>
    <t xml:space="preserve"> Isolante alta fusao impedindo acoplamento entre a Robacta com a flange do robo</t>
  </si>
  <si>
    <t xml:space="preserve"> Analise e desmontagem, retirada do excesso de fita limpeza remontagem e colocacao em ciclo.</t>
  </si>
  <si>
    <t xml:space="preserve"> 08/02</t>
  </si>
  <si>
    <t xml:space="preserve"> 06:40</t>
  </si>
  <si>
    <t xml:space="preserve"> Falha de comunicacao local SMP</t>
  </si>
  <si>
    <t xml:space="preserve"> Perdeu a configuracao e a comunicacao com o MOP via OPC Server 08/02</t>
  </si>
  <si>
    <t xml:space="preserve"> Efetuado importacao do arquivo de configuracao da pasta (funcionou SMP as 07:30), substituicao do PC e HD no intervalo do almoco.</t>
  </si>
  <si>
    <t xml:space="preserve"> Mesa A0</t>
  </si>
  <si>
    <t xml:space="preserve"> FMU79</t>
  </si>
  <si>
    <t xml:space="preserve"> 05:50</t>
  </si>
  <si>
    <t xml:space="preserve"> 5:57</t>
  </si>
  <si>
    <t xml:space="preserve"> Sem impacto producao somente de 1 U79 por hora para o dia</t>
  </si>
  <si>
    <t xml:space="preserve"> (soma aprox 150 min)</t>
  </si>
  <si>
    <t xml:space="preserve"> Defeito caracteristicia incorreta Mesa A0</t>
  </si>
  <si>
    <t xml:space="preserve"> PJIs inexistentse no PSF</t>
  </si>
  <si>
    <t xml:space="preserve"> Filme de producao U79 atrasado</t>
  </si>
  <si>
    <t xml:space="preserve"> Contato com DLI e responsavel PSF, Forcado passagem pecas como peca MAP (Conforme orientacao responsavel PSF)</t>
  </si>
  <si>
    <t xml:space="preserve"> Solda robo S0</t>
  </si>
  <si>
    <t xml:space="preserve"> LVG</t>
  </si>
  <si>
    <t xml:space="preserve"> 20:56</t>
  </si>
  <si>
    <t xml:space="preserve"> 120 min</t>
  </si>
  <si>
    <t xml:space="preserve"> Nao realizava o Arco de Solda</t>
  </si>
  <si>
    <t xml:space="preserve"> Problema no feixe de cabos e mangueiras de gas do robo</t>
  </si>
  <si>
    <t xml:space="preserve"> Avaliar feixe de cabos para identificar qual o problema</t>
  </si>
  <si>
    <t xml:space="preserve"> Substituicao do feixe de cabos e acionamento da pistola de solda</t>
  </si>
  <si>
    <t xml:space="preserve"> SMPLOC CV_MTSC</t>
  </si>
  <si>
    <t xml:space="preserve"> 3 Turno</t>
  </si>
  <si>
    <t xml:space="preserve"> 5:38</t>
  </si>
  <si>
    <t xml:space="preserve"> 210 min</t>
  </si>
  <si>
    <t xml:space="preserve"> PC nao funciona</t>
  </si>
  <si>
    <t xml:space="preserve"> Problema de Boot HD danificado</t>
  </si>
  <si>
    <t xml:space="preserve"> Descarregamento da imagem e substituicao do HD do PC</t>
  </si>
  <si>
    <t xml:space="preserve"> MAC Teto</t>
  </si>
  <si>
    <t xml:space="preserve"> Picking PO4</t>
  </si>
  <si>
    <t xml:space="preserve"> 5:45</t>
  </si>
  <si>
    <t xml:space="preserve"> 7:08</t>
  </si>
  <si>
    <t xml:space="preserve"> Rodando em degrasequenciamento Forrodado o sequenciamento</t>
  </si>
  <si>
    <t xml:space="preserve"> 135 min</t>
  </si>
  <si>
    <t xml:space="preserve"> MAC nao funciona</t>
  </si>
  <si>
    <t xml:space="preserve"> CPU em Stop</t>
  </si>
  <si>
    <t xml:space="preserve"> Modulo controlador ASI com problema</t>
  </si>
  <si>
    <t xml:space="preserve"> Diagnostico e substituicao do modulo ASI</t>
  </si>
  <si>
    <t xml:space="preserve"> Mastic</t>
  </si>
  <si>
    <t xml:space="preserve"> 12:22</t>
  </si>
  <si>
    <t xml:space="preserve"> 21 min</t>
  </si>
  <si>
    <t xml:space="preserve"> Balanceles nao movimentam</t>
  </si>
  <si>
    <t xml:space="preserve"> Falta comando apos restabelecimento afundamento de tensao</t>
  </si>
  <si>
    <t xml:space="preserve"> Falta de condicoes movimento apos restabelecimento</t>
  </si>
  <si>
    <t xml:space="preserve"> Acerto das memorias e presencas e restabelecimento dos comandos.</t>
  </si>
  <si>
    <t xml:space="preserve"> Robo 1</t>
  </si>
  <si>
    <t xml:space="preserve"> Base</t>
  </si>
  <si>
    <t xml:space="preserve"> 12:35</t>
  </si>
  <si>
    <t xml:space="preserve"> 13:15</t>
  </si>
  <si>
    <t xml:space="preserve"> Robo nao movimenta</t>
  </si>
  <si>
    <t xml:space="preserve"> Falha no Drive com o afundamento de tensao</t>
  </si>
  <si>
    <t xml:space="preserve"> Afundamento de tensao</t>
  </si>
  <si>
    <t xml:space="preserve"> Efetuado Reinicializacao do Robo 3 vezes ate o restabelecimento, colocacao em Repli e colocacao linha em ciclo</t>
  </si>
  <si>
    <t xml:space="preserve"> Maquina de Corte Chapas</t>
  </si>
  <si>
    <t xml:space="preserve"> Ferramentaria</t>
  </si>
  <si>
    <t xml:space="preserve"> 17:40</t>
  </si>
  <si>
    <t xml:space="preserve"> Nao estava realizando o corte da peca</t>
  </si>
  <si>
    <t xml:space="preserve"> Falha gerada no sistema hidraulico, porem o mesmo estava correto o funcionamento</t>
  </si>
  <si>
    <t xml:space="preserve"> Jumper feito no circuito de alarme de pressostato, o que nao existe no sistema estava solto, gerando erro de valvulas do hidraulico</t>
  </si>
  <si>
    <t xml:space="preserve"> Feito um jump no sinal de retorno da falha (X15) do PLC. Obs- Maquina com PLC e IHM do fabricante DELTA, nao temos software e nem o cabo de comunicacao, o que dificulta o diagnostico dos alarme que geram na IHM.</t>
  </si>
  <si>
    <t xml:space="preserve"> OP 515.1 R1 (ABB)</t>
  </si>
  <si>
    <t xml:space="preserve"> CU1</t>
  </si>
  <si>
    <t xml:space="preserve"> 18:08</t>
  </si>
  <si>
    <t xml:space="preserve"> 55min</t>
  </si>
  <si>
    <t xml:space="preserve"> TP do Robo nao estava carregando aplicacao</t>
  </si>
  <si>
    <t xml:space="preserve"> Corrompido arquivo da aplicacao do TP</t>
  </si>
  <si>
    <t xml:space="preserve"> Erro de sistema</t>
  </si>
  <si>
    <t xml:space="preserve"> Colocado um TP reserva, mais o mesmo estava com defeito. Apos isso foi retirado o TP de uma maquina que estava parada para colocar esta linha em producao. OBS- Acao pendente, verificar se existe outra TP reserva ou no Almoxarifado para retornar na maquina.</t>
  </si>
  <si>
    <t xml:space="preserve"> SMPLOC</t>
  </si>
  <si>
    <t xml:space="preserve"> Prensas Manuais MPs</t>
  </si>
  <si>
    <t xml:space="preserve"> 16/02</t>
  </si>
  <si>
    <t xml:space="preserve"> 5:15</t>
  </si>
  <si>
    <t xml:space="preserve"> Sem perdas de producao</t>
  </si>
  <si>
    <t xml:space="preserve"> 160 min sem SMPLOC</t>
  </si>
  <si>
    <t xml:space="preserve"> Erro na execucao do SMPLOC</t>
  </si>
  <si>
    <t xml:space="preserve"> Base de dados com erro</t>
  </si>
  <si>
    <t xml:space="preserve"> Reinstalacao SMPLOC reconstrucao da base e restabelecimento do funcionamento do SMPLOC</t>
  </si>
  <si>
    <t xml:space="preserve"> Mesa 08 Zona 4</t>
  </si>
  <si>
    <t xml:space="preserve"> Verniz</t>
  </si>
  <si>
    <t xml:space="preserve"> 6:35</t>
  </si>
  <si>
    <t xml:space="preserve"> 7:06</t>
  </si>
  <si>
    <t xml:space="preserve"> 90 min</t>
  </si>
  <si>
    <t xml:space="preserve"> Desarme disjuntor protecao 24V Entradas</t>
  </si>
  <si>
    <t xml:space="preserve"> Curto circuito sensor presenca mesa 08</t>
  </si>
  <si>
    <t xml:space="preserve"> Cabo de ligacao do sensor em curto circuito</t>
  </si>
  <si>
    <t xml:space="preserve"> Isolamento do curto e By pass temporario sensor de presenca ate a verificacao do cabo de ligacao do mesmo</t>
  </si>
  <si>
    <t xml:space="preserve"> PEV Estacao 181 RLIN</t>
  </si>
  <si>
    <t xml:space="preserve"> nao informado</t>
  </si>
  <si>
    <t xml:space="preserve"> Sem perdas veiculos com Ecos realizaram teste no Petit</t>
  </si>
  <si>
    <t xml:space="preserve"> Estacao nao realiza o teste para o ECOS</t>
  </si>
  <si>
    <t xml:space="preserve"> Problema de configuracao da Estacao</t>
  </si>
  <si>
    <t xml:space="preserve"> Erro de arquivo interno da estacao</t>
  </si>
  <si>
    <t xml:space="preserve"> Alteracao de um dos arquivos ini de configuracao da Estacao Obs- Problema foi tratado durante varios dias</t>
  </si>
  <si>
    <t xml:space="preserve">BOUCLIER</t>
  </si>
  <si>
    <t xml:space="preserve">Bouclier</t>
  </si>
  <si>
    <t xml:space="preserve"> Esteira Caixas</t>
  </si>
  <si>
    <t xml:space="preserve"> Preparacao Kit Parachoque</t>
  </si>
  <si>
    <t xml:space="preserve"> 5:50</t>
  </si>
  <si>
    <t xml:space="preserve"> 6:11</t>
  </si>
  <si>
    <t xml:space="preserve"> Rodando degradado</t>
  </si>
  <si>
    <t xml:space="preserve"> Falha temperatura ao acionar motor</t>
  </si>
  <si>
    <t xml:space="preserve"> Motor Starter problema interno</t>
  </si>
  <si>
    <t xml:space="preserve"> Diagnostico, Inversao do motor Starter com outra esteira, e colocacao em degradado empurrando manualmente a caixa ate a adaptacao de contator para acionamento da esteira. (contator permanecera ate a compra e substituicao do motor starter).</t>
  </si>
  <si>
    <t xml:space="preserve">PIN CVP</t>
  </si>
  <si>
    <t xml:space="preserve"> Robo R12</t>
  </si>
  <si>
    <t xml:space="preserve"> Cabine Base</t>
  </si>
  <si>
    <t xml:space="preserve"> 16:15</t>
  </si>
  <si>
    <t xml:space="preserve"> 16:19</t>
  </si>
  <si>
    <t xml:space="preserve"> 15 min</t>
  </si>
  <si>
    <t xml:space="preserve"> Falha no Robo</t>
  </si>
  <si>
    <t xml:space="preserve"> Perda de Comunicacao com o RBC</t>
  </si>
  <si>
    <t xml:space="preserve"> Ainda em analise, juntamente com a assistencia tecnica da Durr</t>
  </si>
  <si>
    <t xml:space="preserve"> Realizado o reset da RBC e reiniciado o robo</t>
  </si>
  <si>
    <t xml:space="preserve"> API Z1 mesa elevadora 33</t>
  </si>
  <si>
    <t xml:space="preserve"> ME3</t>
  </si>
  <si>
    <t xml:space="preserve"> 16:35</t>
  </si>
  <si>
    <t xml:space="preserve"> 16:48</t>
  </si>
  <si>
    <t xml:space="preserve"> (3 = X62 e 3 = U79) 6 veic.</t>
  </si>
  <si>
    <t xml:space="preserve"> Curto circuito no sistema de 24V em um dos modulos</t>
  </si>
  <si>
    <t xml:space="preserve"> Cabo de alimentacao do controle de elevacao da mesa em curto com a chapa de metal do piso</t>
  </si>
  <si>
    <t xml:space="preserve"> Isolado o circuito, aberto o cabo onde estava rompido e realizado emenda e isolacao do mesmo. OBS- Nao encontrado desenho atualizado e a alimentacao 24V estava junto ao jump de ligacao da alimentacao do modulo, nao respeitando a interligacao por borne e de 24V definida por padrao nos API.</t>
  </si>
  <si>
    <t xml:space="preserve"> Scanner LAS1</t>
  </si>
  <si>
    <t xml:space="preserve"> CS020</t>
  </si>
  <si>
    <t xml:space="preserve"> 17:42</t>
  </si>
  <si>
    <t xml:space="preserve"> 18:10</t>
  </si>
  <si>
    <t xml:space="preserve"> 100 min</t>
  </si>
  <si>
    <t xml:space="preserve"> Defeito de intrusao</t>
  </si>
  <si>
    <t xml:space="preserve"> Scanner de seguranca operador em falha</t>
  </si>
  <si>
    <t xml:space="preserve"> Problema na placa do scanner</t>
  </si>
  <si>
    <t xml:space="preserve"> realizado a substituicao do Scanner</t>
  </si>
  <si>
    <t xml:space="preserve"> Portal OP 330</t>
  </si>
  <si>
    <t xml:space="preserve"> Cabecote CU11</t>
  </si>
  <si>
    <t xml:space="preserve"> 7:03</t>
  </si>
  <si>
    <t xml:space="preserve"> 375 min</t>
  </si>
  <si>
    <t xml:space="preserve"> Falha destravado com Pressao eixo Z12</t>
  </si>
  <si>
    <t xml:space="preserve"> Deslocamento carro da Garra durante movimento do eixo X</t>
  </si>
  <si>
    <t xml:space="preserve"> Cilindro travamento do carro da garra nao travando</t>
  </si>
  <si>
    <t xml:space="preserve"> Diagnostico e substituicao do Cilindro de travamento do Carro</t>
  </si>
  <si>
    <t xml:space="preserve"> PC MOP</t>
  </si>
  <si>
    <t xml:space="preserve"> Unit Avant</t>
  </si>
  <si>
    <t xml:space="preserve"> 15:35</t>
  </si>
  <si>
    <t xml:space="preserve"> 15:58</t>
  </si>
  <si>
    <t xml:space="preserve"> Falha funcionamento SMPLOC e posterior PC falha windows</t>
  </si>
  <si>
    <t xml:space="preserve"> HD do computador corrompido</t>
  </si>
  <si>
    <t xml:space="preserve"> Foi realizado a substituicao completa do PC e devidas configuracoes para colocacao em funcionamento</t>
  </si>
  <si>
    <t xml:space="preserve"> FM30 Robo C4</t>
  </si>
  <si>
    <t xml:space="preserve"> ASL</t>
  </si>
  <si>
    <t xml:space="preserve"> Ilha parada sem realizacao de soldas</t>
  </si>
  <si>
    <t xml:space="preserve"> Robo C4 com falha na fresagem do robo</t>
  </si>
  <si>
    <t xml:space="preserve"> Apos pedido de troca de eletrodo no robo C5 gerou erro na linha</t>
  </si>
  <si>
    <t xml:space="preserve"> Foi realizado</t>
  </si>
  <si>
    <t xml:space="preserve"> Prensa de rolamentos A01</t>
  </si>
  <si>
    <t xml:space="preserve"> PTAR</t>
  </si>
  <si>
    <t xml:space="preserve"> 17:39</t>
  </si>
  <si>
    <t xml:space="preserve"> Parou a prensagem do rolamento</t>
  </si>
  <si>
    <t xml:space="preserve"> Falha no drive do motor de prensagem</t>
  </si>
  <si>
    <t xml:space="preserve"> Apos uma falha de intrusao, parou o motor e ao rearmar gerou a falha</t>
  </si>
  <si>
    <t xml:space="preserve"> Realizado movimentacao manual para retirada das pecas, colocado os robos em repli e liberada a linha.</t>
  </si>
  <si>
    <t xml:space="preserve"> FM 1 - G0SB</t>
  </si>
  <si>
    <t xml:space="preserve"> Preli X52</t>
  </si>
  <si>
    <t xml:space="preserve"> 19:35</t>
  </si>
  <si>
    <t xml:space="preserve"> 19:47</t>
  </si>
  <si>
    <t xml:space="preserve"> 28 min</t>
  </si>
  <si>
    <t xml:space="preserve"> Desarme da zona 4 (SAFETY)</t>
  </si>
  <si>
    <t xml:space="preserve"> Falha no cartao de seguranca FR-O no painel G0SB</t>
  </si>
  <si>
    <t xml:space="preserve"> Possovel mal contato na base do cartao no modulo. Sera verificado em 3 Turno</t>
  </si>
  <si>
    <t xml:space="preserve"> Como nao tinha falha no cartao em especofico, foi retirado cartoes de outra linha e substituodo 3 cartoes de Safety, apos esta substituicao reconheceu os canais e liberou a linha.</t>
  </si>
  <si>
    <t xml:space="preserve"> Robo dianteiro esquerdo</t>
  </si>
  <si>
    <t xml:space="preserve"> Banco de Paralelismo</t>
  </si>
  <si>
    <t xml:space="preserve"> 16:30</t>
  </si>
  <si>
    <t xml:space="preserve"> 95 min</t>
  </si>
  <si>
    <t xml:space="preserve"> Robo do paralelismo sem executar medicao</t>
  </si>
  <si>
    <t xml:space="preserve"> Motor de acionamento da aproximacao nao estava funcionando</t>
  </si>
  <si>
    <t xml:space="preserve"> Colidiu carro com o robo ao estacionar no paralelismo</t>
  </si>
  <si>
    <t xml:space="preserve"> desmontado motor e ajustado as engrenagens e eixo motriz. Tambem foi realizado a calibracao simples dos robos</t>
  </si>
  <si>
    <t xml:space="preserve"> Painel Geral</t>
  </si>
  <si>
    <t xml:space="preserve"> Engeteam</t>
  </si>
  <si>
    <t xml:space="preserve"> 17:31</t>
  </si>
  <si>
    <t xml:space="preserve"> 140 min</t>
  </si>
  <si>
    <t xml:space="preserve"> Desarmou toda a seguranca e comandos da maquina</t>
  </si>
  <si>
    <t xml:space="preserve"> Fonte de alimentacao 24V queimada</t>
  </si>
  <si>
    <t xml:space="preserve"> A verificar</t>
  </si>
  <si>
    <t xml:space="preserve"> Substituoda a fonte, depois demorou para restabelecer a linha, devido a ter desligado comando de seguranca e tambem por ter pecas em todos os pontos da linha. Ressincronizar a linha</t>
  </si>
  <si>
    <t xml:space="preserve"> Robo M2</t>
  </si>
  <si>
    <t xml:space="preserve"> CS130</t>
  </si>
  <si>
    <t xml:space="preserve"> 17:21</t>
  </si>
  <si>
    <t xml:space="preserve"> 17:37</t>
  </si>
  <si>
    <t xml:space="preserve"> 110 min</t>
  </si>
  <si>
    <t xml:space="preserve"> Robo parou de funcionar no momento de pega da pinca 1</t>
  </si>
  <si>
    <t xml:space="preserve"> Perdeu a calibracao de todos os eixos, inclusive eixo externo</t>
  </si>
  <si>
    <t xml:space="preserve"> Possovel defeito na placa SMB do robo</t>
  </si>
  <si>
    <t xml:space="preserve"> Substituoda a placa SMB, realizado a calibracao dos seis eixo e tambem dos dois eixos externos (Pinca 1 e Pinca 2)</t>
  </si>
  <si>
    <t xml:space="preserve"> 17:41</t>
  </si>
  <si>
    <t xml:space="preserve"> 18:05</t>
  </si>
  <si>
    <t xml:space="preserve"> 62 min</t>
  </si>
  <si>
    <t xml:space="preserve"> Perdeu a calibracao dos eixos, 4, 5 e6</t>
  </si>
  <si>
    <t xml:space="preserve"> Ainda em analise, com alguns pontos levantados para serem verificados, ficamos acompanhando o processo por um tempo e ver se a falha retornava.</t>
  </si>
  <si>
    <t xml:space="preserve"> Substituoda a memoria Flash para testes no robo. Realizado a calibracao dos eixos .</t>
  </si>
  <si>
    <t xml:space="preserve"> Transportador TPC008</t>
  </si>
  <si>
    <t xml:space="preserve"> Unit Arriere</t>
  </si>
  <si>
    <t xml:space="preserve"> 6:13</t>
  </si>
  <si>
    <t xml:space="preserve"> Sick com erro fiacao</t>
  </si>
  <si>
    <t xml:space="preserve"> Erro interno no Sick</t>
  </si>
  <si>
    <t xml:space="preserve"> Substituicao do modulo traseiro por sick da oficina.</t>
  </si>
  <si>
    <t xml:space="preserve"> Robo S0 Solda Mig</t>
  </si>
  <si>
    <t xml:space="preserve"> Startup</t>
  </si>
  <si>
    <t xml:space="preserve"> Erro de gas na solda MIG</t>
  </si>
  <si>
    <t xml:space="preserve"> Problema no feixe de cabo conjunto do Robo</t>
  </si>
  <si>
    <t xml:space="preserve"> Retirada do Bumerangue e Simulado sinal do gas para rodar.</t>
  </si>
  <si>
    <t xml:space="preserve">Usinagem CMO</t>
  </si>
  <si>
    <t xml:space="preserve"> OP80</t>
  </si>
  <si>
    <t xml:space="preserve"> 28/02</t>
  </si>
  <si>
    <t xml:space="preserve"> XX</t>
  </si>
  <si>
    <t xml:space="preserve"> Erro de sobrecorrente Gerador [A016], e falha de controle dos inversores estante numero 1 [D050}</t>
  </si>
  <si>
    <t xml:space="preserve"> Falha na aplicacao de corrente</t>
  </si>
  <si>
    <t xml:space="preserve"> Filtro de corrente e Placa de controle danificadas</t>
  </si>
  <si>
    <t xml:space="preserve"> Substituicao de Resistor do filtro que estava aberto e substituicao placa de controle numero 1</t>
  </si>
  <si>
    <t xml:space="preserve"> OP 310-2 Robo 2</t>
  </si>
  <si>
    <t xml:space="preserve"> Cabecote CU05</t>
  </si>
  <si>
    <t xml:space="preserve"> 8:00</t>
  </si>
  <si>
    <t xml:space="preserve"> 8:31</t>
  </si>
  <si>
    <t xml:space="preserve"> 244/Defeito comunicacao de dados PLC e Robo</t>
  </si>
  <si>
    <t xml:space="preserve"> Erro 38034 Falha transmissao Axis Computer</t>
  </si>
  <si>
    <t xml:space="preserve"> Placa axis computer avariada</t>
  </si>
  <si>
    <t xml:space="preserve"> Substituicao da Axis computer por outra retirada do Robo desativado da 310-1 mantido conjunto de bateria original</t>
  </si>
  <si>
    <t xml:space="preserve"> OP 310-3 Robo</t>
  </si>
  <si>
    <t xml:space="preserve"> 11:00</t>
  </si>
  <si>
    <t xml:space="preserve"> Diversas paradas</t>
  </si>
  <si>
    <t xml:space="preserve"> Falha de Rede Profinet Robo</t>
  </si>
  <si>
    <t xml:space="preserve"> Substituicao da Axis computer por outra retirada do Robo desativado da 310-1</t>
  </si>
  <si>
    <t xml:space="preserve"> Sistema Tratamento</t>
  </si>
  <si>
    <t xml:space="preserve"> ETDI</t>
  </si>
  <si>
    <t xml:space="preserve"> Start-UP Geral</t>
  </si>
  <si>
    <t xml:space="preserve"> 04/03</t>
  </si>
  <si>
    <t xml:space="preserve">Nao informado</t>
  </si>
  <si>
    <t xml:space="preserve"> Falha no comando dos inversores</t>
  </si>
  <si>
    <t xml:space="preserve"> Programacao incorreta</t>
  </si>
  <si>
    <t xml:space="preserve"> Descarregamento de backup via BOP de inversor semelhante e efetuado auto tune</t>
  </si>
  <si>
    <t xml:space="preserve"> CPU API04B</t>
  </si>
  <si>
    <t xml:space="preserve"> Transporte</t>
  </si>
  <si>
    <t xml:space="preserve"> Perda de programa da CPU</t>
  </si>
  <si>
    <t xml:space="preserve"> Afundamento de tensao entrada da copel</t>
  </si>
  <si>
    <t xml:space="preserve"> Diagnostico, descarregamento de Backup e colocacao em ciclo.</t>
  </si>
  <si>
    <t xml:space="preserve"> Estagio 12</t>
  </si>
  <si>
    <t xml:space="preserve"> Cataforese</t>
  </si>
  <si>
    <t xml:space="preserve"> 5:40</t>
  </si>
  <si>
    <t xml:space="preserve"> em degradado</t>
  </si>
  <si>
    <t xml:space="preserve"> Falha na partida da Bomba UFR1 recirculo estagio 12</t>
  </si>
  <si>
    <t xml:space="preserve"> Erro no acionamento entradas inversor da bomba (F0091 Falha Externa erro nas Entradas DI1 a DI8)</t>
  </si>
  <si>
    <t xml:space="preserve"> Inversor WEG Bomba de recirculo queimado</t>
  </si>
  <si>
    <t xml:space="preserve"> Encontrado inversor similar em painel nao utilizado na Pintura CVP, substituido o inversor com defeito.</t>
  </si>
  <si>
    <t xml:space="preserve"> Ilha de Vidros ST300</t>
  </si>
  <si>
    <t xml:space="preserve"> SE4</t>
  </si>
  <si>
    <t xml:space="preserve"> 6:36</t>
  </si>
  <si>
    <t xml:space="preserve"> Falha Funcionamento do Robo</t>
  </si>
  <si>
    <t xml:space="preserve"> Problema para colocacao em ciclo</t>
  </si>
  <si>
    <t xml:space="preserve"> Erro de sistema erro na execucao do EZ do Robo</t>
  </si>
  <si>
    <t xml:space="preserve"> Reinicializacao do Robo duas vezes para execucao correta do EZ e colocacao em funcionamento</t>
  </si>
  <si>
    <t xml:space="preserve"> OP600</t>
  </si>
  <si>
    <t xml:space="preserve"> 6:55</t>
  </si>
  <si>
    <t xml:space="preserve"> 80 mmin</t>
  </si>
  <si>
    <t xml:space="preserve"> Falha na abertura do Stopper do posto</t>
  </si>
  <si>
    <t xml:space="preserve"> Erro nos sinais ET200</t>
  </si>
  <si>
    <t xml:space="preserve"> ET200 com problema interno</t>
  </si>
  <si>
    <t xml:space="preserve"> Diagnostico e substituicao da ET200</t>
  </si>
  <si>
    <t xml:space="preserve"> Balanceadora de rodas</t>
  </si>
  <si>
    <t xml:space="preserve"> 13:05</t>
  </si>
  <si>
    <t xml:space="preserve"> rodando degrado com Buffer</t>
  </si>
  <si>
    <t xml:space="preserve"> Elevador da balanceadora nao desce apos o fechamento da castanha</t>
  </si>
  <si>
    <t xml:space="preserve"> Falta de condicao para descida do elevador</t>
  </si>
  <si>
    <t xml:space="preserve"> Memoria incorreta</t>
  </si>
  <si>
    <t xml:space="preserve"> Esvaziado balanceadora executado movimentos manuais, retirada de tensao controle e restabelecido funcionamento OK, resincronizado PSF da maquina com sequencia da linha.</t>
  </si>
  <si>
    <t xml:space="preserve"> Esteira de transporte</t>
  </si>
  <si>
    <t xml:space="preserve"> Cabine Verniz</t>
  </si>
  <si>
    <t xml:space="preserve"> 17:59</t>
  </si>
  <si>
    <t xml:space="preserve"> Defeito esticador da corrente</t>
  </si>
  <si>
    <t xml:space="preserve"> Rompimento do elo da corrente de transporte</t>
  </si>
  <si>
    <t xml:space="preserve"> Movimentado a corrente ate o ponto de acesso e substituido o elo.</t>
  </si>
  <si>
    <t xml:space="preserve"> Robo C6</t>
  </si>
  <si>
    <t xml:space="preserve"> X52 BM30</t>
  </si>
  <si>
    <t xml:space="preserve"> Start-UP</t>
  </si>
  <si>
    <t xml:space="preserve"> 75 min</t>
  </si>
  <si>
    <t xml:space="preserve"> Falha Robo C6 erro resolver</t>
  </si>
  <si>
    <t xml:space="preserve"> Filtro Placa SMB conector danificado</t>
  </si>
  <si>
    <t xml:space="preserve"> Fixacao do conector externo da tampa frouxo</t>
  </si>
  <si>
    <t xml:space="preserve"> Substituicao da placa SMB, calibracao da pinca de solda e colocacao da ilha em ciclo.</t>
  </si>
  <si>
    <t xml:space="preserve"> Montadora de rodas</t>
  </si>
  <si>
    <t xml:space="preserve"> 11:</t>
  </si>
  <si>
    <t xml:space="preserve"> 11:58</t>
  </si>
  <si>
    <t xml:space="preserve"> Montadora nao continua ciclo</t>
  </si>
  <si>
    <t xml:space="preserve"> Falta de condicao para continuacao erro de memorias</t>
  </si>
  <si>
    <t xml:space="preserve"> Erro profibus intervalo do almoco</t>
  </si>
  <si>
    <t xml:space="preserve"> Zona1</t>
  </si>
  <si>
    <t xml:space="preserve"> CSF5</t>
  </si>
  <si>
    <t xml:space="preserve"> 10:08</t>
  </si>
  <si>
    <t xml:space="preserve"> 10:28</t>
  </si>
  <si>
    <t xml:space="preserve"> 35min</t>
  </si>
  <si>
    <t xml:space="preserve"> Falha na caceia de seguranca da zona</t>
  </si>
  <si>
    <t xml:space="preserve"> Falha na alimentacao do modulo cpx</t>
  </si>
  <si>
    <t xml:space="preserve"> Cabo de alimentacao do disjuntor Q2 do painel Z1SB2 estava solto</t>
  </si>
  <si>
    <t xml:space="preserve"> Conectado o cabo de alientacao e rearmado a cadeia de seguranca.</t>
  </si>
  <si>
    <t xml:space="preserve"> Robo A2</t>
  </si>
  <si>
    <t xml:space="preserve"> Cross Car beam</t>
  </si>
  <si>
    <t xml:space="preserve"> 8:12</t>
  </si>
  <si>
    <t xml:space="preserve"> 9:36</t>
  </si>
  <si>
    <t xml:space="preserve"> 920 min</t>
  </si>
  <si>
    <t xml:space="preserve"> 40223 Erro de execucao</t>
  </si>
  <si>
    <t xml:space="preserve"> Tempo excedido de execucao de tarefa</t>
  </si>
  <si>
    <t xml:space="preserve"> em diagnostico</t>
  </si>
  <si>
    <t xml:space="preserve"> Em diagnostico segue atendimento segundo Turno</t>
  </si>
  <si>
    <t xml:space="preserve"> Execucao e descarregamento de Backup em local inadequado no Robo</t>
  </si>
  <si>
    <t xml:space="preserve"> Criado um sistema novo do robo e carregado backup. Acertado as posicos do robo na mesa e colocado em posicao zero.</t>
  </si>
  <si>
    <t xml:space="preserve"> OP120</t>
  </si>
  <si>
    <t xml:space="preserve"> TA9</t>
  </si>
  <si>
    <t xml:space="preserve"> 7:00</t>
  </si>
  <si>
    <t xml:space="preserve"> 2,6 carros perdidos</t>
  </si>
  <si>
    <t xml:space="preserve"> Falha na leitura do carrinho do HHA</t>
  </si>
  <si>
    <t xml:space="preserve"> Nao acionamento da logica de leitura do carrinho</t>
  </si>
  <si>
    <t xml:space="preserve"> efetuado download durante 3 Turno, causando perda do sinal de algumas memorias</t>
  </si>
  <si>
    <t xml:space="preserve"> Ajustado a logica para que em futuras paradas da cpu nao se perca o sinal das memorias.</t>
  </si>
  <si>
    <t xml:space="preserve"> Prensa TK2</t>
  </si>
  <si>
    <t xml:space="preserve"> Acionamento de prensagem fora de centro</t>
  </si>
  <si>
    <t xml:space="preserve"> Dados de posicionamento da prensa fora de ajuste</t>
  </si>
  <si>
    <t xml:space="preserve"> efetuado download durante 3 Turno, causando perda dos sinais de referencia</t>
  </si>
  <si>
    <t xml:space="preserve"> Ajustado a referencia de cada acionamento e salvo os dados na memoria do clp.</t>
  </si>
  <si>
    <t xml:space="preserve"> Montadora</t>
  </si>
  <si>
    <t xml:space="preserve"> 6:42</t>
  </si>
  <si>
    <t xml:space="preserve"> 6:52</t>
  </si>
  <si>
    <t xml:space="preserve"> 2 carros</t>
  </si>
  <si>
    <t xml:space="preserve"> 260 minutos( rodou em degradado)</t>
  </si>
  <si>
    <t xml:space="preserve"> Elevador de elevacao nao pronto</t>
  </si>
  <si>
    <t xml:space="preserve"> Falha no Drive de elevacao</t>
  </si>
  <si>
    <t xml:space="preserve"> Falha de temperatura no drive de elevacao</t>
  </si>
  <si>
    <t xml:space="preserve"> Realizado um reset geral do equipamento e do drive. Realizado teste a vazio. Ajustado sequï¿½nciamento de pecas. Na sequï¿½ncia ocorreu erro no sequï¿½nciamento, perda de movimento da montadora durante o ciclo. Foi encontrado Sensor de posicao da base com falha intermitente causando problemas para reiniciar o equipamento. Justado a falha do sensor e restabelecido o sistema.</t>
  </si>
  <si>
    <t xml:space="preserve"> S0PAP</t>
  </si>
  <si>
    <t xml:space="preserve"> NBS (CBSR)</t>
  </si>
  <si>
    <t xml:space="preserve"> 16:44</t>
  </si>
  <si>
    <t xml:space="preserve"> 17:28</t>
  </si>
  <si>
    <t xml:space="preserve"> 60 min</t>
  </si>
  <si>
    <t xml:space="preserve"> Mesa L0 nao girou</t>
  </si>
  <si>
    <t xml:space="preserve"> Falha no inversor de Frequï¿½ncia</t>
  </si>
  <si>
    <t xml:space="preserve"> Defeito no inversor</t>
  </si>
  <si>
    <t xml:space="preserve"> Realizado tentativa de movimento manual, verifica no bloco do variador que estava sem a condicao de "variador ok " .</t>
  </si>
  <si>
    <t xml:space="preserve"> Robo R2 Fanuc (Sistema de visao)</t>
  </si>
  <si>
    <t xml:space="preserve"> 16:00</t>
  </si>
  <si>
    <t xml:space="preserve"> 17:50</t>
  </si>
  <si>
    <t xml:space="preserve"> 4 carros perdidos</t>
  </si>
  <si>
    <t xml:space="preserve"> Gerando erro de posicao no Robo sempre no modelo BBB (Falha bem esporadica, erros demoram para acontecer)</t>
  </si>
  <si>
    <t xml:space="preserve"> Ainda em analise</t>
  </si>
  <si>
    <t xml:space="preserve"> Possivel erro na chamada da trajetoria</t>
  </si>
  <si>
    <t xml:space="preserve"> Acompanhado funcionamento, realizado reset, deixado na logica que chama as trajetorias do sistema de visao para acompanhar se esta acontecendo algum salto de trajetoria.</t>
  </si>
  <si>
    <t xml:space="preserve"> Robo R2</t>
  </si>
  <si>
    <t xml:space="preserve"> Cross Car Beam</t>
  </si>
  <si>
    <t xml:space="preserve"> 10:10</t>
  </si>
  <si>
    <t xml:space="preserve"> 95 minutos</t>
  </si>
  <si>
    <t xml:space="preserve"> Robo R2 parado aguardando evento de retorno</t>
  </si>
  <si>
    <t xml:space="preserve"> As condicoes para liberacao do evento 8 nao estavam acionadas</t>
  </si>
  <si>
    <t xml:space="preserve"> A logica para acionamento do evento 8 do robo esta incorreta.</t>
  </si>
  <si>
    <t xml:space="preserve"> Aciona</t>
  </si>
  <si>
    <t xml:space="preserve"> Mesa de giro</t>
  </si>
  <si>
    <t xml:space="preserve"> 14:37</t>
  </si>
  <si>
    <t xml:space="preserve"> 13:06</t>
  </si>
  <si>
    <t xml:space="preserve"> Mesa com escorregamento na parada do giro</t>
  </si>
  <si>
    <t xml:space="preserve"> Falha no acoplamento do motor com a mesa</t>
  </si>
  <si>
    <t xml:space="preserve"> Acoplamento do motor estava solto</t>
  </si>
  <si>
    <t xml:space="preserve"> Realizado a abertura de partes mecanicas do moto redutor para acesso as partes do acoplamento. Feito os apertos necessarios e feita novamente a montagem do acoplamento e do motor redutor.</t>
  </si>
  <si>
    <t xml:space="preserve"> Instalacao</t>
  </si>
  <si>
    <t xml:space="preserve"> SAND</t>
  </si>
  <si>
    <t xml:space="preserve"> 15:30</t>
  </si>
  <si>
    <t xml:space="preserve"> 520 min</t>
  </si>
  <si>
    <t xml:space="preserve"> 416: PORTaO 1 CARRO AREIA-SAFETY EM FALHA 1215</t>
  </si>
  <si>
    <t xml:space="preserve"> Falha posicionamento do Carrinho e validacao portao</t>
  </si>
  <si>
    <t xml:space="preserve"> Sensor com problema e falha na base do cartao safety de controle do portao</t>
  </si>
  <si>
    <t xml:space="preserve"> Substituicao sensor de posiao do carrinho e substituicao da base do cartao safety mas permanece em erro</t>
  </si>
  <si>
    <t xml:space="preserve"> 2 Turno 17/03</t>
  </si>
  <si>
    <t xml:space="preserve"> 6:20</t>
  </si>
  <si>
    <t xml:space="preserve"> Aprox 300 min</t>
  </si>
  <si>
    <t xml:space="preserve"> Enderecado base do cartao e realizado validacao assinatura do safery</t>
  </si>
  <si>
    <t xml:space="preserve"> Computador Sames</t>
  </si>
  <si>
    <t xml:space="preserve"> Primer</t>
  </si>
  <si>
    <t xml:space="preserve"> Start UP</t>
  </si>
  <si>
    <t xml:space="preserve"> 5:55</t>
  </si>
  <si>
    <t xml:space="preserve"> aprox 70 min</t>
  </si>
  <si>
    <t xml:space="preserve"> Computador nao liga</t>
  </si>
  <si>
    <t xml:space="preserve"> Fonte do computador queimada</t>
  </si>
  <si>
    <t xml:space="preserve"> Desarme da subestacao Pintura CVU</t>
  </si>
  <si>
    <t xml:space="preserve"> Substituicao da fonte do PC Reinicializacao dos Robos e colocacao da linha em funcionamento</t>
  </si>
  <si>
    <t xml:space="preserve"> Estagio 4 Zona 7 Elevador JDIP</t>
  </si>
  <si>
    <t xml:space="preserve"> 11:46</t>
  </si>
  <si>
    <t xml:space="preserve"> Desalinhamento JDIP Anterior e Posterior</t>
  </si>
  <si>
    <t xml:space="preserve"> Falta movimento Elevador JDIP Posterior</t>
  </si>
  <si>
    <t xml:space="preserve"> Retificador do Freio avariado</t>
  </si>
  <si>
    <t xml:space="preserve"> Inversao do Retificador do Freio</t>
  </si>
  <si>
    <t xml:space="preserve">CAS</t>
  </si>
  <si>
    <t xml:space="preserve">TODOS</t>
  </si>
  <si>
    <t xml:space="preserve"> Parada do PSF em toda CVP.</t>
  </si>
  <si>
    <t xml:space="preserve"> Falha no Servidor do PSF</t>
  </si>
  <si>
    <t xml:space="preserve"> Atendimento Central PSF</t>
  </si>
  <si>
    <t xml:space="preserve"> Maquina 2</t>
  </si>
  <si>
    <t xml:space="preserve"> Loramendi</t>
  </si>
  <si>
    <t xml:space="preserve"> 17:00</t>
  </si>
  <si>
    <t xml:space="preserve"> consumo buffer - linha de cabecote</t>
  </si>
  <si>
    <t xml:space="preserve"> Maquina 2 falha no ciclo de cura</t>
  </si>
  <si>
    <t xml:space="preserve"> Sobreaquecimento sistema de cura</t>
  </si>
  <si>
    <t xml:space="preserve"> Problema com parï¿½metros de processo , erro MOP</t>
  </si>
  <si>
    <t xml:space="preserve"> Permanece o diagnostico ficou com problema ainda.</t>
  </si>
  <si>
    <t xml:space="preserve"> Robo 1 ABB</t>
  </si>
  <si>
    <t xml:space="preserve"> Bulher 2</t>
  </si>
  <si>
    <t xml:space="preserve"> 22:20</t>
  </si>
  <si>
    <t xml:space="preserve"> 22:25</t>
  </si>
  <si>
    <t xml:space="preserve"> Perda de calibracao do Robo e nao acessa para correcao.</t>
  </si>
  <si>
    <t xml:space="preserve"> Problema na TP do Robo</t>
  </si>
  <si>
    <t xml:space="preserve"> em analise, provavel corrompimento sistema</t>
  </si>
  <si>
    <t xml:space="preserve"> Substituido TP e calibrado o robo.</t>
  </si>
  <si>
    <t xml:space="preserve"> Desacostagem</t>
  </si>
  <si>
    <t xml:space="preserve"> SC/5 e Correntao</t>
  </si>
  <si>
    <t xml:space="preserve"> 20:40</t>
  </si>
  <si>
    <t xml:space="preserve"> 20:45</t>
  </si>
  <si>
    <t xml:space="preserve"> Nao liberava a linha, falha de saturacao</t>
  </si>
  <si>
    <t xml:space="preserve"> Sensor de verificacao escapamento Poka Yoke atuado</t>
  </si>
  <si>
    <t xml:space="preserve"> Erro na interligacao logica, sensor na linha de falha saturacao DR02</t>
  </si>
  <si>
    <t xml:space="preserve"> Removido cabo que estava na frente do sensor. Sera corrigida a logica e criar um alarme especifico para esta falha.</t>
  </si>
  <si>
    <t xml:space="preserve"> Prensa P10</t>
  </si>
  <si>
    <t xml:space="preserve"> TGSE1</t>
  </si>
  <si>
    <t xml:space="preserve"> 6:32</t>
  </si>
  <si>
    <t xml:space="preserve"> 7:02</t>
  </si>
  <si>
    <t xml:space="preserve"> Sem perdas linha em TNR</t>
  </si>
  <si>
    <t xml:space="preserve"> Alarme Ruptura de eixo sem sinal detectada (durante o golpe) e CLP de seguranca Pilz nao comunica com o Notebook</t>
  </si>
  <si>
    <t xml:space="preserve"> CLP Pilz com porta travada, e sensor deteccao rotacao caixa de came perdendo sinal</t>
  </si>
  <si>
    <t xml:space="preserve"> CLP Pilz com problema interno, e sensor deteccao rotacao caixa de came desregulado</t>
  </si>
  <si>
    <t xml:space="preserve"> Substituicao do PLC de seguranca Pilz, e ajuste sensor de rotacao caixa de came (distancia estava em 1 mm ajustado para 0,7mm)</t>
  </si>
  <si>
    <t xml:space="preserve"> 3ï¿½ Turno</t>
  </si>
  <si>
    <t xml:space="preserve"> 7:25</t>
  </si>
  <si>
    <t xml:space="preserve"> aplicacao em degradado</t>
  </si>
  <si>
    <t xml:space="preserve"> Falha de ar de Corno</t>
  </si>
  <si>
    <t xml:space="preserve"> Variacao do ar de aplicacao</t>
  </si>
  <si>
    <t xml:space="preserve"> Cartao Saida analogica SLC5 avariada</t>
  </si>
  <si>
    <t xml:space="preserve"> Diagnostico, Substituicao do cartao de saida e ajustes</t>
  </si>
  <si>
    <t xml:space="preserve"> Mesa 03 reconstrutor LCAF</t>
  </si>
  <si>
    <t xml:space="preserve"> Linha Final</t>
  </si>
  <si>
    <t xml:space="preserve"> 6:08</t>
  </si>
  <si>
    <t xml:space="preserve"> 12 min saturacao linha final</t>
  </si>
  <si>
    <t xml:space="preserve"> 12 min Degradado sem reconstrutor</t>
  </si>
  <si>
    <t xml:space="preserve"> Falta resposta PSF RFF4</t>
  </si>
  <si>
    <t xml:space="preserve"> Mesa 03 defeito Caracteristica incorreta resposta do</t>
  </si>
  <si>
    <t xml:space="preserve"> Aguardando retorno PSF</t>
  </si>
  <si>
    <t xml:space="preserve"> Limpeza de memorias e forcado novo dialogo</t>
  </si>
  <si>
    <t xml:space="preserve"> MAKE Bancos</t>
  </si>
  <si>
    <t xml:space="preserve"> 35 carros</t>
  </si>
  <si>
    <t xml:space="preserve"> Linha parou geral por falha</t>
  </si>
  <si>
    <t xml:space="preserve"> Desarme do disjuntor eletronico 24V da zona 1</t>
  </si>
  <si>
    <t xml:space="preserve"> Possivel curto circuito em um sensor indutivo no elevador</t>
  </si>
  <si>
    <t xml:space="preserve"> Realizado movimentacoes manuais e rearmado a ilha. OBS- Sera substituido o sensor indutivo em 3ï¿½ Turno e tambem inspecionadas as partes moveis e os cabos da zona 1 em 3ï¿½ Turno e tambem inspecionadas</t>
  </si>
  <si>
    <t xml:space="preserve"> Mesa Rotacao 11</t>
  </si>
  <si>
    <t xml:space="preserve"> 5:41</t>
  </si>
  <si>
    <t xml:space="preserve"> 5:53</t>
  </si>
  <si>
    <t xml:space="preserve"> 13 min</t>
  </si>
  <si>
    <t xml:space="preserve"> Falha de emergï¿½ncia</t>
  </si>
  <si>
    <t xml:space="preserve"> Falha Rele linha variador mesa 11</t>
  </si>
  <si>
    <t xml:space="preserve"> Falha no retorno do contator variador</t>
  </si>
  <si>
    <t xml:space="preserve"> Forcado os contatores da funcao variador, reinicializado a mesma e rearme da linha</t>
  </si>
  <si>
    <t xml:space="preserve"> Mesa Elevacao 12 Acostagem</t>
  </si>
  <si>
    <t xml:space="preserve"> U79</t>
  </si>
  <si>
    <t xml:space="preserve"> 7:07</t>
  </si>
  <si>
    <t xml:space="preserve"> 7:34</t>
  </si>
  <si>
    <t xml:space="preserve"> 240 min</t>
  </si>
  <si>
    <t xml:space="preserve"> Z5: TE12 Def. Inversor Elevacao</t>
  </si>
  <si>
    <t xml:space="preserve"> Desarme disjuntor Protecao Drivebox</t>
  </si>
  <si>
    <t xml:space="preserve"> Problema no conjunto do Freio do motor de elevacao</t>
  </si>
  <si>
    <t xml:space="preserve"> Forcado contator reinicializado a funcao variador e rearme da linha</t>
  </si>
  <si>
    <t xml:space="preserve"> Gestor de fluxos</t>
  </si>
  <si>
    <t xml:space="preserve"> Tristok</t>
  </si>
  <si>
    <t xml:space="preserve"> 15:40</t>
  </si>
  <si>
    <t xml:space="preserve"> 16:01</t>
  </si>
  <si>
    <t xml:space="preserve"> 30 min</t>
  </si>
  <si>
    <t xml:space="preserve"> Nao realizava o descarregamento</t>
  </si>
  <si>
    <t xml:space="preserve"> falha no descarregamento do carro</t>
  </si>
  <si>
    <t xml:space="preserve"> falha no sensor de presenca devido a skid estar empenado</t>
  </si>
  <si>
    <t xml:space="preserve"> Acertado presenca, e verificando a sequencia de chamada do fluxo.</t>
  </si>
  <si>
    <t xml:space="preserve"> OP725</t>
  </si>
  <si>
    <t xml:space="preserve"> CU11</t>
  </si>
  <si>
    <t xml:space="preserve"> 14:30</t>
  </si>
  <si>
    <t xml:space="preserve"> 18:21</t>
  </si>
  <si>
    <t xml:space="preserve"> Maquina nao realizava operacao de parafusamento</t>
  </si>
  <si>
    <t xml:space="preserve"> Valor incorreto na tabela de operacao</t>
  </si>
  <si>
    <t xml:space="preserve"> Foi alterado o valor referente ao Mapping da operacao</t>
  </si>
  <si>
    <t xml:space="preserve"> Verificado em uma tabela e corrigido os valores do Mapping, apos isso realizou as operacoes</t>
  </si>
  <si>
    <t xml:space="preserve"> Tranporte</t>
  </si>
  <si>
    <t xml:space="preserve"> SC5 - U79</t>
  </si>
  <si>
    <t xml:space="preserve"> 20:20</t>
  </si>
  <si>
    <t xml:space="preserve"> 20:47</t>
  </si>
  <si>
    <t xml:space="preserve"> Perda de autorizacao de avanco do transportador</t>
  </si>
  <si>
    <t xml:space="preserve"> Falha no sinal de presenca na mesa T03</t>
  </si>
  <si>
    <t xml:space="preserve"> Falha no sensor de presenca</t>
  </si>
  <si>
    <t xml:space="preserve"> No terceiro Turno seria ajustado e verificado os sensores referentes a esta mesa</t>
  </si>
  <si>
    <t xml:space="preserve"> N0</t>
  </si>
  <si>
    <t xml:space="preserve"> 21:00</t>
  </si>
  <si>
    <t xml:space="preserve"> 21:49</t>
  </si>
  <si>
    <t xml:space="preserve"> Falha no acionamento do Gripper</t>
  </si>
  <si>
    <t xml:space="preserve"> Perda de alimentacao da CPX</t>
  </si>
  <si>
    <t xml:space="preserve"> Soltou CPX e enroscou os cabos de alimentacao da CPX e de profinet</t>
  </si>
  <si>
    <t xml:space="preserve"> Corrigido cabo no conector de alimentacao e o cabo de profinet PS: Ocorreu o problema e foi corrigido em horario de janta, porem gerou algumas falhas intermitentes durante o funcionamento, com isso gerou em torno de 60min parada na LVG.</t>
  </si>
  <si>
    <t xml:space="preserve"> MAP 2</t>
  </si>
  <si>
    <t xml:space="preserve"> Prensa</t>
  </si>
  <si>
    <t xml:space="preserve"> xxxx</t>
  </si>
  <si>
    <t xml:space="preserve"> Falha de pressao baixa no desbloqueio da ferramenta.</t>
  </si>
  <si>
    <t xml:space="preserve"> Nao deixava retirar a mesa com a ferramenta da prensa</t>
  </si>
  <si>
    <t xml:space="preserve"> Inicio diagnostico</t>
  </si>
  <si>
    <t xml:space="preserve"> Batido as pecas manuais para evitar ruptura na CVU continuidade diagnostico segundo Turno.</t>
  </si>
  <si>
    <t xml:space="preserve"> Deburing 1</t>
  </si>
  <si>
    <t xml:space="preserve"> 8:10</t>
  </si>
  <si>
    <t xml:space="preserve"> 10:00</t>
  </si>
  <si>
    <t xml:space="preserve"> Colisao Robo 2 na mesa saida Deburing 1</t>
  </si>
  <si>
    <t xml:space="preserve"> Posicao da peca</t>
  </si>
  <si>
    <t xml:space="preserve"> Retirada pecas dos Robos colocacao Robos em Repli e ajuste memorias mas nao retornava ciclo, (chegada do tecnico da CIA reinicializacao Robo 2 para continuacao ciclo).</t>
  </si>
  <si>
    <t xml:space="preserve"> Garras de seguranca de posicao travadas</t>
  </si>
  <si>
    <t xml:space="preserve"> Travou a garra na mesa devido a interferï¿½ncia de pedaco de chapa</t>
  </si>
  <si>
    <t xml:space="preserve"> Baixado a prensa para que forcasse a mesa para baixo para livrar o cilindro da garra</t>
  </si>
  <si>
    <t xml:space="preserve"> modulo no 42 profibus</t>
  </si>
  <si>
    <t xml:space="preserve"> 13:20</t>
  </si>
  <si>
    <t xml:space="preserve"> 13:29</t>
  </si>
  <si>
    <t xml:space="preserve"> 12 min</t>
  </si>
  <si>
    <t xml:space="preserve"> Falha de comunicacao de rede</t>
  </si>
  <si>
    <t xml:space="preserve"> Falha no no 42 da rede profibus</t>
  </si>
  <si>
    <t xml:space="preserve"> Aberto as conexoes, verificado e passado limpa contato nos conectores. Foi deixado uma cabeca de rede ja no posto avancado caso ocorra novamente a falha</t>
  </si>
  <si>
    <t xml:space="preserve"> Pinca de Solda Lado Esquerdo</t>
  </si>
  <si>
    <t xml:space="preserve"> CS20</t>
  </si>
  <si>
    <t xml:space="preserve"> 06:08</t>
  </si>
  <si>
    <t xml:space="preserve"> 07:24</t>
  </si>
  <si>
    <t xml:space="preserve"> 2 carros saida Carroceria</t>
  </si>
  <si>
    <t xml:space="preserve"> 60 min (degradado envio 1 carroceria soldado a lateral no posto posterior)</t>
  </si>
  <si>
    <t xml:space="preserve"> Z1: BE Defeito Controlador de Solda 1</t>
  </si>
  <si>
    <t xml:space="preserve"> Erro 65 controlador Perda de programa</t>
  </si>
  <si>
    <t xml:space="preserve"> Controlador com Bateria avariada</t>
  </si>
  <si>
    <t xml:space="preserve"> Executado copia de outro controlador descarregado e ajustado os parametros (passagem OT terceiro Turno substituicao da bateria do Controlador)</t>
  </si>
  <si>
    <t xml:space="preserve"> Pinca de Solda Lado Direito</t>
  </si>
  <si>
    <t xml:space="preserve"> 07:20</t>
  </si>
  <si>
    <t xml:space="preserve"> 06 min</t>
  </si>
  <si>
    <t xml:space="preserve"> Lado direito pincas nao soldam</t>
  </si>
  <si>
    <t xml:space="preserve"> Falta condicao para solda</t>
  </si>
  <si>
    <t xml:space="preserve"> bloco de contato solto dentro da botoeira de validacao de solda.</t>
  </si>
  <si>
    <t xml:space="preserve"> Abertura das botoeiras reencaixado e reaperto da fixacao do bloco</t>
  </si>
  <si>
    <t xml:space="preserve"> Mesa D0</t>
  </si>
  <si>
    <t xml:space="preserve"> P1</t>
  </si>
  <si>
    <t xml:space="preserve"> 18:15</t>
  </si>
  <si>
    <t xml:space="preserve"> 18:37</t>
  </si>
  <si>
    <t xml:space="preserve"> ~20</t>
  </si>
  <si>
    <t xml:space="preserve"> Desarme da funcao platina da mesa</t>
  </si>
  <si>
    <t xml:space="preserve"> Falha no sistema de freio do motor da elevacao da mesa</t>
  </si>
  <si>
    <t xml:space="preserve"> Curto circuito na ponte retificadora</t>
  </si>
  <si>
    <t xml:space="preserve"> Substituido a ponte retificadora</t>
  </si>
  <si>
    <t xml:space="preserve"> Banco de Rolagem 3</t>
  </si>
  <si>
    <t xml:space="preserve"> Linha de Validacao</t>
  </si>
  <si>
    <t xml:space="preserve"> 28/03 10:00</t>
  </si>
  <si>
    <t xml:space="preserve"> Nao imprime o resultado do teste</t>
  </si>
  <si>
    <t xml:space="preserve"> Impressora sem configuracao parametros IP</t>
  </si>
  <si>
    <t xml:space="preserve"> Configuracao dos parametros da impressora (IP: 172.25.214.41 Sub Net: 255.255.252.0)</t>
  </si>
  <si>
    <t xml:space="preserve"> Acumulo Mastic Zona 5</t>
  </si>
  <si>
    <t xml:space="preserve"> Mastic ao Solo</t>
  </si>
  <si>
    <t xml:space="preserve"> ILOT: Def. barramento PROFINET (proveniente da Zona 5)</t>
  </si>
  <si>
    <t xml:space="preserve"> Instabilidade da rede</t>
  </si>
  <si>
    <t xml:space="preserve"> Em diagnostico (Mau contato conectores)</t>
  </si>
  <si>
    <t xml:space="preserve"> Durante diagnostico apos desconectar e reconectar conectores profinet dentro do drivebox dos rolos do empilhador (nao ocorreram mais falhas programar verificacao cabos e conectores com linha parada)</t>
  </si>
  <si>
    <t xml:space="preserve"> Mesa Movel P51</t>
  </si>
  <si>
    <t xml:space="preserve"> TGSE2</t>
  </si>
  <si>
    <t xml:space="preserve"> 20:00</t>
  </si>
  <si>
    <t xml:space="preserve"> 20:30</t>
  </si>
  <si>
    <t xml:space="preserve"> 220 min</t>
  </si>
  <si>
    <t xml:space="preserve"> Desarme 24 V disjuntor mesa Movel</t>
  </si>
  <si>
    <t xml:space="preserve"> Curto circuito na chave fim de curso posicao baixa lado esquerdo</t>
  </si>
  <si>
    <t xml:space="preserve"> Multi-cabos danificado no percurso ate a caixa de distribuicao</t>
  </si>
  <si>
    <t xml:space="preserve"> Encontrado uma via das reservas que nao estava danificada para fazer a ligacao</t>
  </si>
  <si>
    <t xml:space="preserve"> Robo J4</t>
  </si>
  <si>
    <t xml:space="preserve"> X52 FM 110</t>
  </si>
  <si>
    <t xml:space="preserve"> 7:11</t>
  </si>
  <si>
    <t xml:space="preserve"> Ferragem 72 min</t>
  </si>
  <si>
    <t xml:space="preserve"> Erro de tensao Motor Servogun e falha de velocidade de junta na solda</t>
  </si>
  <si>
    <t xml:space="preserve"> Problema circuito de potencia do servo da pinca de solda</t>
  </si>
  <si>
    <t xml:space="preserve"> Diagnostico MRHD</t>
  </si>
  <si>
    <t xml:space="preserve"> Substituicao do servo por novo primeira intervencao defeito retornou, substituido Drive de potencia e cabo de potencia da pinca ao eixo 3 no intervalo do almoco nao ocorreram mais falhas OBS: (MBR 1017655)</t>
  </si>
  <si>
    <t xml:space="preserve"> Robo C2</t>
  </si>
  <si>
    <t xml:space="preserve"> Base Rolante</t>
  </si>
  <si>
    <t xml:space="preserve"> 17:00 +/-</t>
  </si>
  <si>
    <t xml:space="preserve"> Falha no init da pinca apos fresagem</t>
  </si>
  <si>
    <t xml:space="preserve"> Problema na pinca de solda</t>
  </si>
  <si>
    <t xml:space="preserve"> Braco movel da Pinca estava trincado</t>
  </si>
  <si>
    <t xml:space="preserve"> Substituido a pinca, refeita a calibracao e corrigido erro de fresagem</t>
  </si>
  <si>
    <t xml:space="preserve"> Balsa V0</t>
  </si>
  <si>
    <t xml:space="preserve"> MN1 Zona 6</t>
  </si>
  <si>
    <t xml:space="preserve"> 9:00</t>
  </si>
  <si>
    <t xml:space="preserve"> Balsa V0 Defeito mesa</t>
  </si>
  <si>
    <t xml:space="preserve"> Desarme disjuntor V0VAR1 painel Z6SDB</t>
  </si>
  <si>
    <t xml:space="preserve"> Queima do drive box V0VAR1 Rolos da Balsa</t>
  </si>
  <si>
    <t xml:space="preserve"> Substituicao do drivebox e rearme da linha</t>
  </si>
  <si>
    <t xml:space="preserve"> Correntao</t>
  </si>
  <si>
    <t xml:space="preserve"> 22:00</t>
  </si>
  <si>
    <t xml:space="preserve"> 52 min</t>
  </si>
  <si>
    <t xml:space="preserve"> Parou a linha do correntao sem gerar alarme no software</t>
  </si>
  <si>
    <t xml:space="preserve"> Ficou para analise em 3 turno, pois estava travando em algum ponto e nao deixava movimentar</t>
  </si>
  <si>
    <t xml:space="preserve"> 23 min</t>
  </si>
  <si>
    <t xml:space="preserve"> Z2: DR02 Def. Falta Carroceria (P03 --&gt; P04)</t>
  </si>
  <si>
    <t xml:space="preserve"> Zeramento do encoder para liberacao de carroceria no Stopper 9 fora do espaco correto do posto</t>
  </si>
  <si>
    <t xml:space="preserve"> Liberado carro manual para indexacao no pino e correcao posicao no carro seguinte</t>
  </si>
  <si>
    <t xml:space="preserve"> 6:49</t>
  </si>
  <si>
    <t xml:space="preserve"> Z2: DR02 Def. Posicao Arrastador Stopper 18</t>
  </si>
  <si>
    <t xml:space="preserve"> Dispositivo "anti run " com haste quebrada ficou acionando vareta e sensor de passagem do balancele pelo SR18</t>
  </si>
  <si>
    <t xml:space="preserve"> Desmontado dispositivo para solda da haste e liberacao da linha, remontagem durante intervalo</t>
  </si>
  <si>
    <t xml:space="preserve"> OP260</t>
  </si>
  <si>
    <t xml:space="preserve"> VIRABREQUIM VI08</t>
  </si>
  <si>
    <t xml:space="preserve"> 18:20</t>
  </si>
  <si>
    <t xml:space="preserve"> 150 min</t>
  </si>
  <si>
    <t xml:space="preserve"> EIXO C7 PARANDO E APRESENTANDO FALHA DE EMERGENCIA ATIVA DURANTE INICIO DE MOVIMENTO</t>
  </si>
  <si>
    <t xml:space="preserve"> PERDA DE SINAL DE SENSOR DE PRESENcA DA GARRA EM CIMA</t>
  </si>
  <si>
    <t xml:space="preserve"> DESAJUSTE DE SENSOR DE PRESENcA, SENSOR MAL POSICINADO E MAL FIXADO</t>
  </si>
  <si>
    <t xml:space="preserve">AJUSTE DO SENSOR E POSTERIOR MELHORIA DA FIXAcaO DO MESMO</t>
  </si>
  <si>
    <t xml:space="preserve"> Maquina enchimento</t>
  </si>
  <si>
    <t xml:space="preserve"> 5:43</t>
  </si>
  <si>
    <t xml:space="preserve"> Degradado</t>
  </si>
  <si>
    <t xml:space="preserve"> Maquina nao inicia novo</t>
  </si>
  <si>
    <t xml:space="preserve"> Maquina travada no ciclo capabilidade</t>
  </si>
  <si>
    <t xml:space="preserve"> Diagnostico e Reset do ciclo em curso</t>
  </si>
  <si>
    <t xml:space="preserve"> Maquina de Enchimento de Freio</t>
  </si>
  <si>
    <t xml:space="preserve"> 35 min parado (Restante degradado Passando sem enchimento para enchimento na maq retoque)</t>
  </si>
  <si>
    <t xml:space="preserve"> aprox 60 min</t>
  </si>
  <si>
    <t xml:space="preserve"> BK417-FAL.INTERRUPTOR BOMBA DE VACUO(M160)</t>
  </si>
  <si>
    <t xml:space="preserve"> Bomba de vacuo desarmando disjuntor Protecao e Falha de Vacuo</t>
  </si>
  <si>
    <t xml:space="preserve"> Desgaste interno Bomba</t>
  </si>
  <si>
    <t xml:space="preserve"> Substituicao pela revisada mas nao atingiu vacuo, substituicao por bomba de vacuo nova</t>
  </si>
  <si>
    <t xml:space="preserve"> Zona 4 PSF</t>
  </si>
  <si>
    <t xml:space="preserve"> Preparacao KIT AGV</t>
  </si>
  <si>
    <t xml:space="preserve"> Falha de comunicacao PSF caracteristica incorreta</t>
  </si>
  <si>
    <t xml:space="preserve"> Erro na comunicacao</t>
  </si>
  <si>
    <t xml:space="preserve"> Ambiente de teste PSF rodando em segundo plano</t>
  </si>
  <si>
    <t xml:space="preserve"> Passagem para modo degradado e Acionamento DLI para acionamento responsavel do PSF</t>
  </si>
  <si>
    <t xml:space="preserve"> Mop PSF</t>
  </si>
  <si>
    <t xml:space="preserve"> FM1</t>
  </si>
  <si>
    <t xml:space="preserve"> 165 carros carroceria</t>
  </si>
  <si>
    <t xml:space="preserve"> Aprox 200 minutos</t>
  </si>
  <si>
    <t xml:space="preserve"> Falha de comunicacao PSF caracteristica incorreta Mesas L0, S0</t>
  </si>
  <si>
    <t xml:space="preserve"> Acionamento DLI para acionamento do PSF</t>
  </si>
  <si>
    <t xml:space="preserve"> Ilha de Visao SC5</t>
  </si>
  <si>
    <t xml:space="preserve"> 24 carros perdidos (saturacao retorno skids)</t>
  </si>
  <si>
    <t xml:space="preserve"> Aprox 260 minutos</t>
  </si>
  <si>
    <t xml:space="preserve"> Lateral Direita (Bomba de Mastic)</t>
  </si>
  <si>
    <t xml:space="preserve"> NBS</t>
  </si>
  <si>
    <t xml:space="preserve"> 1 turno</t>
  </si>
  <si>
    <t xml:space="preserve"> Nao recebia comandos via IHM</t>
  </si>
  <si>
    <t xml:space="preserve"> Arquivo corrompido no software da maquina</t>
  </si>
  <si>
    <t xml:space="preserve"> Defeito na aplicacao ou no cartao SD</t>
  </si>
  <si>
    <t xml:space="preserve"> Feito imagem do cartao de outra maquina que estava rodando e apos isso descarregado a imagem em um cartao novo.</t>
  </si>
  <si>
    <t xml:space="preserve">CMO Montagem</t>
  </si>
  <si>
    <t xml:space="preserve"> OP 135 Robo</t>
  </si>
  <si>
    <t xml:space="preserve"> MM01</t>
  </si>
  <si>
    <t xml:space="preserve"> 12:20</t>
  </si>
  <si>
    <t xml:space="preserve"> Degradado posto</t>
  </si>
  <si>
    <t xml:space="preserve"> Travamento do Robo nao retorna ao ciclo apos correcoes de pontos</t>
  </si>
  <si>
    <t xml:space="preserve"> Erro interno do Robo e erros internos Promia</t>
  </si>
  <si>
    <t xml:space="preserve"> Colocacao do posto em degradado, segundo turno fora de producao restabelecimento de Backup atualizacao dos contadores de revolucao e rotina de sincronismo seguranca.</t>
  </si>
  <si>
    <t xml:space="preserve"> Mesa Rolos 07</t>
  </si>
  <si>
    <t xml:space="preserve"> 5:48</t>
  </si>
  <si>
    <t xml:space="preserve"> 38 min</t>
  </si>
  <si>
    <t xml:space="preserve"> Falha no descarregamento do carro</t>
  </si>
  <si>
    <t xml:space="preserve"> Inversor rolo da mesa em falha</t>
  </si>
  <si>
    <t xml:space="preserve"> Falha INI (Falha interna inversor)</t>
  </si>
  <si>
    <t xml:space="preserve"> Diagnostico e substituicao do inversor por reserva</t>
  </si>
  <si>
    <t xml:space="preserve"> BR20</t>
  </si>
  <si>
    <t xml:space="preserve"> Base Rolante X62</t>
  </si>
  <si>
    <t xml:space="preserve"> 180 min</t>
  </si>
  <si>
    <t xml:space="preserve"> Robo nao rearma e KCP travado</t>
  </si>
  <si>
    <t xml:space="preserve"> Erro de Sistema</t>
  </si>
  <si>
    <t xml:space="preserve"> Sistema corrompido</t>
  </si>
  <si>
    <t xml:space="preserve"> Descarregamento de imagem e restauracao de Backup</t>
  </si>
  <si>
    <t xml:space="preserve"> Bancos de Rolagem</t>
  </si>
  <si>
    <t xml:space="preserve"> Erro sistema ecos na Rolagem dos carros</t>
  </si>
  <si>
    <t xml:space="preserve"> MOP Pintura</t>
  </si>
  <si>
    <t xml:space="preserve"> Pintura</t>
  </si>
  <si>
    <t xml:space="preserve"> HD Mop cheio</t>
  </si>
  <si>
    <t xml:space="preserve"> Arquivo LOG SQL muito grande</t>
  </si>
  <si>
    <t xml:space="preserve"> Abertura do computador em modo seguranca e renomeado o arquivo SQL.log</t>
  </si>
  <si>
    <t xml:space="preserve"> OP05</t>
  </si>
  <si>
    <t xml:space="preserve"> VI08</t>
  </si>
  <si>
    <t xml:space="preserve"> 1 Turno</t>
  </si>
  <si>
    <t xml:space="preserve"> Parada operacao no Step 70</t>
  </si>
  <si>
    <t xml:space="preserve"> Falha nos sensores da garra de pega do virabrequim</t>
  </si>
  <si>
    <t xml:space="preserve"> Houve intervencoes durante a manha, possivel ajuste de posicao dos sensores da garra, o que necessitou de melhor ajuste devido as posicoes de pega</t>
  </si>
  <si>
    <t xml:space="preserve"> Ajustado os sensores, tanto na posicao de pega da caixa, como na pega apos camera 2D, Substituido um dos sensores do cilindro e realizado reaperto nas conexoes profinet dos modulos ET200 Eco</t>
  </si>
  <si>
    <t xml:space="preserve"> Robo A4</t>
  </si>
  <si>
    <t xml:space="preserve"> Sertissagem U79</t>
  </si>
  <si>
    <t xml:space="preserve"> 16:45</t>
  </si>
  <si>
    <t xml:space="preserve"> 105 minutos</t>
  </si>
  <si>
    <t xml:space="preserve"> Defeito no Eixo 2 do Robo</t>
  </si>
  <si>
    <t xml:space="preserve"> Vazamento de oleo para dentro do motor, causa do vazamento em analise</t>
  </si>
  <si>
    <t xml:space="preserve"> Substituido motor. Sem reserva, emprestado da carroceria CVP</t>
  </si>
  <si>
    <t xml:space="preserve"> Prensa 2</t>
  </si>
  <si>
    <t xml:space="preserve"> PTAV</t>
  </si>
  <si>
    <t xml:space="preserve"> 140min</t>
  </si>
  <si>
    <t xml:space="preserve"> falha no circuito de seguranca, acionamento de circuitos de emergencia 1 e 2</t>
  </si>
  <si>
    <t xml:space="preserve"> circuito de seguranca aberto e erro nos modulos de safety</t>
  </si>
  <si>
    <t xml:space="preserve"> circuito aberto na chave de emergencia e erro no procedimento de substituicao do modulo de i/o safety</t>
  </si>
  <si>
    <t xml:space="preserve"> realizado reparo na chave de emergencia e realizado procedimento de download e configuracao</t>
  </si>
  <si>
    <t xml:space="preserve"> Elevador Lateral</t>
  </si>
  <si>
    <t xml:space="preserve"> Lateral X52</t>
  </si>
  <si>
    <t xml:space="preserve"> 8:18</t>
  </si>
  <si>
    <t xml:space="preserve"> 34 min X52</t>
  </si>
  <si>
    <t xml:space="preserve"> 46 min</t>
  </si>
  <si>
    <t xml:space="preserve"> Lateral Esquerda nao entra no Elevador e nao continua ciclo</t>
  </si>
  <si>
    <t xml:space="preserve"> Falta leitura da Tag do Cabide lado esquerdo</t>
  </si>
  <si>
    <t xml:space="preserve"> Ausencia de Tag no cabide numero 16</t>
  </si>
  <si>
    <t xml:space="preserve"> Movimentacao manual e continuado ciclo e recolocado posteriormente a Tag no balancele</t>
  </si>
  <si>
    <t xml:space="preserve"> Robo R21</t>
  </si>
  <si>
    <t xml:space="preserve"> Biton</t>
  </si>
  <si>
    <t xml:space="preserve"> Defeito Robo R21 (Falha alta tensao)</t>
  </si>
  <si>
    <t xml:space="preserve"> Erro na aplicacao de corrente da Alta Tensao</t>
  </si>
  <si>
    <t xml:space="preserve"> Modulo de Alta Tensao</t>
  </si>
  <si>
    <t xml:space="preserve"> Diagnostico e substituicao do modulo de Alta tensao</t>
  </si>
  <si>
    <t xml:space="preserve"> Lasatron /Traseiro Esquerdo</t>
  </si>
  <si>
    <t xml:space="preserve"> Paralelismo</t>
  </si>
  <si>
    <t xml:space="preserve"> 14:20</t>
  </si>
  <si>
    <t xml:space="preserve"> 110MIN</t>
  </si>
  <si>
    <t xml:space="preserve"> Robo nao realiza calibracao, fica oscilando de um lado para outro e nao realiza medicoes</t>
  </si>
  <si>
    <t xml:space="preserve"> sensor de inclinacao defeituoso/ cabo arrebentado</t>
  </si>
  <si>
    <t xml:space="preserve"> fragilidade do cabo do sensor de inclinacao, o mesmo arrebentou uma via durante movimentacao do programa de calibracao</t>
  </si>
  <si>
    <t xml:space="preserve"> substituicao do sensor de inclinacao e realizacao de procedimento de calibracao de altura</t>
  </si>
  <si>
    <t xml:space="preserve"> MESA DE ELEVAcaO</t>
  </si>
  <si>
    <t xml:space="preserve"> BM30 X52</t>
  </si>
  <si>
    <t xml:space="preserve"> 15:50</t>
  </si>
  <si>
    <t xml:space="preserve"> 60MIN</t>
  </si>
  <si>
    <t xml:space="preserve"> Falha no acionamento do movimento de elevacao, movimento se inicia e para sem falha</t>
  </si>
  <si>
    <t xml:space="preserve"> defeito no modulo do rele de frenagem</t>
  </si>
  <si>
    <t xml:space="preserve"> modulo de rele de frenagem com defeito eletronico</t>
  </si>
  <si>
    <t xml:space="preserve"> substituicao do modulo de rele de frenagem</t>
  </si>
  <si>
    <t xml:space="preserve"> OP30</t>
  </si>
  <si>
    <t xml:space="preserve"> 80 min</t>
  </si>
  <si>
    <t xml:space="preserve"> Falha no ciclo da maquina</t>
  </si>
  <si>
    <t xml:space="preserve"> Stopper estava travado nao liberando peca; Data matrix nao estava sendo reconhecido</t>
  </si>
  <si>
    <t xml:space="preserve"> Falha no sinal do Stopper;</t>
  </si>
  <si>
    <t xml:space="preserve"> Ajustado o Stopper e regulado o leitor de Data Matrix.</t>
  </si>
  <si>
    <t xml:space="preserve">Robo R21</t>
  </si>
  <si>
    <t xml:space="preserve">Biton</t>
  </si>
  <si>
    <t xml:space="preserve">Defeito Robô R21 (Falha alta tensão)</t>
  </si>
  <si>
    <r>
      <rPr>
        <b val="true"/>
        <sz val="11"/>
        <color rgb="FF000000"/>
        <rFont val="Calibri"/>
        <family val="0"/>
        <charset val="1"/>
      </rPr>
      <t xml:space="preserve"> </t>
    </r>
    <r>
      <rPr>
        <sz val="11"/>
        <color rgb="FF000000"/>
        <rFont val="Calibri"/>
        <family val="0"/>
        <charset val="1"/>
      </rPr>
      <t xml:space="preserve">Erro na aplicação de corrente da Alta Tensão</t>
    </r>
  </si>
  <si>
    <t xml:space="preserve"> Módulo de Alta Tensão</t>
  </si>
  <si>
    <t xml:space="preserve">Diagnóstico e substituição do módulo de Alta tensão</t>
  </si>
  <si>
    <t xml:space="preserve">Mesa S1 (Giro S11 e S12)</t>
  </si>
  <si>
    <t xml:space="preserve">LVD</t>
  </si>
  <si>
    <t xml:space="preserve"> Erro no inversor SEW do giro mesa S12</t>
  </si>
  <si>
    <t xml:space="preserve">Ainda em análise, erro durante a transição de troca da mesa Erro 8 e Erro42</t>
  </si>
  <si>
    <t xml:space="preserve"> Foi criado um degradado na lógica para rodar somente a mesa S11 e não impactar na produção do turno. Em 3º turno será verificado inversor, encoder e procurar outras possíveis causas. Problema iníciou-se no 1º turno, porém quando realizava o reset voltava a funcionar.</t>
  </si>
  <si>
    <t xml:space="preserve">2° turno dia 28</t>
  </si>
  <si>
    <t xml:space="preserve">3 dias</t>
  </si>
  <si>
    <t xml:space="preserve">Caixa de redução travada</t>
  </si>
  <si>
    <t xml:space="preserve">Engrenagem quebrada do acoplamento motor/redutor</t>
  </si>
  <si>
    <t xml:space="preserve">Será rodado em degradado para intervenção Em 3º turno e final de semana</t>
  </si>
  <si>
    <t xml:space="preserve">RB</t>
  </si>
  <si>
    <t xml:space="preserve">Mastic Aereo</t>
  </si>
  <si>
    <t xml:space="preserve">Z1: R1 047/Defeito robô Fora de Serviço</t>
  </si>
  <si>
    <t xml:space="preserve">Perda de sinal do resolver do eixo S (Falha 1325 - Communication error - Encoder)</t>
  </si>
  <si>
    <t xml:space="preserve">Analise</t>
  </si>
  <si>
    <t xml:space="preserve">Feita limpeza e reaperto dos concectores do cabo do encoder e realizado reset no painel e calibração dos eixos. (Após a calibração ainda estava com erro na aplicação do mastic, foi verificado e movimentado o robô para uma posição conhecida e realizado a correção de posição necessária).</t>
  </si>
  <si>
    <t xml:space="preserve">1° TURNO</t>
  </si>
  <si>
    <t xml:space="preserve"> PR X62</t>
  </si>
  <si>
    <t xml:space="preserve"> 5:56</t>
  </si>
  <si>
    <t xml:space="preserve"> 6:26</t>
  </si>
  <si>
    <t xml:space="preserve"> 12 min Zona 5 Preliminar</t>
  </si>
  <si>
    <t xml:space="preserve"> 26 min</t>
  </si>
  <si>
    <t xml:space="preserve"> Z4: DEF. AR</t>
  </si>
  <si>
    <t xml:space="preserve"> Falha de Rede Profinet</t>
  </si>
  <si>
    <t xml:space="preserve"> Reinicializaçao da rede e descarregamento DB da Profinet, posterior Stop na CPU e restart para colocaçao da Profinet em Run</t>
  </si>
  <si>
    <t xml:space="preserve">2° TURNO</t>
  </si>
  <si>
    <t xml:space="preserve"> ROBO KUKA C5</t>
  </si>
  <si>
    <t xml:space="preserve"> BR X62</t>
  </si>
  <si>
    <t xml:space="preserve"> 20 CARROS</t>
  </si>
  <si>
    <t xml:space="preserve"> 300MIN</t>
  </si>
  <si>
    <t xml:space="preserve"> ROBO COLIDIU COM CARROCERIA APÓS PERDER A POTÊNCIA NOS MOTORES</t>
  </si>
  <si>
    <t xml:space="preserve"> FALHA DO MODULO PM600</t>
  </si>
  <si>
    <t xml:space="preserve"> DEFEITO ELETRONICO NA PLACA PM600</t>
  </si>
  <si>
    <t xml:space="preserve"> REALIZADO SUBSTITUIÇaO DO MÓDULO PM600, HOUVE DIFICULDADE DE DIAGNOSTICO APÓS A SUBSTITUIÇaO DO MODULO PM600 POR APRESENTAR FALHA DE SOBRETEMPERATURA NO MODULO PM1, O QUAL FOI DISGNOTICADO COMO DEFEITO ANTERIOR À PANE ATUAL, PROVAVEL PROBLEMA NO VENTILADOR DO PC DO ROBO, O QUAL FOI JAMPEADO E SERÁ REALIZADA A MANUTENÇaO</t>
  </si>
  <si>
    <t xml:space="preserve"> ROBO J4</t>
  </si>
  <si>
    <t xml:space="preserve"> UNIT ARRIER</t>
  </si>
  <si>
    <t xml:space="preserve"> 18 carros</t>
  </si>
  <si>
    <t xml:space="preserve"> 135MIN</t>
  </si>
  <si>
    <t xml:space="preserve"> COLISaO DE ROBOS DURANTE MODO DEGRADADO</t>
  </si>
  <si>
    <t xml:space="preserve"> ILHA ESTAVA EM MODO DEGRADADO DO ROBO J4 DEVIDO A PROBLEMAS DE SOLDA, AO ACONTECER UMA PARADA DO ROBO DE GEOMETRIA, FOI FORÇADO UM EVENTO E OS DEMAIS ROBOS COLIDIRAM AO ROBO DE GEOMETRIA</t>
  </si>
  <si>
    <t xml:space="preserve"> EM ANALISE DE CIRCUNSTÂNCIA DO EVENTO</t>
  </si>
  <si>
    <t xml:space="preserve"> REALIZADO SUBSTIUIÇaO DO FUSIVEL DO GRIPER E REPARADO CABOS DANIFICADOS DURANTE A COLISaO</t>
  </si>
  <si>
    <t xml:space="preserve"> ESTEIRA DE TRANSBORDO</t>
  </si>
  <si>
    <t xml:space="preserve"> UNIT ARRIER U79</t>
  </si>
  <si>
    <t xml:space="preserve"> 16:57</t>
  </si>
  <si>
    <t xml:space="preserve"> 20MIN</t>
  </si>
  <si>
    <t xml:space="preserve"> ESTEIRA PARADA SEM FALHA AGUARDANDO TRANSFERENCIA</t>
  </si>
  <si>
    <t xml:space="preserve"> PEÇA COM PINO TUCKER MAL POSICIONADO NaO ACIONOU SENSOR DE PRESENÇA</t>
  </si>
  <si>
    <t xml:space="preserve"> MOP</t>
  </si>
  <si>
    <t xml:space="preserve"> REALIZADO RESPOSICIONAMENTO DO PINO TUCKER E LIBERADO A LINHA, AO CHEGAR NO EVENTO A LINHA JÁ ESTAVA RODANDO</t>
  </si>
  <si>
    <t xml:space="preserve"> FM30</t>
  </si>
  <si>
    <t xml:space="preserve"> X52</t>
  </si>
  <si>
    <t xml:space="preserve"> 8:36</t>
  </si>
  <si>
    <t xml:space="preserve"> 8:56</t>
  </si>
  <si>
    <t xml:space="preserve"> 30 min startup</t>
  </si>
  <si>
    <t xml:space="preserve"> Erro movimento NC Locator</t>
  </si>
  <si>
    <t xml:space="preserve"> Drum X Locator 01 fora de posiçao</t>
  </si>
  <si>
    <t xml:space="preserve"> Reaperto de coneções do locator e configuraçao movimento manual</t>
  </si>
  <si>
    <t xml:space="preserve"> SC5 - TMD</t>
  </si>
  <si>
    <t xml:space="preserve"> 22:17</t>
  </si>
  <si>
    <t xml:space="preserve"> SMPLOC parado</t>
  </si>
  <si>
    <t xml:space="preserve"> SMPLOC em erro</t>
  </si>
  <si>
    <t xml:space="preserve"> Erro de base</t>
  </si>
  <si>
    <t xml:space="preserve"> Reinicializaçao do PC mas permaneceu em erro (passado para tratativa primeiro turno)</t>
  </si>
  <si>
    <t xml:space="preserve"> Restauraçao de base Backup, e Restart force e restart Aplicativo SMPLOC tres vezes para o retorno ao funcionamento</t>
  </si>
  <si>
    <t xml:space="preserve"> Robo com falha de movimento eixo 7 Track Motion</t>
  </si>
  <si>
    <t xml:space="preserve"> Defeito de colisao de junta</t>
  </si>
  <si>
    <t xml:space="preserve"> 2° turno 24/05</t>
  </si>
  <si>
    <t xml:space="preserve"> 5:35</t>
  </si>
  <si>
    <t xml:space="preserve"> Robo fora de operaçao permanece degradada a linha com pintura Manual</t>
  </si>
  <si>
    <t xml:space="preserve"> Servo motor eixo travado</t>
  </si>
  <si>
    <t xml:space="preserve"> Diagnóstico em 3° turno, e retirada servo primeiro turno (eixo do servo travado enviado servo para reparo externo)</t>
  </si>
  <si>
    <t xml:space="preserve"> Elevador 03 Entrada PO4</t>
  </si>
  <si>
    <t xml:space="preserve"> PO4</t>
  </si>
  <si>
    <t xml:space="preserve"> 6:03</t>
  </si>
  <si>
    <t xml:space="preserve"> 27,1</t>
  </si>
  <si>
    <t xml:space="preserve"> 47 min</t>
  </si>
  <si>
    <t xml:space="preserve"> TIME OUT FECHAMENTO OBTURADOR ELEVADOR 03 CAP</t>
  </si>
  <si>
    <t xml:space="preserve"> Travamento do movimento do obturador</t>
  </si>
  <si>
    <t xml:space="preserve"> Bucha guia do pino fora de posiçao</t>
  </si>
  <si>
    <t xml:space="preserve"> Desmontagem conjunto desentortado Hastes recolocaçao e fixaçao da bucha e remontagem do conjunto</t>
  </si>
  <si>
    <t xml:space="preserve"> MOP CPU</t>
  </si>
  <si>
    <t xml:space="preserve"> ECFF U79</t>
  </si>
  <si>
    <t xml:space="preserve"> 14:21</t>
  </si>
  <si>
    <t xml:space="preserve"> 14:27</t>
  </si>
  <si>
    <t xml:space="preserve"> 42 min</t>
  </si>
  <si>
    <t xml:space="preserve"> Estouro tempo de Scan CPU</t>
  </si>
  <si>
    <t xml:space="preserve"> Seguimento MBR</t>
  </si>
  <si>
    <t xml:space="preserve"> Ajuste provisorio 150 para 180 tempo de Scan max da CPU, para analise posterior</t>
  </si>
  <si>
    <t xml:space="preserve"> 16:39</t>
  </si>
  <si>
    <t xml:space="preserve"> no local</t>
  </si>
  <si>
    <t xml:space="preserve"> 67 min</t>
  </si>
  <si>
    <t xml:space="preserve"> Z4ZB: Def. carta de segurança</t>
  </si>
  <si>
    <t xml:space="preserve"> portao instalado pela engenharia gerando erro, barreiras gerando erro repicando canais N0CIM1</t>
  </si>
  <si>
    <t xml:space="preserve"> Desabilitado nó de rede do portao na profinet, e efetuado limpeza das barreiras de segurança</t>
  </si>
  <si>
    <t xml:space="preserve"> Z2: H2D Parada induzida fluxo secundário</t>
  </si>
  <si>
    <t xml:space="preserve"> Espera preposiçao do Siptol</t>
  </si>
  <si>
    <t xml:space="preserve"> Sequencia incorreta OF (Avanço involuntário OFs no terceiro turno)</t>
  </si>
  <si>
    <t xml:space="preserve"> Verificaçao Siptol e condiçoes faltantes no PLC avanço de dois palettes de peças manualmente e recuo das OFs pelo responsavel do Siptol até sequencia correta.</t>
  </si>
  <si>
    <t xml:space="preserve"> Correntao ME1</t>
  </si>
  <si>
    <t xml:space="preserve"> 6:38</t>
  </si>
  <si>
    <t xml:space="preserve"> 22 U79</t>
  </si>
  <si>
    <t xml:space="preserve"> 127,06 min</t>
  </si>
  <si>
    <t xml:space="preserve"> Fim de curso esticador DR02</t>
  </si>
  <si>
    <t xml:space="preserve"> Travamento Correntao falta descarga Stopper 12 e 18</t>
  </si>
  <si>
    <t xml:space="preserve"> Desconhecida em analise</t>
  </si>
  <si>
    <t xml:space="preserve"> Destravado balanceles nos trechos e restabelecimento da linha, e troca de Dog quebrado do Balancele 11</t>
  </si>
  <si>
    <t xml:space="preserve"> 15:01</t>
  </si>
  <si>
    <t xml:space="preserve"> 10 U79</t>
  </si>
  <si>
    <t xml:space="preserve"> 81 min</t>
  </si>
  <si>
    <t xml:space="preserve"> DR03 Def. Acionamento Noria</t>
  </si>
  <si>
    <t xml:space="preserve"> Travamento do guia de arraste da Nória junto ao balancele</t>
  </si>
  <si>
    <t xml:space="preserve">  "Em análise ", possibilidade do balancele ter recuado involuntariamente colidindo com trolley e quebrando o guia</t>
  </si>
  <si>
    <t xml:space="preserve"> Alteraçao de contador no software para atuaçao como guia</t>
  </si>
  <si>
    <t xml:space="preserve"> 16:29</t>
  </si>
  <si>
    <t xml:space="preserve"> 16:42</t>
  </si>
  <si>
    <t xml:space="preserve"> Falha de reconhecimento de tipo</t>
  </si>
  <si>
    <t xml:space="preserve"> Falha após inserir Skid na mesa P0</t>
  </si>
  <si>
    <t xml:space="preserve"> Dados escritos na mesa foram errados</t>
  </si>
  <si>
    <t xml:space="preserve"> Avançado skid sem PSF. Reescrito os dados na CSF3 e ajustados as memorias das mesas.</t>
  </si>
  <si>
    <t xml:space="preserve"> Dispositivo mesa E0</t>
  </si>
  <si>
    <t xml:space="preserve"> UAV</t>
  </si>
  <si>
    <t xml:space="preserve"> 12:45</t>
  </si>
  <si>
    <t xml:space="preserve"> Falha na indexaçao da peça na mesa</t>
  </si>
  <si>
    <t xml:space="preserve"> Quebrou os parafusos da base do locator</t>
  </si>
  <si>
    <t xml:space="preserve"> Ainda em análise, esforço realizado no dispositivo</t>
  </si>
  <si>
    <t xml:space="preserve"> Substituído os parafusos de fixaçao do braço do NC Locator e acionado a geometria para verificaçao e ajustes</t>
  </si>
  <si>
    <t xml:space="preserve"> PORTAL DE TRANPORTE</t>
  </si>
  <si>
    <t xml:space="preserve"> CU05</t>
  </si>
  <si>
    <t xml:space="preserve"> 21:20</t>
  </si>
  <si>
    <t xml:space="preserve"> AO ABRIR PORTA DE CARGA DA MAQUINA 01 PORTAL PERDE SINAL DE SEGURANÇA E PARA POR EMERGENCIA</t>
  </si>
  <si>
    <t xml:space="preserve"> FALTA SINAL DE SEGURANÇA</t>
  </si>
  <si>
    <t xml:space="preserve"> DEFEITO NO CONTATOR DE RESET DO RELE PILZ</t>
  </si>
  <si>
    <t xml:space="preserve"> SUBSTITUIÇaO DO CONTATOR</t>
  </si>
  <si>
    <t xml:space="preserve"> (aplicação em degradado manual)</t>
  </si>
  <si>
    <t xml:space="preserve"> Defeito de colisão de junta</t>
  </si>
  <si>
    <t xml:space="preserve"> Servo motor eixo 7 avariado</t>
  </si>
  <si>
    <t xml:space="preserve"> Auxilio remontagem com servo revisado, calibração geral dos eixos e colocação do Robo em funcionamento</t>
  </si>
  <si>
    <t xml:space="preserve">UTILIDADES</t>
  </si>
  <si>
    <t xml:space="preserve"> AGUA DESMIN</t>
  </si>
  <si>
    <t xml:space="preserve"> UTILIDADES</t>
  </si>
  <si>
    <t xml:space="preserve"> 22:10</t>
  </si>
  <si>
    <t xml:space="preserve"> 30MIN</t>
  </si>
  <si>
    <t xml:space="preserve"> CLP EM FALHA - MODO STOP - MODULO 23 FALTANDO OU NÃO RECONHECIDO</t>
  </si>
  <si>
    <t xml:space="preserve"> FALHA DO MODULO DE SAIDAS - MODULO DANIFICADO</t>
  </si>
  <si>
    <t xml:space="preserve"> DEFEITO ELETRONICO NA PLACA DO MODULO</t>
  </si>
  <si>
    <t xml:space="preserve"> REALIZADO SUBSTITUIÇÃO DO MÓDULO DE SAIDAS POR OUTRO SOBRESSALENTE</t>
  </si>
  <si>
    <t xml:space="preserve"> P12</t>
  </si>
  <si>
    <t xml:space="preserve"> 09:47</t>
  </si>
  <si>
    <t xml:space="preserve"> 10:15</t>
  </si>
  <si>
    <t xml:space="preserve"> Somente diagnóstico rodando outras linhas</t>
  </si>
  <si>
    <t xml:space="preserve"> Prensa P13 desligando painel geral</t>
  </si>
  <si>
    <t xml:space="preserve"> Sobrecarga Drive principal</t>
  </si>
  <si>
    <t xml:space="preserve"> Problema mecânico conjunto eixo volante do martelo</t>
  </si>
  <si>
    <t xml:space="preserve"> Diagnóstico e verificação, limitado velocidade do martelo para poder rodar necessária programação de intervenção de troca de rolamento do eixo principal do volante do martelo.</t>
  </si>
  <si>
    <t xml:space="preserve"> ROBO ABB ENTRADA</t>
  </si>
  <si>
    <t xml:space="preserve"> 40 MIN</t>
  </si>
  <si>
    <t xml:space="preserve"> TRACK PERDENDO MASTERIZAÇÃO E QUEDA DO SISTEMA</t>
  </si>
  <si>
    <t xml:space="preserve"> PERDA DE COMUNICAÇÃO COM SMB E FALHA DE RESOLVER</t>
  </si>
  <si>
    <t xml:space="preserve"> POSSIVEL MAL CONTATO CONEXÕES DA PLACA SMB</t>
  </si>
  <si>
    <t xml:space="preserve"> REALIZADO SUBSTITUIÇÃO BATERIA SMB E LIMPEZA DAS CONEXÕES COM LIMPA CONTATO</t>
  </si>
  <si>
    <t xml:space="preserve">Carroceria CVU Local : Piso</t>
  </si>
  <si>
    <t xml:space="preserve"> ROBOS FANUC X62</t>
  </si>
  <si>
    <t xml:space="preserve"> 18:30</t>
  </si>
  <si>
    <t xml:space="preserve"> 19:10</t>
  </si>
  <si>
    <t xml:space="preserve"> 2 CARROS</t>
  </si>
  <si>
    <t xml:space="preserve"> 68 MIN</t>
  </si>
  <si>
    <t xml:space="preserve"> SKID 66 CAUSOU INTRUSÃO NA ILHA AO ENTRAR NA ILHA. QUEDA DE SEGURANÇA E PERDA DE PRESENÇA DE PEÇA E AO SE POSICIONAR O SKID, NÃO CARREGOU VARIÁVEIS DE MODELO</t>
  </si>
  <si>
    <t xml:space="preserve"> SKID NÃO ACIONOU SENSOR DE MUTTING DA BARREIRA</t>
  </si>
  <si>
    <t xml:space="preserve"> SKID COM DESGASTE NA BASE</t>
  </si>
  <si>
    <t xml:space="preserve"> REPOSICIONADO SKID , INSERIDO VARIÁVEIS MANUALMENTE E LIBERADO A LINHA, SKID SERÁ RETIRADO AO FINAL DA LINHA PARA MANUTENÇÃO. FOI CRIADO VAT COM SINAIS NECESSÁRIOS PARA INSERIR VARIÁVEIS MAIS RAPIDAMENTE EM CASOS FUTUROS</t>
  </si>
  <si>
    <t xml:space="preserve"> 12:24</t>
  </si>
  <si>
    <t xml:space="preserve"> 16:25</t>
  </si>
  <si>
    <t xml:space="preserve"> 420min</t>
  </si>
  <si>
    <t xml:space="preserve"> Inversor não responde ao comando de ligar</t>
  </si>
  <si>
    <t xml:space="preserve"> Módulo retificar em curto, Placa de interface do Inversor com defeito</t>
  </si>
  <si>
    <t xml:space="preserve"> Tiristor do retificador em curto, relé da placa de interface PSU do Inversor danificado.</t>
  </si>
  <si>
    <t xml:space="preserve"> Substituido Módulo Inversor, Módulo Retificador .</t>
  </si>
  <si>
    <t xml:space="preserve"> DESACOSTAGEM</t>
  </si>
  <si>
    <t xml:space="preserve"> MONTAGEM</t>
  </si>
  <si>
    <t xml:space="preserve"> 21:35</t>
  </si>
  <si>
    <t xml:space="preserve"> 21:55</t>
  </si>
  <si>
    <t xml:space="preserve"> 20min</t>
  </si>
  <si>
    <t xml:space="preserve"> DESACOSTAGEM PARADA SEM FALHA</t>
  </si>
  <si>
    <t xml:space="preserve"> MESA DE DESACOSTAGEM PARADA COM CARRO AGUARDANDO DESACOSTAR, TRAVADA</t>
  </si>
  <si>
    <t xml:space="preserve"> PORCA DO PROCESSO TRAVANDO DISPOSITIVO DA MESA</t>
  </si>
  <si>
    <t xml:space="preserve"> REALIZADO MOVIMENTO EM MANUAL E RETIRADO PORCA DO PROCESSO QUE ESTAVA TRAVANDO A MESA .</t>
  </si>
  <si>
    <t xml:space="preserve"> Transformador</t>
  </si>
  <si>
    <t xml:space="preserve"> PRP19</t>
  </si>
  <si>
    <t xml:space="preserve"> 00:00</t>
  </si>
  <si>
    <t xml:space="preserve"> 06:29</t>
  </si>
  <si>
    <t xml:space="preserve"> degradado</t>
  </si>
  <si>
    <t xml:space="preserve"> 540min</t>
  </si>
  <si>
    <t xml:space="preserve"> Falha Err20 no controlador de solda</t>
  </si>
  <si>
    <t xml:space="preserve"> Erro no disparo de solda</t>
  </si>
  <si>
    <t xml:space="preserve"> Diodos em curto</t>
  </si>
  <si>
    <t xml:space="preserve"> Substituição do bloco retificador. (Bloco emprestado da Faurecia)</t>
  </si>
  <si>
    <t xml:space="preserve"> 19:30</t>
  </si>
  <si>
    <t xml:space="preserve"> SISTEMA TRAVADO , REINICIANDO SOZINHO</t>
  </si>
  <si>
    <t xml:space="preserve"> POSSIVEL MAL CONTATO CONEXÕES DA PLACA SMB OU FALHA NA FLASH</t>
  </si>
  <si>
    <t xml:space="preserve"> REALIZADO SUBSTITUIÇÃO FLASH CARD MEMORY E RESTAURADO BACKUP</t>
  </si>
  <si>
    <t xml:space="preserve"> 21:30</t>
  </si>
  <si>
    <t xml:space="preserve"> 21:34</t>
  </si>
  <si>
    <t xml:space="preserve"> 90 MIN</t>
  </si>
  <si>
    <t xml:space="preserve"> PERDA DE COMUNICAÇÃO COM SMB DO EIXO EXTERNO TRACK</t>
  </si>
  <si>
    <t xml:space="preserve"> POSSÍVEL DEFEITO NA PLACA SMB OU FALHA NO CABO DE COMUNICAÇÃO ENTRE SMB E ARMÁRIO PRINCIPAL</t>
  </si>
  <si>
    <t xml:space="preserve"> REALIZADO SUBSTITUIÇÃO DO CABO DE COMUNICAÇÃO DA PLACA SMB DA ESTEIRA PORTA CABOS E LIBERADO PRODUÇÃO, APÓS SUBSTITUIÇÃO DO CABO NÃO HOUVERAM MAIS FALHAS</t>
  </si>
  <si>
    <t xml:space="preserve"> MONTADORA DE RODAS</t>
  </si>
  <si>
    <t xml:space="preserve"> 13:50</t>
  </si>
  <si>
    <t xml:space="preserve"> 14:10</t>
  </si>
  <si>
    <t xml:space="preserve"> PERDA DE CONTAGEM NA ENTRADA DE RODAS CAUSOU PARADA DA MAQUINA</t>
  </si>
  <si>
    <t xml:space="preserve"> HOUVE CONTAGEM DE UMA RODA A MAIS NA ENTRADA DA MAQUINA</t>
  </si>
  <si>
    <t xml:space="preserve"> POSSIVEL SUJEIRA NO SENSOR OTICO DE REGISTRO DE PRESENÇA DE RODA NA ENTRADA DA MAQUINA</t>
  </si>
  <si>
    <t xml:space="preserve"> REALIZADO LIMPEZA E RESEQUENCIAMENTO DA MAQUINA</t>
  </si>
  <si>
    <t xml:space="preserve"> PRENSA PTAV - MOLAS</t>
  </si>
  <si>
    <t xml:space="preserve"> 60 MIN</t>
  </si>
  <si>
    <t xml:space="preserve"> FALHA NO CIRCUITO DE SEGURANÇA</t>
  </si>
  <si>
    <t xml:space="preserve"> SINAL DE EMERGENCIA SENDO PERDIDO CICLICAMENTE</t>
  </si>
  <si>
    <t xml:space="preserve"> DEFEITO NO CARTÃO DO SEGURANÇA DE ENTRADA 09 DOS SINAIS DE EMERGÊNCIA</t>
  </si>
  <si>
    <t xml:space="preserve"> COMO NÃO HAVIA CARTÃO RESERVA PARA SUBSTITUIÇÃO FORAM INVERTIDOS OS CARTÕES 10 E 09</t>
  </si>
  <si>
    <t xml:space="preserve"> ELEVADOR DO MAGAZINE DE SAIDA</t>
  </si>
  <si>
    <t xml:space="preserve"> 20:10</t>
  </si>
  <si>
    <t xml:space="preserve"> 90MIN</t>
  </si>
  <si>
    <t xml:space="preserve"> PERDA DE REFERENCIA APÓS COLISAO DEVIDO QUEDA DE RACK DE CABEÇOTE</t>
  </si>
  <si>
    <t xml:space="preserve"> COLISÃO CAUSOU DESALINHAMENTO ENTRE OS DOIS SERVOMOTORES DO ELEVADOR</t>
  </si>
  <si>
    <t xml:space="preserve"> AO SE TENTAR ACERTAR OS VALORES DE REFERENCIAMENTO, O PROCEDIMENTO NÃO FOI CORRETAMENTE EXECUTADO CAUSANDO A PERDA DOS VALORES CORRETOS</t>
  </si>
  <si>
    <t xml:space="preserve"> FOI REALIZADO O CORRETO PROCEDIMENTO DE CORREÇÃO DOS VALORES DE REFERENCIAMENTO DE AMBOS OS SERVOMOTORES.</t>
  </si>
  <si>
    <t xml:space="preserve"> PORTAL - OP216</t>
  </si>
  <si>
    <t xml:space="preserve"> CC01</t>
  </si>
  <si>
    <t xml:space="preserve"> 08:30</t>
  </si>
  <si>
    <t xml:space="preserve"> 13:30</t>
  </si>
  <si>
    <t xml:space="preserve"> 8HRS</t>
  </si>
  <si>
    <t xml:space="preserve"> FALHA PROFINET - IHM NÃO INICIA SISTEMA</t>
  </si>
  <si>
    <t xml:space="preserve"> CARTAO FLASH MEMORY DANIFICADO</t>
  </si>
  <si>
    <t xml:space="preserve"> NÃO ESPECIFICADO- DEFEITO NO CARTÃO</t>
  </si>
  <si>
    <t xml:space="preserve"> FOI SUBSTITUIDO O CARTÃO - PORÉM É NECESSÁRIO A LICENSA DE FIRMWARE DA SIEMENS PARA HABILITAR A MAQUINA, POREM O HOTLINE DA SIEMENS SÓ FUNCIONA DE SEGUNDA A SEXTA, FOI ENTRADO EM CONTATO COM A HOTLINE DA GROB, A QUALL PASSOU PROCEDIMENTOS PARA RODAR A MÁQUINA POR DOIS DIAS ATÉ CONSEGUIR A LICENÇA, FOI REESTABELECIDO O SISTEMA, PÓREM AO FINAL DO TURNO SE FAZIA NECESSÁRIO O DESABASTECIMENTO DAS MAQUINAS E ESTEIRAS PARA SE RETIRAR TODOS OS ALARMES E RODAR A MAQUINA, MAS NÃO HAVIA OPERADORES COM TEMPO DISPONÍVEL PARA FAZE-LO.</t>
  </si>
  <si>
    <t xml:space="preserve"> BITON - MOP</t>
  </si>
  <si>
    <t xml:space="preserve"> PINTURA</t>
  </si>
  <si>
    <t xml:space="preserve"> AO DESABILITAR O SISTEMA DE INCENDIO DA PINTURA - A PEDIDO DA ENGENHARIA PARA TRABALHOS NO SETOR A CPU DO MOP ENTROU EM STOP, NÃO SENDO POSSIVEL A REABILITAÇÃO DO MOP</t>
  </si>
  <si>
    <t xml:space="preserve"> DESABILITAÇÃO DO SISTEMA DE INCENDIO</t>
  </si>
  <si>
    <t xml:space="preserve"> EM ANÁLISE</t>
  </si>
  <si>
    <t xml:space="preserve"> A PANE NÃO FOI ATENDIDA PELA PLATEC, DEVIDO AO ENVOLVIMENTO NA PANE DA CMO, O MESMO FOI RESOLVIDO PELO MARCELO PINHEIRO E O TECNICO DA EMPRESA DURR, QUE APENAS REALIZARAM O RESTART DA CPU</t>
  </si>
  <si>
    <t xml:space="preserve"> Movel TK</t>
  </si>
  <si>
    <t xml:space="preserve"> 6:05</t>
  </si>
  <si>
    <t xml:space="preserve"> Falta Movimentação Móvel TK</t>
  </si>
  <si>
    <t xml:space="preserve"> Falta de segurança para movimentação, e erro descarga em alveolo cheio</t>
  </si>
  <si>
    <t xml:space="preserve"> Porta do painel eletrico movel aberto e carros fora posição (Troca roda TK fim de semana)</t>
  </si>
  <si>
    <t xml:space="preserve"> Diagnostico via PLC e fechamento porta do armario e movimentação manual de carro para alveolo vazio e verificação de alveolos para coerencia pelo DLI no SIPTK</t>
  </si>
  <si>
    <t xml:space="preserve"> Equilibradora</t>
  </si>
  <si>
    <t xml:space="preserve"> 9:30</t>
  </si>
  <si>
    <t xml:space="preserve"> Rodando degradado com o Buffer</t>
  </si>
  <si>
    <t xml:space="preserve"> Falha de barreira do posto colocação de massas</t>
  </si>
  <si>
    <t xml:space="preserve"> Erro no retorno da barreira</t>
  </si>
  <si>
    <t xml:space="preserve"> Diagnostico posterior</t>
  </si>
  <si>
    <t xml:space="preserve"> Efetuado By pass do sinal da barreira (Validado pelo tec segurança), resincronização da sequencia das maquinas</t>
  </si>
  <si>
    <t xml:space="preserve"> ELEVADOR TE45 (desacostagem)</t>
  </si>
  <si>
    <t xml:space="preserve"> 19:20</t>
  </si>
  <si>
    <t xml:space="preserve"> 2 U79</t>
  </si>
  <si>
    <t xml:space="preserve"> SENSOR DE FITA ARREBENTADA ATUOU APÓS UM AJUSTE NA FITA DA POSIÇÃO INFERIOR DA TABUA</t>
  </si>
  <si>
    <t xml:space="preserve"> DESAJUSTE DE SENSOR DA FITA ARREBENTADA</t>
  </si>
  <si>
    <t xml:space="preserve"> MAL AJUSTE REALIZADO PELA MANUTENÇÃO NA TABUA DE SENSORES- POSIÇÃO INFERIOR</t>
  </si>
  <si>
    <t xml:space="preserve"> REALIZADO AJUSTE DO SENSOR DE FITA ARREBENTADA E AJUSTE NA FITA DA TABUA DE SENSORES, POSIÇÃO INFERIOR</t>
  </si>
  <si>
    <t xml:space="preserve"> PORTAL OP330 PO</t>
  </si>
  <si>
    <t xml:space="preserve"> 120 MIN</t>
  </si>
  <si>
    <t xml:space="preserve"> FALHA NO EIXO A4 - ERRO DE SUPERVISÃO DE CONTORNO</t>
  </si>
  <si>
    <t xml:space="preserve"> SERVO MOTOR DANIFICADO</t>
  </si>
  <si>
    <t xml:space="preserve"> EM ANÁLISE, MAS JÁ HÁ HISTORICO DE SERVO MOTOR DANIFICADO EM OUTRO EIXO, PARALELO AO EIXO 4</t>
  </si>
  <si>
    <t xml:space="preserve"> TESTADO MODULO DE POTENCIA, REGULADOR DE TENSÃO, CABO DO ENCODER E CABO DE POTENCIA, POR FIM FOI SUBSTITUIDO O SERVO MOTOR</t>
  </si>
  <si>
    <t xml:space="preserve"> Robô S0</t>
  </si>
  <si>
    <t xml:space="preserve"> 93 carros</t>
  </si>
  <si>
    <t xml:space="preserve"> 105,8 min</t>
  </si>
  <si>
    <t xml:space="preserve"> Problema de solda Mig</t>
  </si>
  <si>
    <t xml:space="preserve"> Problema no motor robacta da tocha</t>
  </si>
  <si>
    <t xml:space="preserve"> Substituição da robacta e efetuado teste.</t>
  </si>
  <si>
    <t xml:space="preserve"> teste elétrico</t>
  </si>
  <si>
    <t xml:space="preserve"> Make Bancos</t>
  </si>
  <si>
    <t xml:space="preserve"> 14:40</t>
  </si>
  <si>
    <t xml:space="preserve"> 14:58</t>
  </si>
  <si>
    <t xml:space="preserve"> 50 minutos</t>
  </si>
  <si>
    <t xml:space="preserve"> Desarme do disjuntos 24 de comando da zona 3</t>
  </si>
  <si>
    <t xml:space="preserve"> Curto circuito no sistema</t>
  </si>
  <si>
    <t xml:space="preserve"> Curto circuito no teste elétrico do banco, sensor do cinto de segurança afivelado com o chicote em curto com a estrutura do banco.</t>
  </si>
  <si>
    <t xml:space="preserve"> Removido o ponto de conflito.</t>
  </si>
  <si>
    <t xml:space="preserve"> Prensa P50</t>
  </si>
  <si>
    <t xml:space="preserve"> 21:32</t>
  </si>
  <si>
    <t xml:space="preserve"> 225 minutos</t>
  </si>
  <si>
    <t xml:space="preserve"> Falha no inversor da prensa P50.</t>
  </si>
  <si>
    <t xml:space="preserve"> Queima da unidade de potência</t>
  </si>
  <si>
    <t xml:space="preserve"> Em análise</t>
  </si>
  <si>
    <t xml:space="preserve"> Substituição do modulo de potência</t>
  </si>
  <si>
    <t xml:space="preserve"> ROBO PB -ABB</t>
  </si>
  <si>
    <t xml:space="preserve"> 15MIN</t>
  </si>
  <si>
    <t xml:space="preserve"> COLISÃO DO ROBO COM A CARROCERIA NO MOMENTO DA APLICAÇÃO</t>
  </si>
  <si>
    <t xml:space="preserve"> PROVAVEL CARROCERIA FORA DE POSIÇÃO NO SKID</t>
  </si>
  <si>
    <t xml:space="preserve"> SISTEMA DE MEDIÇÃO INTERPRETA ATÉ UMA VARIAÇÃO DE 60MM, O QUE PODE OCASIONAR COLISÕES EM CASO DE CARROCERIA FORA DE POSIÇÃO</t>
  </si>
  <si>
    <t xml:space="preserve"> RECOLOCADO ROBO EM REPLY E REALIZADO PROCEDIMENTOS DE RESTART DA LINHA</t>
  </si>
  <si>
    <t xml:space="preserve"> SMPLOC EEC</t>
  </si>
  <si>
    <t xml:space="preserve"> TTS - Cata</t>
  </si>
  <si>
    <t xml:space="preserve"> 11:48</t>
  </si>
  <si>
    <t xml:space="preserve"> Aplicativo SMPLOC travado</t>
  </si>
  <si>
    <t xml:space="preserve"> Falha na execução software SMPLOC</t>
  </si>
  <si>
    <t xml:space="preserve"> Windows travado</t>
  </si>
  <si>
    <t xml:space="preserve"> Falha de sobre temperatura processador (sujeira no processador e ventilador da CPU)</t>
  </si>
  <si>
    <t xml:space="preserve"> Recriado base do SMPLOC e passado para area realização de limpeza do PC.</t>
  </si>
  <si>
    <t xml:space="preserve"> Robô A2</t>
  </si>
  <si>
    <t xml:space="preserve"> ACL</t>
  </si>
  <si>
    <t xml:space="preserve"> 16:58</t>
  </si>
  <si>
    <t xml:space="preserve"> PERDA DE CALIBRAÇÃO DOS EIXOS DEVIDO PERDA DE COMUNICAÇÃO COM SMB, APÓS RESTART APARECEU UMA FALHA DE FALTA DE SINAL DA VALVULA DE AR DA FERRAMENTA</t>
  </si>
  <si>
    <t xml:space="preserve"> EM ANALISE- FALTA DE SINAL PROVENIENTE DA VALVULA</t>
  </si>
  <si>
    <t xml:space="preserve"> FOI SIMULADO O SINAL DE AR DA VALVULA DE AR DA FERRAMENTA POIS A MESMA APARENTE NÃO POSSUI FEEDBACK VIA HARDWARE. SERÁ ANALISADO O HISTORICO DO COMPONENTE E REVISADO NO TERCEIRO TURNO</t>
  </si>
  <si>
    <t xml:space="preserve"> Capo e Cofre BBB</t>
  </si>
  <si>
    <t xml:space="preserve"> 5:44</t>
  </si>
  <si>
    <t xml:space="preserve"> 10 min</t>
  </si>
  <si>
    <t xml:space="preserve"> Erro de sistema Robo</t>
  </si>
  <si>
    <t xml:space="preserve"> Falha após restabelecimento de energia barramento geral (troca de cofre terceiro turno)</t>
  </si>
  <si>
    <t xml:space="preserve"> Reinicialização do Robo e restabelecimento ciclo da ilha</t>
  </si>
  <si>
    <t xml:space="preserve">Montagem CMO</t>
  </si>
  <si>
    <t xml:space="preserve"> Posto 180</t>
  </si>
  <si>
    <t xml:space="preserve"> MM13</t>
  </si>
  <si>
    <t xml:space="preserve"> 2° turno</t>
  </si>
  <si>
    <t xml:space="preserve"> Falta giro do palet no posto 180</t>
  </si>
  <si>
    <t xml:space="preserve"> Erro drive infeed no inversor do drive de giro</t>
  </si>
  <si>
    <t xml:space="preserve"> Power Module avariado</t>
  </si>
  <si>
    <t xml:space="preserve"> Diagnóstico e substituição da Power Module</t>
  </si>
  <si>
    <t xml:space="preserve"> Robo B2</t>
  </si>
  <si>
    <t xml:space="preserve"> ACL2</t>
  </si>
  <si>
    <t xml:space="preserve"> 7:28</t>
  </si>
  <si>
    <t xml:space="preserve"> 7 carros</t>
  </si>
  <si>
    <t xml:space="preserve"> Mesa da ilha não executa o giro</t>
  </si>
  <si>
    <t xml:space="preserve"> Falha no setimo eixo msg 34318- erro de saturação do inversor do acionador</t>
  </si>
  <si>
    <t xml:space="preserve"> drive avariado</t>
  </si>
  <si>
    <t xml:space="preserve"> Realizado a troca do driver do eixo externo chamada da mesa para posição conhecida e colocação da ilha em ciclo.</t>
  </si>
  <si>
    <t xml:space="preserve"> SMPLoc</t>
  </si>
  <si>
    <t xml:space="preserve"> Faltam informações dos LOPs no SMP99</t>
  </si>
  <si>
    <t xml:space="preserve"> SMPLOC em modo mudo</t>
  </si>
  <si>
    <t xml:space="preserve"> Efetuado Parada do SMPLOC e restartado aplicativo IHMSMPLOC, após uns 40 minutos de Sincronização funcionamento normal</t>
  </si>
  <si>
    <t xml:space="preserve"> SMPLOC não registra todos os blocos de AIO (Alerta trava aberta saída de PO4)</t>
  </si>
  <si>
    <t xml:space="preserve"> Tempos de filtro de geração de blocos do tipo AIO</t>
  </si>
  <si>
    <t xml:space="preserve"> Verificação diagnóstico e ajuste dos tempos no SMP99</t>
  </si>
  <si>
    <t xml:space="preserve"> Robos/Portões de segurança</t>
  </si>
  <si>
    <t xml:space="preserve"> 60min</t>
  </si>
  <si>
    <t xml:space="preserve"> Após inserir um carrinho na linha de forma manual, foi derrubada a segurança da linha, causando perda de ciclo e perda de posicionamento dos ciclos dos carrinhos</t>
  </si>
  <si>
    <t xml:space="preserve"> chave euchner entrou em falha de rede não possibilitando o rearme automático da linha</t>
  </si>
  <si>
    <t xml:space="preserve"> Falha de rede profinet ao se derrubar canais de segurança</t>
  </si>
  <si>
    <t xml:space="preserve"> Foi necessário desligar e religar a alimentação da chave euchner que estava com falha de rede, também foi necessário realizar o reset dos robos diretamente no TP e foi realizado o sequenciamento de todos os carrinhos com peças em processo</t>
  </si>
  <si>
    <t xml:space="preserve"> Lateral Esquerda X62</t>
  </si>
  <si>
    <t xml:space="preserve"> linha parada por perda de sinal de segurança</t>
  </si>
  <si>
    <t xml:space="preserve"> scanner atuado</t>
  </si>
  <si>
    <t xml:space="preserve"> sujidade na lente do scanner</t>
  </si>
  <si>
    <t xml:space="preserve"> chamado foi realizado devido a falta de pessoal para atendimento da pane, tecnicos do local estavam envolvidos em diversos atendimentos</t>
  </si>
  <si>
    <t xml:space="preserve"> HPDC</t>
  </si>
  <si>
    <t xml:space="preserve"> 7:24</t>
  </si>
  <si>
    <t xml:space="preserve"> PC SMPLOC não comunica com a Central</t>
  </si>
  <si>
    <t xml:space="preserve"> Estado aguarda autorização</t>
  </si>
  <si>
    <t xml:space="preserve"> Falta pasta "orant " no drive C: do computador</t>
  </si>
  <si>
    <t xml:space="preserve"> Diagnóstico e copiado pasta orant1 backup no próprio drive C:</t>
  </si>
  <si>
    <t xml:space="preserve"> Cataforese Zona 3</t>
  </si>
  <si>
    <t xml:space="preserve"> 6:02</t>
  </si>
  <si>
    <t xml:space="preserve"> Falha de Barramento desconectado</t>
  </si>
  <si>
    <t xml:space="preserve"> Erro de fechamento na cadeia de segurança</t>
  </si>
  <si>
    <t xml:space="preserve"> Reabertura de portas e componentes de segurança, comutação do retificador e restabelecimento geral do processo e transporte cataforese.</t>
  </si>
  <si>
    <t xml:space="preserve"> 12:??</t>
  </si>
  <si>
    <t xml:space="preserve"> Prensa não realiza movimento</t>
  </si>
  <si>
    <t xml:space="preserve"> Após uma falha de intrusão, parou o motor e ao rearmar gerou a falha</t>
  </si>
  <si>
    <t xml:space="preserve"> Realizado movimentação manual para retirada das peças, colocado os robôs em repli e liberada a linha.</t>
  </si>
  <si>
    <t xml:space="preserve"> Robodril</t>
  </si>
  <si>
    <t xml:space="preserve"> Não realizava os movimentos de eixos X e Y</t>
  </si>
  <si>
    <t xml:space="preserve"> Erros em parâmetros de acionamentos e limites</t>
  </si>
  <si>
    <t xml:space="preserve"> Alteração de parâmetros de máquina</t>
  </si>
  <si>
    <t xml:space="preserve"> Conseguimos corrigir os parâmetros para movimentação dos eixo, porem ficou com problema quando pede-se a rotina para ponto zero. De manhã irá um especialista da máquina para corrigir e verificar estes erros.</t>
  </si>
  <si>
    <t xml:space="preserve">PIN CVU</t>
  </si>
  <si>
    <t xml:space="preserve"> Robô 1</t>
  </si>
  <si>
    <t xml:space="preserve"> 18:30 +/-</t>
  </si>
  <si>
    <t xml:space="preserve"> 18:45</t>
  </si>
  <si>
    <t xml:space="preserve"> Rodando em degradado</t>
  </si>
  <si>
    <t xml:space="preserve"> Falha de torque no eixo 4 do Robô</t>
  </si>
  <si>
    <t xml:space="preserve"> Problema com o acionamento (motor)</t>
  </si>
  <si>
    <t xml:space="preserve"> Após a retirada avaliar a causa</t>
  </si>
  <si>
    <t xml:space="preserve"> No 3º turno será realizada a troca do motor do robô,</t>
  </si>
  <si>
    <t xml:space="preserve"> MAC (IPPS)</t>
  </si>
  <si>
    <t xml:space="preserve"> Picking U79</t>
  </si>
  <si>
    <t xml:space="preserve"> 45min</t>
  </si>
  <si>
    <t xml:space="preserve"> CPU em falha</t>
  </si>
  <si>
    <t xml:space="preserve"> Módulo de comunicação da rede ASI com mal contato no painel</t>
  </si>
  <si>
    <t xml:space="preserve"> Empilhadeira ao depositar o rack no local acabou batendo no painel do MAC</t>
  </si>
  <si>
    <t xml:space="preserve"> Reconectado o modulo no barramento BUS e realizado o sincronismo com o PSF.</t>
  </si>
  <si>
    <t xml:space="preserve"> 21:50</t>
  </si>
  <si>
    <t xml:space="preserve"> 430 min</t>
  </si>
  <si>
    <t xml:space="preserve"> FALHA INVERSOR DO MOTOR PRINCIPAL</t>
  </si>
  <si>
    <t xml:space="preserve"> Erro no Drive do motor principal</t>
  </si>
  <si>
    <t xml:space="preserve"> Problema interno no Power Block Fase V</t>
  </si>
  <si>
    <t xml:space="preserve"> Diagnóstico via MRHD e Substituição do Drive</t>
  </si>
  <si>
    <t xml:space="preserve"> MAC</t>
  </si>
  <si>
    <t xml:space="preserve"> CPL Picking ME1 Lado Esq</t>
  </si>
  <si>
    <t xml:space="preserve"> MAC não chama sequencia</t>
  </si>
  <si>
    <t xml:space="preserve"> Erro de Hardware</t>
  </si>
  <si>
    <t xml:space="preserve"> Controlador de rede queimado</t>
  </si>
  <si>
    <t xml:space="preserve"> Substituição do contralador</t>
  </si>
  <si>
    <t xml:space="preserve"> PEV</t>
  </si>
  <si>
    <t xml:space="preserve"> Linha de Validação</t>
  </si>
  <si>
    <t xml:space="preserve"> 12:</t>
  </si>
  <si>
    <t xml:space="preserve"> Erro de comunicação PEV</t>
  </si>
  <si>
    <t xml:space="preserve"> Falha comunicação PEV e Banco</t>
  </si>
  <si>
    <t xml:space="preserve"> comunicação intermitente do ModBus (em análise)</t>
  </si>
  <si>
    <t xml:space="preserve"> Reinicialização do MOP e do PEV para retorno ao funcionamento</t>
  </si>
  <si>
    <t xml:space="preserve"> Scalance</t>
  </si>
  <si>
    <t xml:space="preserve"> MN2</t>
  </si>
  <si>
    <t xml:space="preserve"> 18:29</t>
  </si>
  <si>
    <t xml:space="preserve"> 18:38</t>
  </si>
  <si>
    <t xml:space="preserve"> xx</t>
  </si>
  <si>
    <t xml:space="preserve"> Falha na comunicação com todas as Zonas</t>
  </si>
  <si>
    <t xml:space="preserve"> Scalance entrou em falha apagando todos os leds dele</t>
  </si>
  <si>
    <t xml:space="preserve"> Ainda em análise, já deixado um outro Scalance preparado caso tenha de trocar</t>
  </si>
  <si>
    <t xml:space="preserve"> Realizado verificações de tensão, realizado verificação das conexões e após isso voltou a funcionar, rearmado todas as Zonas e restabelecidas as seguranças.</t>
  </si>
  <si>
    <t xml:space="preserve"> PTAR prensa</t>
  </si>
  <si>
    <t xml:space="preserve"> Picking Motor</t>
  </si>
  <si>
    <t xml:space="preserve"> Prensa não realiza trabalho</t>
  </si>
  <si>
    <t xml:space="preserve"> Perda de modo de funcionamento</t>
  </si>
  <si>
    <t xml:space="preserve"> Afundamento de tensão final de semana</t>
  </si>
  <si>
    <t xml:space="preserve"> Todas LTS informática</t>
  </si>
  <si>
    <t xml:space="preserve"> Todas as linhas</t>
  </si>
  <si>
    <t xml:space="preserve"> Falta comunicação Sistemas PSF SMP e outros</t>
  </si>
  <si>
    <t xml:space="preserve"> LTS sem funcionamento não comutou sistema emergenciado</t>
  </si>
  <si>
    <t xml:space="preserve"> Restabelecimento pelo pessoal utilidades aproximadamente as 6:00</t>
  </si>
  <si>
    <t xml:space="preserve"> Geral Linha</t>
  </si>
  <si>
    <t xml:space="preserve"> Ferragem</t>
  </si>
  <si>
    <t xml:space="preserve"> 10:19</t>
  </si>
  <si>
    <t xml:space="preserve"> 10:37</t>
  </si>
  <si>
    <t xml:space="preserve"> Desarme segurança após acionamento emergencia (Z3: INTRUSÃO BARREIRA AGV L.D. T16)</t>
  </si>
  <si>
    <t xml:space="preserve"> Falha na deteção da passagem do AGV do lado direito para o lado esquerdo</t>
  </si>
  <si>
    <t xml:space="preserve"> Fotocelula desregulada</t>
  </si>
  <si>
    <t xml:space="preserve"> Forçado condição para rearme, diagnóstico e ajuste de fotocelula</t>
  </si>
  <si>
    <t xml:space="preserve"> Maletas MPS</t>
  </si>
  <si>
    <t xml:space="preserve"> 8:58</t>
  </si>
  <si>
    <t xml:space="preserve"> MPS 133 desligando e falta autenticação de rede</t>
  </si>
  <si>
    <t xml:space="preserve"> Problema bateria</t>
  </si>
  <si>
    <t xml:space="preserve"> Substituição da bateria e realizado checkdisk e defrag, autenticação de rede da maleta e atualização da licença do windows.</t>
  </si>
  <si>
    <t xml:space="preserve"> MOP - Prensa P51</t>
  </si>
  <si>
    <t xml:space="preserve"> Falta comunicação placa nivel 2 no PC</t>
  </si>
  <si>
    <t xml:space="preserve"> Falha de comunicação após retorno comunicação LTS</t>
  </si>
  <si>
    <t xml:space="preserve"> Reinicialização do computador e restabelecimento da placa.</t>
  </si>
  <si>
    <t xml:space="preserve"> RB OP115</t>
  </si>
  <si>
    <t xml:space="preserve"> Robô sem autorização de movimento</t>
  </si>
  <si>
    <t xml:space="preserve"> Erro interno na rotina de I/Os, arquivo corrompido</t>
  </si>
  <si>
    <t xml:space="preserve"> Afundamento de tensão provocando desligamento incorreto da CPU</t>
  </si>
  <si>
    <t xml:space="preserve"> Restauração do backup</t>
  </si>
  <si>
    <t xml:space="preserve"> RB OP600</t>
  </si>
  <si>
    <t xml:space="preserve"> 17:10</t>
  </si>
  <si>
    <t xml:space="preserve"> 40min</t>
  </si>
  <si>
    <t xml:space="preserve"> Robô não retorna para home</t>
  </si>
  <si>
    <t xml:space="preserve"> Erro no sinal CPAIR</t>
  </si>
  <si>
    <t xml:space="preserve"> Falha intermitente de comunicação Profibus com o robô sem diagnóstico na IHM</t>
  </si>
  <si>
    <t xml:space="preserve"> Reconhecimento do erro CPAIR pela tela do PROMIA</t>
  </si>
  <si>
    <t xml:space="preserve"> Robo R1</t>
  </si>
  <si>
    <t xml:space="preserve"> Semana passada</t>
  </si>
  <si>
    <t xml:space="preserve"> 6:43</t>
  </si>
  <si>
    <t xml:space="preserve"> Robo R1 em Degradado</t>
  </si>
  <si>
    <t xml:space="preserve"> Erro de Visão</t>
  </si>
  <si>
    <t xml:space="preserve"> Erro interno controlador de visão</t>
  </si>
  <si>
    <t xml:space="preserve"> Reinicialização do sistema de visão e do controlador de visão do Robo R1</t>
  </si>
  <si>
    <t xml:space="preserve"> Robo D0</t>
  </si>
  <si>
    <t xml:space="preserve"> Doubloure ASL</t>
  </si>
  <si>
    <t xml:space="preserve"> 7:18</t>
  </si>
  <si>
    <t xml:space="preserve"> 97 min</t>
  </si>
  <si>
    <t xml:space="preserve"> Z1: D01 Déf. mouvement PLE</t>
  </si>
  <si>
    <t xml:space="preserve"> Falta alimentação de segurança para as valvulas do CPX do Griper</t>
  </si>
  <si>
    <t xml:space="preserve"> Disjuntor de alimentação desarmado</t>
  </si>
  <si>
    <t xml:space="preserve"> Diagnostico, restabelecimento do disjuntor retirada de peça e restabelecimento de memórias dos Robos.</t>
  </si>
  <si>
    <t xml:space="preserve"> 11:35</t>
  </si>
  <si>
    <t xml:space="preserve"> min</t>
  </si>
  <si>
    <t xml:space="preserve"> Curto circuito no drive do eixo2</t>
  </si>
  <si>
    <t xml:space="preserve"> Drive com problema interno</t>
  </si>
  <si>
    <t xml:space="preserve"> Substituição do módulo de potência eixo 2, Restauração do backup e colocação posto em ciclo</t>
  </si>
  <si>
    <t xml:space="preserve"> Transportador escravo</t>
  </si>
  <si>
    <t xml:space="preserve"> TPTS</t>
  </si>
  <si>
    <t xml:space="preserve"> 19:19</t>
  </si>
  <si>
    <t xml:space="preserve"> 19:38</t>
  </si>
  <si>
    <t xml:space="preserve"> ?</t>
  </si>
  <si>
    <t xml:space="preserve"> 212 min</t>
  </si>
  <si>
    <t xml:space="preserve"> Sobrecarga na transportador escravo (ZONA 1 : DEF. LINHA RELE POT. VAR.C1 MESTRE)</t>
  </si>
  <si>
    <t xml:space="preserve"> Rolamento do mancal conjunto tração corrente saida TTS lado direito</t>
  </si>
  <si>
    <t xml:space="preserve"> Rolamento do mancal conjunto tração corrente saida TTS lado direito danificado</t>
  </si>
  <si>
    <t xml:space="preserve"> Substituição do conjunto (finalizado 4:30 da manhã)</t>
  </si>
  <si>
    <t xml:space="preserve"> Virabrequim</t>
  </si>
  <si>
    <t xml:space="preserve"> 21:27</t>
  </si>
  <si>
    <t xml:space="preserve"> Falha de tolerância no posicionamento do contraponto do virabrequim</t>
  </si>
  <si>
    <t xml:space="preserve"> Cilindro sem força para garantir a posição</t>
  </si>
  <si>
    <t xml:space="preserve"> Vazamento (em análise)</t>
  </si>
  <si>
    <t xml:space="preserve"> Avaliação continuará no 3° turno</t>
  </si>
  <si>
    <t xml:space="preserve"> Retificador 4</t>
  </si>
  <si>
    <t xml:space="preserve"> 6:25</t>
  </si>
  <si>
    <t xml:space="preserve"> 31 min</t>
  </si>
  <si>
    <t xml:space="preserve"> ZONA 1 : RETIFICADOR NAO PRONTO</t>
  </si>
  <si>
    <t xml:space="preserve"> Def. LOCAL no Retificador 4, indicando "Barramento Desconectado "</t>
  </si>
  <si>
    <t xml:space="preserve"> Erro programa PLC " Intertravamento lógico não permitindo rearme do Retificador "</t>
  </si>
  <si>
    <t xml:space="preserve"> Diagnóstico e alteração da lógica para permitir rearme pelo reset central painel A10 (Painel comando Retificadores no nivel superior)</t>
  </si>
  <si>
    <t xml:space="preserve">PROTO</t>
  </si>
  <si>
    <t xml:space="preserve">Prototipo</t>
  </si>
  <si>
    <t xml:space="preserve"> Balancele Maquet</t>
  </si>
  <si>
    <t xml:space="preserve"> Prototipo</t>
  </si>
  <si>
    <t xml:space="preserve"> 13:00</t>
  </si>
  <si>
    <t xml:space="preserve"> Balancele não funciona a Elevação</t>
  </si>
  <si>
    <t xml:space="preserve"> Em diagnóstico</t>
  </si>
  <si>
    <t xml:space="preserve"> Permanece atendimento</t>
  </si>
  <si>
    <t xml:space="preserve"> Balancele não funciona a Elevação Erro 95</t>
  </si>
  <si>
    <t xml:space="preserve"> Encoder com erro, e atuador do sensor extracurso subida torto</t>
  </si>
  <si>
    <t xml:space="preserve"> Ajuste do atuador do sensor, Descarregamento de parâmetros de outra caixa LJU, substiuição e calibração de posição do encoder.</t>
  </si>
  <si>
    <t xml:space="preserve"> Transportador</t>
  </si>
  <si>
    <t xml:space="preserve"> Bouclier</t>
  </si>
  <si>
    <t xml:space="preserve"> 80min</t>
  </si>
  <si>
    <t xml:space="preserve"> Falha de emergência no transportador , perda da sequência da linha</t>
  </si>
  <si>
    <t xml:space="preserve"> Suporte da Talha direita mal posicionado</t>
  </si>
  <si>
    <t xml:space="preserve"> Sensor magnético de segurança desalinhado</t>
  </si>
  <si>
    <t xml:space="preserve"> Reposicionado suporte da talha,</t>
  </si>
  <si>
    <t xml:space="preserve"> Reconstrutor 03</t>
  </si>
  <si>
    <t xml:space="preserve"> Acumulo Primer</t>
  </si>
  <si>
    <t xml:space="preserve"> 6:xx</t>
  </si>
  <si>
    <t xml:space="preserve"> 6:54</t>
  </si>
  <si>
    <t xml:space="preserve"> Carro não avança na mesa</t>
  </si>
  <si>
    <t xml:space="preserve"> Falha de caracteristica incorreta no retorno do PSF</t>
  </si>
  <si>
    <t xml:space="preserve"> Em analise causa do problema</t>
  </si>
  <si>
    <t xml:space="preserve"> Tratado erro no carro e passagem mais dois normal erro novamente passado ao modo FIFO (tentativa de reabilitação PSF no café mas não funcionou deixado em modo no FIFO Passagem</t>
  </si>
  <si>
    <t xml:space="preserve"> Robo</t>
  </si>
  <si>
    <t xml:space="preserve"> OP115</t>
  </si>
  <si>
    <t xml:space="preserve"> 30min</t>
  </si>
  <si>
    <t xml:space="preserve"> Falha de comunicação profinet</t>
  </si>
  <si>
    <t xml:space="preserve"> Erro interno da cpu do robõ</t>
  </si>
  <si>
    <t xml:space="preserve"> Hardware profinet defeituoso</t>
  </si>
  <si>
    <t xml:space="preserve"> Sustituição da cpu</t>
  </si>
  <si>
    <t xml:space="preserve"> Sistema de visão</t>
  </si>
  <si>
    <t xml:space="preserve"> 16:50</t>
  </si>
  <si>
    <t xml:space="preserve"> 90min</t>
  </si>
  <si>
    <t xml:space="preserve"> Defeito de abandono de tarefa</t>
  </si>
  <si>
    <t xml:space="preserve"> Controlador não processa as imagens do modelo</t>
  </si>
  <si>
    <t xml:space="preserve"> Software do sistema de visão travado</t>
  </si>
  <si>
    <t xml:space="preserve"> Reinicialização do controador e resincronização</t>
  </si>
  <si>
    <t xml:space="preserve"> Pinça manual PTI0301</t>
  </si>
  <si>
    <t xml:space="preserve"> UAR</t>
  </si>
  <si>
    <t xml:space="preserve"> 21:10</t>
  </si>
  <si>
    <t xml:space="preserve"> Defeito de corrente solda, erro 09 e 05</t>
  </si>
  <si>
    <t xml:space="preserve"> Instabilidade funcional do controlador de solda</t>
  </si>
  <si>
    <t xml:space="preserve"> Degradação eletrônica dos componentes do controlador</t>
  </si>
  <si>
    <t xml:space="preserve"> Substituido controlador e descarregado parâmetros</t>
  </si>
  <si>
    <t xml:space="preserve"> 18:03</t>
  </si>
  <si>
    <t xml:space="preserve"> 180min</t>
  </si>
  <si>
    <t xml:space="preserve"> Substituição do bloco retificador.</t>
  </si>
  <si>
    <t xml:space="preserve"> Robô Pb</t>
  </si>
  <si>
    <t xml:space="preserve"> 18:36</t>
  </si>
  <si>
    <t xml:space="preserve"> 10min</t>
  </si>
  <si>
    <t xml:space="preserve"> Falha de supervisão de movimento no robô ao depositar para-brisa</t>
  </si>
  <si>
    <t xml:space="preserve"> Esforço excessivo durante o depósito</t>
  </si>
  <si>
    <t xml:space="preserve"> Interferência mecânica devido ao deslocamento da carroceira</t>
  </si>
  <si>
    <t xml:space="preserve"> Retirado manualmento o robô para Home e liberado em Automatico.</t>
  </si>
  <si>
    <t xml:space="preserve">CMO VI08</t>
  </si>
  <si>
    <t xml:space="preserve"> Parafusadeira</t>
  </si>
  <si>
    <t xml:space="preserve"> op300</t>
  </si>
  <si>
    <t xml:space="preserve"> 19:29</t>
  </si>
  <si>
    <t xml:space="preserve"> Falha de reconhecimento da parafusadeira conectada</t>
  </si>
  <si>
    <t xml:space="preserve"> Erro de comunicação</t>
  </si>
  <si>
    <t xml:space="preserve"> Defeito interno da parafusadeira</t>
  </si>
  <si>
    <t xml:space="preserve"> Substituido parafusadeira.</t>
  </si>
  <si>
    <t xml:space="preserve"> Robo Parabrisa</t>
  </si>
  <si>
    <t xml:space="preserve"> Robo de Vidros</t>
  </si>
  <si>
    <t xml:space="preserve"> 8:02</t>
  </si>
  <si>
    <t xml:space="preserve"> 6 carros</t>
  </si>
  <si>
    <t xml:space="preserve"> 22 minutos</t>
  </si>
  <si>
    <t xml:space="preserve"> Robô Parou após deposito do parabrisa, sem falha</t>
  </si>
  <si>
    <t xml:space="preserve"> Sobre esforço durante colocação do parabrisa</t>
  </si>
  <si>
    <t xml:space="preserve"> em análise imagens do sistema de visão, porém provável problema de desalinhamento da carroceria HJD.</t>
  </si>
  <si>
    <t xml:space="preserve"> Retirado robo manualmente e colocado em posição inicial, reestabelecido ciclo de aplicação de cola entre os robos parabrisa e lunette.</t>
  </si>
  <si>
    <t xml:space="preserve"> Bomba cola SCA</t>
  </si>
  <si>
    <t xml:space="preserve"> 07:43</t>
  </si>
  <si>
    <t xml:space="preserve"> 07:47</t>
  </si>
  <si>
    <t xml:space="preserve"> 5min</t>
  </si>
  <si>
    <t xml:space="preserve"> Defeito de aquecimento na zona bomba 2</t>
  </si>
  <si>
    <t xml:space="preserve"> Oscilação anormal da temperatura</t>
  </si>
  <si>
    <t xml:space="preserve"> Defeito no sensor de temperatura</t>
  </si>
  <si>
    <t xml:space="preserve"> Desativada no SCA a zona de aquecimento em defeito. Retorno a origem do robo lunete</t>
  </si>
  <si>
    <t xml:space="preserve"> Mesa de transbordo 6</t>
  </si>
  <si>
    <t xml:space="preserve"> FSM</t>
  </si>
  <si>
    <t xml:space="preserve"> 60 min +/-</t>
  </si>
  <si>
    <t xml:space="preserve"> Mesa não para na parava na posição</t>
  </si>
  <si>
    <t xml:space="preserve"> Falha no motoredutor de acionamento da translação</t>
  </si>
  <si>
    <t xml:space="preserve"> Quebra do eixo de acionamento do motor, ocorreu antes do horário da janta.</t>
  </si>
  <si>
    <t xml:space="preserve"> Substituição do motoredutor.</t>
  </si>
  <si>
    <t xml:space="preserve"> Elevador 01</t>
  </si>
  <si>
    <t xml:space="preserve"> Laterais</t>
  </si>
  <si>
    <t xml:space="preserve"> 09:00</t>
  </si>
  <si>
    <t xml:space="preserve"> 6 carros perdidos</t>
  </si>
  <si>
    <t xml:space="preserve"> ~240min</t>
  </si>
  <si>
    <t xml:space="preserve"> Balanceles Travando na saída do Elevador</t>
  </si>
  <si>
    <t xml:space="preserve"> Trilho do balancele desalinhado do trilho do elevador</t>
  </si>
  <si>
    <t xml:space="preserve"> Durante movimento de Subida, houve uma pane anterior onde houve colisão entre o elevador e o trilho de saída, durante o movimento de subida.</t>
  </si>
  <si>
    <t xml:space="preserve"> Ajustada altura do trilho após o elevador, atraves da grapa de sustentação acoplada a estrutura secundária do prédio.</t>
  </si>
  <si>
    <t xml:space="preserve"> Robo E1</t>
  </si>
  <si>
    <t xml:space="preserve"> EC FF (LVG/D)</t>
  </si>
  <si>
    <t xml:space="preserve"> já estava no local</t>
  </si>
  <si>
    <t xml:space="preserve"> Perda de sistema, tela azul no TP ao rodar a rotina</t>
  </si>
  <si>
    <t xml:space="preserve"> Falha no sistema interno PROMIA</t>
  </si>
  <si>
    <t xml:space="preserve"> Sistema Corrompido</t>
  </si>
  <si>
    <t xml:space="preserve"> Realizado o B_Start porém continuou com falha, após isso realizado o P_Start para reinstalar o Rapid e voltou a funcionar sem falhas.</t>
  </si>
  <si>
    <t xml:space="preserve"> Posto 05</t>
  </si>
  <si>
    <t xml:space="preserve"> 11:32</t>
  </si>
  <si>
    <t xml:space="preserve"> 13:16</t>
  </si>
  <si>
    <t xml:space="preserve"> 92 minutos</t>
  </si>
  <si>
    <t xml:space="preserve"> Não realizava troca de sinais entre robô e CLP</t>
  </si>
  <si>
    <t xml:space="preserve"> Falha no sistema do robô</t>
  </si>
  <si>
    <t xml:space="preserve"> Erro no PROMIA, não realizava a troca de sinais com o CLP</t>
  </si>
  <si>
    <t xml:space="preserve"> Realizado o P_Start no robô, descarregado o Backup que estava rodando, realizado o sincronismo de eixos pelo SAFE_MOVE</t>
  </si>
  <si>
    <t xml:space="preserve"> LVD HJD</t>
  </si>
  <si>
    <t xml:space="preserve"> Parada Robô em Loop de troca de Eletrodo</t>
  </si>
  <si>
    <t xml:space="preserve"> quebra do porta eletrodo</t>
  </si>
  <si>
    <t xml:space="preserve"> porta eletrodo nacionalizado tem menor resistência a quebras, e um erro de procedimento no momento da troca causou o loop no robô</t>
  </si>
  <si>
    <t xml:space="preserve"> foi realizado o procedimento correto no terceiro turno e foi trocado o porta eletrodo pelo modelo original</t>
  </si>
  <si>
    <t xml:space="preserve"> Banco de Rolagem 2</t>
  </si>
  <si>
    <t xml:space="preserve"> (passagem de carros no banco 3)</t>
  </si>
  <si>
    <t xml:space="preserve"> sem impressão de carta</t>
  </si>
  <si>
    <t xml:space="preserve"> Perda de comunicação PC do Banco com impressora</t>
  </si>
  <si>
    <t xml:space="preserve"> Perda da comunicação de rede</t>
  </si>
  <si>
    <t xml:space="preserve"> (diagnóstico posterior problema de rede)</t>
  </si>
  <si>
    <t xml:space="preserve"> Reinicialização do PC MOP do banco (Reinicio no intervalo do café demora devido entrada do HD em reparo na inicialização)</t>
  </si>
  <si>
    <t xml:space="preserve"> 13:49</t>
  </si>
  <si>
    <t xml:space="preserve"> Perda de comunicação PC do Banco com PEV</t>
  </si>
  <si>
    <t xml:space="preserve"> Mau contato cabo de comunicação Nivel 1 entre PC do MOP e PEV estação 72</t>
  </si>
  <si>
    <t xml:space="preserve"> Verificação e diagnóstico mexido no cabo p estabilização (Necessária climpagem dos conectores)</t>
  </si>
  <si>
    <t xml:space="preserve"> Pinça de Solda PTI0342</t>
  </si>
  <si>
    <t xml:space="preserve"> Preliminar U79</t>
  </si>
  <si>
    <t xml:space="preserve"> 8:48</t>
  </si>
  <si>
    <t xml:space="preserve"> 9:33</t>
  </si>
  <si>
    <t xml:space="preserve"> Falha de pressão da pinça após troca de eletrodo</t>
  </si>
  <si>
    <t xml:space="preserve"> Falha na saida para acionamento da pinça e perda de programa do controlador</t>
  </si>
  <si>
    <t xml:space="preserve"> Erro interno no controlador</t>
  </si>
  <si>
    <t xml:space="preserve"> Diagnóstico via MRHD e substituição do controlador</t>
  </si>
  <si>
    <t xml:space="preserve"> Banco de Rolagem 02</t>
  </si>
  <si>
    <t xml:space="preserve"> falha intermitente</t>
  </si>
  <si>
    <t xml:space="preserve"> falha de comunicação com PEV gerando perda de ciclo</t>
  </si>
  <si>
    <t xml:space="preserve"> falha na rede ethernet entre pc PEV e switch do MOP</t>
  </si>
  <si>
    <t xml:space="preserve"> defeito no conector RJ45 do cabo de rede do PC do PEV que se conecta no switch do MOP</t>
  </si>
  <si>
    <t xml:space="preserve"> terceiro turno da montagem ira realizar a recrimpagem do conector</t>
  </si>
  <si>
    <t xml:space="preserve"> Elevador de cabides</t>
  </si>
  <si>
    <t xml:space="preserve"> Transportador ASL</t>
  </si>
  <si>
    <t xml:space="preserve"> 16:10</t>
  </si>
  <si>
    <t xml:space="preserve"> 40 min</t>
  </si>
  <si>
    <t xml:space="preserve"> Perda de posição do cabide dentro do elevador gerou entrada de dois cabides no elevador</t>
  </si>
  <si>
    <t xml:space="preserve"> perda de posição do cilindro do arrastador de cabides</t>
  </si>
  <si>
    <t xml:space="preserve"> possível falha na válvula que comanda o cilindro arrastador</t>
  </si>
  <si>
    <t xml:space="preserve"> foi reposicionado o cilindro e os cabides, posteriormente será substiuída a válvula por uma 5/3 vias em substituição a válvula com retorno por mola, para evitar erro de posicionamento do cilindro do arrastador</t>
  </si>
  <si>
    <t xml:space="preserve"> Usinagem do Bloco</t>
  </si>
  <si>
    <t xml:space="preserve"> 50min</t>
  </si>
  <si>
    <t xml:space="preserve"> falta de sinal de segurança do manipulador 01</t>
  </si>
  <si>
    <t xml:space="preserve"> sinal de segurança do simodrive faltando</t>
  </si>
  <si>
    <t xml:space="preserve"> mal contato no conector do simodrive 611</t>
  </si>
  <si>
    <t xml:space="preserve"> realizado reaperto do conector</t>
  </si>
  <si>
    <t xml:space="preserve"> AGVs linha interna</t>
  </si>
  <si>
    <t xml:space="preserve"> BOUCLIER</t>
  </si>
  <si>
    <t xml:space="preserve"> foi realizado passagem manual</t>
  </si>
  <si>
    <t xml:space="preserve"> AGVs parando na tag 44</t>
  </si>
  <si>
    <t xml:space="preserve"> tag de endereço 44 foi encontrada quebrada na linha</t>
  </si>
  <si>
    <t xml:space="preserve"> degradação do adesivo de proteção da tag causou movimentação da tag no piso e antena do AGV quebrou a tag ao passar</t>
  </si>
  <si>
    <t xml:space="preserve"> realizado gravação e instalação de nova tag no endereço 44</t>
  </si>
  <si>
    <t xml:space="preserve"> 20:35</t>
  </si>
  <si>
    <t xml:space="preserve"> 90min total intermitente</t>
  </si>
  <si>
    <t xml:space="preserve"> colisão da peça com a mesa de usinagem no momento do deposito</t>
  </si>
  <si>
    <t xml:space="preserve"> foi retrabalhado durante o período da tarde a ferramenta do robo, o que causou a movimentação da orientação da ferramenta</t>
  </si>
  <si>
    <t xml:space="preserve"> falta de posição de referência da ferramenta do robô</t>
  </si>
  <si>
    <t xml:space="preserve"> realizado correção dos pontos de deposito de peça do robô na mesa de usinagem</t>
  </si>
  <si>
    <t xml:space="preserve"> Prensa Suporte Pendular SMO2</t>
  </si>
  <si>
    <t xml:space="preserve"> Picking</t>
  </si>
  <si>
    <t xml:space="preserve"> 13:35</t>
  </si>
  <si>
    <t xml:space="preserve"> Prensa não habilita para trabalho</t>
  </si>
  <si>
    <t xml:space="preserve"> Falta referenciamento do Drive TOX da prensagem</t>
  </si>
  <si>
    <t xml:space="preserve"> Sinal defeito do drive da prensagem ativo</t>
  </si>
  <si>
    <t xml:space="preserve"> Referenciamento 3 vezes permanecia Estado, reinicialização do painel geral e referenciamento</t>
  </si>
  <si>
    <t xml:space="preserve"> Unit Avant U79</t>
  </si>
  <si>
    <t xml:space="preserve"> Carroceria</t>
  </si>
  <si>
    <t xml:space="preserve"> 5 carros</t>
  </si>
  <si>
    <t xml:space="preserve"> Falta sinal de segurança</t>
  </si>
  <si>
    <t xml:space="preserve"> falha contator de segurança KSOP</t>
  </si>
  <si>
    <t xml:space="preserve"> falta de feedback do contactor de segurança KSOP, contator não estava sendo acionado na validação de intrusão do operador</t>
  </si>
  <si>
    <t xml:space="preserve"> substituição do cartão de segurança de saída de acionamento do contactor KSOP será realizada no terceiro turno, pois após desligamento do 24v dos cartões o mesmo voltou a operar</t>
  </si>
  <si>
    <t xml:space="preserve"> PC Estação Sames</t>
  </si>
  <si>
    <t xml:space="preserve"> 5:46</t>
  </si>
  <si>
    <t xml:space="preserve"> 33 minutos impacto linha final</t>
  </si>
  <si>
    <t xml:space="preserve"> 52 min parada transp (degradado até as 10:</t>
  </si>
  <si>
    <t xml:space="preserve"> Falta condição para ligar transportador</t>
  </si>
  <si>
    <t xml:space="preserve"> PC não liga</t>
  </si>
  <si>
    <t xml:space="preserve"> Falha placa mãe do PC vida util atingida</t>
  </si>
  <si>
    <t xml:space="preserve"> Substituição do PC pelo PC do Verniz para ligar a estação, e substituição posterior da placa mãe do PC.</t>
  </si>
  <si>
    <t xml:space="preserve"> MAC - IPSM40</t>
  </si>
  <si>
    <t xml:space="preserve"> Montagem Kits</t>
  </si>
  <si>
    <t xml:space="preserve"> Inicio turno</t>
  </si>
  <si>
    <t xml:space="preserve"> 6:06</t>
  </si>
  <si>
    <t xml:space="preserve"> Time out comunicação IPPS</t>
  </si>
  <si>
    <t xml:space="preserve"> Travamento sequencia servidor MAC</t>
  </si>
  <si>
    <t xml:space="preserve"> desconhecida</t>
  </si>
  <si>
    <t xml:space="preserve"> Reinicio de MAC e desativação e ativação posterior do MAC via Servidor IPPS</t>
  </si>
  <si>
    <t xml:space="preserve"> Lavadora 220</t>
  </si>
  <si>
    <t xml:space="preserve"> 11:XX</t>
  </si>
  <si>
    <t xml:space="preserve"> 1:45</t>
  </si>
  <si>
    <t xml:space="preserve"> 50% DE RO DO SETOR</t>
  </si>
  <si>
    <t xml:space="preserve"> NÃO LIBERADO ATÉ O FINAL DO 2°TURNO</t>
  </si>
  <si>
    <t xml:space="preserve"> BRUNIDORA PAROU COM FERRAMENTA DENTRO DO BLOCO APRESENTANDO FALHA DE CONTORNO EIXO C2</t>
  </si>
  <si>
    <t xml:space="preserve"> FALHA NO MONITORAMENTO DE POSIÇÃO DO EIXO C2</t>
  </si>
  <si>
    <t xml:space="preserve"> EM ANALISE, NÃO FOI POSSÍVEL IDENTIFICAR A CAUSA ATÉ O MOMENTO</t>
  </si>
  <si>
    <t xml:space="preserve"> FOI REINICIADO A MAQUINA E REALIZADO TESTE DOS FREIOS DOS SERVOS, APÓS ISSO HOUVE A LIBERAÇÃO DE MOVIMENTO DOS EIXOS, FOI REPOSICIONADO A MAQUINA, POREM AINDA RESTA REALIZAR O PROCEDIMENTO DE REFERENCIAMENTO DOS EIXOS C1 E C2, PARA ISSO É NECESSÁRIO O ACESSO POR SENHA NIVEL 2, NINGUEM DO SEGUNDO TURNO NO SETOR POSSUI O ACESSO A ESTA SENHA, DEVIDO A ISSO O MESMO FICA PENDENTE PARA O PROXIMO TURNO</t>
  </si>
  <si>
    <t xml:space="preserve"> Inversor LENZE</t>
  </si>
  <si>
    <t xml:space="preserve"> Banco de Rolagem 1</t>
  </si>
  <si>
    <t xml:space="preserve"> Falha no motor rolo dianteiro</t>
  </si>
  <si>
    <t xml:space="preserve"> falha no inversor servodrive lenze</t>
  </si>
  <si>
    <t xml:space="preserve"> falha no módulo de potência</t>
  </si>
  <si>
    <t xml:space="preserve"> substituição do módulo de potência</t>
  </si>
  <si>
    <t xml:space="preserve"> Robo 02</t>
  </si>
  <si>
    <t xml:space="preserve"> Linha em degradado</t>
  </si>
  <si>
    <t xml:space="preserve"> falha alta tensão</t>
  </si>
  <si>
    <t xml:space="preserve"> Defeito na turbina de aplicação do primer</t>
  </si>
  <si>
    <t xml:space="preserve"> Sem peça em estoque ou reserva em condições de uso, foi startada a compra de uma turbina nova em urgência. Recuperada turbina atraves do polimento do imã</t>
  </si>
  <si>
    <t xml:space="preserve"> Locator 03</t>
  </si>
  <si>
    <t xml:space="preserve"> 21:08</t>
  </si>
  <si>
    <t xml:space="preserve"> 21:24</t>
  </si>
  <si>
    <t xml:space="preserve"> falha posição Locator 03</t>
  </si>
  <si>
    <t xml:space="preserve"> erro de travamento do encoder</t>
  </si>
  <si>
    <t xml:space="preserve"> possível travamento mecanico</t>
  </si>
  <si>
    <t xml:space="preserve"> foi realizado restart do drive rexroth e o mesmo voltou a rodar, terceiro turno irá realizar revisão mecânica e elétrica na estação</t>
  </si>
  <si>
    <t xml:space="preserve"> Talonadora</t>
  </si>
  <si>
    <t xml:space="preserve"> 6:14</t>
  </si>
  <si>
    <t xml:space="preserve"> Z1: VIR Falha discordância anel bloq./desbloq, e VIR Falha movimento anel 1</t>
  </si>
  <si>
    <t xml:space="preserve"> Bloqueio e desbloqueio do anel 1 travado (uma das travas)</t>
  </si>
  <si>
    <t xml:space="preserve"> Em analise (possivel perda de posição do anel 1 superior)</t>
  </si>
  <si>
    <t xml:space="preserve"> Reinicio do MOP por erro de licença software, by pass de condições para movimento e coloção da maquina em By Pass (destravado movimento no intervalo do almoço)</t>
  </si>
  <si>
    <t xml:space="preserve"> BANCO DE ROLAGEM 01</t>
  </si>
  <si>
    <t xml:space="preserve"> EQUIPAMENTO EM FALHA DESDE ONTEM</t>
  </si>
  <si>
    <t xml:space="preserve"> REPROVAÇÃO DOS MODELOS BBB E HJD DURANTE TESTE DE CARGA</t>
  </si>
  <si>
    <t xml:space="preserve"> DEFEITO INICIOU APÓS A TROCA DO INVERSOR NA DATA DE ONTEM</t>
  </si>
  <si>
    <t xml:space="preserve"> FALHA DURANTE CICLO DE TESTE</t>
  </si>
  <si>
    <t xml:space="preserve"> REALIZADO ALTERAÇÃO DA GAMMA POR MARCIO VELOZO, AUMENTANDO O TEMPO DE CICLO ENTRE AS FASES DO TESTE DE CARGA, PARA O BBB DEU CERTO, POREM HJD AINDA APRESENTA A FALHA, MARCIO VELOSO IRA ALTERAR A GAMMA DO HJD AMANHÃ (28/07)</t>
  </si>
  <si>
    <t xml:space="preserve"> CROSSCARBEAN</t>
  </si>
  <si>
    <t xml:space="preserve"> CARROCERIA</t>
  </si>
  <si>
    <t xml:space="preserve"> 40MIN</t>
  </si>
  <si>
    <t xml:space="preserve"> ROBO A1 GERANDO COLISAO DA TOCHA, HOUVE ALTERAÇÃO DE PONTO MAS HOUVE ERRO NO MOMENTO DA GRAVAÇÃO DO PONTO CAUSANDO GRAVAÇÃO DE PONTO NO LOCAL ERRADO DA TRAJETORIA</t>
  </si>
  <si>
    <t xml:space="preserve"> ERRO DE PROCEDIMENTO NO MOMENTO DA CORREÇÃO DE PONTO DA TRAJETÓRIA</t>
  </si>
  <si>
    <t xml:space="preserve"> DEFORMAÇÃO DA TOCHA DURANTE PROCESSO DE SOLDAGEM</t>
  </si>
  <si>
    <t xml:space="preserve"> FOI REALIZADO RECUPERAÇÃO DO BACKUP ANTERIOR E REALIZADO CALIBRAÇÃO DO TCP, APÓS O MESMO FOI REALIZADA A CORRETA CORREÇÃO DA TRAJETÓRIA</t>
  </si>
  <si>
    <t xml:space="preserve"> BRUNIDORA NIGEL</t>
  </si>
  <si>
    <t xml:space="preserve"> FOI REINICIADO A MAQUINA E REALIZADO TESTE DOS FREIOS DOS SERVOS, APÓS ISSO HOUVE A LIBERAÇÃO DE MOVIMENTO DOS EIXOS, FOI REPOSICIONADO A MAQUINA, POREM AINDA RESTA REALIZAR O PROCEDIMENTO DE REFERENCIAMENTO DOS EIXOS C1 E C2, PARA ISSO É NECESSÁRIO O ACESSO POR SENHA NIVEL 2, NINGUEM DO SEGUNDO TURNO NO SETOR POSSUI O ACESSO A ESTA SENHA, DEVIDO A ISSO O MESMO</t>
  </si>
  <si>
    <t xml:space="preserve"> BANCO DE ROLAGEM 03</t>
  </si>
  <si>
    <t xml:space="preserve"> Não realiza impressão da carta</t>
  </si>
  <si>
    <t xml:space="preserve"> Impressora não comunica, e travada Falta de configuração de propriedades de rede da impressora</t>
  </si>
  <si>
    <t xml:space="preserve"> Perda de parâmetros de rede da impressora</t>
  </si>
  <si>
    <t xml:space="preserve"> Configuração dos parametros de rede da impressora via Software do fabricante da impressora, passagem manutenção reparo impressora erro de tampa aberta (limpeza e revisão geral, e junpeado sensor da tampa que estava danificado).</t>
  </si>
  <si>
    <t xml:space="preserve"> BANCO DE PARALELISMO 03</t>
  </si>
  <si>
    <t xml:space="preserve"> Impressora não comunica Falta de configuração de propriedades de rede da impressora</t>
  </si>
  <si>
    <t xml:space="preserve"> Configuração da impressora via Software do fabricante da impressora</t>
  </si>
  <si>
    <t xml:space="preserve">id_Ocorrencia</t>
  </si>
  <si>
    <t xml:space="preserve">Id_Relat</t>
  </si>
  <si>
    <t xml:space="preserve">Robô C8</t>
  </si>
  <si>
    <t xml:space="preserve">Falha de profinet</t>
  </si>
  <si>
    <t xml:space="preserve">Mal contato pino travado no trocador</t>
  </si>
  <si>
    <t xml:space="preserve">Substituido pino</t>
  </si>
  <si>
    <t xml:space="preserve">Prensa suporte pendular</t>
  </si>
  <si>
    <t xml:space="preserve">Prensa sem movimentação</t>
  </si>
  <si>
    <t xml:space="preserve">Erro de setup do modelo</t>
  </si>
  <si>
    <t xml:space="preserve">Reset das condições iniciais e novo setup</t>
  </si>
  <si>
    <t xml:space="preserve">Aquecimento Biela Jamo</t>
  </si>
  <si>
    <t xml:space="preserve">Falta de fase</t>
  </si>
  <si>
    <t xml:space="preserve">Mau contato na fiação</t>
  </si>
  <si>
    <t xml:space="preserve">Reaperto das conexões</t>
  </si>
  <si>
    <t xml:space="preserve">Transportador TTS</t>
  </si>
  <si>
    <t xml:space="preserve">Defeito posição do skid enganchado anterior. Oscilação de velocidade do motor.</t>
  </si>
  <si>
    <t xml:space="preserve">Falhas no encoder do motor escravo.</t>
  </si>
  <si>
    <t xml:space="preserve">verificação das conexões e acoplamento do encoder, o mesmo está travado no eixo do motor e não foi realizado a troca. Aumentado time de defeito.Obs: Terá de ser programado a troca do encoder.
</t>
  </si>
  <si>
    <t xml:space="preserve">TTS Corrente pendulos</t>
  </si>
  <si>
    <t xml:space="preserve">1s+9lix</t>
  </si>
  <si>
    <t xml:space="preserve">Defeito controle avançar corrente</t>
  </si>
  <si>
    <t xml:space="preserve">Encoder motor auxiliar desconectado</t>
  </si>
  <si>
    <t xml:space="preserve">Efetuado amarração provisória do encoder para substituição do mesmo posteriormente.</t>
  </si>
  <si>
    <t xml:space="preserve">Ilha de Vidros MIR</t>
  </si>
  <si>
    <t xml:space="preserve">Falha na inserção de vidro Lunete, varios descartes de vidros entre 01:00 e 01:40</t>
  </si>
  <si>
    <t xml:space="preserve">Erro de time out de comunicação entre a camera</t>
  </si>
  <si>
    <t xml:space="preserve">Reset do PC da camera perception e também do painel do Robô.</t>
  </si>
  <si>
    <t xml:space="preserve">AG1 ROBO D1</t>
  </si>
  <si>
    <t xml:space="preserve">DEFEITO DE SOLDA</t>
  </si>
  <si>
    <t xml:space="preserve">CABO DE ACIONAMENTO VALVULA FALHANDO</t>
  </si>
  <si>
    <t xml:space="preserve">SUBSTITUIÇÃO VALVULA PROPORCIONAL E CABO DE COMANDO FECHAMENTO PINÇA</t>
  </si>
  <si>
    <t xml:space="preserve">ELEVADOR SAIDA CERA</t>
  </si>
  <si>
    <t xml:space="preserve">ELEVADOR PERDEU POSIÇÃO E DESCEU</t>
  </si>
  <si>
    <t xml:space="preserve">Acoplamento transmissão motor para elevador deslizou </t>
  </si>
  <si>
    <t xml:space="preserve">Reposicionado Acoplamento para rodar (necessária programação posterior de melhor fixação)</t>
  </si>
  <si>
    <t xml:space="preserve">MM13 Posto 100 Robo</t>
  </si>
  <si>
    <t xml:space="preserve">Fonte de Alimentação Freios sobrecarregou</t>
  </si>
  <si>
    <t xml:space="preserve">Servo eixo 7 posicionamento parafusadeiras avariado</t>
  </si>
  <si>
    <t xml:space="preserve">Diagnosticado problema no servo, Colocação em degradado, e efetuada a substituição e calibração do servo no intervalo do café</t>
  </si>
  <si>
    <t xml:space="preserve">Escapamento OP200C </t>
  </si>
  <si>
    <t xml:space="preserve">Falha Movimento Carro VR20</t>
  </si>
  <si>
    <t xml:space="preserve">Problemas nas valulas de conexão e bloqueio do cilindro</t>
  </si>
  <si>
    <t xml:space="preserve">Retirada de valvula para rodar em degradado até o intervalo do janta, quando foram substituidas as valvulas de bloqueio do cilindro</t>
  </si>
  <si>
    <t xml:space="preserve">P0(Butrre 8 e 1)  Elevador L0, NCLocator H0</t>
  </si>
  <si>
    <t xml:space="preserve">Gerou duas falhas consecutivas de Locator não refenciado, não realizava o reset pelo TP</t>
  </si>
  <si>
    <t xml:space="preserve">Problemas de mal contato nos cabos, estavam esticado e por isso gerou a falha.
Em horário de janta foi voltado os cabos na posição correta e feito verificação
</t>
  </si>
  <si>
    <t xml:space="preserve">Na pane foi realizado a inversão entre cabos do Resolver C1 e C2 e rearmado a linha.
Defeito do Butree no elevado L0 foi consequencia por ter desligado a geral no reset do Locator, perdeu condição de avanço.
</t>
  </si>
  <si>
    <t xml:space="preserve">Elevador Saida Cera</t>
  </si>
  <si>
    <t xml:space="preserve">Verificação de Sequenciamento FIFO</t>
  </si>
  <si>
    <t xml:space="preserve">Em horário de janta foi realizado a verificação do acoplamento da falha de segundo turno.</t>
  </si>
  <si>
    <t xml:space="preserve">Apenas acompanhamento de processo no retorno da janta, para averiguar se não gerava nenhuma falha de FIFO ou presenças.</t>
  </si>
  <si>
    <t xml:space="preserve">Robô Comau D3 - AG2</t>
  </si>
  <si>
    <t xml:space="preserve">Colagem de eletrodo</t>
  </si>
  <si>
    <t xml:space="preserve">Baixa pressão no braço da pinça</t>
  </si>
  <si>
    <t xml:space="preserve">Substituído cilindro e válvula proporcional</t>
  </si>
  <si>
    <t xml:space="preserve">OP 390</t>
  </si>
  <si>
    <t xml:space="preserve">Portal não religou após queda de energia</t>
  </si>
  <si>
    <t xml:space="preserve">Rele Pilz com defeito</t>
  </si>
  <si>
    <t xml:space="preserve">Substituído o rele de segurança</t>
  </si>
  <si>
    <t xml:space="preserve">Banco Paralelismo 2</t>
  </si>
  <si>
    <t xml:space="preserve">Modificação leitor codigo barras</t>
  </si>
  <si>
    <t xml:space="preserve">Trabalhos de Engenharia</t>
  </si>
  <si>
    <t xml:space="preserve">Alteração de comprimento da leitura do código</t>
  </si>
  <si>
    <t xml:space="preserve">P20</t>
  </si>
  <si>
    <t xml:space="preserve">Falha na posição do repuxo da mesa</t>
  </si>
  <si>
    <t xml:space="preserve">Na realização do Chafab, foi invadido as barreiras de segurança e após isso perdeu os valores de referência do encoder</t>
  </si>
  <si>
    <t xml:space="preserve">Realizado a recalibração do encoder e referenciado de acordo com as medidas pedidas pela receita</t>
  </si>
  <si>
    <t xml:space="preserve">P13</t>
  </si>
  <si>
    <t xml:space="preserve">Perda de ciclo com falha de emergência  no Robô</t>
  </si>
  <si>
    <t xml:space="preserve">Ainda em análise, devido a mesma ocorrer durante a transição de peça entre prensas.</t>
  </si>
  <si>
    <t xml:space="preserve">1 - substuído o KCP do Robô;
2 - Realizado reset geral do painel de alimentação do robô;
3 - Alterado dimensão da chapa a ser trabalhada na prensa;
</t>
  </si>
  <si>
    <t xml:space="preserve">ROBO H1 Gravação de Chassis</t>
  </si>
  <si>
    <t xml:space="preserve">Perda contador de Revoluções dos eixos</t>
  </si>
  <si>
    <t xml:space="preserve">(Colocação em degradado) Restabelecimento de Backup do Robo e colocação em funcionamento</t>
  </si>
  <si>
    <t xml:space="preserve">Piso Central Monofluxo ROBO D0</t>
  </si>
  <si>
    <t xml:space="preserve">Perda de Referencia NC Locator</t>
  </si>
  <si>
    <t xml:space="preserve">Erro 8022</t>
  </si>
  <si>
    <t xml:space="preserve">Inversão de Cabos, passagem de cabo por fora (Eliminando dois cabos do Resolver eixo Y) e falha não voltou a ocorrer. Foi tentado utilizar cabos reservas que estão no feixe de cabos mas não funcionou (será passado para 3° turno verificação dos mesmos)</t>
  </si>
  <si>
    <t xml:space="preserve">Prenssagem Pinos Bloco Posto 5</t>
  </si>
  <si>
    <t xml:space="preserve">Colisão Griper robo com o Bloco</t>
  </si>
  <si>
    <t xml:space="preserve">Parte da base da mesa prenssagem pinos frouxa</t>
  </si>
  <si>
    <t xml:space="preserve">Piso Central Monofluxo ROBO K0</t>
  </si>
  <si>
    <t xml:space="preserve">Desligamento painel e restabelecimento ciclo</t>
  </si>
  <si>
    <t xml:space="preserve">Mesa 09 FSM</t>
  </si>
  <si>
    <t xml:space="preserve">Falha descarregamento Mesa 09</t>
  </si>
  <si>
    <t xml:space="preserve">Intermitencia sensores mesa</t>
  </si>
  <si>
    <t xml:space="preserve">Acertado memorias mesas e posicionamento sensores. (passagem terceiro turno verificação sensores e ajuste de posicionamento)</t>
  </si>
  <si>
    <t xml:space="preserve">Mesa B0 Robô B0 </t>
  </si>
  <si>
    <t xml:space="preserve">Falta envio pino Tucker, intervalo janta executado ajuste de régua do alimentador.</t>
  </si>
  <si>
    <t xml:space="preserve">Regua desajustada</t>
  </si>
  <si>
    <t xml:space="preserve">Intervalo janta executado ajuste de régua do alimentador.</t>
  </si>
  <si>
    <t xml:space="preserve">Unit Central Monofluxo Robo K0</t>
  </si>
  <si>
    <t xml:space="preserve">Perda referencia NC Locator Falha 8022</t>
  </si>
  <si>
    <t xml:space="preserve">Problema Cabo de leitura posicionamento servo</t>
  </si>
  <si>
    <t xml:space="preserve">Substituição do cabo de leitura</t>
  </si>
  <si>
    <t xml:space="preserve">Banco de Paralelesimo 1</t>
  </si>
  <si>
    <t xml:space="preserve">Falha de Posição no ajuste do entre eixos</t>
  </si>
  <si>
    <t xml:space="preserve">Quebra mecanica Encoder</t>
  </si>
  <si>
    <t xml:space="preserve">LVD - Robo A0</t>
  </si>
  <si>
    <t xml:space="preserve">Queda do robo </t>
  </si>
  <si>
    <t xml:space="preserve">falha no freio do eixo 2</t>
  </si>
  <si>
    <t xml:space="preserve">substituido o motor</t>
  </si>
  <si>
    <t xml:space="preserve">CSA 080</t>
  </si>
  <si>
    <t xml:space="preserve">Queda do indexador</t>
  </si>
  <si>
    <t xml:space="preserve">quebra da conexao do freio do ciclindro</t>
  </si>
  <si>
    <t xml:space="preserve">substituido o freio</t>
  </si>
  <si>
    <t xml:space="preserve">Robo do Bavolet</t>
  </si>
  <si>
    <t xml:space="preserve">Perda de ciclo automatico</t>
  </si>
  <si>
    <t xml:space="preserve">Fotocelula de intrusão fora de posição</t>
  </si>
  <si>
    <t xml:space="preserve">Ajustado a fotocelula e colocao a ilha em ciclo</t>
  </si>
  <si>
    <t xml:space="preserve">Ilha de vidros</t>
  </si>
  <si>
    <t xml:space="preserve">1° Recusa do lunete e parabrisa;  2° recusa do lunete; </t>
  </si>
  <si>
    <t xml:space="preserve">1°Retacagem pneumática do skid com folga; 2°Sitema Perceptron travado; Desvio da imagem inferior esquerda</t>
  </si>
  <si>
    <t xml:space="preserve">1°Ajustado retacagem; 2° reinicializado PC e ajuste na posição da câmera.</t>
  </si>
  <si>
    <t xml:space="preserve">BM30 - mesa C0</t>
  </si>
  <si>
    <t xml:space="preserve">Ilha parada  e sem alarme</t>
  </si>
  <si>
    <t xml:space="preserve">Locator pnemático fora de posição</t>
  </si>
  <si>
    <t xml:space="preserve">Reposicionado Locator</t>
  </si>
  <si>
    <t xml:space="preserve">PEV Banco Paralelismo</t>
  </si>
  <si>
    <t xml:space="preserve">1°Falha de comunicação com o PSF. 2° Erro no processo da Applicon.</t>
  </si>
  <si>
    <t xml:space="preserve">1°Defeito no ponto de rede (switch). 2° Sistema Ecos não inicializa comunicação serial da Applicon.</t>
  </si>
  <si>
    <t xml:space="preserve">1°Conectado o Pc do PEV em outro ponto de rede. 2° Realizado inicialização da comunicação serial manualmente pela Applicon. Restaurado imagens dos PCs.</t>
  </si>
  <si>
    <t xml:space="preserve">Falha de sistema</t>
  </si>
  <si>
    <t xml:space="preserve">Defeito na placa SMB</t>
  </si>
  <si>
    <t xml:space="preserve">Reinstalado sistema, Substituída placa SMB, Calibrado</t>
  </si>
  <si>
    <t xml:space="preserve">Falha na infladora</t>
  </si>
  <si>
    <t xml:space="preserve">Sistema de Mastic X52 Portas</t>
  </si>
  <si>
    <t xml:space="preserve">Desarme do disjuntor geral do controlador SCA</t>
  </si>
  <si>
    <t xml:space="preserve">Curto circuito no termopar do circuito do bico</t>
  </si>
  <si>
    <t xml:space="preserve">Foi desabilitado a leitura e aquecimento do circuito do bico. 
Corrigido parametros de temperatura dos demais componentes
</t>
  </si>
  <si>
    <t xml:space="preserve">SIPTOL das linhas UAR/UAV/Unit Central</t>
  </si>
  <si>
    <t xml:space="preserve">Erro na associação de OF's nos pontos de decalagem (1.19 / 2.10 / 3.19)</t>
  </si>
  <si>
    <t xml:space="preserve">Ainda em analise de causa; 
Aguardando informações da informática;
</t>
  </si>
  <si>
    <t xml:space="preserve">Realizado o funcionamento degradado fazendo tratativa de alarmes no SIPTOL toda vez que entrava peça específica.
Colocado um ponto de corte onde entraria as OF's com a correção de lançamentos.
À partir de 23:40, rodando normal sem necessidade de tratativas de alarmes nas decalagens
</t>
  </si>
  <si>
    <t xml:space="preserve">RO 7</t>
  </si>
  <si>
    <t xml:space="preserve">1º Defeito no acionamento da mesa rolo posto 2 colocação de massa;
2º Perda de sinal da colocação em serviço geral.
</t>
  </si>
  <si>
    <t xml:space="preserve">1º travamento do rolo e aquecimento do MotorStarter;
2º Falha no rele de segurança "PILLZ", não realizava o fechamento do canal. 
</t>
  </si>
  <si>
    <t xml:space="preserve">1º Realizado a substituição do módulo de MotorStarter;
2º Feito o reset direto no relé PILLZ 
</t>
  </si>
  <si>
    <t xml:space="preserve">Stock base portesse</t>
  </si>
  <si>
    <t xml:space="preserve">Mesa de transbordo TB34 não avançava e mesa 261 não acionava os rolos</t>
  </si>
  <si>
    <t xml:space="preserve">Mesa TB34 esperava base portesse de acordo com o filme de produção, 
Mesa 261 não tinha o avança rolos para próxima mesa.
</t>
  </si>
  <si>
    <t xml:space="preserve">teve de ser corrigido presenças das mesas 262/261/260, também verificado na mesa 261 que estava com falha devido a falta de acionamento de um sensor de presença, mesa TB32 faltava presença de peça e também corrigido erro de abertura de portão.</t>
  </si>
  <si>
    <t xml:space="preserve">ABM2 -BM60</t>
  </si>
  <si>
    <t xml:space="preserve">Falha de movimento do locator pneumático</t>
  </si>
  <si>
    <t xml:space="preserve">Peça do BBB travada na ranhura do Index </t>
  </si>
  <si>
    <t xml:space="preserve">Substituída peça danificada</t>
  </si>
  <si>
    <t xml:space="preserve">MP Z2 - Mesa </t>
  </si>
  <si>
    <t xml:space="preserve">Falha de transferência</t>
  </si>
  <si>
    <t xml:space="preserve">Corrente danificada</t>
  </si>
  <si>
    <t xml:space="preserve">Substituída corrente</t>
  </si>
  <si>
    <t xml:space="preserve">BRA 5 (SIPTOL)</t>
  </si>
  <si>
    <t xml:space="preserve">Falha de escrita da tag, tag duplicada na linha.</t>
  </si>
  <si>
    <t xml:space="preserve">Defeito na tag, tag com mesmo número de outra já inserida na linha</t>
  </si>
  <si>
    <t xml:space="preserve">Esvaziado todas as mesa, memórias e chamadas no lançamento do SIPTOL. Reset das antenas RFID das mesas A/B/C, após isso voltou a sequenciar as OF's corretamente.
Após a pane feito uma modificação no software para minimizar a possibilidade de erro novamente.
</t>
  </si>
  <si>
    <t xml:space="preserve">BRA55 mesa B0</t>
  </si>
  <si>
    <t xml:space="preserve">Não ocorreu a transferencia de dados para a outra mesa.</t>
  </si>
  <si>
    <t xml:space="preserve">Sensor de memória transferencia fora de posição</t>
  </si>
  <si>
    <t xml:space="preserve">Realizado o ajuste do sensor.
Em horário de janta, foi melhorado as condições, pois o mesmo estava em uma área onde na própia folga dos rolos poderia ser acionado, gerando uma transferencia errada
</t>
  </si>
  <si>
    <t xml:space="preserve">Ilha de vidros (SMP99)</t>
  </si>
  <si>
    <t xml:space="preserve">Não estava carregando o SMPLOC no PC</t>
  </si>
  <si>
    <t xml:space="preserve">Após atualizações de Pacth, ocorreu o erro na inicialização.</t>
  </si>
  <si>
    <t xml:space="preserve">Reinstalado a aplicação SMPLOC no computador e após reiniciado o PC</t>
  </si>
  <si>
    <t xml:space="preserve">Encursos das AG's P1 (SMP99)</t>
  </si>
  <si>
    <t xml:space="preserve">Não estava contabilizando os encursos do processo.</t>
  </si>
  <si>
    <t xml:space="preserve">Possivelmente após realização de uma fase 3 no SMPLOC, perdeu a referencia para calculo do encurso</t>
  </si>
  <si>
    <t xml:space="preserve">Pelo SMP99 foi setado a condição de leitura do encurso nas mesas das AG's</t>
  </si>
  <si>
    <t xml:space="preserve">Impressora Zebra OP300</t>
  </si>
  <si>
    <t xml:space="preserve">Não imprimia as etiquetas com as identificações e codigo de barras dos mototres</t>
  </si>
  <si>
    <t xml:space="preserve">Tabela de dados travada.</t>
  </si>
  <si>
    <t xml:space="preserve">Teve de ser realizado o download da DB para poder escrever os novos dadsos</t>
  </si>
  <si>
    <t xml:space="preserve">Máquina de enchimento Freio ME5</t>
  </si>
  <si>
    <t xml:space="preserve">Falha de vácuo no enchimento "grande fuga"</t>
  </si>
  <si>
    <t xml:space="preserve">Mangueira rompido ao longo do trecho entre a máquina de enchimento e o painel de fluído</t>
  </si>
  <si>
    <t xml:space="preserve">Substituído  a mangueira </t>
  </si>
  <si>
    <t xml:space="preserve">LVD Robô A0</t>
  </si>
  <si>
    <t xml:space="preserve">Diversas falha referentes a presença de peça e troca de dados</t>
  </si>
  <si>
    <t xml:space="preserve">Após inserido uma peça danifica no qual gerou todos os erros</t>
  </si>
  <si>
    <t xml:space="preserve">Forçado alguns sinais para que pudesse ser finalizado a peça e depois reescrito na tag os dados da peça seguinte</t>
  </si>
  <si>
    <t xml:space="preserve">OP190 - ROBO1 cola</t>
  </si>
  <si>
    <t xml:space="preserve">Falhas intermitentes de perda de autorização</t>
  </si>
  <si>
    <t xml:space="preserve">Perda do sensor de presença durante aplicação</t>
  </si>
  <si>
    <t xml:space="preserve">Ajuste no sensor de presença</t>
  </si>
  <si>
    <t xml:space="preserve">AG3 Robô</t>
  </si>
  <si>
    <t xml:space="preserve">Falha na soldagem</t>
  </si>
  <si>
    <t xml:space="preserve">Rompimento do cabo de potencia da Pinça</t>
  </si>
  <si>
    <t xml:space="preserve">Feito emenda no cabo para ser mais rápido no reparo. Será programado a substituição dos cabos.</t>
  </si>
  <si>
    <t xml:space="preserve">AGV</t>
  </si>
  <si>
    <t xml:space="preserve">Após substituirem a IHM necessitava descarregar novamente as telas</t>
  </si>
  <si>
    <t xml:space="preserve">Quebrou devido a queda de caixa de kitching</t>
  </si>
  <si>
    <t xml:space="preserve">Como não tinham o software, foi baixado o programa e instalado na PG deles. Após isso realizado a cópia do arquivo de um AGV que está na linha e depois descarregado no AGV reparado.</t>
  </si>
  <si>
    <t xml:space="preserve">API 9 e 10 -  Supervisorio CAB</t>
  </si>
  <si>
    <t xml:space="preserve">PC não inicializa</t>
  </si>
  <si>
    <t xml:space="preserve">Fonte queimada, excesso de sujeira no PC</t>
  </si>
  <si>
    <t xml:space="preserve">Substituída fonte</t>
  </si>
  <si>
    <t xml:space="preserve">Linha de corte PAL</t>
  </si>
  <si>
    <t xml:space="preserve">Erro de posição da esteira 1</t>
  </si>
  <si>
    <t xml:space="preserve">Encoder com defeito e perda de parametros de processo</t>
  </si>
  <si>
    <t xml:space="preserve">Substituído o encoder, e após isso realizado o reset geral da máquina, devido ao KCP estar travado, não conseguindo realizar o zeramento das mesas. </t>
  </si>
  <si>
    <t xml:space="preserve">Robôs B1 e B3 CSF 1</t>
  </si>
  <si>
    <t xml:space="preserve">Defeito na soldagem</t>
  </si>
  <si>
    <t xml:space="preserve">existia um parametro de monitoração habilitado.</t>
  </si>
  <si>
    <t xml:space="preserve">Desabilitado este parametro do programa de solda.</t>
  </si>
  <si>
    <t xml:space="preserve">Ilha de vidros robô E2</t>
  </si>
  <si>
    <t xml:space="preserve">TOYODA OP 180</t>
  </si>
  <si>
    <t xml:space="preserve">Vibração no eixo</t>
  </si>
  <si>
    <t xml:space="preserve">Foram executados diversos trabalhos durante o dia, porém a noite vimos que existia uma vibração diretamente no motor</t>
  </si>
  <si>
    <t xml:space="preserve">Substituído os cabos do encoder e também o cabo de potencia.</t>
  </si>
  <si>
    <t xml:space="preserve">Mesa 05 - Mastic solo</t>
  </si>
  <si>
    <t xml:space="preserve">Falha de posicionamento superior </t>
  </si>
  <si>
    <t xml:space="preserve">Desalinhamento mecânico provocado pela quebra dos rolamentos e engrenagens</t>
  </si>
  <si>
    <t xml:space="preserve">Substituição dos rolamentos e engrenagens</t>
  </si>
  <si>
    <t xml:space="preserve">Banco de testes de Motor 3</t>
  </si>
  <si>
    <t xml:space="preserve">Falha na inicialização do ciclo de validação</t>
  </si>
  <si>
    <t xml:space="preserve">Falha de ciclo, válvula de limpeza não estanque</t>
  </si>
  <si>
    <t xml:space="preserve">Limpeza da válvula e acerto da sequência no clp</t>
  </si>
  <si>
    <t xml:space="preserve">OP 360</t>
  </si>
  <si>
    <t xml:space="preserve">Falha na acoplagem e desacoplagem</t>
  </si>
  <si>
    <t xml:space="preserve">Falha no sensor de recuo do cilindro</t>
  </si>
  <si>
    <t xml:space="preserve">Feito um jumper para poderem continuar produzindo,
Nos intervalos entre um motor e outro foi substituído o sensor.
</t>
  </si>
  <si>
    <t xml:space="preserve">OP120 "TAYO"</t>
  </si>
  <si>
    <t xml:space="preserve">Falha na medição da Caneta S3</t>
  </si>
  <si>
    <t xml:space="preserve">Aind aem análise, devido a diversas vezes ter falhado a medição independente de modelo Tanto HS como LS</t>
  </si>
  <si>
    <t xml:space="preserve">Feito ajuste e caliração de ganho na caneta.
Após isso teve de ser corrigido gradativamente as linhas de medida para a inserção do "copinho" 
Foram corrigidos os lados da Admissão
</t>
  </si>
  <si>
    <t xml:space="preserve">BM30 - Robô C6</t>
  </si>
  <si>
    <t xml:space="preserve">Possível sobrecarga no circuito de potência dos motores</t>
  </si>
  <si>
    <t xml:space="preserve">Reinicializado controlador e sincronizado</t>
  </si>
  <si>
    <t xml:space="preserve">CSF1 - Robô A2</t>
  </si>
  <si>
    <t xml:space="preserve">Perda de posição do eixo 2</t>
  </si>
  <si>
    <t xml:space="preserve">Motor do Eixo 2 sem freio</t>
  </si>
  <si>
    <t xml:space="preserve">Substituído motor do eixo 2</t>
  </si>
  <si>
    <t xml:space="preserve">Banco 4</t>
  </si>
  <si>
    <t xml:space="preserve">Alarme de falha na extração de ar de combustíveis</t>
  </si>
  <si>
    <t xml:space="preserve">Correia do motor solta.</t>
  </si>
  <si>
    <t xml:space="preserve">Recolocado a correia do motor</t>
  </si>
  <si>
    <t xml:space="preserve">LVG</t>
  </si>
  <si>
    <t xml:space="preserve">Falha de segurança Robô</t>
  </si>
  <si>
    <t xml:space="preserve">Após inserção de modelo HHA houve colisão com a peça</t>
  </si>
  <si>
    <t xml:space="preserve">Recolocado robô e Repli, após isso, Atualizado valores do came para EPS.</t>
  </si>
  <si>
    <t xml:space="preserve">MPS Retoque</t>
  </si>
  <si>
    <t xml:space="preserve">Falha de comunicação com PSF</t>
  </si>
  <si>
    <t xml:space="preserve">Não estava aceitando a comunicação. Reconhecia a rede, porém sem trocas de informação.</t>
  </si>
  <si>
    <t xml:space="preserve">Foi reinicializao em modo ADM e verificado todos os parametros de rede. Iniciado o ECOS. Após isso retornado para o modo operação e voltou a comunicar.</t>
  </si>
  <si>
    <t xml:space="preserve">Base -Queimador 86 Estufa </t>
  </si>
  <si>
    <t xml:space="preserve">Defeito queimador pressão minima</t>
  </si>
  <si>
    <t xml:space="preserve">Inversor do Exaustor sem sinal de start</t>
  </si>
  <si>
    <t xml:space="preserve">Eliminado mau contato nos bornes de sinal</t>
  </si>
  <si>
    <t xml:space="preserve">Cabeçote - OP 600</t>
  </si>
  <si>
    <t xml:space="preserve">Reprovação da aplicação de Loctate no cabeçote</t>
  </si>
  <si>
    <t xml:space="preserve">Trajetória irregular</t>
  </si>
  <si>
    <t xml:space="preserve">Correções de trajetória</t>
  </si>
  <si>
    <t xml:space="preserve">Robô C3 preli X52</t>
  </si>
  <si>
    <t xml:space="preserve">Perda de dados de solda do controlador</t>
  </si>
  <si>
    <t xml:space="preserve">Após alteração realizada no programa de solda houve um erro e perdeu os parametros</t>
  </si>
  <si>
    <t xml:space="preserve">Descarregado um backup de outro controlador e ajustado os parametros para este robô</t>
  </si>
  <si>
    <t xml:space="preserve">Ferragem Mesa 19</t>
  </si>
  <si>
    <t xml:space="preserve">Falha no avanço da mesa;</t>
  </si>
  <si>
    <t xml:space="preserve">Faltava sinal recebido do outro PLC. Chapa interrompendo o sinal</t>
  </si>
  <si>
    <t xml:space="preserve">Forçado o sinal para avanço da mesa 19 e corrigido posição da chapa</t>
  </si>
  <si>
    <t xml:space="preserve">CCG400 laterais X52 / BBB</t>
  </si>
  <si>
    <t xml:space="preserve">Falha na transferencia de memória após realização de lateral do BBB</t>
  </si>
  <si>
    <t xml:space="preserve">Erro no reset de memória da TALO (A0W) após finalização da OF</t>
  </si>
  <si>
    <t xml:space="preserve">Teve de ser corrigido memórias e forçado o avanço da peça no SIPTOL</t>
  </si>
  <si>
    <t xml:space="preserve">Ilha portas X52</t>
  </si>
  <si>
    <t xml:space="preserve">Perda de ciclo robô 3</t>
  </si>
  <si>
    <t xml:space="preserve">Intrusão operação, parada de emência</t>
  </si>
  <si>
    <t xml:space="preserve">Rearmado a ilha, porém faltava segurança R3. Encontrado na lógica memória faltante e forçado</t>
  </si>
  <si>
    <t xml:space="preserve">Ilha Capô/Cofre HHA</t>
  </si>
  <si>
    <t xml:space="preserve">Falha na serissagem</t>
  </si>
  <si>
    <t xml:space="preserve">Perda de ciclo durante processo. Vários sinais faltantes de grippers e memória presença de peça</t>
  </si>
  <si>
    <t xml:space="preserve">Retirado os robôs da posição, voltado para Repli e retirado a peça para reinicializar o ciclo.</t>
  </si>
  <si>
    <t xml:space="preserve">Unit Central, transportador A0</t>
  </si>
  <si>
    <t xml:space="preserve">Desarme do disjuntor de alimentação dos motores</t>
  </si>
  <si>
    <t xml:space="preserve">Freio danificado no motor da frente no cabide</t>
  </si>
  <si>
    <t xml:space="preserve">Liberado a bobina do freio para rodar livre.</t>
  </si>
  <si>
    <t xml:space="preserve">BM30 - </t>
  </si>
  <si>
    <t xml:space="preserve">Falha na detecção da travessa BBB</t>
  </si>
  <si>
    <t xml:space="preserve">Montagem invertida na estação anterior</t>
  </si>
  <si>
    <t xml:space="preserve">Retorno a origem e reposicionada travessa</t>
  </si>
  <si>
    <t xml:space="preserve">Lateral X52 - ABSL  e ABSR </t>
  </si>
  <si>
    <t xml:space="preserve">Falha na transferência de OF da C0W para E0</t>
  </si>
  <si>
    <t xml:space="preserve">Em análise</t>
  </si>
  <si>
    <t xml:space="preserve">Avanço manual das OFs via Siptol</t>
  </si>
  <si>
    <t xml:space="preserve">Banco 2</t>
  </si>
  <si>
    <t xml:space="preserve">Não partia teste do motor</t>
  </si>
  <si>
    <t xml:space="preserve">Falta de sinal para ignição, saída O:1/181 queimada</t>
  </si>
  <si>
    <t xml:space="preserve">Colocado na saída O1:183. Alterado programa de acordo com as chamdas desta saída.</t>
  </si>
  <si>
    <t xml:space="preserve">Robô C6</t>
  </si>
  <si>
    <t xml:space="preserve">Perda de sistema no Robo. Estava dentro da carroceria. Maior tempo para retirar.</t>
  </si>
  <si>
    <t xml:space="preserve">Ainda em verificação. Será deixado ações para verificação em 3º Turno</t>
  </si>
  <si>
    <t xml:space="preserve">Retirado o robô da carroceria e realizado a calibração de todos os eixos.</t>
  </si>
  <si>
    <t xml:space="preserve">OP 200</t>
  </si>
  <si>
    <t xml:space="preserve">Falha na rede profinet</t>
  </si>
  <si>
    <t xml:space="preserve">Módulo CPX (MVP12) com cabo de alimentação solto</t>
  </si>
  <si>
    <t xml:space="preserve">Reapertado a conexão de alimentação do módulo.</t>
  </si>
  <si>
    <t xml:space="preserve">TGSE2</t>
  </si>
  <si>
    <t xml:space="preserve">Falha na contagem de peças para o SMP</t>
  </si>
  <si>
    <t xml:space="preserve">Estava bloqueado o contador de peças da P54 e com isso não computava valor</t>
  </si>
  <si>
    <t xml:space="preserve">Retirado o bloqueio e adaptado para contagem de peças do BBB</t>
  </si>
  <si>
    <t xml:space="preserve">Lateral direita Mesa A0</t>
  </si>
  <si>
    <t xml:space="preserve">Perda de sequencia na antecipação para B0</t>
  </si>
  <si>
    <t xml:space="preserve">Transferencia de memória da A0W</t>
  </si>
  <si>
    <t xml:space="preserve">Foi corrigido as memórias para o modelo B52 para depositar na mesa B0</t>
  </si>
  <si>
    <t xml:space="preserve">BRA 40</t>
  </si>
  <si>
    <t xml:space="preserve">Falha na transferencia de dados, leitura RFID</t>
  </si>
  <si>
    <t xml:space="preserve">Estava travado o módulo de leitura do RFID, em Off Line</t>
  </si>
  <si>
    <t xml:space="preserve">Reset do módulo da antena de leitura.</t>
  </si>
  <si>
    <t xml:space="preserve">UAV - Robô K5</t>
  </si>
  <si>
    <t xml:space="preserve">Falha de supervisão de movimento durante troca do gripper</t>
  </si>
  <si>
    <t xml:space="preserve">Deformação do gripper, estrutura quebrada</t>
  </si>
  <si>
    <t xml:space="preserve">Alinhada placa e soldada estrutura</t>
  </si>
  <si>
    <t xml:space="preserve">MPR - Robô</t>
  </si>
  <si>
    <t xml:space="preserve">Falha de sistema, erro de comunicação do TP</t>
  </si>
  <si>
    <t xml:space="preserve">Mastic MASA</t>
  </si>
  <si>
    <t xml:space="preserve">Falha na rede profinet Zona 6, falha de alimentação 24V da zona 5</t>
  </si>
  <si>
    <t xml:space="preserve">Sobrecarga no circuito da zona 5</t>
  </si>
  <si>
    <t xml:space="preserve">Rearme do disjuntor, reset da profinet e correção das memórias </t>
  </si>
  <si>
    <t xml:space="preserve">Restauração do backup com arquivos de sistema corrompidos</t>
  </si>
  <si>
    <t xml:space="preserve">Reinstalado o sistema e carregado manualmente módulos sys do backup</t>
  </si>
  <si>
    <t xml:space="preserve">RO7</t>
  </si>
  <si>
    <t xml:space="preserve">Falha na abertura do SMP PC SMPLOC</t>
  </si>
  <si>
    <t xml:space="preserve">Arquivo de dados corrompido;
Base de dados do CLP sem direcionamento
</t>
  </si>
  <si>
    <t xml:space="preserve">Instalado uma nova base de dados para referencia;
Reconfigurado o OPC Server;
E redirecionado o PC para base de dados.
</t>
  </si>
  <si>
    <t xml:space="preserve">Robô K5 UAV</t>
  </si>
  <si>
    <t xml:space="preserve">Perda de sinal profinet</t>
  </si>
  <si>
    <t xml:space="preserve">Mal contato no gripper "TOLL CHANGE"</t>
  </si>
  <si>
    <t xml:space="preserve">Passado cabo por fora para reposicionar o Robô, passado limpa contato no pinos de conexão de gripper</t>
  </si>
  <si>
    <t xml:space="preserve">AFM 2 BM30 Robô C6</t>
  </si>
  <si>
    <t xml:space="preserve">Perda de sistema do Robô</t>
  </si>
  <si>
    <t xml:space="preserve">Ainda em análise. Pane repetitiva, já sendo tratada em MRHD</t>
  </si>
  <si>
    <t xml:space="preserve">Reposicionado o Robô, realizado a calibração dos eixos.</t>
  </si>
  <si>
    <t xml:space="preserve">Robo Lunete Ilha Vidros nova</t>
  </si>
  <si>
    <t xml:space="preserve">Colisão Griper com tampa porta malas BBB</t>
  </si>
  <si>
    <t xml:space="preserve">Tampa porta malas BBB abriu na mesa colagem</t>
  </si>
  <si>
    <t xml:space="preserve">Substituição conexão pneumatica quebrada, verificação condições cameras, e retorno ao funcionamento normal.</t>
  </si>
  <si>
    <t xml:space="preserve">Portal OP60</t>
  </si>
  <si>
    <t xml:space="preserve">Erro supervisão controle Eixo Y</t>
  </si>
  <si>
    <t xml:space="preserve">Lateral direita X52</t>
  </si>
  <si>
    <t xml:space="preserve">Perda de OF transferencia entre mesa D e E</t>
  </si>
  <si>
    <t xml:space="preserve">Ainda necessita de analise, devido a ser em ponto de recalage</t>
  </si>
  <si>
    <t xml:space="preserve">Teve de ser corrigido as presenças e a inserção da OF manualmente. Movido OF pelo Siptol</t>
  </si>
  <si>
    <t xml:space="preserve">Ilha de vidros Robô E1</t>
  </si>
  <si>
    <t xml:space="preserve">Erro de inserção do vidro</t>
  </si>
  <si>
    <t xml:space="preserve">Modelo vidro diferente do veículo;</t>
  </si>
  <si>
    <t xml:space="preserve">Retirado o Robô da posição do carro;
Retirado o virdo nas ventosas;
Corrigido memória no PLC.
</t>
  </si>
  <si>
    <t xml:space="preserve">Virabrequim OP60</t>
  </si>
  <si>
    <t xml:space="preserve">Erro movimentação eixo "Y" no portal</t>
  </si>
  <si>
    <t xml:space="preserve">Ainda em análise;</t>
  </si>
  <si>
    <t xml:space="preserve">Foram substituídos diersos equipamentos eletronicos;
Atividade será dado continuidade no domingo.
</t>
  </si>
  <si>
    <t xml:space="preserve">MM13 - OP150</t>
  </si>
  <si>
    <t xml:space="preserve">Desarme do disjuntor 24V - alimentação dos I/O</t>
  </si>
  <si>
    <t xml:space="preserve">Cabo do sensor de presença de pallet em curto com a estrutura</t>
  </si>
  <si>
    <t xml:space="preserve">Substituído cabo do sensor</t>
  </si>
  <si>
    <t xml:space="preserve">Robô J0 (Pinça de solda)</t>
  </si>
  <si>
    <t xml:space="preserve">Colagem de eletrodo.</t>
  </si>
  <si>
    <t xml:space="preserve">Estava com mal conexão do tubo de refrigeração dentro do braço da pinça. </t>
  </si>
  <si>
    <t xml:space="preserve">Foi substituído o conjunto inteiro de braço e porta eletrodos.</t>
  </si>
  <si>
    <t xml:space="preserve">Mesa TE42</t>
  </si>
  <si>
    <t xml:space="preserve">Falha na estocagem de Skid Cata</t>
  </si>
  <si>
    <t xml:space="preserve">Perda de sincronismo de funcionamento durante estocagem de Skid</t>
  </si>
  <si>
    <t xml:space="preserve">Corrigido posição da mesa e da elevação</t>
  </si>
  <si>
    <t xml:space="preserve">ESCAP</t>
  </si>
  <si>
    <t xml:space="preserve">Defeito segurança Ar </t>
  </si>
  <si>
    <t xml:space="preserve">Válvula reguladora defeituosa</t>
  </si>
  <si>
    <t xml:space="preserve">Ajuste do pressostato, troca da reguladora no horário do almoço</t>
  </si>
  <si>
    <t xml:space="preserve">BM70 mesa G0</t>
  </si>
  <si>
    <t xml:space="preserve">Falha no Locator na descida do carro</t>
  </si>
  <si>
    <t xml:space="preserve">Perdeu posição de fechamento no BBB</t>
  </si>
  <si>
    <t xml:space="preserve">Pilotado manualmente até uma posição conhecida e liberado em automático. </t>
  </si>
  <si>
    <t xml:space="preserve">UAV_ Gripper 33</t>
  </si>
  <si>
    <t xml:space="preserve">Falha na liberação do Gripper</t>
  </si>
  <si>
    <t xml:space="preserve">Chave Torjan com defeito, não fechava  contato</t>
  </si>
  <si>
    <t xml:space="preserve">Substituído a Chave Torjan</t>
  </si>
  <si>
    <t xml:space="preserve">OP5</t>
  </si>
  <si>
    <t xml:space="preserve">Perda de ciclo automático no passo 70</t>
  </si>
  <si>
    <t xml:space="preserve">Possivelmente falha na chave de segurança da porta de inserção de bloco</t>
  </si>
  <si>
    <t xml:space="preserve">Realizado o reset de memórias, e reiniciado o ciclo, após liberar palets.
Será verificado a chave do portão no final do turno.
</t>
  </si>
  <si>
    <t xml:space="preserve">AFM2- Robo H4</t>
  </si>
  <si>
    <t xml:space="preserve">Falha de sincronismo eixo 3</t>
  </si>
  <si>
    <t xml:space="preserve">Reaperto de conectores das SMB e sincronismo dos eixos</t>
  </si>
  <si>
    <t xml:space="preserve">CSA100</t>
  </si>
  <si>
    <t xml:space="preserve">Extracurso na translação EOM HHA</t>
  </si>
  <si>
    <t xml:space="preserve">Falha no sensor da parada</t>
  </si>
  <si>
    <t xml:space="preserve">Reposicionado e ajustado sensor</t>
  </si>
  <si>
    <t xml:space="preserve">OP 220</t>
  </si>
  <si>
    <t xml:space="preserve">Cilindros alimentação de distribuição e embreagens do BR10LS com acionamentos mesmo sendo modelo BR10HS</t>
  </si>
  <si>
    <t xml:space="preserve">Durante a mudança de sequencia, gerava um pulso no bloco e com isso pequenos acionamentos do cilindro</t>
  </si>
  <si>
    <t xml:space="preserve">Inserido um intertravamento no Autoriza avanço Automático para bloquear quando for modelo BR10HS</t>
  </si>
  <si>
    <t xml:space="preserve">OP10.5 alimentador de pinos</t>
  </si>
  <si>
    <t xml:space="preserve">Pino enroscando no sistema alimentador</t>
  </si>
  <si>
    <t xml:space="preserve">Excesso de oléo nos pinos, falta de sincronismo dos cilindros alimentadores</t>
  </si>
  <si>
    <t xml:space="preserve">Limpeza do sistema, ajuste pneumático dos cilindros, incremento no tempo de giro do pino</t>
  </si>
  <si>
    <t xml:space="preserve">ABM1 - Robô F1</t>
  </si>
  <si>
    <t xml:space="preserve">Vazamento de agua no trafo da pinça</t>
  </si>
  <si>
    <t xml:space="preserve">O'ring da conexão danificado </t>
  </si>
  <si>
    <t xml:space="preserve">Substituído O'ring</t>
  </si>
  <si>
    <t xml:space="preserve">ABM1 - Robô F6</t>
  </si>
  <si>
    <t xml:space="preserve">Falha de espessura após troca de eletrodo do F6, diagnóstico no MOP para falha no robô F1</t>
  </si>
  <si>
    <t xml:space="preserve">Em análise com a engenharia devido a validação da nova rotina de usinagem de eletrodo</t>
  </si>
  <si>
    <t xml:space="preserve">Reset da falha de espessura, reposicionado todos os robôs em repli</t>
  </si>
  <si>
    <t xml:space="preserve">MM13 - OP220</t>
  </si>
  <si>
    <t xml:space="preserve">Erro de parafusamento da tampa do cabeçote</t>
  </si>
  <si>
    <t xml:space="preserve">Variação do pallet, externo do soquete encostando na tampa</t>
  </si>
  <si>
    <t xml:space="preserve">Ajustado trajetoria de parafusamento</t>
  </si>
  <si>
    <t xml:space="preserve">Ponte entre SE2 e SE4</t>
  </si>
  <si>
    <t xml:space="preserve">Falha Rele ativar Zona 2</t>
  </si>
  <si>
    <t xml:space="preserve">Fusivel com mal contato na alimentação de entradas</t>
  </si>
  <si>
    <t xml:space="preserve">Reconectado o borne fusivel</t>
  </si>
  <si>
    <t xml:space="preserve">UAV Robô X0 "X03"</t>
  </si>
  <si>
    <t xml:space="preserve">Falha na troca do Gripper para BBB </t>
  </si>
  <si>
    <t xml:space="preserve">Faltava a Ordem 11, após o depósito do gripper.</t>
  </si>
  <si>
    <t xml:space="preserve">Forçado o sinal da OR11 para liberar segurança de movimento Robô</t>
  </si>
  <si>
    <t xml:space="preserve">Transporte do Verniz</t>
  </si>
  <si>
    <t xml:space="preserve">Esta ocorrendo um alarme na ilha de Robôs da Durr, diferença de velocidade do transporte</t>
  </si>
  <si>
    <t xml:space="preserve">Ainda em análise, será monitorado o encoder via software do Drive</t>
  </si>
  <si>
    <t xml:space="preserve">xxx</t>
  </si>
  <si>
    <t xml:space="preserve">CSA80</t>
  </si>
  <si>
    <t xml:space="preserve">Queimando o fusível de alimentação da remota Nó 10 "Armor Point"</t>
  </si>
  <si>
    <t xml:space="preserve">Curto circuito em um cabo de sensor do dispositivo AG parte traseira</t>
  </si>
  <si>
    <t xml:space="preserve">Substituído o Cabo do sensor.</t>
  </si>
  <si>
    <t xml:space="preserve">AG2</t>
  </si>
  <si>
    <t xml:space="preserve">Defeito 24V da zona 2 "AG2"</t>
  </si>
  <si>
    <t xml:space="preserve">Disjuntor de comando desarmado</t>
  </si>
  <si>
    <t xml:space="preserve">Rearmado o disjuntor</t>
  </si>
  <si>
    <t xml:space="preserve">AG1 - Mesa D0</t>
  </si>
  <si>
    <t xml:space="preserve">Falha de elevação mesas D0</t>
  </si>
  <si>
    <t xml:space="preserve">Sensor de parada do skid com acionamento intermitente</t>
  </si>
  <si>
    <t xml:space="preserve">Substituído sensor e corrigido memórias</t>
  </si>
  <si>
    <t xml:space="preserve">AGX79 - CSA80</t>
  </si>
  <si>
    <t xml:space="preserve">Falha de movimento no carro CA2</t>
  </si>
  <si>
    <t xml:space="preserve">Intrusão durante movimentação do carro, falha no fechamento do cilindro CF4</t>
  </si>
  <si>
    <t xml:space="preserve">Reposicionado carro, corrigido vazamento no cilindro</t>
  </si>
  <si>
    <t xml:space="preserve">Maquina enchimento DH</t>
  </si>
  <si>
    <t xml:space="preserve">Erro de pequena fuga no controle do Vacuo1, falha de enchimento do circuito</t>
  </si>
  <si>
    <t xml:space="preserve">Vazamento interno da máquina, filtro de abastecimento obstruído</t>
  </si>
  <si>
    <t xml:space="preserve">Trocado reparos e substituído filtro</t>
  </si>
  <si>
    <t xml:space="preserve">Erro de sincronismo do transportador com a aplicação</t>
  </si>
  <si>
    <t xml:space="preserve">Redutor aclopador do encoder do transportador danificado</t>
  </si>
  <si>
    <t xml:space="preserve">Lubrificado caixa de redução, avaliando recursos para substituição.</t>
  </si>
  <si>
    <t xml:space="preserve">Robo Aplicação Biton</t>
  </si>
  <si>
    <t xml:space="preserve">Falha na aplicação de base e verniz</t>
  </si>
  <si>
    <t xml:space="preserve">Após trocar do circuito 18 para o 17, não teve mais fluxo de produto.</t>
  </si>
  <si>
    <t xml:space="preserve">Voltado as condições normais.
No horário de janta foi feito novamente esta alteração, porém utilizando a mangueira do circuito 18.
</t>
  </si>
  <si>
    <t xml:space="preserve">Robô D1 CSF 5</t>
  </si>
  <si>
    <t xml:space="preserve">Falha na aplicação de pino Gourjon</t>
  </si>
  <si>
    <t xml:space="preserve">Enroscou um pino na ponta da pistola e com isso enroscou na mangueira.</t>
  </si>
  <si>
    <t xml:space="preserve">Retirado o pino que estava travado, feito limpeza no circuito.</t>
  </si>
  <si>
    <t xml:space="preserve">Banco paralelismo 2</t>
  </si>
  <si>
    <t xml:space="preserve">Falha de discordancia de paradas de emergencias</t>
  </si>
  <si>
    <t xml:space="preserve">Havia uma parada de emergencia acionada</t>
  </si>
  <si>
    <t xml:space="preserve">Voltado a chave de emergencia na posição</t>
  </si>
  <si>
    <t xml:space="preserve">MM01 - OP05</t>
  </si>
  <si>
    <t xml:space="preserve">Incorreto posicionamento do bloco H no pallet.</t>
  </si>
  <si>
    <t xml:space="preserve">Pontos de apoio  e fixação do bloco insuficiente para o correto alinhamento.</t>
  </si>
  <si>
    <t xml:space="preserve">Correções de trajetória, sem efeito.</t>
  </si>
  <si>
    <t xml:space="preserve">VIRA - OP150</t>
  </si>
  <si>
    <t xml:space="preserve">Defeito de balogh 3 sem dados</t>
  </si>
  <si>
    <t xml:space="preserve">Esteira reverte movimento do Palet  antes de finalizar a gravação no balogh 2 </t>
  </si>
  <si>
    <t xml:space="preserve">Inserido sensor de palet na posição intermediária  na lógica de escrita do balogh 2</t>
  </si>
  <si>
    <t xml:space="preserve">Sobrecarga no motor</t>
  </si>
  <si>
    <t xml:space="preserve">Redutor danificado</t>
  </si>
  <si>
    <t xml:space="preserve">Substituído contatores de reversão, substituído motoredutor</t>
  </si>
  <si>
    <t xml:space="preserve">AGX79 - CS80</t>
  </si>
  <si>
    <t xml:space="preserve">Falha na rede device net</t>
  </si>
  <si>
    <t xml:space="preserve">Curto-circuito nó 10</t>
  </si>
  <si>
    <t xml:space="preserve">Substituído sensor e Conexão "Y"</t>
  </si>
  <si>
    <t xml:space="preserve">utilidades</t>
  </si>
  <si>
    <t xml:space="preserve">ETDI nova</t>
  </si>
  <si>
    <t xml:space="preserve">CPU entrou em Stop</t>
  </si>
  <si>
    <t xml:space="preserve">Erro matemático. OverFlow de valor na N7:41</t>
  </si>
  <si>
    <t xml:space="preserve">Realizado o ClearFault e corrigido o valor.
Inserido um valor menor para que não ocorresse novamente o erro.
</t>
  </si>
  <si>
    <t xml:space="preserve">ILHA de BANCOS</t>
  </si>
  <si>
    <t xml:space="preserve">Falha de sincronismo PJI</t>
  </si>
  <si>
    <t xml:space="preserve">Inversão no sequenciamento manual das caixas direita e esquerda</t>
  </si>
  <si>
    <t xml:space="preserve">Esvaziamento da esteira de entrada e sincronismo com o PSF</t>
  </si>
  <si>
    <t xml:space="preserve">Banco de Testes 2</t>
  </si>
  <si>
    <t xml:space="preserve">Falha na partida do motor</t>
  </si>
  <si>
    <t xml:space="preserve">Mau contato no conector de pressão de óleo</t>
  </si>
  <si>
    <t xml:space="preserve">Substituído chicote.</t>
  </si>
  <si>
    <t xml:space="preserve">JigBox CV100 BBB</t>
  </si>
  <si>
    <t xml:space="preserve">Perda de sequenciamento nos fechamentos de gripper</t>
  </si>
  <si>
    <t xml:space="preserve">Falha no ciclo de funcionamento da máquina</t>
  </si>
  <si>
    <t xml:space="preserve">Realizado um Mres da CPU devido ao sequenciamento.
Reiniciado pelo cartão de memória, com os status inicias do programa
</t>
  </si>
  <si>
    <t xml:space="preserve">LTP mesa 6 e mesa 13</t>
  </si>
  <si>
    <t xml:space="preserve">Mesa 13 - Falha no inversor de frequencia
Mesa 6 - Falta de liberação pelo PSF
</t>
  </si>
  <si>
    <t xml:space="preserve">Mesa 13 - Cabo do motor em curto circuito
Mesa 6 - Não fazia a troca com o PSF devido a estar em diálogo com a mesa 13
</t>
  </si>
  <si>
    <t xml:space="preserve">Mesa 13 - Após verificações, foi utilizado o cabo de ligação do freio para fazer a ligação do motor. Deixado freio do motor livre.
Mesa 6 - Foi retirado o carro que estava na mesa 13 e forçado diálogo com o PSF em 2 carros, após isso voltou a comunicar
</t>
  </si>
  <si>
    <t xml:space="preserve">Testes Estáticos 1 e 2</t>
  </si>
  <si>
    <t xml:space="preserve">Erro ao inicar teste elétrico no Estático 1, falhas aleatórias</t>
  </si>
  <si>
    <t xml:space="preserve">Será análisado pelo Marcio Veloso. 
Foi entrado em contato com ele para falar sobre os problemas na linha
</t>
  </si>
  <si>
    <t xml:space="preserve">Realizado o reset das estações PC's do teste elétrico do Estático 1.
"Acompanhado processo até as 22:30"
</t>
  </si>
  <si>
    <t xml:space="preserve">MM01 - 156</t>
  </si>
  <si>
    <t xml:space="preserve">Colisão e falha de aplicação de cola</t>
  </si>
  <si>
    <t xml:space="preserve">Trocado bico por modelo diferente ao original</t>
  </si>
  <si>
    <t xml:space="preserve">retornado o bico original e corrigido trajetoria</t>
  </si>
  <si>
    <t xml:space="preserve">BM30 - Robo C3</t>
  </si>
  <si>
    <t xml:space="preserve">Travamento da castanha do trocador de ferramentas</t>
  </si>
  <si>
    <t xml:space="preserve">Anel trava do êmbolo quebrado</t>
  </si>
  <si>
    <t xml:space="preserve">Substituído conjunto do trocador, lado robô</t>
  </si>
  <si>
    <t xml:space="preserve">PO4 arrastador</t>
  </si>
  <si>
    <t xml:space="preserve">Falha na chamada do balancele na saída do elevador</t>
  </si>
  <si>
    <t xml:space="preserve">Pino do arrastador estava enroscado e não acionou a chamada do bloco</t>
  </si>
  <si>
    <t xml:space="preserve">Forçado o sinal para saída do balancele e corrigido posição do pino</t>
  </si>
  <si>
    <t xml:space="preserve">Aplicação Preto Estilo</t>
  </si>
  <si>
    <t xml:space="preserve">Desabastecimento do tonel de tinta.
Perda de sequenciamento do funcionamento;
</t>
  </si>
  <si>
    <t xml:space="preserve">Mangueira de recirculo soltou vindo a esvaziar o tonel de tinta;
Devido a entrar em nível crítico após desabastecimento
</t>
  </si>
  <si>
    <t xml:space="preserve">Foi reparado a mangueira que se soltou;
Forçado os sinais de ciclo para que voltasse ao normal.
</t>
  </si>
  <si>
    <t xml:space="preserve">FF1 </t>
  </si>
  <si>
    <t xml:space="preserve">Quebra de serragem, queda sobre NC locator</t>
  </si>
  <si>
    <t xml:space="preserve">Controladora de fluxo pneumatico desrregulada, excesso de batitas no retorno</t>
  </si>
  <si>
    <t xml:space="preserve">Substituida a serragem, destravador chapa de proteção do NC locator, zeramento dos eixos</t>
  </si>
  <si>
    <t xml:space="preserve">CSF1 - Robo B3</t>
  </si>
  <si>
    <t xml:space="preserve">Perda de sincronismo dos eixos</t>
  </si>
  <si>
    <t xml:space="preserve">Em amálise, testes das placas no laboratório</t>
  </si>
  <si>
    <t xml:space="preserve">Substituído CPU, Axis Computer, Cabo da SMB</t>
  </si>
  <si>
    <t xml:space="preserve">UC - Locator E05</t>
  </si>
  <si>
    <t xml:space="preserve">1°Falha de fechamento do multifunção; 2°Colisão do piloto do NC locator com o do robo.</t>
  </si>
  <si>
    <t xml:space="preserve">1° Travas quebradas; 2° Piloto substituído maior do que o original.</t>
  </si>
  <si>
    <t xml:space="preserve">1°Substituição do cilindro; 2°substituído piloto</t>
  </si>
  <si>
    <t xml:space="preserve">Lateral direita</t>
  </si>
  <si>
    <t xml:space="preserve">Falta de fase na iluminação e na talha</t>
  </si>
  <si>
    <t xml:space="preserve">Cofre danifcado</t>
  </si>
  <si>
    <t xml:space="preserve">Substituído cofre</t>
  </si>
  <si>
    <t xml:space="preserve">VIRA - Portal OP60</t>
  </si>
  <si>
    <t xml:space="preserve">Falha de comunicação Profibus</t>
  </si>
  <si>
    <t xml:space="preserve">Mau contato nas conexões do device 112</t>
  </si>
  <si>
    <t xml:space="preserve">Reset do modulo e limpeza da conexão</t>
  </si>
  <si>
    <t xml:space="preserve">Ilha Portas X79 capo BBB</t>
  </si>
  <si>
    <t xml:space="preserve">IHM  não estava funcionando</t>
  </si>
  <si>
    <t xml:space="preserve">IHM travada</t>
  </si>
  <si>
    <t xml:space="preserve">Reset da alimentação IHM</t>
  </si>
  <si>
    <t xml:space="preserve">Robô D0</t>
  </si>
  <si>
    <t xml:space="preserve">Perda de sequenciamento ao pegar piso central</t>
  </si>
  <si>
    <t xml:space="preserve">Movimentação dos grippers de pega da peça</t>
  </si>
  <si>
    <t xml:space="preserve">Retirado as peças com o robô em manual, removido a peça da linha, recolocado no ponto de recalage</t>
  </si>
  <si>
    <t xml:space="preserve">bouclier</t>
  </si>
  <si>
    <t xml:space="preserve">Robo Pintura</t>
  </si>
  <si>
    <t xml:space="preserve">Falha Limpeza do Pulverizador</t>
  </si>
  <si>
    <t xml:space="preserve">Shaping Air (Ar de Leque) com fluxo baixo</t>
  </si>
  <si>
    <t xml:space="preserve">Aumento de Ar de Leque provisorio no momento da limpeza para minimizar falha, (Intervenção programada para intervalo sem produção para verificação do problema)</t>
  </si>
  <si>
    <t xml:space="preserve">Mesa 05 saida Estufa Primer</t>
  </si>
  <si>
    <t xml:space="preserve">Carro descarrilhou Mesa 05 Saida estufa</t>
  </si>
  <si>
    <t xml:space="preserve">Unit Central</t>
  </si>
  <si>
    <t xml:space="preserve">Defeito regra de fluxo do SIPTOL</t>
  </si>
  <si>
    <t xml:space="preserve">Será feito análise pela informática</t>
  </si>
  <si>
    <t xml:space="preserve">Estava com regra de 14, foi alterado para 25 na regra de fluxo</t>
  </si>
  <si>
    <t xml:space="preserve">Andon referencia Base</t>
  </si>
  <si>
    <t xml:space="preserve">Não registrava antecipação para cores</t>
  </si>
  <si>
    <t xml:space="preserve">Bloco MSG de comunicação com andon travado</t>
  </si>
  <si>
    <t xml:space="preserve">Realizado um force no reset do bloco.</t>
  </si>
  <si>
    <t xml:space="preserve">Falha de comunicação DH+</t>
  </si>
  <si>
    <t xml:space="preserve">Reset PC de exploração e retirado e recolocado cabos de rede</t>
  </si>
  <si>
    <t xml:space="preserve">TGSE ROBO ROP</t>
  </si>
  <si>
    <t xml:space="preserve">Falha modulo de potencia</t>
  </si>
  <si>
    <t xml:space="preserve">Problema servo e drive do eixo 2</t>
  </si>
  <si>
    <t xml:space="preserve">Substituição servo e drive eixo 2, substituição do HD e ajustes de trajetória em cada gama que iria iniciar.</t>
  </si>
  <si>
    <t xml:space="preserve">Falha servo</t>
  </si>
  <si>
    <t xml:space="preserve">Servo do eixo 3</t>
  </si>
  <si>
    <t xml:space="preserve">Substituição servo do eixo 3, e ajustes de trajetória na gama.</t>
  </si>
  <si>
    <t xml:space="preserve">UAV mesa F0</t>
  </si>
  <si>
    <t xml:space="preserve">Falha de verificação de posição carro B</t>
  </si>
  <si>
    <t xml:space="preserve">Falha no sensor</t>
  </si>
  <si>
    <t xml:space="preserve">1º - Forçado o sinal deste sensor para não parar a linha;
2º em horário de café feito verificação de conexões, cabos e ajustes do sensor, após isso retirado o force
</t>
  </si>
  <si>
    <t xml:space="preserve">Mesa 2 entrada do TPTS</t>
  </si>
  <si>
    <t xml:space="preserve">Falha na leitura e escrita da tag</t>
  </si>
  <si>
    <t xml:space="preserve">Placa de leitura travada</t>
  </si>
  <si>
    <t xml:space="preserve">Realizado o reset das memórias e da placa</t>
  </si>
  <si>
    <t xml:space="preserve">TGSE2 P10</t>
  </si>
  <si>
    <t xml:space="preserve">Falha no sistema PSV de controle de embreagem</t>
  </si>
  <si>
    <t xml:space="preserve">Provavelmente piloto com embolo travado</t>
  </si>
  <si>
    <t xml:space="preserve">Substituído a válvula</t>
  </si>
  <si>
    <t xml:space="preserve">EOM HHA</t>
  </si>
  <si>
    <t xml:space="preserve">Falha de rede device net nó 40</t>
  </si>
  <si>
    <t xml:space="preserve">Estava com erro no módulo de rede</t>
  </si>
  <si>
    <t xml:space="preserve">Realizado o reset da rede do nó 40</t>
  </si>
  <si>
    <t xml:space="preserve">OP30.1</t>
  </si>
  <si>
    <t xml:space="preserve">Falha no carregamento de OF's para a operação</t>
  </si>
  <si>
    <t xml:space="preserve">Após troca de tipo, foi cancelado diversas OF's. Após isso travou a comunicação com o CLP</t>
  </si>
  <si>
    <t xml:space="preserve">Realizado o reset de envio das OF's cancelando as antigas para carregamentos das novas OF's</t>
  </si>
  <si>
    <t xml:space="preserve">Modelo de laterais diferente</t>
  </si>
  <si>
    <t xml:space="preserve">Divergencia das Laterais (modelo diferente entre esquerda e direita)</t>
  </si>
  <si>
    <t xml:space="preserve">Movimentações em manual retirada de peças e restabelecimento do ciclo correto.</t>
  </si>
  <si>
    <t xml:space="preserve">Ilha porta X79 e capo BBB</t>
  </si>
  <si>
    <t xml:space="preserve">Perda de sequencia</t>
  </si>
  <si>
    <t xml:space="preserve">falha no sensor presença de peça</t>
  </si>
  <si>
    <t xml:space="preserve">Realizado o retorno a origem e ajustado sensor</t>
  </si>
  <si>
    <t xml:space="preserve">Ilha Robôs X79/BBBs</t>
  </si>
  <si>
    <t xml:space="preserve">Não recebia sinais dos grippers do Berço A2.</t>
  </si>
  <si>
    <t xml:space="preserve">Modulo de saídas com mal contato.</t>
  </si>
  <si>
    <t xml:space="preserve">Substituído o módulo de saída e também as bases de conexão.</t>
  </si>
  <si>
    <t xml:space="preserve">Perda de sequenciamento dos berços da ilha</t>
  </si>
  <si>
    <t xml:space="preserve">Não recebia sinais dos grippers. Perda de sequenciamento dos passos de trabalho</t>
  </si>
  <si>
    <t xml:space="preserve">Forçado condiços para acionamento e giro da mesa; Corrigido manualmente os passos de acordo com a chamada do berço; Verificado sinais de escrita de modelo para os Robôs;
Após isso como não voltou a funcionar, verificamos que existiam algumas alterações de software em relação a um backup da semana passada. Com isso fizemos o download deste software, após isso conseguimos realizar o home position e setar modelos para sertissagem.
</t>
  </si>
  <si>
    <t xml:space="preserve">PC Supervisório Estação Primer</t>
  </si>
  <si>
    <t xml:space="preserve">Impossibilidade de realizar Backups</t>
  </si>
  <si>
    <t xml:space="preserve">Sistema com vírus</t>
  </si>
  <si>
    <t xml:space="preserve">Restaurado imagem</t>
  </si>
  <si>
    <t xml:space="preserve">CS20 - Mesa B0</t>
  </si>
  <si>
    <t xml:space="preserve">Falha de movimento do cilindro da retacagem</t>
  </si>
  <si>
    <t xml:space="preserve">Obstrução da alimentação pneumática</t>
  </si>
  <si>
    <t xml:space="preserve">Substituido a linha de alimentação do cilindro</t>
  </si>
  <si>
    <t xml:space="preserve">Bancos de Teste 1</t>
  </si>
  <si>
    <t xml:space="preserve">Falha no Start do Teste do Motor</t>
  </si>
  <si>
    <t xml:space="preserve">Sensor detecção de giro desregulado</t>
  </si>
  <si>
    <t xml:space="preserve">Substituição de fusivel de comando queimado e ajuste do sensor detcção start.</t>
  </si>
  <si>
    <t xml:space="preserve">Bancos de Teste 3</t>
  </si>
  <si>
    <t xml:space="preserve">Banco não funcionou para modelo LS</t>
  </si>
  <si>
    <t xml:space="preserve">Programação para intervenção posterior</t>
  </si>
  <si>
    <t xml:space="preserve">Alteração para outro tipo de motor devido necessidade de teste de outro modelo.</t>
  </si>
  <si>
    <t xml:space="preserve">BRA 05</t>
  </si>
  <si>
    <t xml:space="preserve">Não realizou a escrita na TAG na A0 ponto de lançamento</t>
  </si>
  <si>
    <t xml:space="preserve">TAG estava com número de suporte = a "0"</t>
  </si>
  <si>
    <t xml:space="preserve">Realizado a passagem do carro pelos postos, forçando os sinais e modelo, até a BR40;
Retirado o Skid e inserido o número dele "51"
</t>
  </si>
  <si>
    <t xml:space="preserve">Robo A0 LVD</t>
  </si>
  <si>
    <t xml:space="preserve">Possível mal contato nos conectores ou cabo de rede</t>
  </si>
  <si>
    <t xml:space="preserve">Em horário de café, realizado a verificação de todos os pontos de conexão de rede;</t>
  </si>
  <si>
    <t xml:space="preserve">Robô K5 "dispositivo K31"</t>
  </si>
  <si>
    <t xml:space="preserve">Defeito de presença de ferramenta "gripper"</t>
  </si>
  <si>
    <t xml:space="preserve">Mal contato nos pinos de conexão do Applyed</t>
  </si>
  <si>
    <t xml:space="preserve">Após desacoplado, passado limpa contato nos terminais de conexão.</t>
  </si>
  <si>
    <t xml:space="preserve">SOP's da AFM1</t>
  </si>
  <si>
    <t xml:space="preserve">Não conectava as IHM's com o MOP</t>
  </si>
  <si>
    <t xml:space="preserve">Perda de refêrencia do PC mestre</t>
  </si>
  <si>
    <t xml:space="preserve">Logado como administrador e reconfigurado o PC MOP para chada de telas.
Terá de ser corrigido a comunicação de pastas das IHM's em modo exploração
</t>
  </si>
  <si>
    <t xml:space="preserve">Robô E2 AFM1 "FM50"</t>
  </si>
  <si>
    <t xml:space="preserve">Perda de calibração do Robô</t>
  </si>
  <si>
    <t xml:space="preserve">Ainda em análise "MRHD"</t>
  </si>
  <si>
    <t xml:space="preserve">Substituído o cabo da SMB e a placa SMB em horário de janta;
Em acompanhamento.
</t>
  </si>
  <si>
    <t xml:space="preserve">MM01 OP140 robo1</t>
  </si>
  <si>
    <t xml:space="preserve">Parafusadeira sem status de "pronta" para início do ciclo</t>
  </si>
  <si>
    <t xml:space="preserve">Defeito no controlador da parafusadeira</t>
  </si>
  <si>
    <t xml:space="preserve">Degradado a operação de parafusamento, ciclo manual na próxima operação.</t>
  </si>
  <si>
    <t xml:space="preserve">MM13 OP30-2</t>
  </si>
  <si>
    <t xml:space="preserve">Falha leitura Data Matrix Biela</t>
  </si>
  <si>
    <t xml:space="preserve">Troca lote de peças diferença fornecedor</t>
  </si>
  <si>
    <t xml:space="preserve">Executado ajuste da janela de medição e efetuado aprendizagem. (modelo rodando agora com micropunção e lote anterior data matrix a laser). (necessaria intervenção posterior para ajuste para os dois modelos)</t>
  </si>
  <si>
    <t xml:space="preserve">Elevador Troca Skid entrada TTS</t>
  </si>
  <si>
    <t xml:space="preserve">Falha abertura travas traseiras U79</t>
  </si>
  <si>
    <t xml:space="preserve">Falha acionamento da valvula (intermitencia cabo comando)</t>
  </si>
  <si>
    <t xml:space="preserve">Passagem de cabo por fora e ligação no painel para rodar.</t>
  </si>
  <si>
    <t xml:space="preserve">OP 50 Off</t>
  </si>
  <si>
    <t xml:space="preserve">Falha detecção peça</t>
  </si>
  <si>
    <t xml:space="preserve">Sensor detecção sujo com oleo</t>
  </si>
  <si>
    <t xml:space="preserve">Limpeza do sensor pelo operador do posto (ao chegar já estava rodando)</t>
  </si>
  <si>
    <t xml:space="preserve">Elevador de Portas SE2</t>
  </si>
  <si>
    <t xml:space="preserve">Desarme geral alimentação Portas</t>
  </si>
  <si>
    <t xml:space="preserve">Curto circuito na conexão da fonte da PG Siemens</t>
  </si>
  <si>
    <t xml:space="preserve">Restabelecimento geral das alimentações, substituição do cartão de segurança que apresentava falha na tentativa de rearme, movimentação elevador manual e restabelecido ciclo.</t>
  </si>
  <si>
    <t xml:space="preserve">I:\DFM\FV-MANUT\MANUTENCAO_FAS\ENGENHARIA DE MANUTENÇÃO\09 - GMAO\22 - Oficina de Reparo</t>
  </si>
  <si>
    <t xml:space="preserve">Não realizou a colocação do teto mod "BBB"</t>
  </si>
  <si>
    <t xml:space="preserve">Em análise.
Antes de realizar a medição do teto, perdeu a rotina principal "Main" e retornou para T_Lance
</t>
  </si>
  <si>
    <t xml:space="preserve">Foi realizado descarte do teto na mesa e liberado o carro para realizar retoque.</t>
  </si>
  <si>
    <t xml:space="preserve">Mesa J0 - Locator</t>
  </si>
  <si>
    <t xml:space="preserve">Falha de posicionamento do locator</t>
  </si>
  <si>
    <t xml:space="preserve">Perda  da segurança durante transferência da J0</t>
  </si>
  <si>
    <t xml:space="preserve">Reposicionado, bloqueio de antecipação no modelo BBB</t>
  </si>
  <si>
    <t xml:space="preserve">UAV Robô J0</t>
  </si>
  <si>
    <t xml:space="preserve">Falha na posição de peça</t>
  </si>
  <si>
    <t xml:space="preserve">Defeito no sensor de detecção de peça.</t>
  </si>
  <si>
    <t xml:space="preserve">Substituído sensor;
Realizado verificação e correção de trajetória
</t>
  </si>
  <si>
    <t xml:space="preserve">Virabrequim OP20</t>
  </si>
  <si>
    <t xml:space="preserve">Falha em diversos eixos</t>
  </si>
  <si>
    <t xml:space="preserve">Defeito nos módulos</t>
  </si>
  <si>
    <t xml:space="preserve">Substituído 2 módulos de 160A (S1 e S4) e um de 50A Eixo X2, também substituído uma placa de controle do eixo S1</t>
  </si>
  <si>
    <t xml:space="preserve">Banco de Testes 3</t>
  </si>
  <si>
    <t xml:space="preserve">Banco não da partida para teste do motor</t>
  </si>
  <si>
    <t xml:space="preserve">Falha pressão de oleo</t>
  </si>
  <si>
    <t xml:space="preserve">Ajuste sensor de acoplamento da arvore de transmissão, e aumento do tempo geração de alarme pressão de oleo T92 de 10 para 15 segundos (modificação já havia sido realizada nos bancos de teste 1 e 2.</t>
  </si>
  <si>
    <t xml:space="preserve">UAR mesa Q0</t>
  </si>
  <si>
    <t xml:space="preserve">Perda de leitura RFID</t>
  </si>
  <si>
    <t xml:space="preserve">Pallet quebrado na solda</t>
  </si>
  <si>
    <t xml:space="preserve">Retirado o pallet para manutenção e corrigido memórias de presença e evacuação.</t>
  </si>
  <si>
    <t xml:space="preserve">Piso Central Robô J4 gourjon</t>
  </si>
  <si>
    <t xml:space="preserve">Falha de stickout, aplicação de tucker. </t>
  </si>
  <si>
    <t xml:space="preserve">Fuga de corrente na aplicação, pataa de apoio afastada</t>
  </si>
  <si>
    <t xml:space="preserve">Substituído o bico de aplicação e realizado ajuste na pata de apoio e aterramento.</t>
  </si>
  <si>
    <t xml:space="preserve">BM30</t>
  </si>
  <si>
    <t xml:space="preserve">Erro entre Robô C4 e C6, área de interferencia aguardando ordens</t>
  </si>
  <si>
    <t xml:space="preserve">Erro na antecipação do robô,</t>
  </si>
  <si>
    <t xml:space="preserve">Retirado o robô da posição, realizado a troca de eletrodo.</t>
  </si>
  <si>
    <t xml:space="preserve">AG1Z1 Robôs D3 D4 e C2</t>
  </si>
  <si>
    <t xml:space="preserve">Houve uma colagem de eletrodo no robô C2 AG1 no modelo BBB,
Devido a deslocar o veiculo no pallet houve colisão no proximo posto
</t>
  </si>
  <si>
    <t xml:space="preserve">Porta eletrodo com desgastes,</t>
  </si>
  <si>
    <t xml:space="preserve">Substituído porta eletrodos</t>
  </si>
  <si>
    <t xml:space="preserve">Bancos de rolagem 1 e 2</t>
  </si>
  <si>
    <t xml:space="preserve">Problema de comunicação com PEV</t>
  </si>
  <si>
    <t xml:space="preserve">Perda de comunicação com servidor</t>
  </si>
  <si>
    <t xml:space="preserve">Reinicialização dos PCs 71 e 72 do PEV de comunicação com os bancos de rolagem e dos PCs dos bancos de rolagem. Rolagem 1 OK, rolagem 2 apresentou erro em alguns HHA após um tempo passado novamente o modelo no banco e funcionamento OK.</t>
  </si>
  <si>
    <t xml:space="preserve">X52 MOP ABM1</t>
  </si>
  <si>
    <t xml:space="preserve">PC do MOP sistema corrompido</t>
  </si>
  <si>
    <t xml:space="preserve">PC do MOP reiniciando</t>
  </si>
  <si>
    <t xml:space="preserve">Substituição pelo PC do MOP do Laboratorio de Robotica, descarregamento do SAUVE do HD original, e pastas do SMPLOC IHMP e STEP7proj. Atualização OPC e colocação em funcionamento.</t>
  </si>
  <si>
    <t xml:space="preserve">X52 ABM2 Posto 60</t>
  </si>
  <si>
    <t xml:space="preserve">Falha movimento da plataforma dianteira lado direito</t>
  </si>
  <si>
    <t xml:space="preserve">Cilindro com  freio travado.</t>
  </si>
  <si>
    <t xml:space="preserve">Troca do copo da entrada de ar do freio e destravado o cilindro e rodando em degradado sem freio até intervenção de restabelecimento condição funcionamento normal.</t>
  </si>
  <si>
    <t xml:space="preserve">Sistema geral de mastic</t>
  </si>
  <si>
    <t xml:space="preserve">Perda de alimentação momentanea do PLC</t>
  </si>
  <si>
    <t xml:space="preserve">Ainda em análise via MRHD</t>
  </si>
  <si>
    <t xml:space="preserve">Rearme do sistema e colocação em automático
Levantadas em MRHD ações para serem realizadas e verificadas após horário de produção
</t>
  </si>
  <si>
    <t xml:space="preserve">Erro de interferência entre robos, e erro na troca de eletrodo entrou em LOOP</t>
  </si>
  <si>
    <t xml:space="preserve">Robô C5 entrou na área de interferência do Robô C7</t>
  </si>
  <si>
    <t xml:space="preserve">Retirado os robôs das posições, forçado ordens para movimentação e substituído eletrodo do C5 manualmente</t>
  </si>
  <si>
    <t xml:space="preserve">Z1SPBBB, linha de portas BBB</t>
  </si>
  <si>
    <t xml:space="preserve">Falha em sertissagem,
Após descarregar um backup, falha no carregamento do MAIN
</t>
  </si>
  <si>
    <t xml:space="preserve">Duplicação de chamada da rotina p_Repli.</t>
  </si>
  <si>
    <t xml:space="preserve">Descarregado backup, após isso parado o programa que estava lendo e depois feito a chamado do Prog.mod do backup.
Pessoal da manutenção corrigiu trajetória da sertissagem.
</t>
  </si>
  <si>
    <t xml:space="preserve">CPU entrou em STOP no descarregamento de codigo PLC</t>
  </si>
  <si>
    <t xml:space="preserve">Falha no descarregamento do lader</t>
  </si>
  <si>
    <t xml:space="preserve">Restabelecimento do ciclo da ilha, Preparação de novo PC e Substituição PC do MOP que estava apresentando tela azul, e substituição no intervalo do almoço. </t>
  </si>
  <si>
    <t xml:space="preserve">BM 55 mesa H0</t>
  </si>
  <si>
    <t xml:space="preserve">Autorização de avanço sem pinça estar em posição de repouso</t>
  </si>
  <si>
    <t xml:space="preserve">Pinça não colocada em repouso, falta de interlock com a cruzeta</t>
  </si>
  <si>
    <t xml:space="preserve">Recolocado a pinça em posição, criado interlock para a pinça</t>
  </si>
  <si>
    <t xml:space="preserve">BRA 05 mesa C0/D0</t>
  </si>
  <si>
    <t xml:space="preserve">Falha na tranferencia da base de dados entre as mesas</t>
  </si>
  <si>
    <t xml:space="preserve">Skid enroscou no suporte do sensor e o mesmo ficou acionado direto</t>
  </si>
  <si>
    <t xml:space="preserve">Feito as movimentações das bases de dados via software,
Realizado o reset das memórias que ficaram ativas,
Correção da posição do sensor.
</t>
  </si>
  <si>
    <t xml:space="preserve">Transportador do Verniz</t>
  </si>
  <si>
    <t xml:space="preserve">Mesa desarmando o inversor de frequencia</t>
  </si>
  <si>
    <t xml:space="preserve">Enroscou a unha da corrente na guia de retorno da corrente</t>
  </si>
  <si>
    <t xml:space="preserve">Cortado pedaço da unha que estava torto, e tensionado a corrente</t>
  </si>
  <si>
    <t xml:space="preserve">LVD Mesa T0</t>
  </si>
  <si>
    <t xml:space="preserve">Falha de tensionamento de corrente</t>
  </si>
  <si>
    <t xml:space="preserve">Cabide danificado enroscou</t>
  </si>
  <si>
    <t xml:space="preserve">Retirado o cabide e reajustado o sensor de tensão do transporte</t>
  </si>
  <si>
    <t xml:space="preserve">BRA 5</t>
  </si>
  <si>
    <t xml:space="preserve">Erro sendo gerado pela camera de verificação da montagem na linha do X79</t>
  </si>
  <si>
    <t xml:space="preserve">Realizado o By pass da camera.
Obs: Equipamento recém instalado
</t>
  </si>
  <si>
    <t xml:space="preserve">Cabeçote (Mecalix)</t>
  </si>
  <si>
    <t xml:space="preserve">Degradação da base do cabeçote modelo K4</t>
  </si>
  <si>
    <t xml:space="preserve">Mal posicionamento do cabeçote na mesa de testes de estanqueidade</t>
  </si>
  <si>
    <t xml:space="preserve">Diminuido a velocidade do robô na trajetória de depósito da peça (mod:K4),
Necessita de uma análise para correção do posicionamento e depósito da peça.
</t>
  </si>
  <si>
    <t xml:space="preserve">Tristok - Mesa de rolos</t>
  </si>
  <si>
    <t xml:space="preserve">Falha NST no inversor</t>
  </si>
  <si>
    <t xml:space="preserve">Mau contato nos bornes</t>
  </si>
  <si>
    <t xml:space="preserve">Reaperto das conexões e reset da alimentação </t>
  </si>
  <si>
    <t xml:space="preserve">LVD Robô C0</t>
  </si>
  <si>
    <t xml:space="preserve">Perda de calibração de todos os eixos</t>
  </si>
  <si>
    <t xml:space="preserve">Perda de sinal na SMB</t>
  </si>
  <si>
    <t xml:space="preserve">Retirado o cabo da SMP, realizado a limpeza com limpa contatos,
Realizado a calibração de todos os eixos do Robô
</t>
  </si>
  <si>
    <t xml:space="preserve">Prensa preparação portas BBB "PVGD701"</t>
  </si>
  <si>
    <t xml:space="preserve">Falha de presença de sensor DP4, e perda de ciclo da máquina</t>
  </si>
  <si>
    <t xml:space="preserve">Batente da prensa dos 2 lados co m parafusos quebrados</t>
  </si>
  <si>
    <t xml:space="preserve">Será desmontado a base para retirar os parafusos e corrigir a posição do batente em 3º Turno</t>
  </si>
  <si>
    <t xml:space="preserve">MDA Paralelismo</t>
  </si>
  <si>
    <t xml:space="preserve">Falha de comunicação com o MDA</t>
  </si>
  <si>
    <t xml:space="preserve">Defeito na placa da antena</t>
  </si>
  <si>
    <t xml:space="preserve">Substituído pela estação reserva</t>
  </si>
  <si>
    <t xml:space="preserve">Mesa 86 LAR</t>
  </si>
  <si>
    <t xml:space="preserve">Falha na translação da mesa e disjuntor desarmado</t>
  </si>
  <si>
    <t xml:space="preserve">Contator de acionamento do motor danificado, desgate de contatos</t>
  </si>
  <si>
    <t xml:space="preserve">Substituído o contator</t>
  </si>
  <si>
    <t xml:space="preserve">Cabeçote OP515</t>
  </si>
  <si>
    <t xml:space="preserve">Falha no fechamento de segurança do Robô</t>
  </si>
  <si>
    <t xml:space="preserve">Mal contato no fechamento da porta de acesso a máquina </t>
  </si>
  <si>
    <t xml:space="preserve">Devido a vibração foi isolada a porta e presa, devido a estar oscilando a fechadura magnetica</t>
  </si>
  <si>
    <t xml:space="preserve">Erro na pega de gripper modelo BBB</t>
  </si>
  <si>
    <t xml:space="preserve">Intertravamento lógico não perdeu memória IPP13</t>
  </si>
  <si>
    <t xml:space="preserve">Foi bloqueado essa condição, analise lógica a ser realizada posteriormente, após confirmação de alteração</t>
  </si>
  <si>
    <t xml:space="preserve">Perda de sincronização com PSF</t>
  </si>
  <si>
    <t xml:space="preserve">Está em análise. Monitorando bit de autorização de Zeramento da tabela de dados e escrita de novo PJI</t>
  </si>
  <si>
    <t xml:space="preserve">Realizado corte na linha para inserir novo PJI de sequenciamento</t>
  </si>
  <si>
    <t xml:space="preserve">Usinagem/Cabeçote</t>
  </si>
  <si>
    <t xml:space="preserve">Perda de pressão de ar comprimido</t>
  </si>
  <si>
    <t xml:space="preserve">Necessita análise. Não foi encontrado instabilidade no sistema de utilidades</t>
  </si>
  <si>
    <t xml:space="preserve">Teve de ser realizado Repli em diversos robôs para colocação de ciclo nas máquinas, e também reiniciar ciclos nas Operações;
OP310.3 Robô 1 perdeu programa. Foi realizado a restauração e após realizado movimentos manuais e Repli. Demais robôs da ilha, tivemos que realizar o descarte manual de peças e reposicionamento dos cabeçotes nas mesas. 
</t>
  </si>
  <si>
    <t xml:space="preserve">MP2</t>
  </si>
  <si>
    <t xml:space="preserve">Alarme de pressão alta do contrabalanço</t>
  </si>
  <si>
    <t xml:space="preserve">Transdutor de pressão danificado após golpe com a ferramenta errada</t>
  </si>
  <si>
    <t xml:space="preserve">Alterado o limite superior de alarme de 0,5 para 1,0 Bar</t>
  </si>
  <si>
    <t xml:space="preserve">SE6 - Estação de AC</t>
  </si>
  <si>
    <t xml:space="preserve">Falha de comprimento de dados do código BBB durante sincronização pelo código de barras</t>
  </si>
  <si>
    <t xml:space="preserve">Lógica de aceitação do código setada em 23 caracteres</t>
  </si>
  <si>
    <t xml:space="preserve">Digitação manual do PJI na DB PSF</t>
  </si>
  <si>
    <t xml:space="preserve">SE4 - Elev. Portas CAP</t>
  </si>
  <si>
    <t xml:space="preserve">1° Defeito de posição elev. Esquerdo. 2° Sinal de posição inferior com Force ativado no elev. Direito.</t>
  </si>
  <si>
    <t xml:space="preserve">1° Perda de posição com acionamento do extra curso, CLP de segurança SICK com falha de discrepância dos canais, chave de exclusão de segurança com erro de lógica no SICK. 2° Force ativado durante a pane.</t>
  </si>
  <si>
    <t xml:space="preserve">1° Reset geral no CLP SICK, acionamento manual do fim de curso. 2° Eliminado o Force no CLP</t>
  </si>
  <si>
    <t xml:space="preserve">ABM1 Mesa B0</t>
  </si>
  <si>
    <t xml:space="preserve">Travamento da plataforma do operador</t>
  </si>
  <si>
    <t xml:space="preserve">parafuso da chapa de fixação soltou e travou as guias</t>
  </si>
  <si>
    <t xml:space="preserve">Removido o parafuso</t>
  </si>
  <si>
    <t xml:space="preserve">CL1</t>
  </si>
  <si>
    <t xml:space="preserve">Falha no fechamento da zona</t>
  </si>
  <si>
    <t xml:space="preserve">Defeito na Chave Profinet</t>
  </si>
  <si>
    <t xml:space="preserve">Substituído Chave</t>
  </si>
  <si>
    <t xml:space="preserve">VIRABR - OP130</t>
  </si>
  <si>
    <t xml:space="preserve">Falha de emergência acionada</t>
  </si>
  <si>
    <t xml:space="preserve">TRIP do disjuntor da bomba hidráulica TMS1.</t>
  </si>
  <si>
    <t xml:space="preserve">Aguardando inspeção do Motor e do circuito elétrico pela manutenção.</t>
  </si>
  <si>
    <t xml:space="preserve">OP130 TOYODA</t>
  </si>
  <si>
    <t xml:space="preserve">Falha no rearmamento do sistema;
não liberava para ligar bomba lubrificação
</t>
  </si>
  <si>
    <t xml:space="preserve">Defeito no disjuntor motor/contator da bomba de lubrificação TMS1.</t>
  </si>
  <si>
    <t xml:space="preserve">Substituído contator e contato auxiliar lateral</t>
  </si>
  <si>
    <t xml:space="preserve">Transportador</t>
  </si>
  <si>
    <t xml:space="preserve">Perda de sequenciamento nos pontos de localização do cabide</t>
  </si>
  <si>
    <t xml:space="preserve">Erro em leitura de tag</t>
  </si>
  <si>
    <t xml:space="preserve">Reposicionado manualmente varios cabides para colocar em sequencia, corrigido via IHM posição</t>
  </si>
  <si>
    <t xml:space="preserve">FM10</t>
  </si>
  <si>
    <t xml:space="preserve">Perda de OF na mesa A0</t>
  </si>
  <si>
    <t xml:space="preserve">Ainda em análise, ocorreu erro após inserir pallets vazios.</t>
  </si>
  <si>
    <t xml:space="preserve">Corrigido as OF no decorrer da linha da preli X52;
Liberado um carro como sucata;
Avançado OF em pontos de marriage
</t>
  </si>
  <si>
    <t xml:space="preserve">Mesa transporte de chapas</t>
  </si>
  <si>
    <t xml:space="preserve">Perda de leitura de encoder</t>
  </si>
  <si>
    <t xml:space="preserve">Não estava recebendo valores de leitura de 2 encoder</t>
  </si>
  <si>
    <t xml:space="preserve">Substituído um encoder;
Calibração de posição dos encoders,
* Devido a pane da pintura não acompanado demais soluções
</t>
  </si>
  <si>
    <t xml:space="preserve">CATA "retificador 1"</t>
  </si>
  <si>
    <t xml:space="preserve">Desarme do retificar e parada do transportador</t>
  </si>
  <si>
    <t xml:space="preserve">Curto circuito após substituir lampada de coluna luminosa</t>
  </si>
  <si>
    <t xml:space="preserve">Rearmado disjuntor de comando;
Substituído fusivel de 10A do Cartão de Output do Rack PLC
</t>
  </si>
  <si>
    <t xml:space="preserve">AG1 - Robo A4</t>
  </si>
  <si>
    <t xml:space="preserve">Perda de posição eixo 5</t>
  </si>
  <si>
    <t xml:space="preserve">Eixo 5 com a correia danificada</t>
  </si>
  <si>
    <t xml:space="preserve">Substituído correia</t>
  </si>
  <si>
    <t xml:space="preserve">BASE - Mesa 16</t>
  </si>
  <si>
    <t xml:space="preserve">Defeito Altivar Zona 4</t>
  </si>
  <si>
    <t xml:space="preserve">Falha no circuito de ativação do inversor, feedback de freio</t>
  </si>
  <si>
    <t xml:space="preserve">Acionamento do contator de freio pelo CLP</t>
  </si>
  <si>
    <t xml:space="preserve">Robô D1 AG1</t>
  </si>
  <si>
    <t xml:space="preserve">Desarme do disjuntor da pinça de solda</t>
  </si>
  <si>
    <t xml:space="preserve">Curto circuito cabo do transformador</t>
  </si>
  <si>
    <t xml:space="preserve">Passado cabo por fora no robô</t>
  </si>
  <si>
    <t xml:space="preserve">OP220</t>
  </si>
  <si>
    <t xml:space="preserve">Falha de posição no parafusamento</t>
  </si>
  <si>
    <t xml:space="preserve">Acoplamento do Eixo externo quebrado</t>
  </si>
  <si>
    <t xml:space="preserve">Substituído acoplamento</t>
  </si>
  <si>
    <t xml:space="preserve">Banco de teste 4</t>
  </si>
  <si>
    <t xml:space="preserve">Falha de nível no tanque de expansão</t>
  </si>
  <si>
    <t xml:space="preserve">Sensor de nivel alto defeituoso, eletro-válvulas pilotadas manualmente</t>
  </si>
  <si>
    <t xml:space="preserve">Desconectado sensor de nível e normalizado eletro-válvulas</t>
  </si>
  <si>
    <t xml:space="preserve">OP310.3</t>
  </si>
  <si>
    <t xml:space="preserve">Erro de leitura de Ballog</t>
  </si>
  <si>
    <t xml:space="preserve">Ballog com defeito</t>
  </si>
  <si>
    <t xml:space="preserve">Após substituir o Ballog não gerou falha, porém não dava de fim de leitura.
Realizado Reset na DB de escrita das etapas de leitura e escrita do Ballog
</t>
  </si>
  <si>
    <t xml:space="preserve">PC / MOP</t>
  </si>
  <si>
    <t xml:space="preserve">Necesstiavam de realizar o backup do MOP (S7) </t>
  </si>
  <si>
    <t xml:space="preserve">Motivo: Inserir no PC do Clid para verificação externa de fornecedor</t>
  </si>
  <si>
    <t xml:space="preserve">Copiado o Arquivo que estava atualizado no MOP, feito Backup do S7 e transferido o arquivo para o PC do Clid</t>
  </si>
  <si>
    <t xml:space="preserve">Portas do BBB lado direito</t>
  </si>
  <si>
    <t xml:space="preserve">Erro na sertissagem na parte inferior da porta direita BBB</t>
  </si>
  <si>
    <t xml:space="preserve">Possivelmente desgaste da roldana de sertissagem</t>
  </si>
  <si>
    <t xml:space="preserve">Alterado parametro de posição de prensagem nas bordas inferiores (valores entre 3 e 6 mm)</t>
  </si>
  <si>
    <t xml:space="preserve">FM1- Robo J1</t>
  </si>
  <si>
    <t xml:space="preserve">Falha na rotina de troca de eletrodos</t>
  </si>
  <si>
    <t xml:space="preserve">Incoerência nas sinais da rotina de troca manual/ automática de eletrodos</t>
  </si>
  <si>
    <t xml:space="preserve">Realizado P-Start e finalizado cilo de troca automática</t>
  </si>
  <si>
    <t xml:space="preserve">Máquina de AC </t>
  </si>
  <si>
    <t xml:space="preserve">Estabilização da pressão no ciclo final abaixo de 14Bar</t>
  </si>
  <si>
    <t xml:space="preserve">Vazamento interno</t>
  </si>
  <si>
    <t xml:space="preserve">Substituíção de válvulas, ajuste do tempo do ciclo final </t>
  </si>
  <si>
    <t xml:space="preserve">OP10.1 (CALA)</t>
  </si>
  <si>
    <t xml:space="preserve">Travando mesa no giro da mesa</t>
  </si>
  <si>
    <t xml:space="preserve">Referenciamento da mesa B estava incorreto</t>
  </si>
  <si>
    <t xml:space="preserve">Corrigido referenciamento da mesa e conferido os demais eixos.</t>
  </si>
  <si>
    <t xml:space="preserve">Falha na antecipação de modelo</t>
  </si>
  <si>
    <t xml:space="preserve">Duplicidade de solicitação de troca de griper do BBB e do X52</t>
  </si>
  <si>
    <t xml:space="preserve">Correção no software das condições de antecipação</t>
  </si>
  <si>
    <t xml:space="preserve">Usinagem OP 130.2 (TOYODA)</t>
  </si>
  <si>
    <t xml:space="preserve">Falha na medição do Marposs no eixo LR</t>
  </si>
  <si>
    <t xml:space="preserve">Erro no sensor de medição</t>
  </si>
  <si>
    <t xml:space="preserve">Substituído o Sensor, Realizado Calibração.
Operação realizou demais ajustes
</t>
  </si>
  <si>
    <t xml:space="preserve">Usinagem OP130.1 (TOYODA)</t>
  </si>
  <si>
    <t xml:space="preserve">Falha na movimentação do eixo RR.</t>
  </si>
  <si>
    <t xml:space="preserve">Defeito no motor do eixo,
Erro de referenciamento negativo
</t>
  </si>
  <si>
    <t xml:space="preserve">Substituído motor,
Realizado referenciamento do eixo
</t>
  </si>
  <si>
    <t xml:space="preserve">Montagem Banco 3</t>
  </si>
  <si>
    <t xml:space="preserve">Erro na liberação de segurança,
Falha na aceleração inicial,
</t>
  </si>
  <si>
    <t xml:space="preserve">Falta de sinal de fechamento de segurança;
Falha no módulo Calculador e sensor de velocidade
</t>
  </si>
  <si>
    <t xml:space="preserve">Verificado fechamento de segurança,  está gerando falha intermitente nos reles;
Substituído calcular modelo (LS), verificado chave de mudança de sensores de velocidade e ajustado sensor.
</t>
  </si>
  <si>
    <t xml:space="preserve">RO7 - Montadora</t>
  </si>
  <si>
    <t xml:space="preserve">Falha de posicionameto da roda</t>
  </si>
  <si>
    <t xml:space="preserve">Cilindro de apoio da roda com vazamento na haste</t>
  </si>
  <si>
    <t xml:space="preserve">Substituição do reparo da haste no intervalo do almoço</t>
  </si>
  <si>
    <t xml:space="preserve">Robo KUKA C4</t>
  </si>
  <si>
    <t xml:space="preserve">Falha no link de chamada do CELULE</t>
  </si>
  <si>
    <t xml:space="preserve">Programa corrompido</t>
  </si>
  <si>
    <t xml:space="preserve">Recuperado diretório KRC do Backup</t>
  </si>
  <si>
    <t xml:space="preserve">Falha no servomotor no retorno da prensagem da embreagem</t>
  </si>
  <si>
    <t xml:space="preserve">Possível falha de torque no retorno do servo</t>
  </si>
  <si>
    <t xml:space="preserve">Alterado parametro P2175 de velocidade de retorno e controle de torque</t>
  </si>
  <si>
    <t xml:space="preserve">UAV (Robô F1)</t>
  </si>
  <si>
    <t xml:space="preserve">Reinicialização do sistema,
Pinça não fechava após reiniciar sistema
</t>
  </si>
  <si>
    <t xml:space="preserve">ainda em análise. Falha de comunicação devicenet entre controlador de solda e PC do Robô.</t>
  </si>
  <si>
    <t xml:space="preserve">Substituído sevomotor da pinça de solda,
Forçado sinal do contator do freio da servogun (CTRLBREAK).
OBS: Será verificado cabo de rede devicenet e alterar a configuração de acionamento do (CTRLBREAK)
</t>
  </si>
  <si>
    <t xml:space="preserve">Cabeçote (OP310.2)</t>
  </si>
  <si>
    <t xml:space="preserve">Falha de rede Profibus nos módulos</t>
  </si>
  <si>
    <t xml:space="preserve">Cabo de alimentação solto em um módulo DP/DP</t>
  </si>
  <si>
    <t xml:space="preserve">Realizado o WarmStart da CPU que estava em Stop,
Conectado o cabo de alimentação do módulo DP/DP
</t>
  </si>
  <si>
    <t xml:space="preserve">Mesa 9 Cera P3e31</t>
  </si>
  <si>
    <t xml:space="preserve">Defeito de skid preso na carroceria (defito na Zona 1)</t>
  </si>
  <si>
    <t xml:space="preserve">Discordancia de leitura dos sensores na mesa, possível Skid torto.</t>
  </si>
  <si>
    <t xml:space="preserve">Bloqueado o alarme para rearmar a zona 1;
Realizado movimento manual do elevado para retirada da carroceria;
Retirado o bloqueio da falha.
</t>
  </si>
  <si>
    <t xml:space="preserve">Mastic Aéreo "MOP Z1 e 2"</t>
  </si>
  <si>
    <t xml:space="preserve">Falha na carta de segurança da zona 1</t>
  </si>
  <si>
    <t xml:space="preserve">Está gerando erro no módulo 10 da Zona 1, ainda em análise de causa,
Já com atividades programadas para eliminação do problema
</t>
  </si>
  <si>
    <t xml:space="preserve">Realizado o reset do modulo, verificado contatos de ligação do módulo e também dos contatores no qual ele liga.
Obs: Já definido ações para contenção e verificação da causa.
</t>
  </si>
  <si>
    <t xml:space="preserve">ST200 Robo</t>
  </si>
  <si>
    <t xml:space="preserve">Falha na placa RIO do controlador do Robô,
Perda de Turn Set dos eixos
</t>
  </si>
  <si>
    <t xml:space="preserve">Ainda em análise. Travou o sistema não liberando movimentação</t>
  </si>
  <si>
    <t xml:space="preserve">Reset do painel elétrico,
Após isso, teve de ser referenciado os 7 eixos do robô por perda de calibração.
</t>
  </si>
  <si>
    <t xml:space="preserve">Cabine verniz Robô R21</t>
  </si>
  <si>
    <t xml:space="preserve">Erro de robô após verificação e teste da Turbina em rotação entre 30.000 e 40.000,
Falha na ExControler
</t>
  </si>
  <si>
    <t xml:space="preserve">Possível falha na pressurização interna de ar do Robô, </t>
  </si>
  <si>
    <t xml:space="preserve">Reset do painel da ExControler,
Verificado pressão de ar no painel da MVS,
Também levantado atividades para serem executadas em 3º Turno.
</t>
  </si>
  <si>
    <t xml:space="preserve">FERRAMENTARIA</t>
  </si>
  <si>
    <t xml:space="preserve">SMPLOCK Z0 e Z1</t>
  </si>
  <si>
    <t xml:space="preserve">Perda de comunicação com as 2 Zonas,
Perda de conexão com o RSLinx,
</t>
  </si>
  <si>
    <t xml:space="preserve">Travou a troca de informação da placa de rede do PC</t>
  </si>
  <si>
    <t xml:space="preserve">Retirado cabo de rede, realizado o reset do PC, após isso reconectado a rede e restabelecido os demais programas.</t>
  </si>
  <si>
    <t xml:space="preserve">RO7 Infladora</t>
  </si>
  <si>
    <t xml:space="preserve">Falha movimento Pino travamento do Sino grande</t>
  </si>
  <si>
    <t xml:space="preserve">Pino com rebarba travando</t>
  </si>
  <si>
    <t xml:space="preserve">Desbaste do pino no torno e ajustes alinhamento</t>
  </si>
  <si>
    <t xml:space="preserve">RO7 Mesa 37</t>
  </si>
  <si>
    <t xml:space="preserve">Falha movimento mesa</t>
  </si>
  <si>
    <t xml:space="preserve">Correia arrebentada</t>
  </si>
  <si>
    <t xml:space="preserve">Reparo provisorio Substituição posterior</t>
  </si>
  <si>
    <t xml:space="preserve">Mastic Aereo Ilha Robotizada</t>
  </si>
  <si>
    <t xml:space="preserve">Colisão dos Robos com a Carroceria</t>
  </si>
  <si>
    <t xml:space="preserve">Modelo de Carro incorreto (codificação Manual Mesa 104 Elevador entrada Mastic Aereo, erro numero skid, fita no codigo de barras)</t>
  </si>
  <si>
    <t xml:space="preserve">Troca e ajuste de bicos danificados, e verificação de referenciamento dos bicos. </t>
  </si>
  <si>
    <t xml:space="preserve">Cabeçote OP550 Robo Lavadora</t>
  </si>
  <si>
    <t xml:space="preserve">Falha corrente tensão e circuito eixo 4</t>
  </si>
  <si>
    <t xml:space="preserve">aguardando intervenção para diagnostico</t>
  </si>
  <si>
    <t xml:space="preserve">Diminuido velocidade e rodando a 50% sem erros desde terceiro turno,</t>
  </si>
  <si>
    <t xml:space="preserve">Falha conjunto sino de enchimento</t>
  </si>
  <si>
    <t xml:space="preserve">Problema no posicionamento do sino</t>
  </si>
  <si>
    <t xml:space="preserve">Reposicionado sensor de posição do sino, e desbaste de 3mm do pino index do sino.</t>
  </si>
  <si>
    <t xml:space="preserve">Ilha vidros Esteira Robo Parabrisa</t>
  </si>
  <si>
    <t xml:space="preserve">Problema sincronismo (Encoder e Taquet de suporte do vidro) esteira entrada. </t>
  </si>
  <si>
    <t xml:space="preserve">Diferenças de tamanho do Taquet de suporte do vidro.</t>
  </si>
  <si>
    <t xml:space="preserve">Alteração de logica de parada da esteira para compensação da diferença de tamanho dos Taquets.</t>
  </si>
  <si>
    <t xml:space="preserve">OP10</t>
  </si>
  <si>
    <t xml:space="preserve">Portal não carregava bloco modelo K7M</t>
  </si>
  <si>
    <t xml:space="preserve">Tabela de dados (DB) estava com modelo antigo (K4)</t>
  </si>
  <si>
    <t xml:space="preserve">Descarregado a DB com os valores corretos para o Software</t>
  </si>
  <si>
    <t xml:space="preserve">Estações de água gelada</t>
  </si>
  <si>
    <t xml:space="preserve">Não ligava sistema de Água gelada (Chillers)</t>
  </si>
  <si>
    <t xml:space="preserve">Ainda em análise. 
Possível falha após troca de sequencia de funcionamento dos chillers.
</t>
  </si>
  <si>
    <t xml:space="preserve">Confirmado Habilitação de sistema via GTC na utilidades e acompanhado funcionamento.</t>
  </si>
  <si>
    <t xml:space="preserve">Colisão da pinça com bloco da esteira;
Falta de fechamento de segurança Robô
</t>
  </si>
  <si>
    <t xml:space="preserve">Colisão ocorreu por falha no sensor da mesa;
Apóscolisãonão habilitou drive on no TP
</t>
  </si>
  <si>
    <t xml:space="preserve">Realizado o By pass do fechamento de segurança do robô para coloca-lo em Repli.
Ajustado sensor da mesa.
</t>
  </si>
  <si>
    <t xml:space="preserve">Prensa PDG (Portas BBB)</t>
  </si>
  <si>
    <t xml:space="preserve">Defeito nomovimento do Carro;
Perda de sequencia no ciclo.
</t>
  </si>
  <si>
    <t xml:space="preserve">Quebou parafusos de fixação do index do limitador da faca;
Após correção mecânca, ocorreu variação nos sinais dos sensores.
</t>
  </si>
  <si>
    <t xml:space="preserve">Substituído parafusos e corrigido fixação;
Ajustes dos sensores de posicionamento na prensagem.
</t>
  </si>
  <si>
    <t xml:space="preserve">MM13 Posto 200</t>
  </si>
  <si>
    <t xml:space="preserve">Erro na Tensão do Motor Eixo 7 Posicionamento da Parafusadeira</t>
  </si>
  <si>
    <t xml:space="preserve">Servo Motor com problema</t>
  </si>
  <si>
    <t xml:space="preserve">Reparo pino afundado no conector  XX (ligação SMB da caixa a placa do Painel do Robo). Substituição do servo que estava com problema.                             Demora intervenção devido aguardo passagem visita direção.</t>
  </si>
  <si>
    <t xml:space="preserve">Falha na mesa de transferencia de peneu</t>
  </si>
  <si>
    <t xml:space="preserve">travando pneu 17" entre a escada e a mesa deslocando a correia de tração</t>
  </si>
  <si>
    <t xml:space="preserve">Rearmado mesa de transporte.
Durante o horário de janta manutenção ia melhorar a passagem do pneu
</t>
  </si>
  <si>
    <t xml:space="preserve">Perda de sequencia de prensagem da peça</t>
  </si>
  <si>
    <t xml:space="preserve">Sensores não atuando corretamente.
Após observar o funcionamento, visto que o parafuso de acionamento do sensor fica muito próximo da área de campo do mesmo.
</t>
  </si>
  <si>
    <t xml:space="preserve">Melhorado os ajustes de presença do sensor;
Manutenção ficou de substituir os parafusos de acionamento dos sensores, por outros com diametro menor para não ficar perto do campo de atuação.
</t>
  </si>
  <si>
    <t xml:space="preserve">Robô K0 Unit Central</t>
  </si>
  <si>
    <t xml:space="preserve">Falha no controlador de solda da pinça estacionaria</t>
  </si>
  <si>
    <t xml:space="preserve">Curto circuito no ventilador de resfriamento do controlador de solda.</t>
  </si>
  <si>
    <t xml:space="preserve">Desligado o cabo de alimentação do ventilador,
Substituído ventilador do controlador em horário de janta.
</t>
  </si>
  <si>
    <t xml:space="preserve">Sistema SAO ME3 e ME5</t>
  </si>
  <si>
    <t xml:space="preserve">Perda de sincronismo em relação ao veículo na entrada,
Parada do sistema SAO da linha de ME3 e ME5
</t>
  </si>
  <si>
    <t xml:space="preserve">Em análise.
Sistema estabilizou, porém não encontrado a causa raiz.
</t>
  </si>
  <si>
    <t xml:space="preserve">Rearmado e ressicronizado várias vezes.
Substituído encoder do correntão;
Criado uma armadilha para monitoração do sensor de entrada de veículo;
Alterado parâmetros de distancia da entrada de veículos no SAO;
Após as 22:00 ressincronizado o SAO da entrada de ME3 e acompanhado funcionamento.
</t>
  </si>
  <si>
    <t xml:space="preserve">Falha na movimentação do Robô (Track Motion)</t>
  </si>
  <si>
    <t xml:space="preserve">Patim de movimentação danificado;
Pedaço do trilho com rebarbas
</t>
  </si>
  <si>
    <t xml:space="preserve">Substituído o patim;
Substituído o trilho;
Ambos retirado do Robô escola da carroceria.
</t>
  </si>
  <si>
    <t xml:space="preserve">ME3</t>
  </si>
  <si>
    <t xml:space="preserve">Perda de sincronismo com as máquinas de enchimento e com os SAO's</t>
  </si>
  <si>
    <t xml:space="preserve">Ainda em análise, seguimento MRHD da pane.</t>
  </si>
  <si>
    <t xml:space="preserve">Substituido sensor de zeramento do encoder, fim de curso e um dos sensores da fricção, e alteração da rampa de aceleração da Fricção.</t>
  </si>
  <si>
    <t xml:space="preserve">Ainda em análise, inserido na mesma MRHD da pane.</t>
  </si>
  <si>
    <t xml:space="preserve">Foram verificados os sensores de zeramento do encoder e baixado mais uns 4 mm para evitar de acionar com a corrente;
Também ajustado mecanicamente o contato da roda de acionamento do encoder com o correntão;
Após horário de janta ressincronizado os equipamentos
</t>
  </si>
  <si>
    <t xml:space="preserve">Problema valores encoder correntão ME3</t>
  </si>
  <si>
    <t xml:space="preserve">Realizado modificações na logica de zeramento do valor do encoder.</t>
  </si>
  <si>
    <t xml:space="preserve">Esteira SE4</t>
  </si>
  <si>
    <t xml:space="preserve">Falta tração esteira SE4</t>
  </si>
  <si>
    <t xml:space="preserve">Quebra embreagem do acoplamento motor/motorredutor</t>
  </si>
  <si>
    <t xml:space="preserve">Soldado embreagem para poder rodar, e agendada intervervenção para horário sem produção.</t>
  </si>
  <si>
    <t xml:space="preserve">Substituido distribuidor de sinais dos sensores de reset do correntão ME3 e fricções 35 e 36. Monitoramento com Diziscope para analise da causa raiz.</t>
  </si>
  <si>
    <t xml:space="preserve">Portal OP330</t>
  </si>
  <si>
    <t xml:space="preserve">Problema na translação Porta</t>
  </si>
  <si>
    <t xml:space="preserve">Quebrou a esteira porta cabos </t>
  </si>
  <si>
    <t xml:space="preserve">Substituído parte da esteira porta cabos</t>
  </si>
  <si>
    <t xml:space="preserve">OP 600 Robo aplicação cola</t>
  </si>
  <si>
    <t xml:space="preserve">Falha no retorno para Repli no robô</t>
  </si>
  <si>
    <t xml:space="preserve">Arquivo "Main" corrompido, gerava erro</t>
  </si>
  <si>
    <t xml:space="preserve">Descarregado backup para o robô</t>
  </si>
  <si>
    <t xml:space="preserve">Mesa 01 entrada CATA</t>
  </si>
  <si>
    <t xml:space="preserve">Falha no retorno do carro da mesa</t>
  </si>
  <si>
    <t xml:space="preserve">Sensor de posição de avanço não estava atuando</t>
  </si>
  <si>
    <t xml:space="preserve">Realizado o ajuste do sensor e da chapa de atuação;
será programado para ajuste da corrente de tração do carro avanço Skid
</t>
  </si>
  <si>
    <t xml:space="preserve">Virabrequim OP200 Robô </t>
  </si>
  <si>
    <t xml:space="preserve">Perda de calibração do eixo 7</t>
  </si>
  <si>
    <t xml:space="preserve">Cabos rompidos próximo a rótula de movimentação do cabo</t>
  </si>
  <si>
    <t xml:space="preserve">Substituído o cabo de sinal do resolver, e refeito a calibração do eixo 7</t>
  </si>
  <si>
    <t xml:space="preserve">Ilha Capo Cofre "BBB"</t>
  </si>
  <si>
    <t xml:space="preserve">Colisão do robô com peça na sertissagem</t>
  </si>
  <si>
    <t xml:space="preserve">Em análise,
Possibilidade de peça mal posicionada.
</t>
  </si>
  <si>
    <t xml:space="preserve">Retirado os Robôs e colocado em Repli, retirado presenças de berços e realizado o Home Position de todos os berços.</t>
  </si>
  <si>
    <t xml:space="preserve">Perda sincronismo SAO, Problema valores encoder correntão ME3</t>
  </si>
  <si>
    <t xml:space="preserve">Desligado sensor redundante de reset do encoder para evitar indução no acionamento, e alteração de logica para filtro do acionamento do sensor na parada, aumento da velocidade dos inversores das Fricções 35 e 36, para evitar micro paradas de falta de carro na entrada de ME3.</t>
  </si>
  <si>
    <t xml:space="preserve">Geral</t>
  </si>
  <si>
    <t xml:space="preserve">Desarme ciclo diversos CLP´s</t>
  </si>
  <si>
    <t xml:space="preserve">Afundamento de tensão</t>
  </si>
  <si>
    <t xml:space="preserve">Colocação dos equipamentos em ciclo</t>
  </si>
  <si>
    <t xml:space="preserve">Queimador/Incinerador</t>
  </si>
  <si>
    <t xml:space="preserve">Falha de comunicação entre modulo e servo no controlador</t>
  </si>
  <si>
    <t xml:space="preserve">curto circuito entre os sinais CAN L e CAN H no módulo de controle da valvula e do servomotor</t>
  </si>
  <si>
    <t xml:space="preserve">Substituído cabo de comunicação.</t>
  </si>
  <si>
    <t xml:space="preserve">PRDG "BBB"</t>
  </si>
  <si>
    <t xml:space="preserve">Erro em posicionamento e no ciclo do processo</t>
  </si>
  <si>
    <t xml:space="preserve">Posicionamento e ajustes de sensores</t>
  </si>
  <si>
    <t xml:space="preserve">Ajustado os sensores e verificado programa para melhorar tempo entre troca de ciclo da máquina</t>
  </si>
  <si>
    <t xml:space="preserve">Robô Capô e Cofre</t>
  </si>
  <si>
    <t xml:space="preserve">Robô gerou erro não aplicando mastic e TP travado</t>
  </si>
  <si>
    <t xml:space="preserve">Ao pedir purga de mastic, foi mudado chave do robô de automático para manual, perdendo assim o ponteiro no programa</t>
  </si>
  <si>
    <t xml:space="preserve">Realizado o reset do TP e após isso feito a chamada do programa "99" e depois o programa "0" para colocar robô em posição Home.</t>
  </si>
  <si>
    <t xml:space="preserve">OP178</t>
  </si>
  <si>
    <t xml:space="preserve">Falha de liberação de Ar da válvula progressiva </t>
  </si>
  <si>
    <t xml:space="preserve">Defeito na válvula</t>
  </si>
  <si>
    <t xml:space="preserve">Substituído válvula</t>
  </si>
  <si>
    <t xml:space="preserve">ISRA PRETO</t>
  </si>
  <si>
    <t xml:space="preserve">Erro durante a inicialização do HD 2, falha na abertura do aplicativo</t>
  </si>
  <si>
    <t xml:space="preserve">Arquivos corrompidos</t>
  </si>
  <si>
    <t xml:space="preserve">Renicializado com HD1, restaurado backup</t>
  </si>
  <si>
    <t xml:space="preserve">PVDG 701 "BBB"</t>
  </si>
  <si>
    <t xml:space="preserve">Prensa não dava condição de avanço do batente</t>
  </si>
  <si>
    <t xml:space="preserve">Após intervenção da engenharia, colocaram uns calços na base do batente e com isso o mesmo enroscava não permitindo o avanço do cilindro</t>
  </si>
  <si>
    <t xml:space="preserve">Desmontado a estrutura e retirado os calços. Após isso movimentou livremente o cilindro</t>
  </si>
  <si>
    <t xml:space="preserve">SE-6 Zona 4"Z4IM11"(posto servant coluna "D58-D59")</t>
  </si>
  <si>
    <t xml:space="preserve">Desarme geral e queima de fusível na Zona4 SE6</t>
  </si>
  <si>
    <t xml:space="preserve">Curto circuito no cabo de alimentação botoeira do posto Servant  (Coluna "D58-D59").
Soltou a esteira porta cabos e o mesmo ficou esfregando na chapa da esteira, rompendo a isolação do cabo e entrando em contato o fio de alimentação com a chapa.
</t>
  </si>
  <si>
    <t xml:space="preserve">Isolado o circuito para liberar para produção;
Verificado os cabos, aberto a proteção, feito a isolação do cabo e colocado uma proteção para evitar o contato;
Fixado a esteira porta cabos na base do suporte.
</t>
  </si>
  <si>
    <t xml:space="preserve">Erro de excesso de torque no servo de elevação da mesa balanceadora</t>
  </si>
  <si>
    <t xml:space="preserve">Indícios de travamento mecânico nas guias lineares</t>
  </si>
  <si>
    <t xml:space="preserve">Aumentado parâmetro de limite de torque. Programado a troca das guias lineares.</t>
  </si>
  <si>
    <t xml:space="preserve">MM01</t>
  </si>
  <si>
    <t xml:space="preserve">Falha no circuito de emergencia do AGV</t>
  </si>
  <si>
    <t xml:space="preserve">Mau contato nos conectores da placa</t>
  </si>
  <si>
    <t xml:space="preserve">Limpeza e reaperto das conexões.</t>
  </si>
  <si>
    <t xml:space="preserve">AG1- Robô C1</t>
  </si>
  <si>
    <t xml:space="preserve">Alarme de fim de curso dos eixos</t>
  </si>
  <si>
    <t xml:space="preserve">Curto circuito nos cabos do fim de curso eixos</t>
  </si>
  <si>
    <t xml:space="preserve">Desconectado e Isolado cabos do fim de curso</t>
  </si>
  <si>
    <t xml:space="preserve">OP515</t>
  </si>
  <si>
    <t xml:space="preserve">Falha no parafusamento da tampa do cabeçote</t>
  </si>
  <si>
    <t xml:space="preserve">Defeito no módulo controlador da parafusadeira</t>
  </si>
  <si>
    <t xml:space="preserve">Substituído o módulo e descarregado parametros de processo</t>
  </si>
  <si>
    <t xml:space="preserve">AG3 Balsa mesa 18</t>
  </si>
  <si>
    <t xml:space="preserve">Falha na movimentação de translado da mesa;
Defeito linha variador mesa 18
</t>
  </si>
  <si>
    <t xml:space="preserve">Ainda em análise; 
Inversor desarmou por sobrecarga;
</t>
  </si>
  <si>
    <t xml:space="preserve">Será verificado em 3º Turno condições de movimentação;
Realizado o reset do inversor de frequencia.
</t>
  </si>
  <si>
    <t xml:space="preserve">Ilha de portas do X52 Z2</t>
  </si>
  <si>
    <t xml:space="preserve">Falha no fechamento de segurança da Zona 2,</t>
  </si>
  <si>
    <t xml:space="preserve">Falha no acionamento do contator do controlador de solda,</t>
  </si>
  <si>
    <t xml:space="preserve">Substituído contator de acionamento e verificado sinais de rede profinete.</t>
  </si>
  <si>
    <t xml:space="preserve">MN1 / P1</t>
  </si>
  <si>
    <t xml:space="preserve">Erro na escrita/leitura da tag na mesa L0 e N0;
"Mod L52"
</t>
  </si>
  <si>
    <t xml:space="preserve">Erro no módulo de leitura RFID da L0;
Anda em análise de causa raiz.
</t>
  </si>
  <si>
    <t xml:space="preserve">Forçado sinais para transferencia entre mesas; 
Forçado nas AG's como sucata para passar sem soldar na linha;
Retirado carro na linha de 3D para retrabalho posteriormente.
</t>
  </si>
  <si>
    <t xml:space="preserve">Cera P3 - Rolos 71</t>
  </si>
  <si>
    <t xml:space="preserve">Falha de sobre aceleração</t>
  </si>
  <si>
    <t xml:space="preserve">Em análise, avaliação das velocidades da mesa</t>
  </si>
  <si>
    <t xml:space="preserve">Limitação da Velocidade em 46HZ</t>
  </si>
  <si>
    <t xml:space="preserve">Robô mastic Aplicação Capô </t>
  </si>
  <si>
    <t xml:space="preserve">Erro de posição inicial</t>
  </si>
  <si>
    <t xml:space="preserve">Após colisão do bico de aplicação gerou erro de posição, perdeu referencia de um dos eixos</t>
  </si>
  <si>
    <t xml:space="preserve">Substituído bico de aplicação;
Realizado o Turn Set do eixo 2 que estava fora de posição;
Colocado em posição de referencia e ajustado bico de aplicação.
</t>
  </si>
  <si>
    <t xml:space="preserve">ISRA PRETO EST</t>
  </si>
  <si>
    <t xml:space="preserve">Falha de inicialização do HD</t>
  </si>
  <si>
    <t xml:space="preserve">Substituído PC, restaurado backup</t>
  </si>
  <si>
    <t xml:space="preserve">Robo Durr Biton</t>
  </si>
  <si>
    <t xml:space="preserve">Falha na rotação da turbina</t>
  </si>
  <si>
    <t xml:space="preserve">Turbina travada, folga no eixo</t>
  </si>
  <si>
    <t xml:space="preserve">Substituição da turbina por outra usada</t>
  </si>
  <si>
    <t xml:space="preserve">MM1 OP05</t>
  </si>
  <si>
    <t xml:space="preserve">Falha no ciclo de retorno do carro da parafusadeira</t>
  </si>
  <si>
    <t xml:space="preserve">Oscilação do sinal Stoper avançado durante desindexação da mesa</t>
  </si>
  <si>
    <t xml:space="preserve">Ajuste do sensor de stoper avançado</t>
  </si>
  <si>
    <t xml:space="preserve">MASTIC MESA32</t>
  </si>
  <si>
    <t xml:space="preserve">Time out  de movimentação da mesa</t>
  </si>
  <si>
    <t xml:space="preserve">Rompimento da correia  da mesa</t>
  </si>
  <si>
    <t xml:space="preserve">Substituído correia e eixo</t>
  </si>
  <si>
    <t xml:space="preserve">Falha no movimento do transportador C1</t>
  </si>
  <si>
    <t xml:space="preserve">Rompimento da corrente de transmissão de movimento lado esquerdo</t>
  </si>
  <si>
    <t xml:space="preserve">Substituído elo rompido</t>
  </si>
  <si>
    <t xml:space="preserve">BASE Robô R22</t>
  </si>
  <si>
    <t xml:space="preserve">Falha geral de comunicação com o RPC</t>
  </si>
  <si>
    <t xml:space="preserve">Travamento dos processos internos do RPC</t>
  </si>
  <si>
    <t xml:space="preserve">Reinicializado RPC</t>
  </si>
  <si>
    <t xml:space="preserve">Robô k5 UAV</t>
  </si>
  <si>
    <t xml:space="preserve">Mal contato no conector ligado a porta de rede do PC;
Mal contato na conexão do applyed "Sujeira nos contatos"
</t>
  </si>
  <si>
    <t xml:space="preserve">Refeita o cabo na conexão RJ45 que conecta na placa de rede do PC;
Realizado limpeza nos contatos do applyed
</t>
  </si>
  <si>
    <t xml:space="preserve">Transportador C1 estufa mastic</t>
  </si>
  <si>
    <t xml:space="preserve">Defeito no rearmamento da Zona 1, desarme do disjuntor ventilação forçada do motor</t>
  </si>
  <si>
    <t xml:space="preserve">Excesso de sujeira impregnada nas helices do ventilador e também na tampa defletora do motor</t>
  </si>
  <si>
    <t xml:space="preserve">Realizado um limpeza nas pás das helices e na carcaça datampa defletora. </t>
  </si>
  <si>
    <t xml:space="preserve">Picking montagem tubos ABS</t>
  </si>
  <si>
    <t xml:space="preserve">Erro de sequenciamento e falha no parafusamento</t>
  </si>
  <si>
    <t xml:space="preserve">Perda de posição de início de ciclo e regulagem das parafusadeiras</t>
  </si>
  <si>
    <t xml:space="preserve">Ajustado parafusamento, retirado peças e reiniciado o ciclo após reset de falhas</t>
  </si>
  <si>
    <t xml:space="preserve">Transporte dos carrinho</t>
  </si>
  <si>
    <t xml:space="preserve">Após erro no giro da posição ST19, gerou falha de posição, mesmo corrigido e não tendo a falha não retornou o funcionamento das retacagens,</t>
  </si>
  <si>
    <t xml:space="preserve">Necessitará de análise posterior devido após reset da mesma  não retornar o funcionamento</t>
  </si>
  <si>
    <t xml:space="preserve">Realizado ciclo de esgotamento da linha e reset geral do equipamento, após isso retornou sem problemas.</t>
  </si>
  <si>
    <t xml:space="preserve">OP 05</t>
  </si>
  <si>
    <t xml:space="preserve">Robo parado iniciava ciclo</t>
  </si>
  <si>
    <t xml:space="preserve">encavalamento de pallet na entrada da celula</t>
  </si>
  <si>
    <t xml:space="preserve">robo posto em reply e memoria do posto zerado</t>
  </si>
  <si>
    <t xml:space="preserve">ACOSTAGEM</t>
  </si>
  <si>
    <t xml:space="preserve">mesa de levantamento do chasi osilando de forma erratica</t>
  </si>
  <si>
    <t xml:space="preserve">em analise possivel defeito mecanico em valvula pneumatica</t>
  </si>
  <si>
    <t xml:space="preserve">falha intermitente</t>
  </si>
  <si>
    <t xml:space="preserve">op05</t>
  </si>
  <si>
    <t xml:space="preserve">troca automatica de ferramenta enclausurou a manqueira de ar de alimentação da ferramenta. </t>
  </si>
  <si>
    <t xml:space="preserve">manutenção estava fazendo a troca de ferramenta para mudança de modelo</t>
  </si>
  <si>
    <t xml:space="preserve">retirado o robo a possição de forma manual e colocado no ponto de repli, reiniciado a memoria do posto </t>
  </si>
  <si>
    <t xml:space="preserve">Teste de estanqueidade SE6</t>
  </si>
  <si>
    <t xml:space="preserve">Defeito grande fuga no vácuo, e problemas de comunicação com o smp</t>
  </si>
  <si>
    <t xml:space="preserve">Defeito da falha grave do vácuo foi devido ao cabo de alimentação do motor que estava desconectado.  O segundo erro um bit de defeito da comunicação. Este defeito não impediu de rodar a linha de forma sincronizada com o smp mais também não permitia limpar as falhas.  </t>
  </si>
  <si>
    <t xml:space="preserve">Reconectado o cabo de alimentação do motor e travado o conector harting para evitar a desconexão acidental do cabo. Foi forçado e bit a zero e depois retirado o force, isto permitiu fazer o reset da falha</t>
  </si>
  <si>
    <t xml:space="preserve">linha p1</t>
  </si>
  <si>
    <t xml:space="preserve">Falha na cadeira de segurança da celula </t>
  </si>
  <si>
    <t xml:space="preserve">Defeito botao de emergencia que impedia a rearme da celula</t>
  </si>
  <si>
    <t xml:space="preserve">Identificado no painel o curto foi sequido o cabo ate a botoeira que estava com defeito. Reparado a condição</t>
  </si>
  <si>
    <t xml:space="preserve">ABV Queimador BR39 (Flash Off) Saida Base</t>
  </si>
  <si>
    <t xml:space="preserve">Falha na partida da 2ª chama "Chama Alta"</t>
  </si>
  <si>
    <t xml:space="preserve">Possivelmente excesso de fluxo do gás para queima</t>
  </si>
  <si>
    <t xml:space="preserve">Realizado a regulagem da válvula de liberação de gás.</t>
  </si>
  <si>
    <t xml:space="preserve">RO7 Montadora</t>
  </si>
  <si>
    <t xml:space="preserve">Presença indevida gerando atraso de ciclo</t>
  </si>
  <si>
    <t xml:space="preserve">Sensores de presença gerando prensença indevida na estação</t>
  </si>
  <si>
    <t xml:space="preserve">Limpeza do sensor e do espelho de presença da estação de ensaboamento</t>
  </si>
  <si>
    <t xml:space="preserve">RO7 Balanceadora</t>
  </si>
  <si>
    <t xml:space="preserve">Roda BBB escapou da castanha no balanceamento</t>
  </si>
  <si>
    <t xml:space="preserve">Possivel entrada roda do BBB fora de posição.</t>
  </si>
  <si>
    <t xml:space="preserve">Executado substituição de parafuso do conjunto da castanha que danificou, reaperto parafuso geral do conjunto da castanha.</t>
  </si>
  <si>
    <t xml:space="preserve">SMP99 - Servidor</t>
  </si>
  <si>
    <t xml:space="preserve">SMP99 - Servidor estado das instalações e das zonas da Montagem todas travadas.</t>
  </si>
  <si>
    <t xml:space="preserve">Algum travamento no servidor central</t>
  </si>
  <si>
    <t xml:space="preserve">Abertura de chamado e efetuado contato com o COA e Espanha que efetuaram a reinicialização do Servidor.</t>
  </si>
  <si>
    <t xml:space="preserve">Circ. Aero Portas ent. Elev Desmont portas SE2</t>
  </si>
  <si>
    <t xml:space="preserve">Balanceles parados na entrada do elevador</t>
  </si>
  <si>
    <t xml:space="preserve">Abertura caixa fechando curto (duas escovas no mesmo barramento) Passagem de balancele vazio para verificação no pulmão.</t>
  </si>
  <si>
    <t xml:space="preserve">TTS - Transportador C1</t>
  </si>
  <si>
    <t xml:space="preserve">Falha no Variador mestre/ escravo</t>
  </si>
  <si>
    <t xml:space="preserve">Ajustado folga da corrente entre os redutores</t>
  </si>
  <si>
    <t xml:space="preserve">MOP Estamqueidade SE6</t>
  </si>
  <si>
    <t xml:space="preserve">Travamento do MOP</t>
  </si>
  <si>
    <t xml:space="preserve">Falha no Sistema Operacional Windows</t>
  </si>
  <si>
    <t xml:space="preserve">Substituição do HD</t>
  </si>
  <si>
    <t xml:space="preserve">MOP Maq Enchimento ME3</t>
  </si>
  <si>
    <t xml:space="preserve">Reinicialização e inserção do Topico General IE no Simatic Station</t>
  </si>
  <si>
    <t xml:space="preserve">colheitadeira nova</t>
  </si>
  <si>
    <t xml:space="preserve">Valvula de segurança pneumatica não liberava o ar para a maquina</t>
  </si>
  <si>
    <t xml:space="preserve">ouve alguns vazamentos de ar no sistema que faziam que a maquina não funcionasse corretamente. Para trocar as maqueiras foi desligado a alimentação geral de ar do equipamento. O que fez a válvula de segurança atuar. Mesmo reestabelecido o fluxo de ar a válvula continuava impedindo o funcionamento da maquina. a válvula de segurança pneumática e construída de tal forma a apresentar este comportamento quando existe problema na alimentação de ar. para garantir a segurança do operador   </t>
  </si>
  <si>
    <t xml:space="preserve">retirado os conectores elétricos da válvula e fechado o fluxo de ar depois reinserido os conectores, a válvula retornou a funcionar </t>
  </si>
  <si>
    <t xml:space="preserve">tranportador tts</t>
  </si>
  <si>
    <t xml:space="preserve">Driver dos motores apresentavam erro de superaquecimento. E desarme da cadeira de segurança</t>
  </si>
  <si>
    <t xml:space="preserve">Modificação mecânica substituindo um elo da corrente. O que causou um desalinhamento das correntes que trabalham em paralelo. Este desalinhamento causou o super aquecimento dos motores e o desarmamento da cadeia de segurança, também ocorria erro de comunicação com os drivers dos motores, e panes no sistema causados pela redução da velocidade da linha   </t>
  </si>
  <si>
    <t xml:space="preserve">Realinhamento das correntes do transportador sanou todos os problemas </t>
  </si>
  <si>
    <t xml:space="preserve">Elevador 2</t>
  </si>
  <si>
    <t xml:space="preserve">Corrente de elevação arrebentada</t>
  </si>
  <si>
    <t xml:space="preserve">Provavel Desgaste na corrente</t>
  </si>
  <si>
    <t xml:space="preserve">Retirado pedaço rompido e feito emenda da corrente</t>
  </si>
  <si>
    <t xml:space="preserve">Cera P3 Mesa 65</t>
  </si>
  <si>
    <t xml:space="preserve">Defeito "24 Desacel Inhibit"</t>
  </si>
  <si>
    <t xml:space="preserve">Em analise</t>
  </si>
  <si>
    <t xml:space="preserve">Aumento do valor de desaceleração e limitado a máxima frequencia em 46 Hz</t>
  </si>
  <si>
    <t xml:space="preserve">Robo F2 UAV </t>
  </si>
  <si>
    <t xml:space="preserve">Erro de sistema</t>
  </si>
  <si>
    <t xml:space="preserve">Após alteração de tipo de usuário, não tinha acesso a algumas telas de necessidade operacional, flash backup estava corrompida</t>
  </si>
  <si>
    <t xml:space="preserve">Recriado um sistema com base em um já existente do laboratório e descarregado os backups deste robô.
Após isso refeito as calibrações necessárias
</t>
  </si>
  <si>
    <t xml:space="preserve">Colheitadeira nova</t>
  </si>
  <si>
    <t xml:space="preserve">Falha na posição 1 de funcionamentos</t>
  </si>
  <si>
    <t xml:space="preserve">Eixo 5 fora de calibração,
Válvula principal de segurança de ar estava travada,
Dispositivo de indexação no balancele, fora de posição
</t>
  </si>
  <si>
    <t xml:space="preserve">Refeita a calibração do eixo 5,
Realizado o reset da válvula de segurança,
Colocado os dispositivos em estado de HOME.
</t>
  </si>
  <si>
    <t xml:space="preserve">Banco Teste 2</t>
  </si>
  <si>
    <t xml:space="preserve">Falha no circuito de enchimento, arrefecimento</t>
  </si>
  <si>
    <t xml:space="preserve">Ar no sistema após troca dos filtros</t>
  </si>
  <si>
    <t xml:space="preserve">Purgado o ar do sistema </t>
  </si>
  <si>
    <t xml:space="preserve">motores op525</t>
  </si>
  <si>
    <t xml:space="preserve">maquina de usinagem</t>
  </si>
  <si>
    <t xml:space="preserve">rede profinet caia quando abria a porta de saída peça</t>
  </si>
  <si>
    <t xml:space="preserve">mau contato no sensor</t>
  </si>
  <si>
    <t xml:space="preserve">foi desconectado os cabos do sensor da porta e reconectado para a executar uma operação em manual </t>
  </si>
  <si>
    <t xml:space="preserve">saida do elevador da tk</t>
  </si>
  <si>
    <t xml:space="preserve">fumaça e cheiro de queimado na área do elevador </t>
  </si>
  <si>
    <t xml:space="preserve">sem causa conhecida acompanhamento da manutenção da cvp, suspeita das lâmpadas que aquecem os tapetes </t>
  </si>
  <si>
    <t xml:space="preserve">o problema ocorreu durante a janta com a linha para não foi encontrado o foco da fumaça e não voltou a ocorrer ate o fim do turno </t>
  </si>
  <si>
    <t xml:space="preserve">SPHHA</t>
  </si>
  <si>
    <t xml:space="preserve">Falha na liberação dos Robos, erro de emergencia, segurança</t>
  </si>
  <si>
    <t xml:space="preserve">Desregulou os sensores Sick,
Desarmou disjuntor de saídas digitais
</t>
  </si>
  <si>
    <t xml:space="preserve">Ajustado posição dos sensores Sick,
Rearmado disjuntor "ADJV" de saídas digitais
</t>
  </si>
  <si>
    <t xml:space="preserve">PORTAL OP525</t>
  </si>
  <si>
    <t xml:space="preserve">Portal sem autorização de movimentação</t>
  </si>
  <si>
    <t xml:space="preserve">Falha no sensor de presença de pallet</t>
  </si>
  <si>
    <t xml:space="preserve">Substituído sensor; Setado memórias de "peça boa" nas operações de usinagem</t>
  </si>
  <si>
    <t xml:space="preserve">Mesa B1 /B2 / B0 / A)</t>
  </si>
  <si>
    <t xml:space="preserve">Início Com falha no rolo de tração da mesa 7,
Após isso falha de inversor da mesa B0 / B1 e falha de codigo na B0
</t>
  </si>
  <si>
    <t xml:space="preserve">Ainda em análise, as perdas de memória e transferencias geradas após manipulação manual de carrocerias.</t>
  </si>
  <si>
    <t xml:space="preserve">Realizado reset dos inversores de frequencia várias vezes,
Manipulado memórias de mesas via DB's,
Corrigido memórias de trânsferencias
</t>
  </si>
  <si>
    <t xml:space="preserve">sensor sick</t>
  </si>
  <si>
    <t xml:space="preserve">sensor sick apresentava alarme 4 e não funcionava</t>
  </si>
  <si>
    <t xml:space="preserve">O defeito 4 mostrado no sensor e defeito de conecção com o cabo. Quando aberto o conector hart pode se observar deposição de fuligem metálica as áreas de contato dom o sensor </t>
  </si>
  <si>
    <t xml:space="preserve">foi tentado utilizar limpa contato para remediar a situação e não funcionou para solucionar o problema. Foi substituído o sensor por outro novo e ouve mais um  problema porque o sensor novo não aceitou o upload do back up do sensor velho sendo necessário reconfigurar a área no sensor novo </t>
  </si>
  <si>
    <t xml:space="preserve">Op 1070 - IHM</t>
  </si>
  <si>
    <t xml:space="preserve">Defeito nas teclas de função da IHM</t>
  </si>
  <si>
    <t xml:space="preserve">Circuito interno do frontal danificado</t>
  </si>
  <si>
    <t xml:space="preserve">Substituição da Panel View 300</t>
  </si>
  <si>
    <t xml:space="preserve">car uav</t>
  </si>
  <si>
    <t xml:space="preserve">robôs parados no meio do ciclo causando a pane.  Descarte das peças inexoravelmente causaria um erro no siptol ou siptk  </t>
  </si>
  <si>
    <t xml:space="preserve">robô bateu em peça deformada e não fechava a cerclagem causando a pane </t>
  </si>
  <si>
    <t xml:space="preserve">foi forçados a abertura de parte do gripper e fechado novamente com a posição correta</t>
  </si>
  <si>
    <t xml:space="preserve">robos com sistema de visão pane intermitente</t>
  </si>
  <si>
    <t xml:space="preserve">robos yaskawa estão rejeitando alguns carrocerias de Duster e u79</t>
  </si>
  <si>
    <t xml:space="preserve">em analise                                                                              -causas prováveis                                                                   -defeito em algumas carrocerias                                  - o flash esta deixando a imagem pouco nítida       - a diferença entre o erro da aprovada para a reprovada e menor que 2 mm , em x, y, z </t>
  </si>
  <si>
    <t xml:space="preserve">em analise</t>
  </si>
  <si>
    <t xml:space="preserve">ilha de portas bbb posto manual</t>
  </si>
  <si>
    <t xml:space="preserve">pinça de solda não funcionava e o trafo estava com inicio de chama</t>
  </si>
  <si>
    <t xml:space="preserve">analisando uma das hipoteses e o tempo de fechamento da pinça não sincronizado com o disparo da solda                                                                    - analise da energia do posto </t>
  </si>
  <si>
    <t xml:space="preserve">substituido componete danificado</t>
  </si>
  <si>
    <t xml:space="preserve">Banco de Rolagem 2</t>
  </si>
  <si>
    <t xml:space="preserve">Não reconhecimento do nivelômetro</t>
  </si>
  <si>
    <t xml:space="preserve">RO7 - Mesa 82</t>
  </si>
  <si>
    <t xml:space="preserve">Desarme do disjuntor mesa 82</t>
  </si>
  <si>
    <t xml:space="preserve">Quebra do rolo da mesa</t>
  </si>
  <si>
    <t xml:space="preserve">Substituição do rolo</t>
  </si>
  <si>
    <t xml:space="preserve">banco de rolage</t>
  </si>
  <si>
    <t xml:space="preserve">defeito na leitora de código de barra</t>
  </si>
  <si>
    <t xml:space="preserve">mau contato na leitora de código de barra</t>
  </si>
  <si>
    <t xml:space="preserve">ficou para manutenção trocar as leitoras de código de barra</t>
  </si>
  <si>
    <t xml:space="preserve">unit av</t>
  </si>
  <si>
    <t xml:space="preserve">robôs não tinham o programa do carro lançado do siptol</t>
  </si>
  <si>
    <t xml:space="preserve">lançamento equivocado no siptol de dois carros com uma configuração que foi obsoletada</t>
  </si>
  <si>
    <t xml:space="preserve">apagar as configurações obsoletas do siptol para evitar novos equívocos</t>
  </si>
  <si>
    <t xml:space="preserve">uni arie</t>
  </si>
  <si>
    <t xml:space="preserve">carroceria com defeito foi declarada sucata na uni arie</t>
  </si>
  <si>
    <t xml:space="preserve">peça soldada manualmente que é utilizada para fazer a fixação da carroceria na mesa foi soldada com um pequeno deslocamento o que fazia a carroceria não encaixar nos dispositivos automáticos </t>
  </si>
  <si>
    <t xml:space="preserve">declarado o carro como sucata e acompanhado a carroceria ate o ponto de extração de retirado do circuito 5</t>
  </si>
  <si>
    <t xml:space="preserve">Entrada da Cataforese</t>
  </si>
  <si>
    <t xml:space="preserve">Falha na liberação de ar da linha de descarregamento da carroceria (mesa 1 para banho de CATA)</t>
  </si>
  <si>
    <t xml:space="preserve">Possivelmente a válvula de liberação de ar travada, também será verificado o sinal de alimentação da bobina solenóide em 4º turno</t>
  </si>
  <si>
    <t xml:space="preserve">Para liberar, foi realizado um By pass do ar comprimido liberando assim o sistema.
As demais correções serão realizadas após final do turno
</t>
  </si>
  <si>
    <t xml:space="preserve">Arrentou correia da mesa de centragem de rodas na montadora</t>
  </si>
  <si>
    <t xml:space="preserve">Degradação forçada na correia</t>
  </si>
  <si>
    <t xml:space="preserve">Substituída a correia</t>
  </si>
  <si>
    <t xml:space="preserve">Biton mesa 22 e porta 22</t>
  </si>
  <si>
    <t xml:space="preserve">Falha no fechamento da porta 22</t>
  </si>
  <si>
    <t xml:space="preserve">Sensor de ultrapassagem traseira permaneceu ativo. Motivo: Estava enroscando o flap que aciona o dispositivo de acionamento do sensor.</t>
  </si>
  <si>
    <t xml:space="preserve">Realizado ajustes na movimentação do dispositivo que aciona o sensor,
Substituído pedaço de "PU" que estava rompido e não liberava o acionamento do cilindro
</t>
  </si>
  <si>
    <t xml:space="preserve">Robô R1 AG2 Aplicação mastic aéreo Z1</t>
  </si>
  <si>
    <t xml:space="preserve">Gerava erro de segurança cod de falha:"4336"</t>
  </si>
  <si>
    <t xml:space="preserve">Ainda em análise, após intervenção em horario de ceia diminuiu significamente a falha</t>
  </si>
  <si>
    <t xml:space="preserve">Realizado inspeção nos cabos dos servo motores,
Verificado e encontrado ponto de aterramento no robô danificado, realizado o reparo,
*Esta sendo deixado um ponto analisado para ser verificado durante o dia. "Contator de força"
</t>
  </si>
  <si>
    <t xml:space="preserve">Cabeçote op310 - robô 1</t>
  </si>
  <si>
    <t xml:space="preserve">Depósito do pino do modelo K irregular</t>
  </si>
  <si>
    <t xml:space="preserve">Deslocamento dos pontos após troca do motor</t>
  </si>
  <si>
    <t xml:space="preserve">Correção dos pontos de depósito</t>
  </si>
  <si>
    <t xml:space="preserve">Mastic Aéreo - AG2 robô R1</t>
  </si>
  <si>
    <t xml:space="preserve">Falha de alimentação do drive</t>
  </si>
  <si>
    <t xml:space="preserve">Contatores de potência do drive com acionamento intermitente</t>
  </si>
  <si>
    <t xml:space="preserve">Substituído módulo contator JZRCR-YPU01</t>
  </si>
  <si>
    <t xml:space="preserve">prença da conjunto de freio</t>
  </si>
  <si>
    <t xml:space="preserve">maquina ficava para esperando chegar a força programada</t>
  </si>
  <si>
    <t xml:space="preserve">possível mau contato na célula de carga que informava o valor errado da força exercida pelo pistão </t>
  </si>
  <si>
    <t xml:space="preserve">ficou para manutenção trocar a célula de carga </t>
  </si>
  <si>
    <t xml:space="preserve">dobradeira de tubo 4</t>
  </si>
  <si>
    <t xml:space="preserve">sistema cnc desarmava quando iniciado o ciclo</t>
  </si>
  <si>
    <t xml:space="preserve">mau contato nos cabos do servo motor </t>
  </si>
  <si>
    <t xml:space="preserve">foi invertido os cabos  e o problema desapareceu. A manutenção ficou de substituir o cabo por um novo </t>
  </si>
  <si>
    <t xml:space="preserve">smploc</t>
  </si>
  <si>
    <t xml:space="preserve">estação smploc não estava abrindo </t>
  </si>
  <si>
    <t xml:space="preserve">de acordo com o log de erro- falha na comunicação</t>
  </si>
  <si>
    <t xml:space="preserve">reiniciado o computador, e forçado o reinicio dos serviços de comunicação tcp/ip, server, dns, e outros . Sistema voltou de forma inesperada</t>
  </si>
  <si>
    <t xml:space="preserve">Saída da Cataforese</t>
  </si>
  <si>
    <t xml:space="preserve">Carro enroscou na mesa de descarregamento do pendulo.</t>
  </si>
  <si>
    <t xml:space="preserve">Não abriu a trava que segura o Skid no pêndulo</t>
  </si>
  <si>
    <t xml:space="preserve">Ralizado movimento reverso do transportador para liberar a carroceria da mesa;
Forçado condições das memórias para liberação do Skid, devido ao mesmo estar torto;
Acompanhado saída deste Skid para realizar a troca na mesa 90 entrada do mastic ao solo; Bloqueio do pendulo 71.
Outras ações estão sendo levantadas em MBR para melhorar sistema e garantir a posição de descarregamento.
</t>
  </si>
  <si>
    <t xml:space="preserve">UAV</t>
  </si>
  <si>
    <t xml:space="preserve">Falha de fechamento da zona 3</t>
  </si>
  <si>
    <t xml:space="preserve">Lógica do rearme da zona 3 inoperante, bloco SFB3 travado</t>
  </si>
  <si>
    <t xml:space="preserve">Inserido network para forçar o sinal de marcha ciclo da zona 3. Descarregado a DB300 na troca de turno</t>
  </si>
  <si>
    <t xml:space="preserve">pinça de solda </t>
  </si>
  <si>
    <t xml:space="preserve">pinça não atingia pressão para soldar</t>
  </si>
  <si>
    <t xml:space="preserve">placa de controle com defeito</t>
  </si>
  <si>
    <t xml:space="preserve">substituido placa de controle </t>
  </si>
  <si>
    <t xml:space="preserve">cf80</t>
  </si>
  <si>
    <t xml:space="preserve">cabo de aço rompido fez que as "assas" caisem em cima dos outros dipositivos de solda do postos, travaram nesta possição</t>
  </si>
  <si>
    <t xml:space="preserve">em analise mais preliminarmente cabo de aço rompido </t>
  </si>
  <si>
    <t xml:space="preserve">remontado o sistema </t>
  </si>
  <si>
    <t xml:space="preserve">unit arier</t>
  </si>
  <si>
    <t xml:space="preserve">carro fisico continuou o processo e mais o siptol não deu baixa</t>
  </si>
  <si>
    <t xml:space="preserve">analise </t>
  </si>
  <si>
    <t xml:space="preserve">forçado condição para liberação do posto </t>
  </si>
  <si>
    <t xml:space="preserve">celula de marcação virabrequim</t>
  </si>
  <si>
    <t xml:space="preserve">celula rejeitava virabrequins</t>
  </si>
  <si>
    <t xml:space="preserve">ajustes mecanicos entre a impresora e ajuste na iluminação</t>
  </si>
  <si>
    <t xml:space="preserve">ajuste da possição da caneta impresora com o cabarito para isto e ajuste do intensidade luminosa para a camera</t>
  </si>
  <si>
    <t xml:space="preserve">carro foi trabalhado na unit avant mais a so ficou presa no posto</t>
  </si>
  <si>
    <t xml:space="preserve">forçado condição para sair a os do posto</t>
  </si>
  <si>
    <t xml:space="preserve">grampo do robo da unit arier caiu</t>
  </si>
  <si>
    <t xml:space="preserve">o grampo foi presso com uma bucha lisa presa sob pressao em uma peça de aluminio com o trabalho da celula acabou cedendo</t>
  </si>
  <si>
    <t xml:space="preserve">o grampo foi preso novamente utilizando parafusos e a peça que estava sendo trabalhado foi segregada para retoque </t>
  </si>
  <si>
    <t xml:space="preserve">Falha na leitura de posição da navete</t>
  </si>
  <si>
    <t xml:space="preserve">Sensor com o cabo em curto circuito</t>
  </si>
  <si>
    <t xml:space="preserve">Substituído sensor e cabo, realizado movimentos manuais para ajuste de posição.</t>
  </si>
  <si>
    <t xml:space="preserve">ABSR mesa A0</t>
  </si>
  <si>
    <t xml:space="preserve">Falha da serragem "G" mesa BBB depois de girar a mesa.</t>
  </si>
  <si>
    <t xml:space="preserve">Provavelmente gerou a falha da serragem antes da mudança de modelo, após isso foi movimentada em manual gerando o erro que  não baixou as plataformas para liberação no modelo B52</t>
  </si>
  <si>
    <t xml:space="preserve">Verificado condições lógicas, realizado o movimento manual da plataforma para fechar;
No ciclo de retorno do modelo BBB, normalizou o funcionamento da serragem "G"
</t>
  </si>
  <si>
    <t xml:space="preserve">Unit Avant (Pallet 8 da mesa T0)</t>
  </si>
  <si>
    <t xml:space="preserve">Falha nos batente 10 e 11 na mesa T0</t>
  </si>
  <si>
    <t xml:space="preserve">Pallet 8 com a haste de separação danificada, enroscando em outro pallet</t>
  </si>
  <si>
    <t xml:space="preserve">Recolocado os palets na posição, reajustado as memorias do transportador e rearmado ilha.
Após passagem de algumas peças a falha reincidiu.
Desenrroscado palet;
Efetuado a troca dos batentes danificados;
Trocado haste de posicionamento do palet 8; Efetuado ajuste de regua de sensor do palet 8;  Ajustado memórias dos postos da esteira T0.
</t>
  </si>
  <si>
    <t xml:space="preserve">Mesa TE05 </t>
  </si>
  <si>
    <t xml:space="preserve">Falha na translação dos rolos da mesa.</t>
  </si>
  <si>
    <t xml:space="preserve">Não estava atuando o freio do motor, e com isso a corrente ficava alta gerando a falha de posição do Skid quando entrava a baixa velocidade.</t>
  </si>
  <si>
    <t xml:space="preserve">Durante a intervenção e diagnósticos, foi aumentado a velocidade de baixa, logo após gerou erro no inversor e na mesa. Perdeu sequencia de ciclo e tivemos que corrigir as memórias de (EL02, TE03, TE05, TB06, TE04), por isso o tempo de 45 min.
Para rodar a linha foi aberto mais o freio do motor deixando com folga de (0,55).
Será dado continuidade no reparo durante 1º Turno em horário de almoço.
</t>
  </si>
  <si>
    <t xml:space="preserve">Transportador CATA </t>
  </si>
  <si>
    <t xml:space="preserve">Falha no variador F08 -Monitoração da velocidade</t>
  </si>
  <si>
    <t xml:space="preserve">Motor travado</t>
  </si>
  <si>
    <t xml:space="preserve">Sustituído motor</t>
  </si>
  <si>
    <t xml:space="preserve">preto estilo </t>
  </si>
  <si>
    <t xml:space="preserve">robô acusava falha de entupimento no pistola </t>
  </si>
  <si>
    <t xml:space="preserve">a bomba de tinta não estava funcionando </t>
  </si>
  <si>
    <t xml:space="preserve">foi retirado uma válvula reguladora de fluxo que poderia esta impedindo o funcionamento da bomba, quando foi feito o by pass a bomba não funcional retirado a carga a bomba subiu para a posição de máximo e em seguida quando desceu deslocou o embolo da bomba fazendo retornar o funcionamento, a válvula reguladora vai ser recolocada no próximo intervalo de produção e uma outra unidade já esta pre-preparada para assumir a função desta visto que a mesma continua apresentando um comportamento anormal </t>
  </si>
  <si>
    <t xml:space="preserve">BM30 Robô C4 (Gripper 42) mod.BBB</t>
  </si>
  <si>
    <t xml:space="preserve">Erro de supervisão de movimento no Robô</t>
  </si>
  <si>
    <t xml:space="preserve">Dispositivo do Trojan solto, e desalinhado com base de fixação</t>
  </si>
  <si>
    <t xml:space="preserve">Substituído parafusos devido a estar faltando um e o outro estava frouxo;
Realinhado o Trojan;
Reposicionado o Robô com a carroceria e corrigido memórias para retorno do ciclo
</t>
  </si>
  <si>
    <t xml:space="preserve">OP180</t>
  </si>
  <si>
    <t xml:space="preserve">Falha intermitente no variador de giro do palet</t>
  </si>
  <si>
    <t xml:space="preserve">Bloqueio do variador pela liberação de segurança da cortina de luz</t>
  </si>
  <si>
    <t xml:space="preserve">Substituição da cortina de luz</t>
  </si>
  <si>
    <t xml:space="preserve">CATA - Estagio11</t>
  </si>
  <si>
    <t xml:space="preserve">Time out no variador navet posterior</t>
  </si>
  <si>
    <t xml:space="preserve">Motor sem movimentação em velocidade baixa (6HZ)</t>
  </si>
  <si>
    <t xml:space="preserve">Elevado para 10HZ, será substituído o motor no 2°turno</t>
  </si>
  <si>
    <t xml:space="preserve">transportador balanceli motor 75</t>
  </si>
  <si>
    <t xml:space="preserve">pane intermitente no inversor de frequência sof Falha de sobre velocidade do motor </t>
  </si>
  <si>
    <t xml:space="preserve">hipóteses - diminuição da lubrificação o excesso de cera depositava no  balancele ,                                sobrecarga no sistema devido a alguns balanceles com defeito, falha no inversor de frequência </t>
  </si>
  <si>
    <t xml:space="preserve">foi reduzido a velocidade deste motor e a pane parou de ocorrer, será dada continuidade no acompanhamento no terceiro turno. Pela descrição no manual do inversor de frequência esta pane pode ser rearmada remotamente através de uma entrada digital no inversor de frequência.</t>
  </si>
  <si>
    <t xml:space="preserve">UAR (Robô J3)</t>
  </si>
  <si>
    <t xml:space="preserve">Mal contato no cabo de rede que sai do robô J1 para o J3</t>
  </si>
  <si>
    <t xml:space="preserve">Verificado conexão do plug de rede e realizado a limpeza do conector com limpa contatos.</t>
  </si>
  <si>
    <t xml:space="preserve">B0 Lateral X52</t>
  </si>
  <si>
    <t xml:space="preserve">Mesa girou antes da plataforma abrir totalmente e colidiu com plataforma danificando um cilindro da mesa</t>
  </si>
  <si>
    <t xml:space="preserve">Sensor de plataforma aberta com sujeira e sempre ligado</t>
  </si>
  <si>
    <t xml:space="preserve">Reparo do cilindro e Limpeza do sensor</t>
  </si>
  <si>
    <t xml:space="preserve">Cataforese</t>
  </si>
  <si>
    <t xml:space="preserve">Retificadores desarmando</t>
  </si>
  <si>
    <t xml:space="preserve">Falha no sensor que controla  a fifo das carrocerias no banho </t>
  </si>
  <si>
    <t xml:space="preserve">Substituido o sensor e fixado roda dentada q estava solta</t>
  </si>
  <si>
    <t xml:space="preserve">CSA 100</t>
  </si>
  <si>
    <t xml:space="preserve">Falha rede devicenet no 29</t>
  </si>
  <si>
    <t xml:space="preserve">No em falha, conector rede solto</t>
  </si>
  <si>
    <t xml:space="preserve">Reapertado conector e resetado modulo.</t>
  </si>
  <si>
    <t xml:space="preserve">Paralização Sindicato inicio produção </t>
  </si>
  <si>
    <t xml:space="preserve">Paralização Sindicato inicio produção</t>
  </si>
  <si>
    <t xml:space="preserve">CERA P3 - Mesa 75</t>
  </si>
  <si>
    <t xml:space="preserve">falha mesa 75</t>
  </si>
  <si>
    <t xml:space="preserve">Velocidade desincronizada mesa 75 e 76</t>
  </si>
  <si>
    <t xml:space="preserve">Levantamento rolo (loco) entrada mesa e ajuste velocidades mesas 75 e 76</t>
  </si>
  <si>
    <t xml:space="preserve">SC5 - PO2 freio</t>
  </si>
  <si>
    <t xml:space="preserve">Falha de comunicação com o MAC</t>
  </si>
  <si>
    <t xml:space="preserve">Curto na rede ASI, Palet depositado na calha</t>
  </si>
  <si>
    <t xml:space="preserve">Isolado cabo da rede ASI</t>
  </si>
  <si>
    <t xml:space="preserve">Sertissagem H79,</t>
  </si>
  <si>
    <t xml:space="preserve">Falha intermitente de colisão de junta Eixo 7</t>
  </si>
  <si>
    <t xml:space="preserve">Em análise, Circuito de liberação de freio</t>
  </si>
  <si>
    <t xml:space="preserve">Substituído contator de freio</t>
  </si>
  <si>
    <t xml:space="preserve">MASTIC - PFS</t>
  </si>
  <si>
    <t xml:space="preserve">Falha de comunicação com o  PSF</t>
  </si>
  <si>
    <t xml:space="preserve">Disjuntor com mau contato na LTS</t>
  </si>
  <si>
    <t xml:space="preserve">Eliminado mau contato do disjuntor</t>
  </si>
  <si>
    <t xml:space="preserve">TK</t>
  </si>
  <si>
    <t xml:space="preserve">Falha na saída de carrocerias do TK</t>
  </si>
  <si>
    <t xml:space="preserve">Processo da missão de saída travado durante a falha de comunicação da LTS</t>
  </si>
  <si>
    <t xml:space="preserve">Relançado serviços na informática</t>
  </si>
  <si>
    <t xml:space="preserve">porta do h79</t>
  </si>
  <si>
    <t xml:space="preserve">robô acusava colisão no eixo 7</t>
  </si>
  <si>
    <t xml:space="preserve">rele de tempo com falha causava o acionamento do freio durante a operação</t>
  </si>
  <si>
    <t xml:space="preserve">foi junpeado o freio do motor 7 e o circuito de proteção do freio ficou para ser trocado na hora da janta</t>
  </si>
  <si>
    <t xml:space="preserve">linha da cera mesa de rolos 75</t>
  </si>
  <si>
    <t xml:space="preserve">mesa acusava time out e estragava a FIFO no psf</t>
  </si>
  <si>
    <t xml:space="preserve">provavelmente o freio do motor da mesa esta danificado </t>
  </si>
  <si>
    <t xml:space="preserve">vai ser substituído o motor durante o terceiro turno </t>
  </si>
  <si>
    <t xml:space="preserve">prensa smo</t>
  </si>
  <si>
    <t xml:space="preserve">prensa não habilitava ciclo </t>
  </si>
  <si>
    <t xml:space="preserve">uma memoria de presença peça ficou travada provavelmente por coincidir 100 peças com a troca de ferramenta</t>
  </si>
  <si>
    <t xml:space="preserve">foi forçado a memoria de presença peca e depois analizando o software percebemos que já possuia uma rotina para o rearme da prença nesta situação                                                                         precionando os botoes reame ilha + anula disfunção+ avança e recua, habilita uma memoria para que reseta esta falha </t>
  </si>
  <si>
    <t xml:space="preserve">Mesa 74/75 Cera P3</t>
  </si>
  <si>
    <t xml:space="preserve">Falha de time-out na mesa e perda de sincronismo na  FIFO </t>
  </si>
  <si>
    <t xml:space="preserve">Possívelmente erro de variação de velocidade entre uma mesa e outra na transferência do Balancele</t>
  </si>
  <si>
    <t xml:space="preserve">Retornado com os valores nos parâmetros de velocidade;
Haviam sido alterados estes parâmetros em 1º turno. 
Após isso não gerou erro de sequência da FIFO
</t>
  </si>
  <si>
    <t xml:space="preserve">OP 30.5</t>
  </si>
  <si>
    <t xml:space="preserve">Bloqueio de movimento no dispositivo de elevação das parafusadeiras</t>
  </si>
  <si>
    <t xml:space="preserve">Falha no sensor de setup do dispositivo</t>
  </si>
  <si>
    <t xml:space="preserve">Liberação manual do dispositivo, colocado em posição inicial</t>
  </si>
  <si>
    <t xml:space="preserve">linha de cera mesa de rolos 75</t>
  </si>
  <si>
    <t xml:space="preserve">inversor desarmou novamente com o erro sof (sobrecarga da velocidade) que anteriormente foi diagnosticado a sobre corrente causada pela messa da frente que puchava os carros </t>
  </si>
  <si>
    <t xml:space="preserve">em analise </t>
  </si>
  <si>
    <t xml:space="preserve">agendado a troca do motor da messa que apresentou defeito, não foi realizada a troca antes porque o motor da messa é especial </t>
  </si>
  <si>
    <t xml:space="preserve">Ilha SPHHA (Portas)</t>
  </si>
  <si>
    <t xml:space="preserve">Falha na segurança com defeito de Ar</t>
  </si>
  <si>
    <t xml:space="preserve">Possívelmente, estava oscilando o Scanner Sick de segurança do operador na retirada de porta do berço e com isso derrubava a alimentação do Ar</t>
  </si>
  <si>
    <t xml:space="preserve">Realizado uma limpeza no óleo e sujeiras que estavam por baixo do berço;
Ajustado a área do Scanner devido a estar oscilando presença, ,mesmo não tendo nada por perto.
</t>
  </si>
  <si>
    <t xml:space="preserve">Banco Rolagem1</t>
  </si>
  <si>
    <t xml:space="preserve">Sem retorno de rotação do rolo dianteiro</t>
  </si>
  <si>
    <t xml:space="preserve">Placa conversora do encoder com mau contato</t>
  </si>
  <si>
    <t xml:space="preserve">Invertido as placas conversoras </t>
  </si>
  <si>
    <t xml:space="preserve">Robô C0 LVG </t>
  </si>
  <si>
    <t xml:space="preserve">Estava reiniciando o sistema do Robô</t>
  </si>
  <si>
    <t xml:space="preserve">Falha cabo SMB, robo perdeu calibração duas vezes durante o processo, constatado que
cabo SMB era antigo ou usado.
</t>
  </si>
  <si>
    <t xml:space="preserve">Realizado limpeza dos conectores do cabo, base robo e armário do mesmo.
Efetuado a troca do cabo durante o horário de janta, não apresentando nenhuma falha.
</t>
  </si>
  <si>
    <t xml:space="preserve">Banco de rolagem 2</t>
  </si>
  <si>
    <t xml:space="preserve">Rolos não estavam girando</t>
  </si>
  <si>
    <t xml:space="preserve">Problema na placa de leitura e conversão de sinal do resolver</t>
  </si>
  <si>
    <t xml:space="preserve">Substituída  a placa</t>
  </si>
  <si>
    <t xml:space="preserve">Luminoscópio banco 1 paralelismo</t>
  </si>
  <si>
    <t xml:space="preserve">Não realizava referenciamento "ponto 0" da máquina</t>
  </si>
  <si>
    <t xml:space="preserve">Sensor de referenciamento do luminoscópio com defeito,
Sensor sempre atuado não deixando realizar o zeramento.
</t>
  </si>
  <si>
    <t xml:space="preserve">Colocado uma frequencia maior para zeramento de 20 para 200 carros,
By pass do sensor para poder realizar testes,
</t>
  </si>
  <si>
    <t xml:space="preserve">Falha no fechamento da fixação de roda na montagem do pneu</t>
  </si>
  <si>
    <t xml:space="preserve">Estava com o fluxo de ar sendo interrompido pela válvula reguladora.</t>
  </si>
  <si>
    <t xml:space="preserve">.- Substituído uma válvula 5/3 vias de alimentação do circuito;
. - Substituído a reguladora que estava interrompendo o fluxo de ar;
.- Realizado inspeção e limpeza na outra reguladora devido estar com muito resíduo;
.- Feito lubrificação dos Patins e também da guia linear de movimentação da base de fixação.
</t>
  </si>
  <si>
    <t xml:space="preserve">Defeito leitor sick mesa 5</t>
  </si>
  <si>
    <t xml:space="preserve">Sujeira no skid</t>
  </si>
  <si>
    <t xml:space="preserve">Escrita do código do skid</t>
  </si>
  <si>
    <t xml:space="preserve">Injetora 2</t>
  </si>
  <si>
    <t xml:space="preserve">Sem acionamento do módulo de vácuo</t>
  </si>
  <si>
    <t xml:space="preserve">Módulo ethercat não habilitado</t>
  </si>
  <si>
    <t xml:space="preserve">Realizado a troca da garra para habilitar o módulo</t>
  </si>
  <si>
    <t xml:space="preserve">injetora </t>
  </si>
  <si>
    <t xml:space="preserve">robô não desacoplava o gripper </t>
  </si>
  <si>
    <t xml:space="preserve">desacoplar o gripper e reacoplar para voltar para repli e liberar as maquinas</t>
  </si>
  <si>
    <t xml:space="preserve">cataforese</t>
  </si>
  <si>
    <t xml:space="preserve">circuito de proteção dos retificadores da cataforese desarmavam </t>
  </si>
  <si>
    <t xml:space="preserve">um dos pêndulos com defeito causou a primeira pane. As outras panes foram associadas a falta de sincronia que fazia os inversores atuarem de forma descompassada</t>
  </si>
  <si>
    <t xml:space="preserve">ajustado o sensor contador de pulso, bypassado os pêndulos com defeito  </t>
  </si>
  <si>
    <t xml:space="preserve">elevador saida mastique</t>
  </si>
  <si>
    <t xml:space="preserve">carro ficou parado no elevador </t>
  </si>
  <si>
    <t xml:space="preserve">menoria de falha do transportador ativo </t>
  </si>
  <si>
    <t xml:space="preserve">forçado memoria para retirar o erro</t>
  </si>
  <si>
    <t xml:space="preserve">Falha de posição rolo dianteiro</t>
  </si>
  <si>
    <t xml:space="preserve">OP525-1 (IHM's)</t>
  </si>
  <si>
    <t xml:space="preserve">Funções da IHM não apareciam na tela</t>
  </si>
  <si>
    <t xml:space="preserve">Alterado configurações da IHM</t>
  </si>
  <si>
    <t xml:space="preserve">Corrigido a configuração de idioma na IHM.
Estava em Inglês e não apareciam as funções. Após alterado para português, normalizou as telas
</t>
  </si>
  <si>
    <t xml:space="preserve">Robôs Preto Estilo (Verniz)</t>
  </si>
  <si>
    <t xml:space="preserve">Não comunica as cameras com o PLC;
Gera erro na aplicação quando habilitadas.
</t>
  </si>
  <si>
    <t xml:space="preserve">Ainda em análise e verificação.</t>
  </si>
  <si>
    <t xml:space="preserve">Deixado o sistema rodando em degradado sem as câmeras, está realizando a aplicação somente pelo passo do transportador.</t>
  </si>
  <si>
    <t xml:space="preserve">TK mesa elevadora</t>
  </si>
  <si>
    <t xml:space="preserve">Carro descarrilhou e se desprendeu do Skid na mesa de elevadora do TK</t>
  </si>
  <si>
    <t xml:space="preserve">* Tampa traseira da U79 abriu durante movimento de translação do TK;
* Sensor Sick que detecta tampa aberta estava oscilando 
</t>
  </si>
  <si>
    <t xml:space="preserve">* Reposicionado o Carro e o Skid na mesa com o auxilio de talha para elevação do mesmo;
* Substituído sensor Sick de detecção de tampa aberta;
* Retirado rolo da mesa 2008 que após a colisão ficou pendurado pela correia;
* Bloqueado a entrada de Skids nas mesas 2008 e 1110.
</t>
  </si>
  <si>
    <t xml:space="preserve">Portas X90 - robô C3</t>
  </si>
  <si>
    <t xml:space="preserve">Falha de sobre temperatura no armário, TP travado</t>
  </si>
  <si>
    <t xml:space="preserve">Ventiladores internos danificados</t>
  </si>
  <si>
    <t xml:space="preserve">Substituição do TP e abertura da porta para refrigeração do armário</t>
  </si>
  <si>
    <t xml:space="preserve">BM30 - robô B3</t>
  </si>
  <si>
    <t xml:space="preserve">Falha durante o destravamento do trocador de ferramentas. </t>
  </si>
  <si>
    <t xml:space="preserve">Folga no atuador dos sensores de travamento e destravamento</t>
  </si>
  <si>
    <t xml:space="preserve">Desmontado e ajustado atuador no interior do trocador</t>
  </si>
  <si>
    <t xml:space="preserve">armário clp2</t>
  </si>
  <si>
    <t xml:space="preserve">disjunto da alimentação de se1 estava desarmando causando pane na linha e nos elevadores pane intermitente com pico de frequência de uma pane a cada 15 min</t>
  </si>
  <si>
    <t xml:space="preserve">com a analise de rede fornecida pela utilidades conseguimos enxergar uma sobre carga no disjuntor com picos de 8A sendo que a máxima do disjuntor era 6A</t>
  </si>
  <si>
    <t xml:space="preserve">foi substituído o disjuntor de 6A por um de 10A e informado a engenharia para acompanhar o caso para investigar porque a linha esta consumindo mais energia </t>
  </si>
  <si>
    <t xml:space="preserve">adom saída validação</t>
  </si>
  <si>
    <t xml:space="preserve">a cpu esta funcionando o painel da teste de firmware ok mais o adom não mostra as informações no painel</t>
  </si>
  <si>
    <t xml:space="preserve">foi encontrado vários mau contatos na ligação do hart com o andom e com a cpu </t>
  </si>
  <si>
    <t xml:space="preserve">SE4 - ilha de Vidros </t>
  </si>
  <si>
    <t xml:space="preserve">Quebra da estrutura do virador de vidros</t>
  </si>
  <si>
    <t xml:space="preserve">Falha no sensor de parada, não existe sensor de extra-curso</t>
  </si>
  <si>
    <t xml:space="preserve">Soldada estrutura e recuperado cabo da chabata</t>
  </si>
  <si>
    <t xml:space="preserve">Empilhador de skids CATA</t>
  </si>
  <si>
    <t xml:space="preserve">Falha no ciclo de empilhamento de skids</t>
  </si>
  <si>
    <t xml:space="preserve">Entrada digital do drive box danificada</t>
  </si>
  <si>
    <t xml:space="preserve">Substituída CU240D do drive box</t>
  </si>
  <si>
    <t xml:space="preserve">bm-30</t>
  </si>
  <si>
    <t xml:space="preserve">pino quebrado na bm 30 , robô k5 da unit arrie colisão na troca de ferramenta, robô UA0 robô com supervisão de movimento</t>
  </si>
  <si>
    <t xml:space="preserve">bm-30 pino quebrado, k5 robô enroscando no acoplamento , robô ua0 enroscando no acoplamento</t>
  </si>
  <si>
    <t xml:space="preserve">arrumado o pino quebrado, ajustado ponto do robô e lubrificada as conexões dos gripper </t>
  </si>
  <si>
    <t xml:space="preserve">linha </t>
  </si>
  <si>
    <t xml:space="preserve">elevadores e transportadores pararam no meio da trajetória </t>
  </si>
  <si>
    <t xml:space="preserve">em analise solicitado o examinador de rede elétrica para identificar o problema, ouve mais varias paradas no dia associado ao mesmo problema em diferentes partes da linha </t>
  </si>
  <si>
    <t xml:space="preserve">foi rearmado os disjuntores e resetados os inversores de frequência </t>
  </si>
  <si>
    <t xml:space="preserve">banco de rolagem</t>
  </si>
  <si>
    <t xml:space="preserve">intermitente os roletes de traz paravam de funcionar </t>
  </si>
  <si>
    <t xml:space="preserve">em analise- encontrado um ponto de mau conta na fonte do inversor de frequência o ponto de mau contato era da entrada do termistors</t>
  </si>
  <si>
    <t xml:space="preserve">o mau contato fechou um curto que desarmou o sistema foi isolado os pontos de mau contanto e reiniciado o sistema e a falha não voltou mais a ocorrer </t>
  </si>
  <si>
    <t xml:space="preserve">Mesa C0 AG1 P1</t>
  </si>
  <si>
    <t xml:space="preserve">Falha no inversor de frequencia. Sobretensão no Barramento DC Bus</t>
  </si>
  <si>
    <t xml:space="preserve">Ainda em análise, possivelmente falha na placa eletronica de controle I/O do drive</t>
  </si>
  <si>
    <t xml:space="preserve">Inertido os Drives entre as mesas B0 e C0 para verificação. Mesa C0 funcionou sem problemas, como a mesa B0 é de passagem, foi desabilitado a função de para dela e deixado somente translação direta.
Será programado para verificar melhor as falhas do drive.
</t>
  </si>
  <si>
    <t xml:space="preserve">Diametro de Roda errada, perda de sequenciamento</t>
  </si>
  <si>
    <t xml:space="preserve">Inserido sequencia errada de modelo</t>
  </si>
  <si>
    <t xml:space="preserve">Corrigido o Fluxo de sequencia nas mesas de montagem das rodas.</t>
  </si>
  <si>
    <t xml:space="preserve">OP70 robô 2</t>
  </si>
  <si>
    <t xml:space="preserve">Robô aguardando evento após término da aplicação de silicone</t>
  </si>
  <si>
    <t xml:space="preserve">Sistema de visão inativo sem retorno das condições do evento</t>
  </si>
  <si>
    <t xml:space="preserve">Bloqueio da chamada da rotina de verificação</t>
  </si>
  <si>
    <t xml:space="preserve">SE4 - Virador de Vidros</t>
  </si>
  <si>
    <t xml:space="preserve">Falha de rearme do scanner Sick</t>
  </si>
  <si>
    <t xml:space="preserve">Parametrização do scanner com reset externo, durante o fim de semana</t>
  </si>
  <si>
    <t xml:space="preserve">Alterado parametrização para reset automático</t>
  </si>
  <si>
    <t xml:space="preserve">Conjunto de parafusadeiras em falha, sem autorização de saída do palet</t>
  </si>
  <si>
    <t xml:space="preserve">Erro durante a parametrização das parafusadeiras</t>
  </si>
  <si>
    <t xml:space="preserve">Restauração do backup das parafusadeiras</t>
  </si>
  <si>
    <t xml:space="preserve">op 100.1</t>
  </si>
  <si>
    <t xml:space="preserve">maquina dava erro na operação e não parafusava o cabeçote</t>
  </si>
  <si>
    <t xml:space="preserve">o transdutor de torque não estava calibrado e não permitia o inicio do ciclo</t>
  </si>
  <si>
    <t xml:space="preserve">aulterado o parametro no clp do power flex</t>
  </si>
  <si>
    <t xml:space="preserve">Robo de vidros B1</t>
  </si>
  <si>
    <t xml:space="preserve">Quebra do vidro "Lunete" no centrador</t>
  </si>
  <si>
    <t xml:space="preserve">Ainda em análise</t>
  </si>
  <si>
    <t xml:space="preserve">Retirado robô da posição de colisão;
Realizado a limpeza dos vidros;
Colocado em Home position;
Recalagem de vidros para retorno em produção.
</t>
  </si>
  <si>
    <t xml:space="preserve">OP05 </t>
  </si>
  <si>
    <t xml:space="preserve">Robô sem autorização de gravação do bloco</t>
  </si>
  <si>
    <t xml:space="preserve">Perda das informações do RFID durante transferência do palet</t>
  </si>
  <si>
    <t xml:space="preserve">Cartão vermelho e reinicio do ciclo</t>
  </si>
  <si>
    <t xml:space="preserve">Andon </t>
  </si>
  <si>
    <t xml:space="preserve">Sem indicação dos dados</t>
  </si>
  <si>
    <t xml:space="preserve">Falha na comunicação serial PC - andon</t>
  </si>
  <si>
    <t xml:space="preserve">Reparo do cabo serial</t>
  </si>
  <si>
    <t xml:space="preserve">BANCO 3</t>
  </si>
  <si>
    <t xml:space="preserve">Falha na ignição do motor</t>
  </si>
  <si>
    <t xml:space="preserve">Falta do sinal de habilitação do drive, contato auxiliar circuito de segurança carter</t>
  </si>
  <si>
    <t xml:space="preserve">Substituído contatores auxiliares</t>
  </si>
  <si>
    <t xml:space="preserve">robo ko da unit central</t>
  </si>
  <si>
    <t xml:space="preserve">desarmado o transportador por motivos de segurança</t>
  </si>
  <si>
    <t xml:space="preserve">um dos cabos da rede profinet da garra se rompeu causando anomalia grave que derubou a segurança </t>
  </si>
  <si>
    <t xml:space="preserve">Substituido o cabo por outro passado por fora do robo </t>
  </si>
  <si>
    <t xml:space="preserve">prensa ta9</t>
  </si>
  <si>
    <t xml:space="preserve">maquina não reconhecia a presença de peça</t>
  </si>
  <si>
    <t xml:space="preserve">peça ficou presa durante a operação danificando os sensores e as conexoes pneumaticas</t>
  </si>
  <si>
    <t xml:space="preserve">foi trocados os sensores e a logica para adaptar aos novos sensores e a maquina esta rodando em degradado porque o defeito pneumatico esta derubamdo o cubo da roda em cima dos sensores</t>
  </si>
  <si>
    <t xml:space="preserve">bomba de mastique robo de lunet</t>
  </si>
  <si>
    <t xml:space="preserve">valvula de bomba de mastique emperou</t>
  </si>
  <si>
    <t xml:space="preserve">substituido a peça </t>
  </si>
  <si>
    <t xml:space="preserve">MIR - Dosador de mastic</t>
  </si>
  <si>
    <t xml:space="preserve">Dosador não enche</t>
  </si>
  <si>
    <t xml:space="preserve">Quebra do parafuso de fixação do eixo dosador, obstrução do dosador</t>
  </si>
  <si>
    <t xml:space="preserve">Desmontagem, substituição do parafuso, limpeza</t>
  </si>
  <si>
    <t xml:space="preserve">Defeito na corrente do elevador</t>
  </si>
  <si>
    <t xml:space="preserve">Desalinhamento do acoplamento </t>
  </si>
  <si>
    <t xml:space="preserve">Alinhamento  do acoplamento</t>
  </si>
  <si>
    <t xml:space="preserve">OP140 - robô 1</t>
  </si>
  <si>
    <t xml:space="preserve">Robô com aviso de irregularidade nos sensores da ferramenta, marcha degradada.</t>
  </si>
  <si>
    <t xml:space="preserve">Modulo do sistema operacional corrompido</t>
  </si>
  <si>
    <t xml:space="preserve">Restauração do Backup</t>
  </si>
  <si>
    <t xml:space="preserve">robo01 op220</t>
  </si>
  <si>
    <t xml:space="preserve">colisão do robo com o dispositivo </t>
  </si>
  <si>
    <t xml:space="preserve">palet fora de possição </t>
  </si>
  <si>
    <t xml:space="preserve">como a gripper ficou deformado foi regravado os pontos de pegas dos anéis oring </t>
  </si>
  <si>
    <t xml:space="preserve">BASE robô RB21 e R23</t>
  </si>
  <si>
    <t xml:space="preserve">Falha de aplicação no R23 e defeito geral no R21</t>
  </si>
  <si>
    <t xml:space="preserve">R23 com obstrução no pulverizador, R21 em análise durante o turno</t>
  </si>
  <si>
    <t xml:space="preserve">R23 limpeza e R21 em degradado</t>
  </si>
  <si>
    <t xml:space="preserve">VIRA op 130</t>
  </si>
  <si>
    <t xml:space="preserve">Não inicia processo de usinagem</t>
  </si>
  <si>
    <t xml:space="preserve">Defeito na bomba de refrigeração</t>
  </si>
  <si>
    <t xml:space="preserve">Adaptação de  motor e bomba similar</t>
  </si>
  <si>
    <t xml:space="preserve">Erro na pressão de contra balanço</t>
  </si>
  <si>
    <t xml:space="preserve">Mau contato na conexão do pressostato</t>
  </si>
  <si>
    <t xml:space="preserve">Reparado conexão do pressostato; ajustes das pressões de trabalho</t>
  </si>
  <si>
    <t xml:space="preserve">P2 - Esteira</t>
  </si>
  <si>
    <t xml:space="preserve">Sem rearme da zona</t>
  </si>
  <si>
    <t xml:space="preserve">Harting do motor da esteira desconectado; Mau contato do potencial 24V em vários pontos no painel de zona</t>
  </si>
  <si>
    <t xml:space="preserve">Reconectado motor e restabelecido 24V do painel</t>
  </si>
  <si>
    <t xml:space="preserve">Prensa "BBB"</t>
  </si>
  <si>
    <t xml:space="preserve">Prensa travada mecanicamente</t>
  </si>
  <si>
    <t xml:space="preserve">Foram colocados calços no dispositvo em final de semana e com isso veio a enroscar</t>
  </si>
  <si>
    <t xml:space="preserve">Removido o calço que enroscou e ajustado a prensa</t>
  </si>
  <si>
    <t xml:space="preserve">Verniz "RB21"</t>
  </si>
  <si>
    <t xml:space="preserve">* 1 - Falha no Robô RB 21, desarme de 24V;
* 2 - Falha no inversor de frequencia do transportador C1;
</t>
  </si>
  <si>
    <t xml:space="preserve">* 1 - Análise em 3º Turno;
* 2 - Não habilitava alteração de velocidade pelo inversor de frequencia;
</t>
  </si>
  <si>
    <t xml:space="preserve">* 1 - Deixado rodando em degradado com 5 Robôs;
* 2 - descarregado backup do inversor via IHM para resetar o inversor
</t>
  </si>
  <si>
    <t xml:space="preserve">Verniz RB21</t>
  </si>
  <si>
    <t xml:space="preserve">Desarme do fusível F-6F7, alimentação 24V no painel do RB21</t>
  </si>
  <si>
    <t xml:space="preserve">Módulo de entrada analógico em Curto</t>
  </si>
  <si>
    <t xml:space="preserve">Substituído módulo;
No horário de ceia, realizado testes e simulado os 5 tipos de carroceria. 
Liberado para produção.
OBS:Foram retiradas as duas peças que tinhamos no Almoxarifado (Mabec: 904273007), uma já foi utilizada neste robô da pane, a outra será utilizado no Robô R21 da Base. 
Ver a possibilidade de repor estas peças com urgência, devido a importâcia nos Robôs da Durr, e por serem módulos PicoNet. 
</t>
  </si>
  <si>
    <t xml:space="preserve">OP 190 robô 1</t>
  </si>
  <si>
    <t xml:space="preserve">Trajetória de mastic irregular </t>
  </si>
  <si>
    <t xml:space="preserve">Colisão do bico de aplicação</t>
  </si>
  <si>
    <t xml:space="preserve">Substituição do bico e correção de trajetória</t>
  </si>
  <si>
    <t xml:space="preserve">OP 70  robô 2</t>
  </si>
  <si>
    <t xml:space="preserve">Colisão do robô com o palet</t>
  </si>
  <si>
    <t xml:space="preserve">Robô com codigo 8, trajetória de verificação do mastic no bloco. Bit de bloqueio da trajetória foi resetado durante o download da FB.</t>
  </si>
  <si>
    <t xml:space="preserve">Bloqueio do código 8 no clp e substituição do bico da pistola de aplicação</t>
  </si>
  <si>
    <t xml:space="preserve">BR20</t>
  </si>
  <si>
    <t xml:space="preserve">Sem autorrização de transferência da carroceria</t>
  </si>
  <si>
    <t xml:space="preserve">Movimentação manual da carroceria para mesa anterior </t>
  </si>
  <si>
    <t xml:space="preserve">Acerto das memórias de presença e condições de tranferência</t>
  </si>
  <si>
    <t xml:space="preserve">CCD040- Laterais X52</t>
  </si>
  <si>
    <t xml:space="preserve">Perda da comunicação com o dispositivo</t>
  </si>
  <si>
    <t xml:space="preserve">Colisão da pinça com o cabo de rede</t>
  </si>
  <si>
    <t xml:space="preserve">Refixação do cabo de rede</t>
  </si>
  <si>
    <t xml:space="preserve">CCG600- X72</t>
  </si>
  <si>
    <t xml:space="preserve">Problema no pressostato</t>
  </si>
  <si>
    <t xml:space="preserve">Ajustado o pressostato e verificado a logica de safety</t>
  </si>
  <si>
    <t xml:space="preserve">Elevador Carroceria entrada SE2</t>
  </si>
  <si>
    <t xml:space="preserve">Defeito no variador 03</t>
  </si>
  <si>
    <t xml:space="preserve">Problema na cadeia de segurança NR12</t>
  </si>
  <si>
    <t xml:space="preserve">Verificação de segurança e rearme de linha.</t>
  </si>
  <si>
    <t xml:space="preserve">Acostagem ME1</t>
  </si>
  <si>
    <t xml:space="preserve">Casamento carroceria incorreto</t>
  </si>
  <si>
    <t xml:space="preserve">Conjunto amortecedor fora de posição levantou carroceria.</t>
  </si>
  <si>
    <t xml:space="preserve">Posicionamento carroceria </t>
  </si>
  <si>
    <t xml:space="preserve">Mesa 14 Translação saida SE4</t>
  </si>
  <si>
    <t xml:space="preserve">Falha posicionador de Skid</t>
  </si>
  <si>
    <t xml:space="preserve">Quebra solda suporte de fixação do cilindro da retacagem</t>
  </si>
  <si>
    <t xml:space="preserve">Passagem de dois carros degradados e efetuada solda para rodar até final do turno.</t>
  </si>
  <si>
    <t xml:space="preserve">MAC Picking Mecanico PTAR</t>
  </si>
  <si>
    <t xml:space="preserve">Falta alimentação MAC</t>
  </si>
  <si>
    <t xml:space="preserve">Ausencia de alimentação para o MAC</t>
  </si>
  <si>
    <t xml:space="preserve">Trocado alimentação para outro painel identificação existente indicava alimentação em local incorreto.</t>
  </si>
  <si>
    <t xml:space="preserve">Robô E2 "Cameras Perceptron"</t>
  </si>
  <si>
    <t xml:space="preserve">Falha na aplicação de vidros todos os modelos</t>
  </si>
  <si>
    <t xml:space="preserve">Travou o sistema do PC</t>
  </si>
  <si>
    <t xml:space="preserve">Reiniciado os serviços e depois reiniciado o Computador     OBS:Em horário de ceia, foi realizado a inspeção de toda a parte de cabeamento e conexões das cameras, não encontrado na da anormal.</t>
  </si>
  <si>
    <t xml:space="preserve">UAR Robô R0 " Gripper R1"</t>
  </si>
  <si>
    <t xml:space="preserve">Falha na rede Profinet</t>
  </si>
  <si>
    <t xml:space="preserve">Mal contato nos conectores de rede.</t>
  </si>
  <si>
    <t xml:space="preserve">realizado limpeza e higienização nos conectores do cabo, entre Robô e CPX do gripper</t>
  </si>
  <si>
    <t xml:space="preserve">BR Robô C4</t>
  </si>
  <si>
    <t xml:space="preserve">Robô não recebe código para iniciar rotina</t>
  </si>
  <si>
    <t xml:space="preserve">Sinal de modo de exploração ativo</t>
  </si>
  <si>
    <t xml:space="preserve">Substituído placa de segurança FE201</t>
  </si>
  <si>
    <t xml:space="preserve">OP 190</t>
  </si>
  <si>
    <t xml:space="preserve">Falha de nível de segurança de óleo </t>
  </si>
  <si>
    <t xml:space="preserve">Sensor defeituoso</t>
  </si>
  <si>
    <t xml:space="preserve">Reset do sensor, reduzido nível do tanque</t>
  </si>
  <si>
    <t xml:space="preserve">robô Rx1 - linha t2</t>
  </si>
  <si>
    <t xml:space="preserve">fumaça no eixo 7 e perca de calibração</t>
  </si>
  <si>
    <t xml:space="preserve">defeito no cabo </t>
  </si>
  <si>
    <t xml:space="preserve">foi trocado o servo motor do eixo 7 depois da troca do cabo o robô estava movimentando e apresentava a falha de superaquecimento no eixo 7 foi substituído o novo cabo e a falha desapareceu permitindo assim recalibrar o robô e partir a linha </t>
  </si>
  <si>
    <t xml:space="preserve">robôs de verniz</t>
  </si>
  <si>
    <t xml:space="preserve">os painéis de programação dos robôs estão off-line</t>
  </si>
  <si>
    <t xml:space="preserve">ate o momento o causa parece ser um conflito de ip entre os robôs com o final de ip 42,43,45,46, da linha de verniz, outro possível causa e a falta de comunicação física entre os robôs em uma das redes </t>
  </si>
  <si>
    <t xml:space="preserve">foi reiniciados os switch de comunicação ethernet foi checado os cabos com as portas do switch e encontrado um par invertido.                       Foi entrado em cada configuração de rede do robôs e constatado que os robôs tem 4 redes a primeira local com o ip que varia de acordo com o modelo uma rede view que tem um ip fixo igual para todos os robôs , outra rede kenro que o ip varia em pares o 40 e o 41 tem o mesmo ip com final 1 o 42 e 43 tem o mesmo ip com final 2 ...   o Problema persiste e um dos tp não carrega o sistema operacional                                                                                                </t>
  </si>
  <si>
    <t xml:space="preserve">MCET "Colheitadeira"</t>
  </si>
  <si>
    <t xml:space="preserve">Flha na movimentação do posto servant;
Falha na cadeia de Segurança 
</t>
  </si>
  <si>
    <t xml:space="preserve">Chave de emergência acionada</t>
  </si>
  <si>
    <t xml:space="preserve">Após verificar condições de posicionamento do Servant, verificado condições da válvula de segurança de ar, rearmado o botão de emergência.</t>
  </si>
  <si>
    <t xml:space="preserve">SE2 mesa 03</t>
  </si>
  <si>
    <t xml:space="preserve">Falha de inversor OK</t>
  </si>
  <si>
    <t xml:space="preserve">Ainda a validar a causa "Realizarei testes com o Jerônimo nesta próxima noite.
*1 - Durante o horário de janta foi substituído o disjuntor de comando Z1DJE, rearmado zonas e realizado teste de movimentação da linha;
*2 - Portinhola de segurança entre a mesa 4 e transportador da SE ativa derrubou cadeia de segurança da zona.
</t>
  </si>
  <si>
    <t xml:space="preserve">Resetado o inversor de frequencia da mesa 03</t>
  </si>
  <si>
    <t xml:space="preserve">Verniz - Robo </t>
  </si>
  <si>
    <t xml:space="preserve">PGH direito dos robôs Durr sem comunicação</t>
  </si>
  <si>
    <t xml:space="preserve">Oxidação das portas do switch</t>
  </si>
  <si>
    <t xml:space="preserve">Limpeza das portas do switch</t>
  </si>
  <si>
    <t xml:space="preserve">OP200</t>
  </si>
  <si>
    <t xml:space="preserve">Impressão de identificação do virabrequim irregular, reprovação durante a montagem na MM01; Impressora reserva com canhão e filtros obstruídos</t>
  </si>
  <si>
    <t xml:space="preserve">Desalinhamento da base de impressão; </t>
  </si>
  <si>
    <t xml:space="preserve">Ajustes de posicionamento da cabeça de impressão</t>
  </si>
  <si>
    <t xml:space="preserve">robo f4 da p1</t>
  </si>
  <si>
    <t xml:space="preserve">pinça não respondia ao sinal de start de solda</t>
  </si>
  <si>
    <t xml:space="preserve">na rotina de fesagem o foi resetado o valor de distancia maxima do eletrodo o que ficou travado na memoria do controlador de solda</t>
  </si>
  <si>
    <t xml:space="preserve">foi restaurado o backup do robo e o backup do controlador de solda. Mesmo assim o robo não voltou a funcionar. Foi alterado o valor e de desgaste no controlador de solda e o robo voltou a funcionar  </t>
  </si>
  <si>
    <t xml:space="preserve">MAC SE2/4</t>
  </si>
  <si>
    <t xml:space="preserve">Não acionava os By Ligth da rede ASI</t>
  </si>
  <si>
    <t xml:space="preserve">Mal contato no conector "vampiro" de alimentação dos módulos</t>
  </si>
  <si>
    <t xml:space="preserve">Retirado o cabo do conector e feito uma ligação direta ao módulo de rede "ASI"</t>
  </si>
  <si>
    <t xml:space="preserve">Falhas intermitentes no drive de controle da elevação da mesa</t>
  </si>
  <si>
    <t xml:space="preserve">Após verificação do drive, encontrado falha de erro limite da posição negativa.</t>
  </si>
  <si>
    <t xml:space="preserve">Está sendo acompanhado o funcionamento, pois desde as 04:30, após o ultimo reset não gerou mais falha.
Já está o PC inerligado ao drive, para caso ocorra a falha, seja feito a correção e zeramento da posição mecanica da máquina.
</t>
  </si>
  <si>
    <t xml:space="preserve">OP90 Robô 2</t>
  </si>
  <si>
    <t xml:space="preserve">Falha de segurança robô 2;  erro no joystick.</t>
  </si>
  <si>
    <t xml:space="preserve">Falha  na troca de sinais entre robô e clp.</t>
  </si>
  <si>
    <t xml:space="preserve">Reinicializado o robô, substituído TP.</t>
  </si>
  <si>
    <t xml:space="preserve">OP220.1 Robô 1</t>
  </si>
  <si>
    <t xml:space="preserve">Queda do retentor na aproximação da ogiva, robô operando em 50% da velocidade.</t>
  </si>
  <si>
    <t xml:space="preserve">Desalinhamento durante aproximação para depósito.</t>
  </si>
  <si>
    <t xml:space="preserve">Correção da trajetória de depósito do retentor.</t>
  </si>
  <si>
    <t xml:space="preserve">RO7 - Balanceadora</t>
  </si>
  <si>
    <t xml:space="preserve">Falha de Limite negativo ultrapassado.</t>
  </si>
  <si>
    <t xml:space="preserve">Falha no sensor de presença de roda provocando  a reversão do movimento do drive.</t>
  </si>
  <si>
    <t xml:space="preserve">Ajuste da posição de parada da roda na balanceadora, aumento da tolerância negativa de movimento</t>
  </si>
  <si>
    <t xml:space="preserve">robo se enforcou na magueira </t>
  </si>
  <si>
    <t xml:space="preserve">manqueira se enroscou no eixo 5</t>
  </si>
  <si>
    <t xml:space="preserve">foi desenroscado o maqueira e foi marcado novos pontos na hora da janta para</t>
  </si>
  <si>
    <t xml:space="preserve">bamco de rolagem</t>
  </si>
  <si>
    <t xml:space="preserve">falha dos 3 pontinhos. O banco faz o teste e o banco manda fica travado e esperando e aparece o erro dos 3 pontinhos </t>
  </si>
  <si>
    <t xml:space="preserve">1- arquivo onde salva os dados do banco de rolagem estava muito grande impedindo de salvar novo carro                                                                  2- falha de comunicação com o sistema de radio</t>
  </si>
  <si>
    <t xml:space="preserve">feito a compresão do arquivo via acess , e resetado o radio no painel</t>
  </si>
  <si>
    <t xml:space="preserve">Ilha SPHHA (Robô R2)</t>
  </si>
  <si>
    <t xml:space="preserve">Perda de calibração de eixos, falha no sistema</t>
  </si>
  <si>
    <t xml:space="preserve">Cabo do resolver do eixo 6 em curto</t>
  </si>
  <si>
    <t xml:space="preserve">Substituído o feixe de cabos do Robô</t>
  </si>
  <si>
    <t xml:space="preserve">Não liberava a entrada de roda da cacciole para RO7</t>
  </si>
  <si>
    <t xml:space="preserve">Ainda em análise, possível falha na troca de informações entre as máquinas</t>
  </si>
  <si>
    <t xml:space="preserve">CCD 390L</t>
  </si>
  <si>
    <t xml:space="preserve">Não aplicava Tucker,
Não retornava a posição inicial após fim de sequencia
</t>
  </si>
  <si>
    <t xml:space="preserve">Após modificação de final de semana foram ligados invertidos os sinais das pistolas,
Retiraram um sensor de detecção d peça, por isso não habilitava o retorno a posição inicial
</t>
  </si>
  <si>
    <t xml:space="preserve">Corrigido a posição dos cabos de ligação das pistolas Tucker,
Colocado um sensor e adaptado a posição para atuação do mesmo.
</t>
  </si>
  <si>
    <t xml:space="preserve">Ilha SPBBB Robô B1</t>
  </si>
  <si>
    <t xml:space="preserve">Ainda em análise,
Bateria CPU gerando alarme,
</t>
  </si>
  <si>
    <t xml:space="preserve">Foi resetado o painel robô,
Descarregado varias vezes backup devido a falha de ambiguidade da Trajetória T_Repli,
Copiado e renomeado arquivos PRG_MVT,
Realizado um P_Start do Robô.
</t>
  </si>
  <si>
    <t xml:space="preserve">UAV Robôs F1 e F8</t>
  </si>
  <si>
    <t xml:space="preserve">Falha entre os Robôs F1 e F8</t>
  </si>
  <si>
    <t xml:space="preserve">Robô F8 não permitida a entrada devido a Condições de segurança Do Robô F1</t>
  </si>
  <si>
    <t xml:space="preserve">Colocado Robô F1 manualmente em posição, realizado troca de ferramenta e posicionado para dar condição ao F8.</t>
  </si>
  <si>
    <t xml:space="preserve">MP1</t>
  </si>
  <si>
    <t xml:space="preserve">Erro ao restaurar dados da gama na IHM .</t>
  </si>
  <si>
    <t xml:space="preserve">Arquivos corrompidos na Flash de backup.</t>
  </si>
  <si>
    <t xml:space="preserve">Montado uma nova Flash e restaurado backup.</t>
  </si>
  <si>
    <t xml:space="preserve">Sem autorização de movimento dos Navets.</t>
  </si>
  <si>
    <t xml:space="preserve">Perda das memórias de presença devido a movimentações manuais para manutenção.</t>
  </si>
  <si>
    <t xml:space="preserve">Acertado presenças e ciclo de transferência.</t>
  </si>
  <si>
    <t xml:space="preserve">linha de partes moveis</t>
  </si>
  <si>
    <t xml:space="preserve">falha no rearme da segurança</t>
  </si>
  <si>
    <t xml:space="preserve">cartão safety do clp parou de funcionar </t>
  </si>
  <si>
    <t xml:space="preserve">foi substituido o cartão por um novo e remapeado o cartão no clp reiniciado a celula para o estado de origem e restartado a celula, (foi feito o teste com um cartão antes mais este apresentava o mesmo defeito do cartão que foi retirado da maquina)</t>
  </si>
  <si>
    <t xml:space="preserve">batente das rodas dianteira não estava subindo para iniciar o teste e o banco travava por timeout, rodou em degradado ate a hora da janta (as vezes era intervido mecanicamente para o batente subir)</t>
  </si>
  <si>
    <t xml:space="preserve">problema mecanico</t>
  </si>
  <si>
    <t xml:space="preserve">ajustado o engate do cilindro pneumatico durante o horario da janta, </t>
  </si>
  <si>
    <t xml:space="preserve">Roda sem autorização de avanço na T05</t>
  </si>
  <si>
    <t xml:space="preserve">Interrupção do cilco de tranferência pela oscilação do sensor de aparador aberto.</t>
  </si>
  <si>
    <t xml:space="preserve">Ajustes de posicionamento do sensor e regulagem pneumática no cilindro.</t>
  </si>
  <si>
    <t xml:space="preserve">Banco Paralelismo</t>
  </si>
  <si>
    <t xml:space="preserve">Falhas de comunicação com o PEV</t>
  </si>
  <si>
    <t xml:space="preserve">Análise das configurações e  interferências de frequências.</t>
  </si>
  <si>
    <t xml:space="preserve">Substituição do rádio, troca do canal de cominicação. Inversão dos MDA. Correção de configurações.</t>
  </si>
  <si>
    <t xml:space="preserve">elevador estufa mastic</t>
  </si>
  <si>
    <t xml:space="preserve">eixo do elevador quebrou</t>
  </si>
  <si>
    <t xml:space="preserve">tirado o carro e by pass o elevador</t>
  </si>
  <si>
    <t xml:space="preserve">pu 15</t>
  </si>
  <si>
    <t xml:space="preserve">falha no disparo de solda,</t>
  </si>
  <si>
    <t xml:space="preserve">defeito controlador de solda com defeito de carregamento provavelmente capacitores internos (vários destes módulos foram enviados para concerto em terceiros para reparo)</t>
  </si>
  <si>
    <t xml:space="preserve">foi trocado o modulo e a falha persistiu foi substituído o modulo por mais um modulo reparado pelo terceiro a célula voltou a funcionar </t>
  </si>
  <si>
    <t xml:space="preserve">mop do ilha de vidros</t>
  </si>
  <si>
    <t xml:space="preserve">smplock não estava funcionando</t>
  </si>
  <si>
    <t xml:space="preserve">logado no mop como administrador </t>
  </si>
  <si>
    <t xml:space="preserve">skid avariado </t>
  </si>
  <si>
    <t xml:space="preserve">P1 (Tag danificada no Pallet)</t>
  </si>
  <si>
    <t xml:space="preserve">Pallet não respondeu a leitura da tag RFID quando chegou na AG1</t>
  </si>
  <si>
    <t xml:space="preserve">Ocorreu um princípio de incendio na placa de identificação da mesa B0 CSF1, com isso queimou o suporte da TAG no pallet, fazendo com que a mesma não pudesse ser lida em outros pontos de reconhecimento do PSF</t>
  </si>
  <si>
    <t xml:space="preserve">Retirado a TAG e o suporte dela, 
Declarado como sucata na AG1 e CSF2, 
Na AG3 não liberou a carroceria, teve de ser forçado os sinais,
Na mesa 20 da FSM foi insesrido uma nova TAG e reescrita com o Hand held,
Forçado passagem como sucata na CSF 5 para retrabalho da carroceria
</t>
  </si>
  <si>
    <t xml:space="preserve">Falha na entrada de pneus e roda para a balanceadora.</t>
  </si>
  <si>
    <t xml:space="preserve">Portinhola de liberação da roda travada, não permitindo a entrada</t>
  </si>
  <si>
    <t xml:space="preserve">Foi destravada manualmente, devido estar mecanicamente enrosacada, lubrificado os eixos do separador de aro na entrada da estação.</t>
  </si>
  <si>
    <t xml:space="preserve">Erro de deslocamento durante trajetória de troca de ferramenta para o modelo H</t>
  </si>
  <si>
    <t xml:space="preserve">Seleção errada de modelo D no CLP;</t>
  </si>
  <si>
    <t xml:space="preserve">Reset do modelo e bloqueio das lógicas de seleção do modelo D.</t>
  </si>
  <si>
    <t xml:space="preserve">OP05 robô 2</t>
  </si>
  <si>
    <t xml:space="preserve">Robô parado, sem falhas, não finaliza parafusamento.</t>
  </si>
  <si>
    <t xml:space="preserve">Possível erro de torque no parafusamento, em análise</t>
  </si>
  <si>
    <t xml:space="preserve">Reposicionado robôs e liberado palet.</t>
  </si>
  <si>
    <t xml:space="preserve">testes atque posto 200</t>
  </si>
  <si>
    <t xml:space="preserve">maquina começou a reprovar motores de forma aleatória </t>
  </si>
  <si>
    <t xml:space="preserve">em analise possível erro de indexação com os motores </t>
  </si>
  <si>
    <t xml:space="preserve">substituídos os batente de borracha e lubrificado eles para uma melhor interface</t>
  </si>
  <si>
    <t xml:space="preserve">p1 robô de gravação</t>
  </si>
  <si>
    <t xml:space="preserve">robô de gravação no final da linha começou a gravar borrado, colocado em degradado posto manual não esta habilitado para gravar BBB e não lia os códigos de barra do sendeiro e do logram</t>
  </si>
  <si>
    <t xml:space="preserve">falha mecânica no dispositivo de gravação                 uma das logicas que conferem a validade do pji não reconhecia o pji dos modelos menores</t>
  </si>
  <si>
    <t xml:space="preserve">trocado o gravador pelo reserva </t>
  </si>
  <si>
    <t xml:space="preserve">robô 05</t>
  </si>
  <si>
    <t xml:space="preserve">Robô não obedecia o comando de repli</t>
  </si>
  <si>
    <t xml:space="preserve">software do robô fora do padrão Renault</t>
  </si>
  <si>
    <t xml:space="preserve">para ir para repli o robô precisa estar em manual executar o programa manualmente -&gt; ir para tela outras janeles e então apertar o botão de repli</t>
  </si>
  <si>
    <t xml:space="preserve">BM</t>
  </si>
  <si>
    <t xml:space="preserve">Falha na troca de eletrodo automática</t>
  </si>
  <si>
    <t xml:space="preserve">Colisão do porta eletrodo com a castanha do trocador.</t>
  </si>
  <si>
    <t xml:space="preserve">Habilitado a troca manual de eletrodo. Será agendado a correção da trajetória do trocador.</t>
  </si>
  <si>
    <t xml:space="preserve">linha parou após perder sincronismo</t>
  </si>
  <si>
    <t xml:space="preserve">polia movida quebrou, projetando um fragmento que cortou o cabo do sensor conta pulso que estava fora da calha</t>
  </si>
  <si>
    <t xml:space="preserve">emendado o cabo do sensor e resincronizado a linha. A linha esta rodando como a polia quebrada com risco de outra pane por quebra da correia sincronizadora</t>
  </si>
  <si>
    <t xml:space="preserve">PRGD "Prensa Juliver BBB"</t>
  </si>
  <si>
    <t xml:space="preserve">Prensa não dava continuidade no ciclo</t>
  </si>
  <si>
    <t xml:space="preserve">Index após prensagem travou.</t>
  </si>
  <si>
    <t xml:space="preserve">Retornado a posição inicial, realizado movimentação pelas válvulas pilotando o index</t>
  </si>
  <si>
    <t xml:space="preserve">ME1 "Perimetro 1A" </t>
  </si>
  <si>
    <t xml:space="preserve">Defeito disjuntor 2V</t>
  </si>
  <si>
    <t xml:space="preserve">Desarme do Disjuntor A24 Z2;
Ainda em análise, pode ser um curto circuito que gerou durante um pequeno espaço de tempo
</t>
  </si>
  <si>
    <t xml:space="preserve">Rearmado o disjuntor e iniciado a verificação de quais equipamentos ele alimenta.</t>
  </si>
  <si>
    <t xml:space="preserve">FM1 - C0 -Locator Z3</t>
  </si>
  <si>
    <t xml:space="preserve">Defeito de posição no locator pneumático Z3</t>
  </si>
  <si>
    <t xml:space="preserve">Mau contato no sensor de posição</t>
  </si>
  <si>
    <t xml:space="preserve">Substituído sensor</t>
  </si>
  <si>
    <t xml:space="preserve">Transportador de cabides</t>
  </si>
  <si>
    <t xml:space="preserve">Falha no variador do transportador 1</t>
  </si>
  <si>
    <t xml:space="preserve">Queima dos contatos da seccionadora do painel, falta de fase no variador</t>
  </si>
  <si>
    <t xml:space="preserve">Substituição da seccionadora</t>
  </si>
  <si>
    <t xml:space="preserve">Op200 - robô 1</t>
  </si>
  <si>
    <t xml:space="preserve">Rompimento do acoplamento do 7°eixo</t>
  </si>
  <si>
    <t xml:space="preserve">Desalinhamento</t>
  </si>
  <si>
    <t xml:space="preserve">Substituído acoplamento e acertado o zero mecânico do fuso</t>
  </si>
  <si>
    <t xml:space="preserve">uav robo k5</t>
  </si>
  <si>
    <t xml:space="preserve">perca de rede profinet com a ferramenta na mão do robo</t>
  </si>
  <si>
    <t xml:space="preserve">em analise, mal contato e posivel defeito no conector do modulo, verificar disponibilidade de trocar o modulo, este robô já tem historico de paradas longas por este motivo</t>
  </si>
  <si>
    <t xml:space="preserve">retirado o mal contato </t>
  </si>
  <si>
    <t xml:space="preserve">linha de pintura lavagem</t>
  </si>
  <si>
    <t xml:space="preserve">bomba não iniciava porque os sensores de maximo e minimo estava desligados </t>
  </si>
  <si>
    <t xml:space="preserve">cartão do clp com defeito </t>
  </si>
  <si>
    <t xml:space="preserve">trocar o cartão </t>
  </si>
  <si>
    <t xml:space="preserve">Alarme de fluxo de combustão baixo</t>
  </si>
  <si>
    <t xml:space="preserve">Correias do sistema de exaustão rompidas</t>
  </si>
  <si>
    <t xml:space="preserve">Substituição das correias</t>
  </si>
  <si>
    <t xml:space="preserve">op200</t>
  </si>
  <si>
    <t xml:space="preserve">camera não reconhecia os eixos</t>
  </si>
  <si>
    <t xml:space="preserve">pane na caneta gravadora, pane no equipamento de medição e descalibração do software de imagem</t>
  </si>
  <si>
    <t xml:space="preserve">arumado caneta gravadora, arrumado o sensor, e ajustado o software  em acompanhamento </t>
  </si>
  <si>
    <t xml:space="preserve">robo mastique capo x79</t>
  </si>
  <si>
    <t xml:space="preserve">pistola de mastique deu falhar na valvula sempre atuada</t>
  </si>
  <si>
    <t xml:space="preserve">ajustado mecanicamente as valvulas e restaurado o backup do robo </t>
  </si>
  <si>
    <t xml:space="preserve">queima do motor</t>
  </si>
  <si>
    <t xml:space="preserve">desalinhamento que quebrou a polia na segunda feira </t>
  </si>
  <si>
    <t xml:space="preserve">troca do motor </t>
  </si>
  <si>
    <t xml:space="preserve">motor trazeiro não acionava </t>
  </si>
  <si>
    <t xml:space="preserve">em analise: pane com frequencia de aproximadamente 1 carro a cada 50, estão conectando a pg para analizar o inversor </t>
  </si>
  <si>
    <t xml:space="preserve">Banco paralelismo 1</t>
  </si>
  <si>
    <t xml:space="preserve">Falha na abertura do centrador direito</t>
  </si>
  <si>
    <t xml:space="preserve">Motor de abertura perdendo a força para movimentação. Possível problema com escovas</t>
  </si>
  <si>
    <t xml:space="preserve">Realizado a verificação e acompanhamento do funcionamento até horário de ceia.
Após isso foi substituído o motor por um reserva
</t>
  </si>
  <si>
    <t xml:space="preserve">Mesa A0 "ABSL"</t>
  </si>
  <si>
    <t xml:space="preserve">Falha de perda de posição e perda de presença de peça</t>
  </si>
  <si>
    <t xml:space="preserve">Após falta de colocação de uma das peças para soldarem, operação realizaou retorno a origem, vindo a falhar na hora de giro da mesa</t>
  </si>
  <si>
    <t xml:space="preserve">Forçado condições para retirada da peça, realizado o giro para poder corrigir erro de retorno a origem e verificado sequenciamento SIPTOL</t>
  </si>
  <si>
    <t xml:space="preserve">Acionamento dos rolos de saída da MASSA intermitente.</t>
  </si>
  <si>
    <t xml:space="preserve">Motorstarter defeituoso.</t>
  </si>
  <si>
    <t xml:space="preserve">Substituído Motorstarter.</t>
  </si>
  <si>
    <t xml:space="preserve">Falha de posição dos cilindros Pick-up do repuxo</t>
  </si>
  <si>
    <t xml:space="preserve">Baixa pressão do circuito de 210 bar; Bomba hidráulica travada; válvula limitadora danificada</t>
  </si>
  <si>
    <t xml:space="preserve">Substituído bomba e válvula</t>
  </si>
  <si>
    <t xml:space="preserve">TK - mesa móvel</t>
  </si>
  <si>
    <t xml:space="preserve">Falha de ultrapassagem</t>
  </si>
  <si>
    <t xml:space="preserve">Rompimento da correia da mesa móvel devido a queda do suporte da tampa do U79.</t>
  </si>
  <si>
    <t xml:space="preserve">FM robô J4</t>
  </si>
  <si>
    <t xml:space="preserve">Colisão de junta na servo gun durante abertura da pinça</t>
  </si>
  <si>
    <t xml:space="preserve">Abertura no limite de curso da pinça; Degradação do fuso do servo motor.</t>
  </si>
  <si>
    <t xml:space="preserve">Reduzido a  abertura da pinça; será programado a troca.</t>
  </si>
  <si>
    <t xml:space="preserve">elevador saida da estufa ceev04 elevador 15 </t>
  </si>
  <si>
    <t xml:space="preserve">elevador parou com uma u79 no meio do curso </t>
  </si>
  <si>
    <t xml:space="preserve">folga mecanica no pino de fixação da mesa e suporte da corrente que ativou o sensor de falha da corrente </t>
  </si>
  <si>
    <t xml:space="preserve">ajustado o elevador com solda aberto OS para substituir mancais </t>
  </si>
  <si>
    <t xml:space="preserve">OP200 - Lumivision</t>
  </si>
  <si>
    <t xml:space="preserve">Sistema de visão reprovando os caracteres impressos no virabrequim .</t>
  </si>
  <si>
    <t xml:space="preserve">Mudança nas características de polimento da peça e iluminação local.</t>
  </si>
  <si>
    <t xml:space="preserve">Ajuste nos parâmetros de reconhecimento dos caracteres.</t>
  </si>
  <si>
    <t xml:space="preserve">Banco Rolagem 2</t>
  </si>
  <si>
    <t xml:space="preserve">Perda de comunicação entre os variadores Lenze.</t>
  </si>
  <si>
    <t xml:space="preserve">Sobretemperatura no variador devido ao mau funcionamento das vetoinhas.</t>
  </si>
  <si>
    <t xml:space="preserve">Instalado ventilador externo. Programado substituição das ventoinhas no fim de semana.</t>
  </si>
  <si>
    <t xml:space="preserve">computador de torque visagem</t>
  </si>
  <si>
    <t xml:space="preserve">software que faz a calibração dos torquimetros parou de funcionar </t>
  </si>
  <si>
    <t xml:space="preserve">provável atualização de outro software</t>
  </si>
  <si>
    <t xml:space="preserve">1 criando ponto restauração e backup antes de desinstalar o netframe works 2.0 </t>
  </si>
  <si>
    <t xml:space="preserve">lfm</t>
  </si>
  <si>
    <t xml:space="preserve">sensor sick não estava funcionando linha rodando com um jump de bypass e fitas isolando o local</t>
  </si>
  <si>
    <t xml:space="preserve">sensor  pls queimado, obsolescência </t>
  </si>
  <si>
    <t xml:space="preserve">trocado o sensor para um sensor novo de acordo com o padrão Renault atual atualizado a área de ação- manutenção ficou responsável de atualizar o esquema elétrico </t>
  </si>
  <si>
    <t xml:space="preserve">unit avant</t>
  </si>
  <si>
    <t xml:space="preserve">robô j4 não está soldando um pino no chassi do bbb prog de ref. 121</t>
  </si>
  <si>
    <t xml:space="preserve">remarcado o ponto do de solda com o calibrador, verificando parâmetros da maquina de solda, e afrouxado as mangueiras de alimentação dos pinos Tucker</t>
  </si>
  <si>
    <t xml:space="preserve">OP220 robô 1</t>
  </si>
  <si>
    <t xml:space="preserve">Falha de parafusamento.</t>
  </si>
  <si>
    <t xml:space="preserve">Posicionamento irregular.</t>
  </si>
  <si>
    <t xml:space="preserve">Correção da trajetória de parafusamento.</t>
  </si>
  <si>
    <t xml:space="preserve">robôs-mastique interno</t>
  </si>
  <si>
    <t xml:space="preserve">robô colidiu com o carro e software do robô ficou travado impedindo o reset da falha</t>
  </si>
  <si>
    <t xml:space="preserve">porta traseira do carro aberta </t>
  </si>
  <si>
    <t xml:space="preserve">foi reiniciado o controlador do robô e foi deixado o robô em degradado, na hora da janta foi substituído o aplicador de mastique que quebrou com a colisão e ajustado a nova ferramenta com o dispositivo próprio para isto</t>
  </si>
  <si>
    <t xml:space="preserve">Banco Paralelismo "Leitor Cod Barras LET"</t>
  </si>
  <si>
    <t xml:space="preserve">Leitor codigo de Barras falhando na Leitura</t>
  </si>
  <si>
    <t xml:space="preserve">Mal contato na placa de alimentação e troca de dados.</t>
  </si>
  <si>
    <t xml:space="preserve">Encontrado uma carcaça usada de outro Leitor, utilizado para substituição de peças. Leitor ficou funcionando ok.</t>
  </si>
  <si>
    <t xml:space="preserve">MM01 - op 50</t>
  </si>
  <si>
    <t xml:space="preserve">Falha de sincronismo nas parafusadeiras</t>
  </si>
  <si>
    <t xml:space="preserve">Erro no circuito de medição da parafusadeira 1.</t>
  </si>
  <si>
    <t xml:space="preserve">Descarregado backup e resincronizado </t>
  </si>
  <si>
    <t xml:space="preserve">Cabine Biton</t>
  </si>
  <si>
    <t xml:space="preserve">Desligamento do robô. OBS: duas paradas as 11:55 e 13:40</t>
  </si>
  <si>
    <t xml:space="preserve">Curto no barramento de alimentação da estação devido ao vazamento ocorrido no nível 7700. Defeito no disjuntor eletrônico do robô após religamento.</t>
  </si>
  <si>
    <t xml:space="preserve">Limpeza do barramento</t>
  </si>
  <si>
    <t xml:space="preserve">LTS picking</t>
  </si>
  <si>
    <t xml:space="preserve">Falha de comunicação LAN</t>
  </si>
  <si>
    <t xml:space="preserve">Falta alimentação no rack da LTS</t>
  </si>
  <si>
    <t xml:space="preserve">Religado disjuntor</t>
  </si>
  <si>
    <t xml:space="preserve">ST200 - COMAU</t>
  </si>
  <si>
    <t xml:space="preserve">Sobre temperatura do controlador</t>
  </si>
  <si>
    <t xml:space="preserve">Cooler desconectado</t>
  </si>
  <si>
    <t xml:space="preserve">Religado cooler</t>
  </si>
  <si>
    <t xml:space="preserve">Ilha de vidros - ISRA</t>
  </si>
  <si>
    <t xml:space="preserve">Software sem habilitação para edição</t>
  </si>
  <si>
    <t xml:space="preserve">Erro interno do windons</t>
  </si>
  <si>
    <t xml:space="preserve">Reinicializado PC, orientado a manutenção para preparação e substituição pelo PC ISRA reserva </t>
  </si>
  <si>
    <t xml:space="preserve">CMO-USI vira </t>
  </si>
  <si>
    <t xml:space="preserve">OP200 - Sistema de visão</t>
  </si>
  <si>
    <t xml:space="preserve">Erro no reconhecimento dos caracteres</t>
  </si>
  <si>
    <t xml:space="preserve">Deslocamento da base do canhão de impressão</t>
  </si>
  <si>
    <t xml:space="preserve">Centragem do canhão e ajustes no software de captura</t>
  </si>
  <si>
    <t xml:space="preserve">robô comau ilha de vidros</t>
  </si>
  <si>
    <t xml:space="preserve">robô travou e reiniciou</t>
  </si>
  <si>
    <t xml:space="preserve">aquecimento da control unit os dois coolers não estão funcionando </t>
  </si>
  <si>
    <t xml:space="preserve">melhorado a troca de calor por convecção</t>
  </si>
  <si>
    <t xml:space="preserve">Elevadores Laterais X52</t>
  </si>
  <si>
    <t xml:space="preserve">Falha no sequenciamento via FIFO na lógica</t>
  </si>
  <si>
    <t xml:space="preserve">Após erro na montagem da lateral esquerda;</t>
  </si>
  <si>
    <t xml:space="preserve">Corrigido o filme da FIFO manualmente.</t>
  </si>
  <si>
    <t xml:space="preserve">op220</t>
  </si>
  <si>
    <t xml:space="preserve">equipamento não prensava o oring no carter</t>
  </si>
  <si>
    <t xml:space="preserve">em analise possível problema com a célula de carga ou encoder do servo</t>
  </si>
  <si>
    <t xml:space="preserve">movimentado o eixo do servo motor manualmente </t>
  </si>
  <si>
    <t xml:space="preserve">banco de teste 3</t>
  </si>
  <si>
    <t xml:space="preserve">banco não iniciava o teste</t>
  </si>
  <si>
    <t xml:space="preserve">o carrinho não encaixou no conector hart corretamente, </t>
  </si>
  <si>
    <t xml:space="preserve">trocado a hart</t>
  </si>
  <si>
    <t xml:space="preserve">op 220</t>
  </si>
  <si>
    <t xml:space="preserve">defeito na gravação da tag</t>
  </si>
  <si>
    <t xml:space="preserve">mudança no programa do clp</t>
  </si>
  <si>
    <t xml:space="preserve">alterado o programa para escrever corretamente na tag</t>
  </si>
  <si>
    <t xml:space="preserve">célula não rearmava o sistema de emergência</t>
  </si>
  <si>
    <t xml:space="preserve">botão acionado (possivelmente por curto no botão)</t>
  </si>
  <si>
    <t xml:space="preserve">rearmado o sistema de segurança e trocado o botão na hora da janta </t>
  </si>
  <si>
    <t xml:space="preserve">op 200</t>
  </si>
  <si>
    <t xml:space="preserve">teste de estanqueidade estava reprovando motores 5 em sequencia</t>
  </si>
  <si>
    <t xml:space="preserve">motores com defeito</t>
  </si>
  <si>
    <t xml:space="preserve">calibrado a maquina com o km0 e reprovado os motores não conformes</t>
  </si>
  <si>
    <t xml:space="preserve">ag2 da x79</t>
  </si>
  <si>
    <t xml:space="preserve">célula não partia por defeito no alimentador de oring</t>
  </si>
  <si>
    <t xml:space="preserve">em analise provável oring não posicionado corretamente</t>
  </si>
  <si>
    <t xml:space="preserve">colocado em posição inicial </t>
  </si>
  <si>
    <t xml:space="preserve">linha de tanques</t>
  </si>
  <si>
    <t xml:space="preserve">linha parada</t>
  </si>
  <si>
    <t xml:space="preserve">falsa presença no transportador </t>
  </si>
  <si>
    <t xml:space="preserve">ajustado o sensor </t>
  </si>
  <si>
    <t xml:space="preserve">Laterais X52 Mesa C0 "Esquerda"</t>
  </si>
  <si>
    <t xml:space="preserve">Erro de discordancia recalagem</t>
  </si>
  <si>
    <t xml:space="preserve">Falha na produção na mesa CCD300, passado como peça padrão, não gerando OF sequencial</t>
  </si>
  <si>
    <t xml:space="preserve">Forçado saída da peça, corrigido OF na Talo e avançado a OF pelo SIPTOL.</t>
  </si>
  <si>
    <t xml:space="preserve">Lateral Esq. CCG20</t>
  </si>
  <si>
    <t xml:space="preserve">Curto circuito no dispositivo</t>
  </si>
  <si>
    <t xml:space="preserve">Base do módulo com defeito</t>
  </si>
  <si>
    <t xml:space="preserve">Substuítuido base do módulo</t>
  </si>
  <si>
    <t xml:space="preserve">Drum eixo X com falha de movimentação</t>
  </si>
  <si>
    <t xml:space="preserve">Drum eixo X com a trava do acoplamento solto</t>
  </si>
  <si>
    <t xml:space="preserve">Reapertado parfuso de travamento </t>
  </si>
  <si>
    <t xml:space="preserve">pisso central</t>
  </si>
  <si>
    <t xml:space="preserve">ilha parada</t>
  </si>
  <si>
    <t xml:space="preserve">falha na operação falha siptol</t>
  </si>
  <si>
    <t xml:space="preserve">retirado a peça e tratado o defeito siptol</t>
  </si>
  <si>
    <t xml:space="preserve">mop acostagem</t>
  </si>
  <si>
    <t xml:space="preserve">smplock em modo mudo</t>
  </si>
  <si>
    <t xml:space="preserve">forçado comunicação com o banco de dados mais não resolveu </t>
  </si>
  <si>
    <t xml:space="preserve">travava na colocação do retentor </t>
  </si>
  <si>
    <t xml:space="preserve">ajuste do software</t>
  </si>
  <si>
    <t xml:space="preserve">CMO-USI bloco</t>
  </si>
  <si>
    <t xml:space="preserve">OP90 PORTAL 1</t>
  </si>
  <si>
    <t xml:space="preserve">Sem comunicação NCU / CLP</t>
  </si>
  <si>
    <t xml:space="preserve">Perda de programa ou arquivos corrompidos</t>
  </si>
  <si>
    <t xml:space="preserve">Descarregado backup do programa</t>
  </si>
  <si>
    <t xml:space="preserve">BM10 Mesa A0</t>
  </si>
  <si>
    <t xml:space="preserve">Sem liberação de descida do elevador</t>
  </si>
  <si>
    <t xml:space="preserve">Falha sensor de apoio de descida da lateral</t>
  </si>
  <si>
    <t xml:space="preserve">Forçado descida da lateral, monitorando os sensores para diagnosticar qual apresenta falha</t>
  </si>
  <si>
    <t xml:space="preserve">Centrador B2 ilha de vidros</t>
  </si>
  <si>
    <t xml:space="preserve">Falha na centragem do vidro modelo HHA</t>
  </si>
  <si>
    <t xml:space="preserve">Possívelmente problema no arrastador que deixou fora de posição não referenciando o eixo "X"</t>
  </si>
  <si>
    <t xml:space="preserve">Retornado para a posição inicial, removido o vidro para setar presença da peça e reiniciado o ciclo.</t>
  </si>
  <si>
    <t xml:space="preserve">SOP Escapamento Z2</t>
  </si>
  <si>
    <t xml:space="preserve">Não carregava a IHMP do módulo SOP</t>
  </si>
  <si>
    <t xml:space="preserve">Perda de IP de compartilhamento da pasta IHMP do MOP</t>
  </si>
  <si>
    <t xml:space="preserve">Recolocado o IP no carregamento das configurações do SOP</t>
  </si>
  <si>
    <t xml:space="preserve">Z4 Cera P3</t>
  </si>
  <si>
    <t xml:space="preserve">Desarme do disjuntor de comando da Zona 4</t>
  </si>
  <si>
    <t xml:space="preserve">Ainda em verificação, não encontrado nada em curto.</t>
  </si>
  <si>
    <t xml:space="preserve">Aberto alguns bornes seccionáveis e rearmado o Disjuntor. Religado os bornes 1 a 1 e não ocorreu mais o desarme. </t>
  </si>
  <si>
    <t xml:space="preserve">ST200 COMAU</t>
  </si>
  <si>
    <t xml:space="preserve">Liberação de drive intermitente</t>
  </si>
  <si>
    <t xml:space="preserve">Substituido RBC, Axis, reset no circuito segurança</t>
  </si>
  <si>
    <t xml:space="preserve">BRA1</t>
  </si>
  <si>
    <t xml:space="preserve">quebra do suporte do sensor que faz a transferência da mesa</t>
  </si>
  <si>
    <t xml:space="preserve">desgaste</t>
  </si>
  <si>
    <t xml:space="preserve">soldado o suporte e corrigido a memoria no software</t>
  </si>
  <si>
    <t xml:space="preserve">MOP MM13</t>
  </si>
  <si>
    <t xml:space="preserve">Falha de comunicação co os LOPs</t>
  </si>
  <si>
    <t xml:space="preserve">Provável conflito de IP do ponto de rede 3 </t>
  </si>
  <si>
    <t xml:space="preserve">Desabilitado ponto de rede de monitoração</t>
  </si>
  <si>
    <t xml:space="preserve">Desvio na aplicação de mastic </t>
  </si>
  <si>
    <t xml:space="preserve">Trajetória de aplicação não conforme</t>
  </si>
  <si>
    <t xml:space="preserve">Correção do posicionamento e velocidade</t>
  </si>
  <si>
    <t xml:space="preserve">mop se5</t>
  </si>
  <si>
    <t xml:space="preserve">smploc em modo mudo</t>
  </si>
  <si>
    <t xml:space="preserve">reindexado o banco de dados, substituição do hd ficou para o terceiro turno</t>
  </si>
  <si>
    <t xml:space="preserve">linha de tanque bbb</t>
  </si>
  <si>
    <t xml:space="preserve">soft start7 em falha </t>
  </si>
  <si>
    <t xml:space="preserve">trocado o sfoft start e reconectado o motor </t>
  </si>
  <si>
    <t xml:space="preserve">robô de pintura </t>
  </si>
  <si>
    <t xml:space="preserve">o robô não purgava direito </t>
  </si>
  <si>
    <t xml:space="preserve">mangueira da válvula de purga ligada errada</t>
  </si>
  <si>
    <t xml:space="preserve">colocado a mangueira no lugar certo</t>
  </si>
  <si>
    <t xml:space="preserve">Balancele 34 nao avançou para indexar no correntão entrada de me3; ** OBS:( Perdas referentes a ressincronizar linhas de SAO's e Máquinas de enchimentos)</t>
  </si>
  <si>
    <t xml:space="preserve">Causa ainda em verificação e análise.;
Pane semelhante a MBR 38/2017
</t>
  </si>
  <si>
    <t xml:space="preserve">Realizado condiçôes via software para rodar a linha;
Ressincronismo de SAO's e Maq enchimento;
</t>
  </si>
  <si>
    <t xml:space="preserve">Robô A5 Unit Avant</t>
  </si>
  <si>
    <t xml:space="preserve">Falha na posição do Abatan durante ciclo de fresagem</t>
  </si>
  <si>
    <t xml:space="preserve">Erro após solicitação de fresagem e posicionamento do abatan</t>
  </si>
  <si>
    <t xml:space="preserve">Reposicionamento manual do abatan;
Desabilitado sinais de solicitação fresa via Bosch;
</t>
  </si>
  <si>
    <t xml:space="preserve">MM13 OP200</t>
  </si>
  <si>
    <t xml:space="preserve">Excesso de mastic no início dos cordões da tampa</t>
  </si>
  <si>
    <t xml:space="preserve">Obstrução da mangueira, mau funcionamento da reguladora</t>
  </si>
  <si>
    <t xml:space="preserve">Substituído mangueira, ajustado pressões e velocidade</t>
  </si>
  <si>
    <t xml:space="preserve">MM1 OP205</t>
  </si>
  <si>
    <t xml:space="preserve">Falha na liberação de movimento do robo em modo automático</t>
  </si>
  <si>
    <t xml:space="preserve">Falta liberação de segurança da célula</t>
  </si>
  <si>
    <t xml:space="preserve">Defeito no circuito de fechamento do portão</t>
  </si>
  <si>
    <t xml:space="preserve">bm30</t>
  </si>
  <si>
    <t xml:space="preserve">falha no localizador</t>
  </si>
  <si>
    <t xml:space="preserve">quebra do acoplamento</t>
  </si>
  <si>
    <t xml:space="preserve">substituição do acoplamento </t>
  </si>
  <si>
    <t xml:space="preserve">ro7</t>
  </si>
  <si>
    <t xml:space="preserve">falha na profinet</t>
  </si>
  <si>
    <t xml:space="preserve">defeito no backplane do modulo remoto</t>
  </si>
  <si>
    <t xml:space="preserve">trocar o backplane do modulo</t>
  </si>
  <si>
    <t xml:space="preserve">portal 130</t>
  </si>
  <si>
    <t xml:space="preserve">portal buscava a peça dentro da maquina e perdia segurança da operação</t>
  </si>
  <si>
    <t xml:space="preserve">ajustado o ponto de pega dos motores </t>
  </si>
  <si>
    <t xml:space="preserve">prensa amortecedo</t>
  </si>
  <si>
    <t xml:space="preserve">não rearmava a segurança</t>
  </si>
  <si>
    <t xml:space="preserve">trava da porta não estava mandando sinal</t>
  </si>
  <si>
    <t xml:space="preserve">ajuste na trava da porta</t>
  </si>
  <si>
    <t xml:space="preserve">LVG mesa D0</t>
  </si>
  <si>
    <t xml:space="preserve">Falha na marriage entre o transportador R0 e Robô D1</t>
  </si>
  <si>
    <t xml:space="preserve">A partir da retirada de um cabide que estava danificado, perdeu-se o sequenciamento de OF;
Ainda ira ser analisado as condições que levaram a esta falha.
</t>
  </si>
  <si>
    <t xml:space="preserve">Removido o modelo de peça especifica que estava na linha, avançado OF pelo SIPTOL e forçado os valores pelas tabelas ITT e DIV</t>
  </si>
  <si>
    <t xml:space="preserve">BR20 - PC Advantech</t>
  </si>
  <si>
    <t xml:space="preserve">Erro na aplicação Rslinx durante tranferência para IHM</t>
  </si>
  <si>
    <t xml:space="preserve">Possivel incompatibilidade de versões de software</t>
  </si>
  <si>
    <t xml:space="preserve">fm20</t>
  </si>
  <si>
    <t xml:space="preserve">robô com escorregamento do eixo 3</t>
  </si>
  <si>
    <t xml:space="preserve">possível defeito no servo</t>
  </si>
  <si>
    <t xml:space="preserve">colocado o robô em repli a cada troca de eletrodo, previsão para substituição do servo no sábado</t>
  </si>
  <si>
    <t xml:space="preserve">defeito no softsatrt</t>
  </si>
  <si>
    <t xml:space="preserve">troca do softstart</t>
  </si>
  <si>
    <t xml:space="preserve">fatal error no robô</t>
  </si>
  <si>
    <t xml:space="preserve">rearmado a segurança da ilha antes de reiniciar o robô e rearmar cada posto de trabalho individualmente.</t>
  </si>
  <si>
    <t xml:space="preserve">mop- acostagem</t>
  </si>
  <si>
    <t xml:space="preserve">banco de dados do mop corompido</t>
  </si>
  <si>
    <t xml:space="preserve">criado nova base de dados limpa </t>
  </si>
  <si>
    <t xml:space="preserve">ST200 </t>
  </si>
  <si>
    <t xml:space="preserve">Fatal error e TP travado</t>
  </si>
  <si>
    <t xml:space="preserve">Ainda em análise, esta falha vem ocorrendo algumas vezes após Startup da linha</t>
  </si>
  <si>
    <t xml:space="preserve">Realizado reset do painel, Realizado CCRC</t>
  </si>
  <si>
    <t xml:space="preserve">Escapamento C3</t>
  </si>
  <si>
    <t xml:space="preserve">Falha na detecção e presença do modelo HHA</t>
  </si>
  <si>
    <t xml:space="preserve">Sensor de presença DPP16 com acionamento em falso</t>
  </si>
  <si>
    <t xml:space="preserve">Ajustado sensor na posição e realizado limpeza do mesmo.</t>
  </si>
  <si>
    <t xml:space="preserve">ECA - Escapamento</t>
  </si>
  <si>
    <t xml:space="preserve">Falha no ciclo de fechamento do dispositivo, perda da sequência. OBS: total tempo equip parado 45'  ;  linha SC5 parou 20'</t>
  </si>
  <si>
    <t xml:space="preserve">Sensor de presença em curto</t>
  </si>
  <si>
    <t xml:space="preserve">Forçado status do sensor no CLP até as 8:00 para substituição.</t>
  </si>
  <si>
    <t xml:space="preserve">Falha no ciclo de parafusamento do bloco no palet; queda do bloco</t>
  </si>
  <si>
    <t xml:space="preserve">Erro de torque</t>
  </si>
  <si>
    <t xml:space="preserve">Cartão vermelho no palet. Retornado célula às condições iniciais</t>
  </si>
  <si>
    <t xml:space="preserve">Bloco aguardando start de gravação</t>
  </si>
  <si>
    <t xml:space="preserve">Erro de comunicação com o gravador SICK</t>
  </si>
  <si>
    <t xml:space="preserve">Reset do Gravador SICK e novo start no na lógica do CLP</t>
  </si>
  <si>
    <t xml:space="preserve">TRITANTE</t>
  </si>
  <si>
    <t xml:space="preserve">Bloqueio de movimentação, aguardando carroceria que já estava fora da zona </t>
  </si>
  <si>
    <t xml:space="preserve">Supervisório travado, aplicação do gestor de fluxo parada.</t>
  </si>
  <si>
    <t xml:space="preserve">Reset das memórias de missão no CLP; Reinicializado PC; Accertado PJI no mapa das mesas</t>
  </si>
  <si>
    <t xml:space="preserve">ponte rolante linha pa0</t>
  </si>
  <si>
    <t xml:space="preserve">queima do Trafo e do contator do motor</t>
  </si>
  <si>
    <t xml:space="preserve">substituído o contactor e o Trafo da ponte o Trafo foi necessário fazer uma adaptação com dois Trafo devido a não ter compatível no estoque</t>
  </si>
  <si>
    <t xml:space="preserve">p1</t>
  </si>
  <si>
    <t xml:space="preserve">falha de na escrita na tag </t>
  </si>
  <si>
    <t xml:space="preserve">corrigido a escrita da tag de acordo com a carta e tratado os erros no clp e siptol</t>
  </si>
  <si>
    <t xml:space="preserve">smploc tts</t>
  </si>
  <si>
    <t xml:space="preserve">a tts aparecia como offline no smp</t>
  </si>
  <si>
    <t xml:space="preserve">o computador havia apresentado problema durante o dia </t>
  </si>
  <si>
    <t xml:space="preserve">feito o reestart do smploc</t>
  </si>
  <si>
    <t xml:space="preserve">elevador de saida po4</t>
  </si>
  <si>
    <t xml:space="preserve">Sintoma	a tts aparecia como offline no smp	obturador não abria</t>
  </si>
  <si>
    <t xml:space="preserve">cabo rompido no elevador</t>
  </si>
  <si>
    <t xml:space="preserve">reparo no cabo</t>
  </si>
  <si>
    <t xml:space="preserve">BM20</t>
  </si>
  <si>
    <t xml:space="preserve">Sem autorização de tranferência da carroceria</t>
  </si>
  <si>
    <t xml:space="preserve">Falha de reonhecimento na câmera Pokayke após declaração como sucata na FM70</t>
  </si>
  <si>
    <t xml:space="preserve">Forçado condições de liberação</t>
  </si>
  <si>
    <t xml:space="preserve">UAV - Robô K3</t>
  </si>
  <si>
    <t xml:space="preserve">Falha de 24V no griper K31</t>
  </si>
  <si>
    <t xml:space="preserve">Defeito na caixa de interligação do apply</t>
  </si>
  <si>
    <t xml:space="preserve">Substituído a Caixa do apply do robô</t>
  </si>
  <si>
    <t xml:space="preserve">BM30 robô C4</t>
  </si>
  <si>
    <t xml:space="preserve">Aguarda evento de interfência  com C6 (OBS: tempo do equip parado 30' TR + 30' NTR)</t>
  </si>
  <si>
    <t xml:space="preserve">Robo entrou para troca de eletrodo e agurdava evento do C4</t>
  </si>
  <si>
    <t xml:space="preserve">Realizado movimentações em manual para acertar as condiçoes iniciais da célula</t>
  </si>
  <si>
    <t xml:space="preserve">Primer Estufa 2</t>
  </si>
  <si>
    <t xml:space="preserve">Enroscou carroceria na saída da estufa</t>
  </si>
  <si>
    <t xml:space="preserve">em análise</t>
  </si>
  <si>
    <t xml:space="preserve">Retirada manual da carrocerias, aguardando autorização para entra rna estufa</t>
  </si>
  <si>
    <t xml:space="preserve">Falha de comunicação CLP - Indramat</t>
  </si>
  <si>
    <t xml:space="preserve">Fonte de alimentação do CLP queimada</t>
  </si>
  <si>
    <t xml:space="preserve">op5</t>
  </si>
  <si>
    <t xml:space="preserve">robô pegou o bloco torto</t>
  </si>
  <si>
    <t xml:space="preserve">cartão vermelho no bloco e reply na célula</t>
  </si>
  <si>
    <t xml:space="preserve">op 130 virabrequim maquina 3</t>
  </si>
  <si>
    <t xml:space="preserve">bomba de óleo não estava entrando</t>
  </si>
  <si>
    <t xml:space="preserve">reset da maquina iniciado dry-run</t>
  </si>
  <si>
    <t xml:space="preserve">CERA P3</t>
  </si>
  <si>
    <t xml:space="preserve">Falha de sequenciamento com PSF</t>
  </si>
  <si>
    <t xml:space="preserve">Possível movimentação em final de semana</t>
  </si>
  <si>
    <t xml:space="preserve">Forçado balancele na saída e corrigido sequencia de FIFO na linha.</t>
  </si>
  <si>
    <t xml:space="preserve">TB32</t>
  </si>
  <si>
    <t xml:space="preserve">Ainda em análise, agendado para esta noite verificação de rede com aparelho de diagnóstico profinet da carroceria CVP</t>
  </si>
  <si>
    <t xml:space="preserve">Rearme das Zonas de SC5 e SE4</t>
  </si>
  <si>
    <t xml:space="preserve">RO07, mesa 2 da balanceadora</t>
  </si>
  <si>
    <t xml:space="preserve">Desarme do disjuntor geral da balanceadora</t>
  </si>
  <si>
    <t xml:space="preserve">Queima de um Motor Start devido a curto circuito no cabo de ligação do motor da mesa</t>
  </si>
  <si>
    <t xml:space="preserve">Substituído o Motor Start e corrigido cabo que estava em curto na caixa de ligação.</t>
  </si>
  <si>
    <t xml:space="preserve">Mesa 5 saída do TTPS</t>
  </si>
  <si>
    <t xml:space="preserve">Falha na detecção da baixa velocidade</t>
  </si>
  <si>
    <t xml:space="preserve">Problema no contator reversor de acionamento do giro da mesa</t>
  </si>
  <si>
    <t xml:space="preserve">Substituído contator reversor</t>
  </si>
  <si>
    <t xml:space="preserve">PSF API 4</t>
  </si>
  <si>
    <t xml:space="preserve">Sem atualização do PJI na mesa 5</t>
  </si>
  <si>
    <t xml:space="preserve">Análise falha de comunicação entre API4 e PSF</t>
  </si>
  <si>
    <t xml:space="preserve">Leitura degradada do PJI na mesa 5</t>
  </si>
  <si>
    <t xml:space="preserve">mesa 5 tts</t>
  </si>
  <si>
    <t xml:space="preserve">comunicação degradada com o psf</t>
  </si>
  <si>
    <t xml:space="preserve">feito um junper no software, para rodar a linha continuam a trabalhar em uma resposta definitiva</t>
  </si>
  <si>
    <t xml:space="preserve">No 32 da profinet da se5</t>
  </si>
  <si>
    <t xml:space="preserve">avaliação do cabo da profinet que apresentou defeito </t>
  </si>
  <si>
    <t xml:space="preserve">cabo esta cortado e a emenda do cabo apresenta mau contato </t>
  </si>
  <si>
    <t xml:space="preserve">levantado o material para substituição do cabo na ceia do 3 turno</t>
  </si>
  <si>
    <t xml:space="preserve">linha de pintura</t>
  </si>
  <si>
    <t xml:space="preserve">linha não rodava e possuía alarme</t>
  </si>
  <si>
    <t xml:space="preserve">em analise, encontrado um pistão de index fora da posição e uma et200 com falha profinet</t>
  </si>
  <si>
    <t xml:space="preserve">reiniciado o sistema completamente e corrigido a posição do pistão</t>
  </si>
  <si>
    <t xml:space="preserve">são-se6</t>
  </si>
  <si>
    <t xml:space="preserve">vários postos do SÃO tinha perdido o sincronismo</t>
  </si>
  <si>
    <t xml:space="preserve">em analise: balancele não indexou na corrente causando uma bolha o balancele foi tirado da linha para analise</t>
  </si>
  <si>
    <t xml:space="preserve">sincronizados os postos no SÃO</t>
  </si>
  <si>
    <t xml:space="preserve">BR20 Pinça</t>
  </si>
  <si>
    <t xml:space="preserve">Erro de solda</t>
  </si>
  <si>
    <t xml:space="preserve">Baixa pressão na pinça</t>
  </si>
  <si>
    <t xml:space="preserve">Substituída valvula proporcional</t>
  </si>
  <si>
    <t xml:space="preserve">MM1 UET1</t>
  </si>
  <si>
    <t xml:space="preserve">Sobrecarga no motor 3 da esteira </t>
  </si>
  <si>
    <t xml:space="preserve">Motor queimado</t>
  </si>
  <si>
    <t xml:space="preserve">Substituição do Motoredutor</t>
  </si>
  <si>
    <t xml:space="preserve">MM13 - OP120 TAYO</t>
  </si>
  <si>
    <t xml:space="preserve">Falha na detecção air ckeck</t>
  </si>
  <si>
    <t xml:space="preserve">Obstrução do orifício do eixo</t>
  </si>
  <si>
    <t xml:space="preserve">Limpeza dos canais do air-check</t>
  </si>
  <si>
    <t xml:space="preserve">MM13 - OP200</t>
  </si>
  <si>
    <t xml:space="preserve">Irregularidade na espessura do cordão de cola </t>
  </si>
  <si>
    <t xml:space="preserve">Sistema de controle de pressão e temperatura deficiente.</t>
  </si>
  <si>
    <t xml:space="preserve">Ajuste das reguladoras de pressão; correção das trajetórias de aplicação</t>
  </si>
  <si>
    <t xml:space="preserve">não armava a serragem (OBS: equip liberado as 17:51, rodou degradado por 2h antes)</t>
  </si>
  <si>
    <t xml:space="preserve">curto da fase com o terra </t>
  </si>
  <si>
    <t xml:space="preserve">troca do cartão de clp e troca de um contactor remoção do curto da fase com o terra</t>
  </si>
  <si>
    <t xml:space="preserve">Banco 3</t>
  </si>
  <si>
    <t xml:space="preserve">erro no servo do banco 3</t>
  </si>
  <si>
    <t xml:space="preserve">erro de sobre temperatura</t>
  </si>
  <si>
    <t xml:space="preserve">reiniciado o driver da Siemens</t>
  </si>
  <si>
    <t xml:space="preserve">Painel Geral "Climatizadores cabine Pintura"</t>
  </si>
  <si>
    <t xml:space="preserve">Desarme do disjuntor geral do painel</t>
  </si>
  <si>
    <t xml:space="preserve">Curto circuito na iluminação em uma das cabines de CTA</t>
  </si>
  <si>
    <t xml:space="preserve">Rearmado o disjuntor geral do Painel e deixado o disjuntor do circuito de iluminação que está em curto desligado.
Intervenção para eliminar o curto será realizada em 1º Turno
</t>
  </si>
  <si>
    <t xml:space="preserve">CMO-USI cabeçote</t>
  </si>
  <si>
    <t xml:space="preserve">OP310.1 - Robô</t>
  </si>
  <si>
    <t xml:space="preserve">Queda do inserto ao posicionar no cabeçote</t>
  </si>
  <si>
    <t xml:space="preserve">Desalinhamento no depósito do inserto</t>
  </si>
  <si>
    <t xml:space="preserve">Correção da trajetória de depósito</t>
  </si>
  <si>
    <t xml:space="preserve">OP550 – Robô - Lavadora</t>
  </si>
  <si>
    <t xml:space="preserve">Rebarba no mancal do cabeçote</t>
  </si>
  <si>
    <t xml:space="preserve">Jato de limpeza do cabeçote fora de posição</t>
  </si>
  <si>
    <t xml:space="preserve">Correção da trajetória</t>
  </si>
  <si>
    <t xml:space="preserve">retificador cataforese</t>
  </si>
  <si>
    <t xml:space="preserve">após erro de super corrente o retificado entrou em estado de standby e não disparava corrente</t>
  </si>
  <si>
    <t xml:space="preserve">estudando a possibilidade de melhorar o intertravamento no software</t>
  </si>
  <si>
    <t xml:space="preserve">passado cabo profinet na SE5 (continuidade da pane de domingo)</t>
  </si>
  <si>
    <t xml:space="preserve">cabo degradado</t>
  </si>
  <si>
    <t xml:space="preserve">passado novo cabo para substituir o cabo degradado 3 turno vai trocar os conectores e finalizar a troca</t>
  </si>
  <si>
    <t xml:space="preserve">roda de fricção 14 </t>
  </si>
  <si>
    <t xml:space="preserve">rodas de fricção com desgastes</t>
  </si>
  <si>
    <t xml:space="preserve">obsolecencia</t>
  </si>
  <si>
    <t xml:space="preserve">substituido a roda de fricção , e agendado para substituir a outra roda no ceia do terceiro turno</t>
  </si>
  <si>
    <t xml:space="preserve">linha de primer</t>
  </si>
  <si>
    <t xml:space="preserve">falha de caracter no psf</t>
  </si>
  <si>
    <t xml:space="preserve">falha de comunicação psf travado</t>
  </si>
  <si>
    <t xml:space="preserve">mudado para degradado e inserido a FIFO manual forçado comunicação psf</t>
  </si>
  <si>
    <t xml:space="preserve">MM1 - OP05</t>
  </si>
  <si>
    <t xml:space="preserve">Gravador não avança</t>
  </si>
  <si>
    <t xml:space="preserve">Mangueira do movimento de avanço desconectada</t>
  </si>
  <si>
    <t xml:space="preserve">Conectada mangueira</t>
  </si>
  <si>
    <t xml:space="preserve">MM1 -OP05 - robô</t>
  </si>
  <si>
    <t xml:space="preserve">Colisão do bloco com o pino guia do palet</t>
  </si>
  <si>
    <t xml:space="preserve">Variação de geometria do palet</t>
  </si>
  <si>
    <t xml:space="preserve">Executado abertura na garra manualmente e reiniciado novo ciclo </t>
  </si>
  <si>
    <t xml:space="preserve">MM1 - OP70 robô</t>
  </si>
  <si>
    <t xml:space="preserve">Colisão da ferramenta com a base de apoio da pistola</t>
  </si>
  <si>
    <t xml:space="preserve">Deslocamento do corrugado devido à quebra do balancim de sustentação.</t>
  </si>
  <si>
    <t xml:space="preserve">Substituído balancim, reposicionado corrugado</t>
  </si>
  <si>
    <t xml:space="preserve">CMO-MON Bloco</t>
  </si>
  <si>
    <t xml:space="preserve">OP243  Gehring</t>
  </si>
  <si>
    <t xml:space="preserve">Falha de Profibus nó 6 GCU </t>
  </si>
  <si>
    <t xml:space="preserve">Comunicação da rede ARCNET não inicializada no PC IHM.</t>
  </si>
  <si>
    <t xml:space="preserve">Forçado inicialização da comunicação na ihm.</t>
  </si>
  <si>
    <t xml:space="preserve">MN1 mesa N0</t>
  </si>
  <si>
    <t xml:space="preserve">Falta de sinal liberação PSF da MN1 para CSF1</t>
  </si>
  <si>
    <t xml:space="preserve">Perda de sinal da mesa N0, perda de sinal do pallet</t>
  </si>
  <si>
    <t xml:space="preserve">Substituído um sensor de presença na mesa N0 e forçado o sinal de fim de leitura do PSF após conferir que os dados estavam corretos.</t>
  </si>
  <si>
    <t xml:space="preserve">UAR Gerador pino Gourjon L12</t>
  </si>
  <si>
    <t xml:space="preserve">Falha na aplicação do pino Gourjon na peça</t>
  </si>
  <si>
    <t xml:space="preserve">3 estavam Pinos fundidos no corpo interno do tubo de passagem de aplicação devido a fuga de corrente</t>
  </si>
  <si>
    <t xml:space="preserve">Substituído a pistola de aplicação de Tucker e realizado os ajustes na Sapata para soldagem</t>
  </si>
  <si>
    <t xml:space="preserve">MONOFLUXO</t>
  </si>
  <si>
    <t xml:space="preserve">Sem lançamento de peça específica</t>
  </si>
  <si>
    <t xml:space="preserve">Em análise, possível incompatibilidade de versões do SIPTOL</t>
  </si>
  <si>
    <t xml:space="preserve">Atualizado para versão 1.7.1.0</t>
  </si>
  <si>
    <t xml:space="preserve">Banco de rolagem</t>
  </si>
  <si>
    <t xml:space="preserve">Plataforma não reposiciona para o modelo</t>
  </si>
  <si>
    <t xml:space="preserve">Acionamento do fim de curso limite inferior no modelo BBB</t>
  </si>
  <si>
    <t xml:space="preserve">Desacionado o fim de curso e reposicionado a plataforma</t>
  </si>
  <si>
    <t xml:space="preserve">ST200 comau</t>
  </si>
  <si>
    <t xml:space="preserve">Sem liberação de acionamento</t>
  </si>
  <si>
    <t xml:space="preserve">Falha nas placas SCC e de eixos</t>
  </si>
  <si>
    <t xml:space="preserve">Será  substituido as placas no 1º turno</t>
  </si>
  <si>
    <t xml:space="preserve">ST200 - Comau</t>
  </si>
  <si>
    <t xml:space="preserve">Falha de comunicação com a placa RPT</t>
  </si>
  <si>
    <t xml:space="preserve">Placa defeituosa</t>
  </si>
  <si>
    <t xml:space="preserve">Substituído a placa SAU2</t>
  </si>
  <si>
    <t xml:space="preserve">UAV robôF2</t>
  </si>
  <si>
    <t xml:space="preserve">Robô desabilita solda após realizar fresagem</t>
  </si>
  <si>
    <t xml:space="preserve">Falha na habilitação de solda nas rotinas internas do Promia</t>
  </si>
  <si>
    <t xml:space="preserve">Restaurado Backup</t>
  </si>
  <si>
    <t xml:space="preserve">UAV robô A3</t>
  </si>
  <si>
    <t xml:space="preserve">Falha ao pegar a peça BBB no cabide do transportador</t>
  </si>
  <si>
    <t xml:space="preserve">Indexador do Griper fora de posição, cabides5, 18 e 36 não conforme</t>
  </si>
  <si>
    <t xml:space="preserve">Ajustes de geometria no griper, retirado cabides 5, 18 e 36 do transportador, ajuste na trajetória de pega do BBB</t>
  </si>
  <si>
    <t xml:space="preserve">GSE RX04</t>
  </si>
  <si>
    <t xml:space="preserve">Perda de sinais de segurança</t>
  </si>
  <si>
    <t xml:space="preserve">Após abertura do portão para inpeção operacional, ocorreu o erro de fechamento de segurança</t>
  </si>
  <si>
    <t xml:space="preserve">Verificação das placas de segurança e módulo de potencia;
Verificado o circuito de segurança e acionado botões de emergencia para normalizar fechamento do canal de segurança
</t>
  </si>
  <si>
    <t xml:space="preserve">BM70 mesa J0</t>
  </si>
  <si>
    <t xml:space="preserve">Falha da rede profinet</t>
  </si>
  <si>
    <t xml:space="preserve">Mal contato no cabo de rede que fica no dispositico J1 fixação frente do carro (Modelo BBB)</t>
  </si>
  <si>
    <t xml:space="preserve">Realizado a troca do Cabo</t>
  </si>
  <si>
    <t xml:space="preserve">UAV Robô K5 gripper K31</t>
  </si>
  <si>
    <t xml:space="preserve">Falha de barramento profinet profinet K31</t>
  </si>
  <si>
    <t xml:space="preserve">Sujeira e Pino enroscando no apply do gripper</t>
  </si>
  <si>
    <t xml:space="preserve">Realizado a inspeção dos pinos e aplicado limpa contatos nos terminais</t>
  </si>
  <si>
    <t xml:space="preserve">MM1- Máq. Aquec. Biela</t>
  </si>
  <si>
    <t xml:space="preserve">Falha no aquecimento de Biela</t>
  </si>
  <si>
    <t xml:space="preserve">Circuito indutor isolado</t>
  </si>
  <si>
    <t xml:space="preserve">Limpeza nos contatos do indutor</t>
  </si>
  <si>
    <t xml:space="preserve">Linha Final Mesa2</t>
  </si>
  <si>
    <t xml:space="preserve">Carroceria parando fora de posição</t>
  </si>
  <si>
    <t xml:space="preserve">Substituído conjunto motoredutor</t>
  </si>
  <si>
    <t xml:space="preserve">Verniz MOP</t>
  </si>
  <si>
    <t xml:space="preserve">Não inicializa as aplicações InTouch, Windons Viewer e EcoScreen</t>
  </si>
  <si>
    <t xml:space="preserve">Perda da licença do Software</t>
  </si>
  <si>
    <t xml:space="preserve">Substituído HD e restaurado backup  do dia 02/12/17</t>
  </si>
  <si>
    <t xml:space="preserve">MM13 OP190</t>
  </si>
  <si>
    <t xml:space="preserve">Irregularidade nos cordões de cola da tampa do cabeçote.</t>
  </si>
  <si>
    <t xml:space="preserve">Colisão do bico de aplicação.</t>
  </si>
  <si>
    <t xml:space="preserve">Corrreção das trajetórias de aplicação.</t>
  </si>
  <si>
    <t xml:space="preserve">TGSE2 - MOP P50</t>
  </si>
  <si>
    <t xml:space="preserve">Sistema operacional lento, travamento das aplicações.</t>
  </si>
  <si>
    <t xml:space="preserve">Serviços do Windows Update e Symantec com elevada carga de utilização na memória.</t>
  </si>
  <si>
    <t xml:space="preserve">Forçado a parada dos serviços.</t>
  </si>
  <si>
    <t xml:space="preserve">LVG Gourjon N02</t>
  </si>
  <si>
    <t xml:space="preserve">Erro no circuito de medição na aplicação de Tucker " falha intermitente"</t>
  </si>
  <si>
    <t xml:space="preserve">Realizado inspeções nos cabos e verificação de apertos tanto no circuito de medição como nos cabos de aterramento,
Aplicado limpa contato em conexões.
</t>
  </si>
  <si>
    <t xml:space="preserve">MM1 OP140</t>
  </si>
  <si>
    <t xml:space="preserve">Mensagem de falha do Sinamics</t>
  </si>
  <si>
    <t xml:space="preserve">Análise troca de liberações com o CLP</t>
  </si>
  <si>
    <t xml:space="preserve">Reset falhana IHM</t>
  </si>
  <si>
    <t xml:space="preserve">Falha de sobrecarga no centrador dianteiro</t>
  </si>
  <si>
    <t xml:space="preserve">Sujeira na roldana impedindo a leitura do sensor</t>
  </si>
  <si>
    <t xml:space="preserve">Realizado a limpeza nos sensors, removido o residuo de borracha que fica no acionamento do sensor</t>
  </si>
  <si>
    <t xml:space="preserve">Entrada pintura da base</t>
  </si>
  <si>
    <t xml:space="preserve">Perda de sequencia FIFO na entrada para pintura</t>
  </si>
  <si>
    <t xml:space="preserve">Acionamento indevido pelo operador do sensor de sincronismo com aplicação dos robôs</t>
  </si>
  <si>
    <t xml:space="preserve">Corrigido sequenciamento de FIFO.</t>
  </si>
  <si>
    <t xml:space="preserve">Desalinhamento dos pendulos</t>
  </si>
  <si>
    <t xml:space="preserve">Desacoplado e adiantado elos, alinhamento de guias</t>
  </si>
  <si>
    <t xml:space="preserve">Desalinhamento dos pêndulos</t>
  </si>
  <si>
    <t xml:space="preserve">Pêndulo travando na guia</t>
  </si>
  <si>
    <t xml:space="preserve">Mastic Solo Elev. 02</t>
  </si>
  <si>
    <t xml:space="preserve">Falha na mesas T102 e na TB104</t>
  </si>
  <si>
    <t xml:space="preserve">Sensor de presença com funcionamento intermitente</t>
  </si>
  <si>
    <t xml:space="preserve">Substituiçâo do sensor de presença T02DP1</t>
  </si>
  <si>
    <t xml:space="preserve">Ilha de vidros - Robo1</t>
  </si>
  <si>
    <t xml:space="preserve">R1 e R2 parados sem autorização do Perceptron *OBS:R1 degradado até as 11:00  </t>
  </si>
  <si>
    <t xml:space="preserve">Aplicação do Perceptron travada</t>
  </si>
  <si>
    <t xml:space="preserve">Reinicializado Pc da perceptron</t>
  </si>
  <si>
    <t xml:space="preserve">Queimador Estufa Verniz</t>
  </si>
  <si>
    <t xml:space="preserve">Controlador do queimador não liga ventilação</t>
  </si>
  <si>
    <t xml:space="preserve">Possível mau contato na base do controlador</t>
  </si>
  <si>
    <t xml:space="preserve">Retirado e inserido controlador na base, será programado a troca da base.</t>
  </si>
  <si>
    <t xml:space="preserve">Robo Lunete</t>
  </si>
  <si>
    <t xml:space="preserve">Recusa todos modelos OBS1*:Perdas acumuladas "17:00 as 22:00" 20 minutos / OBS2:Rodando em degradado até a janta</t>
  </si>
  <si>
    <t xml:space="preserve">Problema cabo do sistema de medição</t>
  </si>
  <si>
    <t xml:space="preserve">Substituição do cabo (trecho embaixo da mesa até a ferramenta "griper") reset do Bridge e PC cameras Perceptron.</t>
  </si>
  <si>
    <t xml:space="preserve">CMO-USI Virabrequim</t>
  </si>
  <si>
    <t xml:space="preserve">Falha 8 nas controladora dos drives</t>
  </si>
  <si>
    <t xml:space="preserve">Defeito nas controladoras, sem comunicação</t>
  </si>
  <si>
    <t xml:space="preserve">Substituição das controladoras por outras sem garantia de funcionalidade. Retornou a falha 8 e Y nas controladoras</t>
  </si>
  <si>
    <t xml:space="preserve">SMP99</t>
  </si>
  <si>
    <t xml:space="preserve">Contadores de produção incorretos no SMP99</t>
  </si>
  <si>
    <t xml:space="preserve">Problema dia de produção SMPLOC</t>
  </si>
  <si>
    <t xml:space="preserve">Abertura de chamado pela manutenção montagem.</t>
  </si>
  <si>
    <t xml:space="preserve">CMO-USI Cabeçote</t>
  </si>
  <si>
    <t xml:space="preserve">OP110</t>
  </si>
  <si>
    <t xml:space="preserve">Estação não funciona</t>
  </si>
  <si>
    <t xml:space="preserve">Perda de programa do PLC pela CPU </t>
  </si>
  <si>
    <t xml:space="preserve">Descarregamento de backup e colocação em funcionamento com seleção de modelo para o BR10 em By pass</t>
  </si>
  <si>
    <t xml:space="preserve">CMO-USI virabrequim</t>
  </si>
  <si>
    <t xml:space="preserve">Falha nos drives da maquina</t>
  </si>
  <si>
    <t xml:space="preserve">Problema nas placas de controle dos drives</t>
  </si>
  <si>
    <t xml:space="preserve">Substituição das 3 placas e status das mesmas OK. Será dado sequencia as demais configurações pelo eletronico do primeiro turno da area.</t>
  </si>
  <si>
    <t xml:space="preserve">SMP99 não mostrando as paradas do SMPLOC 11 "6-pouces"</t>
  </si>
  <si>
    <t xml:space="preserve">Problema de sincronismo entre SMPLOC e SMP99</t>
  </si>
  <si>
    <t xml:space="preserve">Abertura de chamado INC0101048 que foi transferido depois para a aplicação chamado I003846066</t>
  </si>
  <si>
    <t xml:space="preserve">Não inicializa o banbo de dados de reconhecimento dos motores</t>
  </si>
  <si>
    <t xml:space="preserve">Base de dados corrompida</t>
  </si>
  <si>
    <t xml:space="preserve">Restauração da base de dados</t>
  </si>
  <si>
    <t xml:space="preserve">Rompimento da correia do transportador da montadotra</t>
  </si>
  <si>
    <t xml:space="preserve">Degradação</t>
  </si>
  <si>
    <t xml:space="preserve">Substituição da correia</t>
  </si>
  <si>
    <t xml:space="preserve">MAC picking Stripin</t>
  </si>
  <si>
    <t xml:space="preserve">Não conectava com serviço PSF</t>
  </si>
  <si>
    <t xml:space="preserve">Cpu estava em Stop, sistema travado</t>
  </si>
  <si>
    <t xml:space="preserve">Realizado o reset da CPU</t>
  </si>
  <si>
    <t xml:space="preserve">Robô E2 "MIR"</t>
  </si>
  <si>
    <t xml:space="preserve">Falha de excedido limite de aplicação de cola na lunete "Modelo BBB"</t>
  </si>
  <si>
    <t xml:space="preserve">Diferença do parâmetro de aplicação em relação ao aplicado, após modificação de trajetória.</t>
  </si>
  <si>
    <t xml:space="preserve">Verificado os valores de aplicação e alterado parâmetro de 150ccm para 189ccm</t>
  </si>
  <si>
    <t xml:space="preserve">Cera P3 - Mesa 50 e 32</t>
  </si>
  <si>
    <t xml:space="preserve">Balancele travado em cima da trava da mesa 50</t>
  </si>
  <si>
    <t xml:space="preserve">Falha sensor Tag "B52" mesa 32 cabo degradado prensado na calha</t>
  </si>
  <si>
    <t xml:space="preserve">Problema no cabo de ligação sensor (ajustado disposição do cabo para rodar) programada substituição do cabo de ligação do sensor a caixa de passagem.   Problema de sequenciamento da Fifo 32 minutos de parada para ajuste da mesma (duas paradas para correção da fifo em consequencia da pane)</t>
  </si>
  <si>
    <t xml:space="preserve">X52 Preliminar - FM80 Mesa G0 Elevatoria</t>
  </si>
  <si>
    <t xml:space="preserve">Falha posição descida mesa na posição 3</t>
  </si>
  <si>
    <t xml:space="preserve">Movimento mesa travado</t>
  </si>
  <si>
    <t xml:space="preserve">Verificação mecânica mesa medição motores e contatores, desligamento geral painel e restabelecimento.</t>
  </si>
  <si>
    <t xml:space="preserve">Falta posição base inicial </t>
  </si>
  <si>
    <t xml:space="preserve">Mesa bipartida lado esquerdo Travada</t>
  </si>
  <si>
    <t xml:space="preserve">Lubrificaçao buchas, aumento da pressão do fechamento e execução movimentos manuais. (Demora pela produção para colocação em degradado)</t>
  </si>
  <si>
    <t xml:space="preserve">X52 Preliminar - FM30</t>
  </si>
  <si>
    <t xml:space="preserve">Falha Profinet Mesa FM30</t>
  </si>
  <si>
    <t xml:space="preserve">Falha Cartão FDO "C0SBFLEX-M09"</t>
  </si>
  <si>
    <t xml:space="preserve">Substituição do cartão FDO por outro com revisão mais nova</t>
  </si>
  <si>
    <t xml:space="preserve">SC5 - Entrada MO T02</t>
  </si>
  <si>
    <t xml:space="preserve">Falha profinet</t>
  </si>
  <si>
    <t xml:space="preserve">Queda de parte da base porteuse 59</t>
  </si>
  <si>
    <t xml:space="preserve">Posicionada Base Porteuse, Substituição de sensor quebrado e restabelecimento do funcionamento</t>
  </si>
  <si>
    <t xml:space="preserve">Falha na missão de descarregamento OBS:By pass as 07:40, fluxo normal as 09:50 </t>
  </si>
  <si>
    <t xml:space="preserve">Defeito no scanner </t>
  </si>
  <si>
    <t xml:space="preserve">Substituição do scanner</t>
  </si>
  <si>
    <t xml:space="preserve">Colheitadeira</t>
  </si>
  <si>
    <t xml:space="preserve">Falha cilindro C2 OBS: tempo equip parado: aprox 7 parado e 40 min degradado</t>
  </si>
  <si>
    <t xml:space="preserve">Sensor de recuo do cilindro C2 fora de posição</t>
  </si>
  <si>
    <t xml:space="preserve">Reposicionado o cilindro e refixado. (intervalo da janta efetuado desbaste do piloto direito que estava enroscando)</t>
  </si>
  <si>
    <t xml:space="preserve">Transportador C1 Estação Verniz</t>
  </si>
  <si>
    <t xml:space="preserve">Transportador parou com alarme de interrupção de barreira</t>
  </si>
  <si>
    <t xml:space="preserve">Arrebentou a cupilha de emenda do elo da corrente</t>
  </si>
  <si>
    <t xml:space="preserve">Substituído aproximadamente 12 metros de corrente.</t>
  </si>
  <si>
    <t xml:space="preserve">Falha no reconhecimento da maleta</t>
  </si>
  <si>
    <t xml:space="preserve">Módulo I/O sem comunicação</t>
  </si>
  <si>
    <t xml:space="preserve">Aguardando peça para substituição</t>
  </si>
  <si>
    <t xml:space="preserve">Robo E3 CSF1</t>
  </si>
  <si>
    <t xml:space="preserve">Erro de sistema no Robô</t>
  </si>
  <si>
    <t xml:space="preserve">Reiniciado o Robô e realizado B_Start 3 vezes e 1 P_Start, somente assim retornou o sistema</t>
  </si>
  <si>
    <t xml:space="preserve">Banco de rolagem 1</t>
  </si>
  <si>
    <t xml:space="preserve">Não acionava cilindro de acionamento do exaustor do teste de rolagem</t>
  </si>
  <si>
    <t xml:space="preserve">Válvula pneumática de acionamento travada</t>
  </si>
  <si>
    <t xml:space="preserve">X52 Unit Arriere</t>
  </si>
  <si>
    <t xml:space="preserve">Locator 3 não movimenta para X79</t>
  </si>
  <si>
    <t xml:space="preserve">Ausencia Chamada modelo X79 (MOV VEH2) para o locator 3</t>
  </si>
  <si>
    <t xml:space="preserve">Acrescentada manual a chamada do(MOV VEH2) no programa do X79                 OBS: Perda do mesmo após alteração de parametros do VEH2 ""Problema interno ou exclusão indevida da instrução ao visualizar o programa para confirmação do modelo a alterar""</t>
  </si>
  <si>
    <t xml:space="preserve">Queimador Estufa CATA</t>
  </si>
  <si>
    <t xml:space="preserve">Falha na partida do queimador</t>
  </si>
  <si>
    <t xml:space="preserve">Servo-válvula travada</t>
  </si>
  <si>
    <t xml:space="preserve">Substituição do do servo</t>
  </si>
  <si>
    <t xml:space="preserve">Afundamento de tensão 18%</t>
  </si>
  <si>
    <t xml:space="preserve">Oscilação de fornecimento </t>
  </si>
  <si>
    <t xml:space="preserve">MASTIC Aéreo - Robô</t>
  </si>
  <si>
    <t xml:space="preserve">Erro 0380 Position not checked</t>
  </si>
  <si>
    <t xml:space="preserve">Escorregamento do eixo durante desligamento</t>
  </si>
  <si>
    <t xml:space="preserve">Confirmação do 2° Home</t>
  </si>
  <si>
    <t xml:space="preserve">Verniz Robo 2 </t>
  </si>
  <si>
    <t xml:space="preserve">Sistema em falha</t>
  </si>
  <si>
    <t xml:space="preserve">Rotina Main corrompida</t>
  </si>
  <si>
    <t xml:space="preserve">Reinstalação do sistema</t>
  </si>
  <si>
    <t xml:space="preserve">Cabeçote op515</t>
  </si>
  <si>
    <t xml:space="preserve">Falha geral na operação</t>
  </si>
  <si>
    <t xml:space="preserve">Perda de programa do CLP, Fusível 24V queimado</t>
  </si>
  <si>
    <t xml:space="preserve">Restabelecido backup, substituído relé sick</t>
  </si>
  <si>
    <t xml:space="preserve">Ilha Vidros ABB</t>
  </si>
  <si>
    <t xml:space="preserve">Aguarda sistema de visão</t>
  </si>
  <si>
    <t xml:space="preserve">PC sistema de visão desligou sozinho</t>
  </si>
  <si>
    <t xml:space="preserve">Restabelecimento do PC, movimentação Manual dos Robos para retirada e descarte dos vidros. E Recolocação em ciclo e sequencia PSF.</t>
  </si>
  <si>
    <t xml:space="preserve">Elevador saida do tunel</t>
  </si>
  <si>
    <t xml:space="preserve">Elevador não movimentava</t>
  </si>
  <si>
    <t xml:space="preserve">Desarme de disjuntor 24V</t>
  </si>
  <si>
    <t xml:space="preserve">Verificação circuito de 24V e bornes fusiveis e Rearme do disjuntor DJS, disjuntor de saídas.</t>
  </si>
  <si>
    <t xml:space="preserve">Mesa servant não estava movimentando</t>
  </si>
  <si>
    <t xml:space="preserve">Quebra do eixo do motoredutor</t>
  </si>
  <si>
    <t xml:space="preserve">Substituído motoredutor</t>
  </si>
  <si>
    <t xml:space="preserve">Extrator de gases travado no recuo</t>
  </si>
  <si>
    <t xml:space="preserve">Ausencia acionamento Sensor recuo</t>
  </si>
  <si>
    <t xml:space="preserve">Ajuste de posição do sensor do extrator.</t>
  </si>
  <si>
    <t xml:space="preserve">Perda de condições de movimento para o Drive</t>
  </si>
  <si>
    <t xml:space="preserve">Verificação de parametros do drive e reset geral.</t>
  </si>
  <si>
    <t xml:space="preserve">P1 - CSF1 Robo G4</t>
  </si>
  <si>
    <t xml:space="preserve">Defeito Refrigeração (*OBS: veiculos perdidos:sucata + 22 min de parada.)</t>
  </si>
  <si>
    <t xml:space="preserve">Colagem de eletrodo fundindo eletrodo com a carroceria B52</t>
  </si>
  <si>
    <t xml:space="preserve">Execução rotina de fresa e B-Start para sair do Travamento do Robo na rotina de verificação fluxo de água.                                                              Retirada do Robo da Carroceria ocorreu colisão do robô com a mesma. Execução de parte do programa em manual, e retirada da carroceria sucata da linha.</t>
  </si>
  <si>
    <t xml:space="preserve">AGX52 BM30 Robo C8</t>
  </si>
  <si>
    <t xml:space="preserve">Falha supervisão de movimento</t>
  </si>
  <si>
    <t xml:space="preserve">Na troca de Griper durante a pega robo saindo com Griper escapando do trocador</t>
  </si>
  <si>
    <t xml:space="preserve">Ajuste para correto acoplamento e verificado mangueira corrugada dobrada no momento da pane. Colocação em funcionamento e verificação do possivel problema no intervalo da janta. </t>
  </si>
  <si>
    <t xml:space="preserve">Perda de ciclo da máquina</t>
  </si>
  <si>
    <t xml:space="preserve">Erro após inserção do bloco no pallet</t>
  </si>
  <si>
    <t xml:space="preserve">Realizado a retirada do pallet com cartão amarelo,
resetado a antena RFID, e liberado o pallet seguinte.
</t>
  </si>
  <si>
    <t xml:space="preserve">OP220.1</t>
  </si>
  <si>
    <t xml:space="preserve">Não realizou a troca da Ogiva de prensagem do motor modelo "LS"</t>
  </si>
  <si>
    <t xml:space="preserve">Ogiva do "HS" estava presa no index de prensagem</t>
  </si>
  <si>
    <t xml:space="preserve">Diminuido a pressão dos parafusos que fixam as Ogivas no dispositivo de prensagem.</t>
  </si>
  <si>
    <t xml:space="preserve">LTP mesa 5</t>
  </si>
  <si>
    <t xml:space="preserve">Não ocorreu a transferencia do carro para a mesa  5</t>
  </si>
  <si>
    <t xml:space="preserve">Mesa não se posicionou corretamente e com isso o, perda de dados da tag RFID</t>
  </si>
  <si>
    <t xml:space="preserve">Colocado carro em posição,
Transferido para mesa 70, e liberado a linha,
Verificado informações da TAG,
Inserido valores via Superisório.
</t>
  </si>
  <si>
    <t xml:space="preserve">mesa TB31/32</t>
  </si>
  <si>
    <t xml:space="preserve">Falha barramento profinet</t>
  </si>
  <si>
    <t xml:space="preserve">Pertubação na rede na mesa de transbordo</t>
  </si>
  <si>
    <t xml:space="preserve">Rearmado Sistema,
Verificado condições de cabos e conectores
</t>
  </si>
  <si>
    <t xml:space="preserve">Mesa 71 - MP Z4</t>
  </si>
  <si>
    <t xml:space="preserve">Time-out na mesa elevatória</t>
  </si>
  <si>
    <t xml:space="preserve">Rompimento da corrente</t>
  </si>
  <si>
    <t xml:space="preserve">Substituido correnrte</t>
  </si>
  <si>
    <t xml:space="preserve">Mesa Giro T26</t>
  </si>
  <si>
    <t xml:space="preserve">Def Cilindro retorno</t>
  </si>
  <si>
    <t xml:space="preserve">HASTE DO CILINDRO ENROSCOU AO RETORNAR.</t>
  </si>
  <si>
    <t xml:space="preserve">Movimento manual da mesa, porém mesmo com fim da movimento supervisorio da Clid não apresentava nenhum alarme, mas não havia condição de avanço do transportador verificado ausencia sinal do TR26 OK para o CLP, executado nova movimentação e colocação em ciclo</t>
  </si>
  <si>
    <t xml:space="preserve">Falha movimento</t>
  </si>
  <si>
    <t xml:space="preserve">Falta sinal </t>
  </si>
  <si>
    <t xml:space="preserve">Verificado ausencia do sinal substituido Y do sinal por Y de outro fabricante (original Siemens substituido MURR), posição fisica invertido os canais o que está com retorno no canal 2 Siemens para o mesmo lado está com retorno pino 4 para o MURR, invertido cabos e resincronizado. Perda grande devido falta de rodas para continuar o degradado.</t>
  </si>
  <si>
    <t xml:space="preserve">Desarme Zonas LTP</t>
  </si>
  <si>
    <t xml:space="preserve">Falha RIO Canal 2B</t>
  </si>
  <si>
    <t xml:space="preserve">Restabelecido e verificado posteriormente e havia mau contato no conetor da cabeça de rede do Rack  ???16 ou 26?? Zona 2B-BIS desmontagem passado limpa contato e remontado conector.</t>
  </si>
  <si>
    <t xml:space="preserve">Prensa P52</t>
  </si>
  <si>
    <t xml:space="preserve">Perda de comunicação Wincc</t>
  </si>
  <si>
    <t xml:space="preserve">Falha do License Manager</t>
  </si>
  <si>
    <t xml:space="preserve">Copiada pasta de licensas imagem backup "C:\AX NF ZZ" e colado por cima da pasta de licensas. Em acompanhamento para verificação de novos problemas.</t>
  </si>
  <si>
    <t xml:space="preserve">Mastic ao Solo PM2</t>
  </si>
  <si>
    <t xml:space="preserve">Ausencia Pressão Pistola de Mastic</t>
  </si>
  <si>
    <t xml:space="preserve">Bomba de Mastic Danificada</t>
  </si>
  <si>
    <t xml:space="preserve">Colocação do degradado em funcionamento, Substituida pela bomba de Mastic do Projeto Formação (Posto não tem Bomba Backup, e Pistolas do degradado "sistema antigo" entupidas mastic seco)</t>
  </si>
  <si>
    <t xml:space="preserve">PM1 - Mesa TE10 </t>
  </si>
  <si>
    <t xml:space="preserve">Ruido alto no movimento de elevação da mesa</t>
  </si>
  <si>
    <t xml:space="preserve">Rolamento de apoio travado</t>
  </si>
  <si>
    <t xml:space="preserve">Tentativa de substituição do rolamento mas não saiu destravado o mesmo e lubrificado e retornado conjunto para substiuição posterior.</t>
  </si>
  <si>
    <t xml:space="preserve">EOM 200</t>
  </si>
  <si>
    <t xml:space="preserve">Falha na elevação do teto</t>
  </si>
  <si>
    <t xml:space="preserve">Defeito no sensor Poka Yoke de reconhecimento de modelo com e sem Rack</t>
  </si>
  <si>
    <t xml:space="preserve">Forçado o sinal do sensor, acertado ciclo da máquina e verificado posição do sensor na mesa</t>
  </si>
  <si>
    <t xml:space="preserve">PC SMPLOC 4</t>
  </si>
  <si>
    <t xml:space="preserve">Não inicializa o windows</t>
  </si>
  <si>
    <t xml:space="preserve">Arquivo corrompido na inicialização do PC</t>
  </si>
  <si>
    <t xml:space="preserve">TA9</t>
  </si>
  <si>
    <t xml:space="preserve">Falha na retirada de anel elástico moelo BBB</t>
  </si>
  <si>
    <t xml:space="preserve">Chapa de movimentação enroscando no momento de retirar o anel</t>
  </si>
  <si>
    <t xml:space="preserve">Realizado desbaste de rebarbas na base da chapa e ajuste na altura do dosador de anel</t>
  </si>
  <si>
    <t xml:space="preserve">Perda de sincronismo entre SE4 e MIR</t>
  </si>
  <si>
    <t xml:space="preserve">Movimentado carro manualmente pela operação o que ocasionou acionamento do sensor de troca de informação entre Zonas</t>
  </si>
  <si>
    <t xml:space="preserve">Retirado os vidros que já estavam nos Robôs,
Realizado a recalagem de carros entre as zonas
</t>
  </si>
  <si>
    <t xml:space="preserve">Mesa 15 FER</t>
  </si>
  <si>
    <t xml:space="preserve">Não liberava avanco da carroceria</t>
  </si>
  <si>
    <t xml:space="preserve">Falha no sensor da retacagem da mesa</t>
  </si>
  <si>
    <t xml:space="preserve">Verificado e ajustado sensor</t>
  </si>
  <si>
    <t xml:space="preserve">Robô J7 Unit Arriet</t>
  </si>
  <si>
    <t xml:space="preserve">Falha de corrente demasiada nos eixos,
Perda de sistema e perda de calibração
</t>
  </si>
  <si>
    <t xml:space="preserve">Problema no Drive Unit</t>
  </si>
  <si>
    <t xml:space="preserve">Substituído o módulo "Drive Unit"</t>
  </si>
  <si>
    <t xml:space="preserve">UAR - Robo J7</t>
  </si>
  <si>
    <t xml:space="preserve">Falha de sobrecorrente no drive</t>
  </si>
  <si>
    <t xml:space="preserve">Drive danificado</t>
  </si>
  <si>
    <t xml:space="preserve">Substituído drive</t>
  </si>
  <si>
    <t xml:space="preserve">Elevador Entrada TK</t>
  </si>
  <si>
    <t xml:space="preserve">Intrusão Elevador Entrada Tristock</t>
  </si>
  <si>
    <t xml:space="preserve">Perda sinal fotocelulas ou sensor by pass fotocelulas</t>
  </si>
  <si>
    <t xml:space="preserve">Mesa A0 ABSL</t>
  </si>
  <si>
    <t xml:space="preserve">Não carregou a base de dados da "TALO",
Máquina sem condição de carregamento de peça
</t>
  </si>
  <si>
    <t xml:space="preserve">Condições de transferencia de dados da BDD para TALO;
Ainda em análise,
</t>
  </si>
  <si>
    <t xml:space="preserve">Inserido dados na tabela da TALO na mesa A0 e na C0</t>
  </si>
  <si>
    <t xml:space="preserve">Esterira validação 2 - carregador</t>
  </si>
  <si>
    <t xml:space="preserve">Carregador de baterias sem sincronismo</t>
  </si>
  <si>
    <t xml:space="preserve">Em análise contagem de pulsos entre a esteira e o trasporte aéreo</t>
  </si>
  <si>
    <t xml:space="preserve">Operação da esteira em manual</t>
  </si>
  <si>
    <t xml:space="preserve">Tk parado no alvéolo 122</t>
  </si>
  <si>
    <t xml:space="preserve">Scanner lente suja</t>
  </si>
  <si>
    <t xml:space="preserve">Limpado scanner , bloqueado alvéolo 122</t>
  </si>
  <si>
    <t xml:space="preserve">CSA 80 (Plataforma C8)</t>
  </si>
  <si>
    <t xml:space="preserve">Plataforma se atravessou durante movimentação de avanço</t>
  </si>
  <si>
    <t xml:space="preserve">Ao avançar plataforma saiu da guia vindo a enroscar</t>
  </si>
  <si>
    <t xml:space="preserve">Reposicionado plataforma,
Substituído uma válvula pneumática do controle de avanço.
</t>
  </si>
  <si>
    <t xml:space="preserve">SPBBB</t>
  </si>
  <si>
    <t xml:space="preserve">Erro de posição das mesas e berços</t>
  </si>
  <si>
    <t xml:space="preserve">Perda de sincronismo e ciclo de máquina</t>
  </si>
  <si>
    <t xml:space="preserve">Realizado o retorno a origem de cada berço;
Verificado sensores de presença de peças.
</t>
  </si>
  <si>
    <t xml:space="preserve">UAR (Robô B0)</t>
  </si>
  <si>
    <t xml:space="preserve">Robô colidiu com tampa de deposito do griper e retirou a estrutura de deposito da posição</t>
  </si>
  <si>
    <t xml:space="preserve">Cilindro da tampa com parafuso de ajuste solto, Cilindro estava movimentando o embolo e atuando sensor de recuo, porem devido a parafuso de ajuste solto a tampa se manteve fechada.</t>
  </si>
  <si>
    <t xml:space="preserve">* Removido tampa;
* Posicionado estrutura de deposito no local correto;
* Reaperto dos parafusos de fixação ;
* Inserido bypass para rodar a linha;
* Durante horario de janta foi reapertado parafuso de ajuste recolocado haste da tampa, removido bypass e testado.
</t>
  </si>
  <si>
    <t xml:space="preserve">CTA Primer - Queimador </t>
  </si>
  <si>
    <t xml:space="preserve">Queimador sem chama</t>
  </si>
  <si>
    <t xml:space="preserve">Servo válvula de gás fechada</t>
  </si>
  <si>
    <t xml:space="preserve">Substituição do servo</t>
  </si>
  <si>
    <t xml:space="preserve">Esteria de validação - carregador</t>
  </si>
  <si>
    <t xml:space="preserve">Janela de sincronismo sendo resetada pelo acionamento indevido do 2° sensor</t>
  </si>
  <si>
    <t xml:space="preserve">Corrigido lógica de sincronismo. Em acompanhamento.</t>
  </si>
  <si>
    <t xml:space="preserve">LVD - Robô F1</t>
  </si>
  <si>
    <t xml:space="preserve">Serragem quebrada, falha sensor de serragem</t>
  </si>
  <si>
    <t xml:space="preserve">Colisão do gripper</t>
  </si>
  <si>
    <t xml:space="preserve">Soldado gripper, sincronizado eixos do robô</t>
  </si>
  <si>
    <t xml:space="preserve">Virabrequim OP10 </t>
  </si>
  <si>
    <t xml:space="preserve">Falha mesa de transferencia</t>
  </si>
  <si>
    <t xml:space="preserve">Problema contator de potencia</t>
  </si>
  <si>
    <t xml:space="preserve">Substituição do contator da mesa de giro.</t>
  </si>
  <si>
    <t xml:space="preserve">Mesa 04</t>
  </si>
  <si>
    <t xml:space="preserve">falha transferencia mesa 04</t>
  </si>
  <si>
    <t xml:space="preserve">Perda de condições descarregamento </t>
  </si>
  <si>
    <t xml:space="preserve">Mesa já estava com destino setado, Forçado condição fim de ciclo PSF da mesa.</t>
  </si>
  <si>
    <t xml:space="preserve">Ponte Rolante TGSE2</t>
  </si>
  <si>
    <t xml:space="preserve">Falta comando subida da ponte</t>
  </si>
  <si>
    <t xml:space="preserve">Problema cadeia de acionamento do movimento  de subida</t>
  </si>
  <si>
    <t xml:space="preserve">Teste de cadeia de comando do movimento de subida e forçado movimento através do contator, retorno do comando ao funcionamento normal.</t>
  </si>
  <si>
    <t xml:space="preserve">UAV - Robô H0</t>
  </si>
  <si>
    <t xml:space="preserve">Falha de solda</t>
  </si>
  <si>
    <t xml:space="preserve">Cabos de potência da pinça com mau contato na emenda do eixo 3</t>
  </si>
  <si>
    <t xml:space="preserve">Reconectado cabos</t>
  </si>
  <si>
    <t xml:space="preserve">Falha elevador de subida</t>
  </si>
  <si>
    <t xml:space="preserve">Quebra de conexão pneumatica</t>
  </si>
  <si>
    <t xml:space="preserve">Substituição da conexão</t>
  </si>
  <si>
    <t xml:space="preserve">CS100</t>
  </si>
  <si>
    <t xml:space="preserve">B1PLS: INTRUSAO PLAT. DIR. CSA100</t>
  </si>
  <si>
    <t xml:space="preserve">Após a troca da lente do sick, o mesmo ficou travado</t>
  </si>
  <si>
    <t xml:space="preserve">Feito um reset a 0 atraves do software sick</t>
  </si>
  <si>
    <t xml:space="preserve">Banco de Rolagem 1</t>
  </si>
  <si>
    <t xml:space="preserve">Falha no acionamento do teste em automatico</t>
  </si>
  <si>
    <t xml:space="preserve">Problema com a placa de controle conversão de sinal de leitura do encoder</t>
  </si>
  <si>
    <t xml:space="preserve">Substituido a placa danificada por uma nova.</t>
  </si>
  <si>
    <t xml:space="preserve">OP200 B Escapamentos</t>
  </si>
  <si>
    <t xml:space="preserve">Portão da ilha aberto</t>
  </si>
  <si>
    <t xml:space="preserve">Quebra do suporte interno da trava eletronica da porta</t>
  </si>
  <si>
    <t xml:space="preserve">Fixação do suporte e recolação da trava.</t>
  </si>
  <si>
    <t xml:space="preserve">Transporte da Base</t>
  </si>
  <si>
    <t xml:space="preserve">Erro na posição do carro para apliação de base, estava adiantado.</t>
  </si>
  <si>
    <t xml:space="preserve">Sensor que faz a confirmação do Skid para a entrada da ilha robotizada estava atuado direto.</t>
  </si>
  <si>
    <t xml:space="preserve">Foi verificado e enconrado mal contato no cabo de alimentação do sensor.
Em horário de ceia a manutenção ia verificar conexões do cabo e substituir o sensor
</t>
  </si>
  <si>
    <t xml:space="preserve">Robô E0 "aplicação mastic" ACL1</t>
  </si>
  <si>
    <t xml:space="preserve">Falha na segurança do robô, perda de sincronismo com EPS</t>
  </si>
  <si>
    <t xml:space="preserve">Durante o 4º turno teve substituição do motor do eixo 4,
Ainda em análise a perda de sincronismo.
</t>
  </si>
  <si>
    <t xml:space="preserve">* Realizado nova configuração da "EPS",
* Atualizado contadores de revolução do motor eixo 4;
* Descarregado arquivo para o sistema do robô;
Realizado o sincronismo com a "EPS".
</t>
  </si>
  <si>
    <t xml:space="preserve">MM13 - MOP2</t>
  </si>
  <si>
    <t xml:space="preserve">MOP  desligado</t>
  </si>
  <si>
    <t xml:space="preserve">Fonte queimada</t>
  </si>
  <si>
    <t xml:space="preserve">Substituição da fonte</t>
  </si>
  <si>
    <t xml:space="preserve">X52 - FM100</t>
  </si>
  <si>
    <t xml:space="preserve">Erro de modelo na base de dados</t>
  </si>
  <si>
    <t xml:space="preserve">Deslocamento manual da carroceria na mesa A0</t>
  </si>
  <si>
    <t xml:space="preserve">Editado tabela de dados, acertado posições e modelos</t>
  </si>
  <si>
    <t xml:space="preserve">Elevador 21 - Final do Tunel</t>
  </si>
  <si>
    <t xml:space="preserve">Defeito Geral Elevador 21</t>
  </si>
  <si>
    <t xml:space="preserve">Perda do detector de controle da corrente durente a passagem da carroceria, derubando a segurança mecânica.</t>
  </si>
  <si>
    <t xml:space="preserve">Ajustado o detector e retirado a carroceria da área de segurança.</t>
  </si>
  <si>
    <t xml:space="preserve">Retificador 4</t>
  </si>
  <si>
    <t xml:space="preserve">Falha de superintensidade</t>
  </si>
  <si>
    <t xml:space="preserve">Monitoração das tensões e formas de onda nos pontos de medição</t>
  </si>
  <si>
    <t xml:space="preserve">CSA 80 </t>
  </si>
  <si>
    <t xml:space="preserve">Não realizava a troca da asa lado direito</t>
  </si>
  <si>
    <t xml:space="preserve">Resíduos estavam nas roldanas travando a elevação, não deixando realizar a troca</t>
  </si>
  <si>
    <t xml:space="preserve">Realizado limpeza nos canais de movimentação</t>
  </si>
  <si>
    <t xml:space="preserve">ME3 - CAP - Elevador de Portas</t>
  </si>
  <si>
    <t xml:space="preserve">Time out no transito do trecho C79</t>
  </si>
  <si>
    <t xml:space="preserve">Cabos de interligação do CAP em curto </t>
  </si>
  <si>
    <t xml:space="preserve">Isolado  e reposicionado cabos</t>
  </si>
  <si>
    <t xml:space="preserve">LVD - Robô B2</t>
  </si>
  <si>
    <t xml:space="preserve">Falha no contator de freio</t>
  </si>
  <si>
    <t xml:space="preserve">Travamento mecânico do contator</t>
  </si>
  <si>
    <t xml:space="preserve">Substituído contator</t>
  </si>
  <si>
    <t xml:space="preserve">MM01 - Prensa OP05</t>
  </si>
  <si>
    <t xml:space="preserve">Emergência na prensa 1</t>
  </si>
  <si>
    <t xml:space="preserve">Falta de alimentação 380v na prensa 2, prensa do modelo antigo desativada</t>
  </si>
  <si>
    <t xml:space="preserve">Religado disjuntor geral de alimentação</t>
  </si>
  <si>
    <t xml:space="preserve">Perda da segurança da linha</t>
  </si>
  <si>
    <t xml:space="preserve">Operador apertou emergência erroneamente</t>
  </si>
  <si>
    <t xml:space="preserve">Rearme da linha e codificação dos carros.</t>
  </si>
  <si>
    <t xml:space="preserve">Falha no transporte carroceria no alvéolo</t>
  </si>
  <si>
    <t xml:space="preserve">Lente suja do Scanner</t>
  </si>
  <si>
    <t xml:space="preserve">Feito bypass do scanner. Retornado carroceria para alvéolo e descido o elevador. Limpado scanner e rearmado a linha.</t>
  </si>
  <si>
    <t xml:space="preserve">UAV - Robo F1</t>
  </si>
  <si>
    <t xml:space="preserve">Falha durante a troca de ferramenta</t>
  </si>
  <si>
    <t xml:space="preserve">Pino de contato do servo oxidado, base suporte do apply desalinhada </t>
  </si>
  <si>
    <t xml:space="preserve">Substituição do pino de contato do servo, troca da caixa de ligação do acionamento do apply,  ajustes de tensionamento da mola da base.</t>
  </si>
  <si>
    <t xml:space="preserve">Perda de referenciamento da roda na infladora</t>
  </si>
  <si>
    <t xml:space="preserve">Afundamento de tensão na fabrica causou um comportamento anormal na infladora</t>
  </si>
  <si>
    <t xml:space="preserve">Ao retorno do fundameno de tensão, o equipamento voltou ao funcionamento normal</t>
  </si>
  <si>
    <t xml:space="preserve">Falha profinet robô K5 gripper K34</t>
  </si>
  <si>
    <t xml:space="preserve">Falha no conector do aplayed</t>
  </si>
  <si>
    <t xml:space="preserve">Substituição do aplayed. Conector estava com problema.</t>
  </si>
  <si>
    <t xml:space="preserve">Circuito Balancele de Portas Z1</t>
  </si>
  <si>
    <t xml:space="preserve">Falha Alimentação Entradas Zona 1</t>
  </si>
  <si>
    <t xml:space="preserve">Desligamento Disjuntores da Zona 1 e restabelecimento</t>
  </si>
  <si>
    <t xml:space="preserve">MM13 - Kitting 4 Carregador</t>
  </si>
  <si>
    <t xml:space="preserve">Falha detecção Sensor</t>
  </si>
  <si>
    <t xml:space="preserve">Sensor presença AGV danificado</t>
  </si>
  <si>
    <t xml:space="preserve">Verificado junto a Manutenção para requisição e troca do sensor.</t>
  </si>
  <si>
    <t xml:space="preserve">Circuito Balancele de Portas Z4</t>
  </si>
  <si>
    <t xml:space="preserve">Desarme Alimentação principal bandejas</t>
  </si>
  <si>
    <t xml:space="preserve">Balancele 116 Motor em curto</t>
  </si>
  <si>
    <t xml:space="preserve">Isolamento na Zona 4 e verificado balancele 116 desarmando retirado caixa e levado em manual até zona de manutenção.</t>
  </si>
  <si>
    <t xml:space="preserve">Baixa pressão sistema 20 Biton - (startup)</t>
  </si>
  <si>
    <t xml:space="preserve">Bomba danificada gerando baixa pressão</t>
  </si>
  <si>
    <t xml:space="preserve">Substituída bomba sistema 20 por reserva. Obs.: Após substituição a bomba permaneceu trabalhando com baixa pressão, foi ajustado robô para rodar com baixa pressão na entrada. (validado pela manutenção, fabricação, PPG e engenharia a qualidade das aplicações) Horário do almoço foi invertido bombas dos sistemas  20 e 21 para garantir confiabilidade do biton na cor preta, (maioria dos carros há pintar).  Identificado regulador do sistema 20 com problema, substituído regulador e invertido bombas ficando os dois sistemas Ok  2°T - Reestabelecer funcionamento válvula automática sistema 20.(ar)</t>
  </si>
  <si>
    <t xml:space="preserve">Robô E2 "Sistema de cola bomba 1"</t>
  </si>
  <si>
    <t xml:space="preserve">Erro na leitura de temperatura e resistencia da bomba 1</t>
  </si>
  <si>
    <t xml:space="preserve">Vazou mastic pela capa de aquecimento e ao limpar foi rompido os cabos de medição e resistencias</t>
  </si>
  <si>
    <t xml:space="preserve">Rompimento da bomba;
Vazou mastic pela capa de aquecimento e ao limpar foi rompido os cabos de medição e resistencias,
</t>
  </si>
  <si>
    <t xml:space="preserve">Deixado pela bomba 2;
Emprestado da carroceria uma capa de aquecimento para realizar o by pass da bomba 1 devido a dimentsão ser menor;
</t>
  </si>
  <si>
    <t xml:space="preserve">OP360 </t>
  </si>
  <si>
    <t xml:space="preserve">Falha na leitura do codigo de barrar da embreagem</t>
  </si>
  <si>
    <t xml:space="preserve">defeito no cartão "RS232" do leitor de Scanner do codigo de barra.</t>
  </si>
  <si>
    <t xml:space="preserve">Substituído o cartão de entrada RS232.</t>
  </si>
  <si>
    <t xml:space="preserve">Linha de escapamento 200Z1</t>
  </si>
  <si>
    <t xml:space="preserve">Falha na zona de segurança operador</t>
  </si>
  <si>
    <t xml:space="preserve">Chapa de proteção da barreira estava em contado com a calha porta cabos na posição "Home", fazendo com que a mesma retirasse a barreira fora da posição de leitura.</t>
  </si>
  <si>
    <t xml:space="preserve">Retirado a chapa e deixado sem para liberar a linha,
Foi desempenado a chapa e depois reinstalada na máquina.
</t>
  </si>
  <si>
    <t xml:space="preserve">MM13 operação manual MOP 1</t>
  </si>
  <si>
    <t xml:space="preserve">Falha na comunicação e funcionamento da IHM's SOP's</t>
  </si>
  <si>
    <t xml:space="preserve">Perde de comunicação com a rede N2 " Comunicação com o MOP</t>
  </si>
  <si>
    <t xml:space="preserve">Reiniciado o MOP e reiniciado todas as IHM's para puxarem as configurações.</t>
  </si>
  <si>
    <t xml:space="preserve">CMO - Pre Montagem Cabeçote</t>
  </si>
  <si>
    <t xml:space="preserve">Impressora Pre Montagem</t>
  </si>
  <si>
    <t xml:space="preserve">Falta impressão de carta do lote de peças fabricadas</t>
  </si>
  <si>
    <t xml:space="preserve">Perda de parametros da impressora</t>
  </si>
  <si>
    <t xml:space="preserve">Configurada a impressora com os parâmetros de  IP: 172.25.214.205  MASK: 255.255.255.252  Gateway: 172.25.214.1</t>
  </si>
  <si>
    <t xml:space="preserve">Sick G1LAS Posto FM80</t>
  </si>
  <si>
    <t xml:space="preserve">Scanner Sick em falha, após operador derrubar
chave em cima do equipamento
</t>
  </si>
  <si>
    <t xml:space="preserve">Substituído Scanner e ajustado as 3 áreas de operação</t>
  </si>
  <si>
    <t xml:space="preserve">ISRA sistema visão Posto BM50</t>
  </si>
  <si>
    <t xml:space="preserve">Perdeu comuniação entre o PC do sistema de visão ISRA e o CLP da ilha.</t>
  </si>
  <si>
    <t xml:space="preserve">PC do sistema ISRA travado</t>
  </si>
  <si>
    <t xml:space="preserve">Feito restart do pc, porém sem sucesso, pois ao reiniciar o sistema não permitia abrir o software do controle de visão, então foi substituído a CPU do sistema de visão. (equipamento tem CPU backup)</t>
  </si>
  <si>
    <t xml:space="preserve">PTAR</t>
  </si>
  <si>
    <t xml:space="preserve">Primeira prensa da sequência travou uma bucha no meio do percurso</t>
  </si>
  <si>
    <t xml:space="preserve">bucha não foi lubrificada antes de ser colocada na prensa</t>
  </si>
  <si>
    <t xml:space="preserve">desmontado conjunto de acionamento para retirar bucha travada.</t>
  </si>
  <si>
    <t xml:space="preserve">RO7 - Ensaboamento Pneu</t>
  </si>
  <si>
    <t xml:space="preserve">Máximo torque excedido - inversor de giro</t>
  </si>
  <si>
    <t xml:space="preserve">Falha devido ao rompimento de correia da mesa de transporte da estação. Ocasionado devido ao travamento de pneus e queda dos mesmos na hora de montar as rodas.</t>
  </si>
  <si>
    <t xml:space="preserve">Substituição da correia.</t>
  </si>
  <si>
    <t xml:space="preserve">GSE "RX0"</t>
  </si>
  <si>
    <t xml:space="preserve">Falha de presença de ar no Robô</t>
  </si>
  <si>
    <t xml:space="preserve">Mal contato no cartão de entrada da remota, e ajuste do pressostato fora de faixa.</t>
  </si>
  <si>
    <t xml:space="preserve">Substituído o cartão de entrada da remota
Ajuste do pressostato (Estava com 5 bar, deixado igual aos demais em 3 bar).
</t>
  </si>
  <si>
    <t xml:space="preserve">Primer - Supervisório</t>
  </si>
  <si>
    <t xml:space="preserve">PC Advantech com falha na inicialização</t>
  </si>
  <si>
    <t xml:space="preserve">Restauração da imagem</t>
  </si>
  <si>
    <t xml:space="preserve">PC SAM</t>
  </si>
  <si>
    <t xml:space="preserve">Pc SAM não liga</t>
  </si>
  <si>
    <t xml:space="preserve">HD danificado</t>
  </si>
  <si>
    <t xml:space="preserve">Substituído HD e restaurado imagem</t>
  </si>
  <si>
    <t xml:space="preserve">ME1 - SAO</t>
  </si>
  <si>
    <t xml:space="preserve">Painel dos SAO desligados</t>
  </si>
  <si>
    <t xml:space="preserve">Disjuntor geral 3Ø do quadro de distribuição com uma das fases isoloada</t>
  </si>
  <si>
    <t xml:space="preserve">By pass de uma das fases do disjuntor</t>
  </si>
  <si>
    <t xml:space="preserve">RFID entrada TSCC</t>
  </si>
  <si>
    <t xml:space="preserve">Falha de comunicação do modulo RFID</t>
  </si>
  <si>
    <t xml:space="preserve">Erro  na leitura sensor RFID mesa 08 TSCC gerando falhas para transferir PJI do skid toleri para o skid cataforese</t>
  </si>
  <si>
    <t xml:space="preserve">Realizado manobras conforme Fos reset RFID. Troca de switch de comunicação.Reset da placa Prosoft e realizado a varedura de 1° scan do clp.</t>
  </si>
  <si>
    <t xml:space="preserve">Prenssa PTAR</t>
  </si>
  <si>
    <t xml:space="preserve">Falha na segurança</t>
  </si>
  <si>
    <t xml:space="preserve">Quebra da porta de segurança</t>
  </si>
  <si>
    <t xml:space="preserve">Feito trabalho em degrado até o conserto da porta</t>
  </si>
  <si>
    <t xml:space="preserve">Desarme da fonte de alimentação de entradas</t>
  </si>
  <si>
    <t xml:space="preserve">Curto circuito sensor de presença de veículo rolos traseiros</t>
  </si>
  <si>
    <t xml:space="preserve">Espelhado o sinal do sensor dianteiro para que o mesmo pudesse trabalhar até encontrarmos outro sensor.
Também foi espelhado o sensor de pulso da centragem lado direito devido ao mesmo não estar acionando.
</t>
  </si>
  <si>
    <t xml:space="preserve">OP60 - Virabrequim</t>
  </si>
  <si>
    <t xml:space="preserve">Emergência Acionada direto</t>
  </si>
  <si>
    <t xml:space="preserve">Quebra de conector da trava euchner, causando falha no pils. Obs: Não constava no projeto eletrico.</t>
  </si>
  <si>
    <t xml:space="preserve">Substituição do conector da trava euchner.</t>
  </si>
  <si>
    <t xml:space="preserve">CSA 60</t>
  </si>
  <si>
    <t xml:space="preserve">Falta leitura TAG RFID</t>
  </si>
  <si>
    <t xml:space="preserve">Quebra conector antena RFID,
Não comunica com PLC modulo.
</t>
  </si>
  <si>
    <t xml:space="preserve">Troca da antena, cabo, configuração e inicialização da antena</t>
  </si>
  <si>
    <t xml:space="preserve">Central de Filtragem Bloco</t>
  </si>
  <si>
    <t xml:space="preserve">Central não liga</t>
  </si>
  <si>
    <t xml:space="preserve">Contatores potencia alimentação bombas queimados</t>
  </si>
  <si>
    <t xml:space="preserve">Verificação e diagnóstico da parte de potência do painel, reaperto de fio frouxo na saida de um disjuntor de proteção circuito potencia bomba. Substituição de 2 contatores potencia de bombas. (passagem intervenção após produção, recolocação contatores e reaperto de fio com aquecimento alimentação de inversor).</t>
  </si>
  <si>
    <t xml:space="preserve">Ilha de Cabeçote</t>
  </si>
  <si>
    <t xml:space="preserve">Perda do status da ilha</t>
  </si>
  <si>
    <t xml:space="preserve">Travamento geral do programa do CLP.
Obs: Causou a quebra de um dos magazines de distribuião das valvulas.
</t>
  </si>
  <si>
    <t xml:space="preserve">Download de backup do software do clp</t>
  </si>
  <si>
    <t xml:space="preserve">Piso Central</t>
  </si>
  <si>
    <t xml:space="preserve">PERCA DE POSIÇÃO DO LOCATOR H01.</t>
  </si>
  <si>
    <t xml:space="preserve">INTRUSÃO DE BARREIRA MESA B0C</t>
  </si>
  <si>
    <t xml:space="preserve">FOI FORÇADO O CICLO DO ROBÔ H01 DEVIDO A PERCA DE POSIÇÃO.
POREM O ROBÔ NÃO FEZ REBOCLAGEM EM AUTOMÁTICO E TAMBÉM NÃO ESTAVA ACEITANDO VIA TP, ONDE SO APÓS O SEU DESLIGAMENTO A QUENTE E ESPERADO ALGUNS INSTANTES
</t>
  </si>
  <si>
    <t xml:space="preserve">CSF 3 Robô C3</t>
  </si>
  <si>
    <t xml:space="preserve">Falha na execução de frezagem de eletrodo</t>
  </si>
  <si>
    <t xml:space="preserve">Rolamento travado no mecanismo da freza</t>
  </si>
  <si>
    <t xml:space="preserve">Substituído o conjunto de frezagem.</t>
  </si>
  <si>
    <t xml:space="preserve">OP190 Robo aplicação cola</t>
  </si>
  <si>
    <t xml:space="preserve">Falta aplicação Mastic </t>
  </si>
  <si>
    <t xml:space="preserve">Quebra bico aplicação cola colisão com a peça</t>
  </si>
  <si>
    <t xml:space="preserve">Substituição bico por modelo usado anteriormente, e restabelecimento de backup antigo. (Produção ainda retrabalhando cordão, será verificado posteriormente pela manutenção).</t>
  </si>
  <si>
    <t xml:space="preserve">Banco Teste motores 2</t>
  </si>
  <si>
    <t xml:space="preserve">Falha pressão travamento do motor</t>
  </si>
  <si>
    <t xml:space="preserve">Perda sinal Sensores de detecção do tipo de acoplamento da arvore de transmissão.</t>
  </si>
  <si>
    <t xml:space="preserve">Diagnostico no software e ajuste da posição dos sensores.</t>
  </si>
  <si>
    <t xml:space="preserve">Unit Arriere X52</t>
  </si>
  <si>
    <t xml:space="preserve">Defeito presença peça garra</t>
  </si>
  <si>
    <t xml:space="preserve">Falha profinet mau contato pinos entre Garra e Robo</t>
  </si>
  <si>
    <t xml:space="preserve">Passagem cabos por fora persistiu erro, depositado ferramenta e limpeza com limpa contatos Apli com limpa contatos.</t>
  </si>
  <si>
    <t xml:space="preserve">Estagio 3 TTS</t>
  </si>
  <si>
    <t xml:space="preserve">Falta abertura da tampa</t>
  </si>
  <si>
    <t xml:space="preserve">Time Out fechamento tampa, Sensor de tampa banho acionado indevidamente</t>
  </si>
  <si>
    <t xml:space="preserve">Limpeza do sensor e ajuste sensores posição do tampa.</t>
  </si>
  <si>
    <t xml:space="preserve">Falha elevador de pneus</t>
  </si>
  <si>
    <t xml:space="preserve">Folga entre guia e Bucha da guia danificando Sensores posicionamento de elevador.</t>
  </si>
  <si>
    <t xml:space="preserve">Substituição dos sensores e programado para intervenção intervalo almoço (Ajuste rotula e buchas desgastadas)</t>
  </si>
  <si>
    <t xml:space="preserve">Aplicação vernis preto estilo</t>
  </si>
  <si>
    <t xml:space="preserve">Falha no sistema de visão</t>
  </si>
  <si>
    <t xml:space="preserve">Problema com sensor de acionamento</t>
  </si>
  <si>
    <t xml:space="preserve">Limpeza da linha e ajuste acionamento</t>
  </si>
  <si>
    <t xml:space="preserve">U79 SR150</t>
  </si>
  <si>
    <t xml:space="preserve">Falta liberação no ciclo da maquina</t>
  </si>
  <si>
    <t xml:space="preserve">Falha sensor de presença do basculante 1</t>
  </si>
  <si>
    <t xml:space="preserve">Retorno a origem e ajuste sensor de presença</t>
  </si>
  <si>
    <t xml:space="preserve">Falta avanço Servo do braço de carregamento</t>
  </si>
  <si>
    <t xml:space="preserve">Erro send / recieve quando AGV posiciona para carregamento</t>
  </si>
  <si>
    <t xml:space="preserve">Em analise passagem para primeiro turno dar sequencia.</t>
  </si>
  <si>
    <t xml:space="preserve">AGV SC5</t>
  </si>
  <si>
    <t xml:space="preserve">Ausencia comunicação com bateria durante carregamento</t>
  </si>
  <si>
    <t xml:space="preserve">Conector do cabo de extenção do sensor de comunicação com a bateria, Pino retraido conector dentro da calha.  </t>
  </si>
  <si>
    <t xml:space="preserve">SMPLOC´s</t>
  </si>
  <si>
    <t xml:space="preserve">Algumas zonas sem programação dia especial</t>
  </si>
  <si>
    <t xml:space="preserve">Mop 6-pouces e Estanqueidade, e SMPLOC PO4</t>
  </si>
  <si>
    <t xml:space="preserve">Forçado tempo requerido para registro dos blocos de parada</t>
  </si>
  <si>
    <t xml:space="preserve">Contador de produção Geral Car-VP</t>
  </si>
  <si>
    <t xml:space="preserve">Diferença contadores de produção dia especial sabado</t>
  </si>
  <si>
    <t xml:space="preserve">Contagem vem do PSF ocorrendo diferença de sexta para sabado</t>
  </si>
  <si>
    <t xml:space="preserve">No SMP99, Ajuste dos contadores de sexta terceiro turno, e sabado primeiro turno</t>
  </si>
  <si>
    <t xml:space="preserve">Contador de produção Geral Mon-VP</t>
  </si>
  <si>
    <t xml:space="preserve">No SMP99, Ajuste do contadores de sexta terceiro turno</t>
  </si>
  <si>
    <t xml:space="preserve">EOM H79 AGX79</t>
  </si>
  <si>
    <t xml:space="preserve">Elevação travada mecanicamente do index</t>
  </si>
  <si>
    <t xml:space="preserve">intrusão operador</t>
  </si>
  <si>
    <t xml:space="preserve">Forçado condições de software para recuar index em manual.</t>
  </si>
  <si>
    <t xml:space="preserve">Kitting Portas </t>
  </si>
  <si>
    <t xml:space="preserve">falha de comunicação endereço 8A </t>
  </si>
  <si>
    <t xml:space="preserve">queima do cartão</t>
  </si>
  <si>
    <t xml:space="preserve">substituido cartão de comuniação ASI, e correção da quebra do filme das portas</t>
  </si>
  <si>
    <t xml:space="preserve">Banco de teste 3</t>
  </si>
  <si>
    <t xml:space="preserve">não executava ciclo de teste</t>
  </si>
  <si>
    <t xml:space="preserve">perdeu programa do simo drive</t>
  </si>
  <si>
    <t xml:space="preserve">descarregado programa do drive, reset do ciclo e setado memórias.</t>
  </si>
  <si>
    <t xml:space="preserve">TSCC - Mesa 32</t>
  </si>
  <si>
    <t xml:space="preserve">MESA 32 : DEF. CARACTERES INCORRETTAS</t>
  </si>
  <si>
    <t xml:space="preserve">Val Cal 4 (DF zona de proveniencia), (Problema descarrilhamento carro na mesa 13 transbordo 11:40)</t>
  </si>
  <si>
    <t xml:space="preserve">Diagnostico quebra de filme "Linha 2 LTP2" junto a Manutenção (Car, PIN) e informatica PSF , um carro a mais no PSF do que fisico. (aguardado café da carroceria, com auxilio (DLI, INFO PSF e Manutenção (Car, PIN)), fechado linhas LTP, e forçado dialogo para ajuste da FIFO PSF Linha 2 LTP2)</t>
  </si>
  <si>
    <t xml:space="preserve">Prensa PEG1</t>
  </si>
  <si>
    <t xml:space="preserve">Não habilita operação de prensagem do BBB</t>
  </si>
  <si>
    <t xml:space="preserve">Perda do sinal de poka yoki</t>
  </si>
  <si>
    <t xml:space="preserve">Trocado o sensor e verificado cabo totalmente tracionado. Aliviado a tração do cabo.</t>
  </si>
  <si>
    <t xml:space="preserve">EOM's CSA100 e CSA200 não movimentavam</t>
  </si>
  <si>
    <t xml:space="preserve">Curto no cabo da cruzeta dpp14 na CSA100 , queimando fusível.</t>
  </si>
  <si>
    <t xml:space="preserve">Isolamento do fio em curto e subsituído cabo na hora da janta</t>
  </si>
  <si>
    <t xml:space="preserve">SE4 - Ilha de Vidros robo Lunete</t>
  </si>
  <si>
    <t xml:space="preserve">Robo Lunete recusando vidro</t>
  </si>
  <si>
    <t xml:space="preserve">Travamento da medição Robo Lunete</t>
  </si>
  <si>
    <t xml:space="preserve">Reinicio do sistema e colocação em funcionamento, ocorreu novo travamento deixado robo Lunete somente passando cola no vidro e colagem manual, (substituição no intervalo do almoço cabo camera "que vai da mesa ao griper" por outro já utilizado no robo parabrisa).</t>
  </si>
  <si>
    <t xml:space="preserve">OP030</t>
  </si>
  <si>
    <t xml:space="preserve">Falha no acionamento Hidraulico</t>
  </si>
  <si>
    <t xml:space="preserve">Após substituição de mangueira o sistema rodou com paradas intermitentes. Acinamento direto da falha de hidraulica e sem retorno do presostato.</t>
  </si>
  <si>
    <t xml:space="preserve">Feito jumper do retorno do pressostato para liberação do funcionamento</t>
  </si>
  <si>
    <t xml:space="preserve">BM050</t>
  </si>
  <si>
    <t xml:space="preserve">Falha na pega de teto robô F3</t>
  </si>
  <si>
    <t xml:space="preserve">Falta de condição de pega por ausencia de sensores da mesa.</t>
  </si>
  <si>
    <t xml:space="preserve">Retirado o teto da garra do robô e feito uma nova pega de teto com as memorias corrigidas</t>
  </si>
  <si>
    <t xml:space="preserve">Robô Flamagem</t>
  </si>
  <si>
    <t xml:space="preserve">Falha no robô</t>
  </si>
  <si>
    <t xml:space="preserve">Após intervenção na janta o robô perdeu sinais de emergência e posicionamento do robô.</t>
  </si>
  <si>
    <t xml:space="preserve">Reiniciado o robô, ajustado posicionamento do robô e sensor de posicionamento. Ajustado o acionamento de chama.</t>
  </si>
  <si>
    <t xml:space="preserve">Gravador Chassi CSF2 Robo H0</t>
  </si>
  <si>
    <t xml:space="preserve">Falha de rede profinet</t>
  </si>
  <si>
    <t xml:space="preserve">Mal contato no conector de rede que está no módulo IM da mesa para gravador de chassi</t>
  </si>
  <si>
    <t xml:space="preserve">Desligado cabo e conexão no módulo, após isso religado e verificado comunicação. </t>
  </si>
  <si>
    <t xml:space="preserve">FER (Balsa 20 / Elev 21)</t>
  </si>
  <si>
    <t xml:space="preserve">Desarme disjuntor Elevador 21</t>
  </si>
  <si>
    <t xml:space="preserve">Porta aberta enroscou</t>
  </si>
  <si>
    <t xml:space="preserve">Fechado a porta e rearmado o disjuntor;
Acertado memórias de posição mesa balsa 20
</t>
  </si>
  <si>
    <t xml:space="preserve">Ilha Robôs da Base</t>
  </si>
  <si>
    <t xml:space="preserve">Perda de rede profinet nó 3 (IM do MOP)</t>
  </si>
  <si>
    <t xml:space="preserve">Possivelmente mal contato no cabo.</t>
  </si>
  <si>
    <t xml:space="preserve">Verificado conexões e resetado o disjuntor de alimentação 24 V do MOP.
Em relação ao cabo 4º turno irá fazer inspeção.
</t>
  </si>
  <si>
    <t xml:space="preserve">SC5 - TMD</t>
  </si>
  <si>
    <t xml:space="preserve">Falta ciclo automatico Zona 2</t>
  </si>
  <si>
    <t xml:space="preserve">Zona virtual em manual</t>
  </si>
  <si>
    <t xml:space="preserve">Passagem zona para automatico e restabelecimento do ciclo</t>
  </si>
  <si>
    <t xml:space="preserve">ME1 - Colheitadeira</t>
  </si>
  <si>
    <t xml:space="preserve">Falha Ar </t>
  </si>
  <si>
    <t xml:space="preserve">Baixa tensão acionamento valvula de Ar</t>
  </si>
  <si>
    <t xml:space="preserve">Modificação Engenharia e fornecedor instalação de dois novos drives (nstalação dos drives gerando baixa tensão no acionamento da valvula, desligado provisoriamente os mesmos para posterior modificação eletrica)</t>
  </si>
  <si>
    <t xml:space="preserve">CSF1 Robo G2</t>
  </si>
  <si>
    <t xml:space="preserve">Z3: G2 Falha geral de solda</t>
  </si>
  <si>
    <t xml:space="preserve">Falha de solda. Erro PSQ. BBB</t>
  </si>
  <si>
    <t xml:space="preserve">Desligamento do controlador de solda restabelecido desligamento do Adaptativo e retorno do mesmo e funcionamento normal.</t>
  </si>
  <si>
    <t xml:space="preserve">X52 - FM80</t>
  </si>
  <si>
    <t xml:space="preserve">Excesso de tempo de ciclo</t>
  </si>
  <si>
    <t xml:space="preserve">Falta movimento Locator 2</t>
  </si>
  <si>
    <t xml:space="preserve">Proteção das mangueiras enroscou no acionamento do Drum, desenroscado e higienizado e restabelecido ciclo.</t>
  </si>
  <si>
    <t xml:space="preserve">MM01 Posto 140</t>
  </si>
  <si>
    <t xml:space="preserve">Falta seguimento ciclo do posto</t>
  </si>
  <si>
    <t xml:space="preserve">Falha de segurança barreira sick</t>
  </si>
  <si>
    <t xml:space="preserve">Rodando em degradado forçando funcionamento do posto, Desligamento e restabelecimento da barreira e posto e retorno do posto ao funcionamento normal.</t>
  </si>
  <si>
    <t xml:space="preserve">SMPLOC03</t>
  </si>
  <si>
    <t xml:space="preserve">Erro na abertura do SMPLOC</t>
  </si>
  <si>
    <t xml:space="preserve">Procedimento de pegar uma base nova e efetuado Desc Conf da Central</t>
  </si>
  <si>
    <t xml:space="preserve">Byton Robo R21</t>
  </si>
  <si>
    <t xml:space="preserve">Ma qualidade aplicação Biton pequenas crateras</t>
  </si>
  <si>
    <t xml:space="preserve">Problema no bloco de montagem das valvulas do pulverizador</t>
  </si>
  <si>
    <t xml:space="preserve">Perda pressão saida Bomba verniz, BDP92BA forçado sinal e rodado degradado até intervenção. Substituição de valvula retorno verniz que estava travando YRFB, permaneceu fuga no sistema troca do bloco "ICC" bloco das valvulas do pulverizador "sem problemas de perda de pressão no conjunto".       Permaneceu problema de qualidade realizado ajustes inicio segundo turno         Dificuldade devido não ser possivel testar conjuntos revisados.</t>
  </si>
  <si>
    <t xml:space="preserve">Mesa 09 entrada base</t>
  </si>
  <si>
    <t xml:space="preserve">Abertura marcha degradada PSF</t>
  </si>
  <si>
    <t xml:space="preserve">Erro na leitura do sick</t>
  </si>
  <si>
    <t xml:space="preserve">Correção dos erros de marcha degradada retirada de barra de aço travando movimentação dos Skids</t>
  </si>
  <si>
    <t xml:space="preserve">Problema de aplicação e processo</t>
  </si>
  <si>
    <t xml:space="preserve">Realizado ajustes de parametros de ar e velocidade.</t>
  </si>
  <si>
    <t xml:space="preserve">Talha elétrica (Doca envio motores CVP)</t>
  </si>
  <si>
    <t xml:space="preserve">Falha no inversor de frequencia "OC"</t>
  </si>
  <si>
    <t xml:space="preserve">Curto circuito entre fases gerado quando comandava o motor LD</t>
  </si>
  <si>
    <t xml:space="preserve">Desligado alimentação do motor e isolado partes que estavam com o cabo decapado e em contato com o parafuso da outra fase.</t>
  </si>
  <si>
    <t xml:space="preserve">Base robô R21</t>
  </si>
  <si>
    <t xml:space="preserve">Não carrega o modelo para aplicação</t>
  </si>
  <si>
    <t xml:space="preserve">RO7 </t>
  </si>
  <si>
    <t xml:space="preserve">Desarme geral da montadora </t>
  </si>
  <si>
    <t xml:space="preserve">Curto circuito em 24 V. Falha intermitente</t>
  </si>
  <si>
    <t xml:space="preserve">Desligado alimentação do sensor ultrasônico que mede diametro interno do pneu na emsaboadora. </t>
  </si>
  <si>
    <t xml:space="preserve">CSF1 -Robô C2- P1</t>
  </si>
  <si>
    <t xml:space="preserve">Falha na servogum "contador de revoluções"</t>
  </si>
  <si>
    <t xml:space="preserve">Ainda em análise, robô está em degradado.</t>
  </si>
  <si>
    <t xml:space="preserve">* refeito a calibração da servogum várias vezes;
* Paassado cabo do resolver da servogum por fora;
* Verificado e aplicado limpa contatos nas conexões;
</t>
  </si>
  <si>
    <t xml:space="preserve">Esteira ME5</t>
  </si>
  <si>
    <t xml:space="preserve">CH04 Defeito Controle de Giro Esteira de ME5 parou esteira ME5 e não parou correntão, colidindo carros,</t>
  </si>
  <si>
    <t xml:space="preserve">Falha de hardware alarme no drive da esteira</t>
  </si>
  <si>
    <t xml:space="preserve">Restabelecimento no momento da pane, e substituição da unidade de potencia quando montagem parou por falta de carros.</t>
  </si>
  <si>
    <t xml:space="preserve">Falha na servogum perda do "contador de revoluções"</t>
  </si>
  <si>
    <t xml:space="preserve">Perda de alimentação potencia pinça de solda (pinos femeas retraidos 10 a 20 mm no conector intermediário "suporte eixo 3")</t>
  </si>
  <si>
    <t xml:space="preserve">Seguimento MRHD, Substituição do servo da pinça e retorno problema, verificação conector de potencia e encontrado pinos retraidos posicionado os mesmos e não tivemos mais a incidencia da falha</t>
  </si>
  <si>
    <t xml:space="preserve">Correntão ME1 e SE6</t>
  </si>
  <si>
    <t xml:space="preserve">Falha equipametos sincronizados com o correntão</t>
  </si>
  <si>
    <t xml:space="preserve">Encoder Profinet correntão ME1 e de SE6 sem leitura (travados ou sem atulizar valores) (Possivel travamento pela troca do drive da esteira de ME5 durante linha parada)</t>
  </si>
  <si>
    <t xml:space="preserve">Retirada alimentação dos encoders e restabelecimento, resincronizado todos os SAO´s e maquinas de enchimento das duas linhas.</t>
  </si>
  <si>
    <t xml:space="preserve">CSF1 -Robô B3- P1</t>
  </si>
  <si>
    <t xml:space="preserve">Elevador troca Skid Mesa 09 TSCC</t>
  </si>
  <si>
    <t xml:space="preserve">Falha de indexação da carroceria</t>
  </si>
  <si>
    <t xml:space="preserve">Carroceria fora de posição pino guia com fixação frouxa, (skid carroceria 14)</t>
  </si>
  <si>
    <t xml:space="preserve">Posicionamento da carroceria e restabelecimento do ciclo</t>
  </si>
  <si>
    <t xml:space="preserve">MM01 Posto 5</t>
  </si>
  <si>
    <t xml:space="preserve">Falha parafusamento bloco no palete</t>
  </si>
  <si>
    <t xml:space="preserve">Posição de palete erro de parafusamento</t>
  </si>
  <si>
    <t xml:space="preserve">Retirado robos, abertura manual do bloco e restabelecimento de ciclo do posto.</t>
  </si>
  <si>
    <t xml:space="preserve">Perda dos contadores de produção</t>
  </si>
  <si>
    <t xml:space="preserve">Travamento nos dados SMP na troca de turno</t>
  </si>
  <si>
    <t xml:space="preserve">Efetuado o reset da instancia da carroceira no SMP pela informatica.</t>
  </si>
  <si>
    <t xml:space="preserve">LVG021 demibloc</t>
  </si>
  <si>
    <t xml:space="preserve">Perda de pressão durante a solda</t>
  </si>
  <si>
    <t xml:space="preserve">Problema na valvula proporcional. Sujeira causando o travamento.</t>
  </si>
  <si>
    <t xml:space="preserve">Trocada a valvula.</t>
  </si>
  <si>
    <t xml:space="preserve">SMP SAO</t>
  </si>
  <si>
    <t xml:space="preserve">Perda de comunicação com o SMP SAO</t>
  </si>
  <si>
    <t xml:space="preserve">Teste Eletrico</t>
  </si>
  <si>
    <t xml:space="preserve">Perda de comunicação com pc 52 de medição</t>
  </si>
  <si>
    <t xml:space="preserve">Reiniciado PC, feito Login com outro usuario e retomado o processo.</t>
  </si>
  <si>
    <t xml:space="preserve">Piso central </t>
  </si>
  <si>
    <t xml:space="preserve">Falhas nas solda Tunker Robôs J2, J4 e J5.
1- Falha de medição J4.
2 -Falha de solda pinça M5
3 - Caindo pino gerando falha elevação J2
</t>
  </si>
  <si>
    <t xml:space="preserve">Diversas falhas durante o turno.
1 -Mangueira Corrugado Forçando o feixe do cabo.
2 - Pata de apoio fora de posição, causando fuga de corrente.
3 - pistola com defeito
</t>
  </si>
  <si>
    <t xml:space="preserve">1 - Reposicionamento da mangueira.
2 - Reajuste da pata de fixação e troca da pinça M5
3 - Substituição da pistola
</t>
  </si>
  <si>
    <t xml:space="preserve">CMO-USI CABEÇOTE</t>
  </si>
  <si>
    <t xml:space="preserve">Gravador de Datamatrix</t>
  </si>
  <si>
    <t xml:space="preserve">Falha de gravação e erro de rede</t>
  </si>
  <si>
    <t xml:space="preserve">Trava do gravador devido ao buffer de mensagens de erros estar cheio</t>
  </si>
  <si>
    <t xml:space="preserve">Efetuado o procedimento de zeramento do buffer e reiniciado o ciclo.</t>
  </si>
  <si>
    <t xml:space="preserve">Substituído a base de dados por uma nova "smpref.mdb" e refeita a configuração</t>
  </si>
  <si>
    <t xml:space="preserve">Dobradora de tubos 2</t>
  </si>
  <si>
    <t xml:space="preserve">Falha de drive após movimentação de eixos</t>
  </si>
  <si>
    <t xml:space="preserve">Eixo 12 estava enroscando, fuso de movimentação e rolamento danificados</t>
  </si>
  <si>
    <t xml:space="preserve">Fuso de esfera danificado, sem peça para troca, Ainda parado.</t>
  </si>
  <si>
    <t xml:space="preserve">X79 Lateral Direita CCD600</t>
  </si>
  <si>
    <t xml:space="preserve">Falta fechamento para solda</t>
  </si>
  <si>
    <t xml:space="preserve">Falta condições para seguimento ciclo</t>
  </si>
  <si>
    <t xml:space="preserve">Contato aberto bimanual com problema (aparecia segurança para alguns passos mas não fechava dispositivo), substituido contato aberto do botão direito do bimanual 2.</t>
  </si>
  <si>
    <t xml:space="preserve">Piso central Robo J4</t>
  </si>
  <si>
    <t xml:space="preserve">Falhas linha de medida Tucker
1- Falha de medição J4.
2 -Falha de solda pinça M5
3 - Caindo pino gerando falha elevação J2
</t>
  </si>
  <si>
    <t xml:space="preserve">Avaria no alimentador de pinos Tucker</t>
  </si>
  <si>
    <t xml:space="preserve">Substituição do Alimentador de pinos M5x14 com falhas intermitentes.</t>
  </si>
  <si>
    <t xml:space="preserve">OP 225</t>
  </si>
  <si>
    <t xml:space="preserve">Perdeu ciclo do equipamento</t>
  </si>
  <si>
    <t xml:space="preserve">travamento no balog</t>
  </si>
  <si>
    <t xml:space="preserve">corrigido ciclo e substituído balog e efetuado reset.</t>
  </si>
  <si>
    <t xml:space="preserve">Mastic Aéreo</t>
  </si>
  <si>
    <t xml:space="preserve">Falha na rede profinet das mesas Aéreo</t>
  </si>
  <si>
    <t xml:space="preserve">Mal contato no cabo de rede da mesa T102</t>
  </si>
  <si>
    <t xml:space="preserve">Rearmado todos os MOP's e verificado conexão da mesa T102. Em horário de café será feito uma inspeção melhor nas conexões.</t>
  </si>
  <si>
    <t xml:space="preserve">Banco de Teste 2</t>
  </si>
  <si>
    <t xml:space="preserve">Falta resposta motor ao comando de aceleração</t>
  </si>
  <si>
    <t xml:space="preserve">Problema eletrico na maleta</t>
  </si>
  <si>
    <t xml:space="preserve">Substituição da maleta para verificação posterior</t>
  </si>
  <si>
    <t xml:space="preserve">Robô B0 Unit Arrier Monofluxo</t>
  </si>
  <si>
    <t xml:space="preserve">Caixa do CPO com defeito e conexão capo profinet</t>
  </si>
  <si>
    <t xml:space="preserve">Substituido caixa CPO 2 vezes, pois foi colocado uma usada, substituído cabo e alterado porta de ligação na CPX da PN1 para PN2</t>
  </si>
  <si>
    <t xml:space="preserve">Unit Arriere Robo K3</t>
  </si>
  <si>
    <t xml:space="preserve">Falha Profinet Griper K31</t>
  </si>
  <si>
    <t xml:space="preserve">Mau contato nos pinos Griper K31 Robo K3</t>
  </si>
  <si>
    <t xml:space="preserve">Desacoplado Griper do Robo K4 e efetuado limpeza contatos dos pinos do Aply</t>
  </si>
  <si>
    <t xml:space="preserve">Banco de Teste 4</t>
  </si>
  <si>
    <t xml:space="preserve">Falha geral no modulo CPX festo, interrupção do ciclo de enchimento</t>
  </si>
  <si>
    <t xml:space="preserve">Queda da alimentação 24V devido a curto no sensor de filtro sujo no circuito de glicol.</t>
  </si>
  <si>
    <t xml:space="preserve">Limpeza do filtro e correções nas ligações do sensor.</t>
  </si>
  <si>
    <t xml:space="preserve">Retoque Teste elétrico ME5</t>
  </si>
  <si>
    <t xml:space="preserve">Queima da placa ASD</t>
  </si>
  <si>
    <t xml:space="preserve">Falha na fonte de alimentação</t>
  </si>
  <si>
    <t xml:space="preserve">Subsituido placa ASD e substituido a fonte</t>
  </si>
  <si>
    <t xml:space="preserve">Stoper de segurança não avança</t>
  </si>
  <si>
    <t xml:space="preserve">travamento mecânico</t>
  </si>
  <si>
    <t xml:space="preserve">Destravado mecanimente e ajustado curso do cilindro</t>
  </si>
  <si>
    <t xml:space="preserve">AGx52</t>
  </si>
  <si>
    <t xml:space="preserve">falha profinet, desarmando a linha</t>
  </si>
  <si>
    <t xml:space="preserve">Mau contato no modulo griper traseiro BM60</t>
  </si>
  <si>
    <t xml:space="preserve">Reapertado os cabos profinet</t>
  </si>
  <si>
    <t xml:space="preserve">Mesa 14 entrada da Base</t>
  </si>
  <si>
    <t xml:space="preserve">Falha de time out da mesa 9, carro parou na translação para mesa 14</t>
  </si>
  <si>
    <t xml:space="preserve">Mesa 14 não estava rodando, motor estava parado mesmo com condições de software para avanço.</t>
  </si>
  <si>
    <t xml:space="preserve">* Retirado tampa defletora da ventilação forçada;
* Soltado um pouco o freio para aliviar o motor e diminuir a sujeira impregnada no entre ferro;
Obs: motor estava super aquecido
</t>
  </si>
  <si>
    <t xml:space="preserve">mesa N0/L0 CSF1</t>
  </si>
  <si>
    <t xml:space="preserve">Perda de posição na translação da mesa para N0</t>
  </si>
  <si>
    <t xml:space="preserve">Acionamento indevido do sensor "N0DP"</t>
  </si>
  <si>
    <t xml:space="preserve">Ausencia do batente de apoio para o Skid, no movimento de translação da mesa, acionava o sensor parando o movimento pelo interlock lógico</t>
  </si>
  <si>
    <t xml:space="preserve">Falha no supervisório "timeout de transmissão de dados ao servidor"</t>
  </si>
  <si>
    <t xml:space="preserve">Travamento da troca de dados do bloco FB911</t>
  </si>
  <si>
    <t xml:space="preserve">Efetuado restart do MOP, resetado a falha, não gerou a falha novamente</t>
  </si>
  <si>
    <t xml:space="preserve">PC Primer</t>
  </si>
  <si>
    <t xml:space="preserve">Aquecimento geral do painel</t>
  </si>
  <si>
    <t xml:space="preserve">Ar condicionado fora de operação</t>
  </si>
  <si>
    <t xml:space="preserve">Passado para o supervisor Adriano</t>
  </si>
  <si>
    <t xml:space="preserve">AG1 X79 CSA080</t>
  </si>
  <si>
    <t xml:space="preserve">Perda de nó devicenet</t>
  </si>
  <si>
    <t xml:space="preserve">Curto em cabo do sensor C0 PL21</t>
  </si>
  <si>
    <t xml:space="preserve">Desconectado o sensor e efetuado bypass no clp. Substituição do cabo será no 3 turno.</t>
  </si>
  <si>
    <t xml:space="preserve">LTDX52</t>
  </si>
  <si>
    <t xml:space="preserve">Dispotivo CCD500 fora de ciclo, com profinet desativada</t>
  </si>
  <si>
    <t xml:space="preserve">Manipulação errada no horário de janta</t>
  </si>
  <si>
    <t xml:space="preserve">corrigido memórias e ativado profinet</t>
  </si>
  <si>
    <t xml:space="preserve">Robô C1 AG2 P1</t>
  </si>
  <si>
    <t xml:space="preserve">Falha na SCC2, Alarm Robot (Erro 28695-11)</t>
  </si>
  <si>
    <t xml:space="preserve">Condutor rompido no percurso entre robô e armário elétrico</t>
  </si>
  <si>
    <t xml:space="preserve">* Substituído RBC2
*Substituído SSC2, reinstalado o sistema e descarregado o backup;
* Feito jumper no cabo de Alarme de máquina 1. 
</t>
  </si>
  <si>
    <t xml:space="preserve">Robô K4 gripper K31</t>
  </si>
  <si>
    <t xml:space="preserve">Defeito de profinet</t>
  </si>
  <si>
    <t xml:space="preserve">Problema no cabo de rede que vai do Aplly até a IM "CPX" do gripper</t>
  </si>
  <si>
    <t xml:space="preserve">Realizado verificação das conexões e reset do módulo da CPX.
Em horário de café 3º Turno será feita uma verificação e/ou substituíção do cabo.
</t>
  </si>
  <si>
    <t xml:space="preserve">UAV - Zona 2 / mesa F0</t>
  </si>
  <si>
    <t xml:space="preserve">Perda de marcha ciclo da Zona 2;
Falha cadeia de segurança.
</t>
  </si>
  <si>
    <t xml:space="preserve">Inserido incorretamente o carrinho de abastecimento de peças U79/H79;
Perda de posição da mesa F0
</t>
  </si>
  <si>
    <t xml:space="preserve">Realizado o posicionamento correto do carrinho, rearmado a barreira;
Resetado condições de segurança dos robôs, posicionado serragens da retacagem da mesa.
</t>
  </si>
  <si>
    <t xml:space="preserve">OP220 - RB PARAFUSAMENTO</t>
  </si>
  <si>
    <t xml:space="preserve">FALHA NO PARAFUSAMENTO</t>
  </si>
  <si>
    <t xml:space="preserve">VARIAÇÃO DO POSICIONAMENTO DO PALET</t>
  </si>
  <si>
    <t xml:space="preserve">CORREÇÕES DE POSICIONAMENTO DA PARAFUSADEIRA</t>
  </si>
  <si>
    <t xml:space="preserve">UAV - ZONA 2 / MESA F0</t>
  </si>
  <si>
    <t xml:space="preserve">PERDA DE MARCHA CICLO DE ZONA 3; FALHA CADEIA DE SEGURANÇA</t>
  </si>
  <si>
    <t xml:space="preserve">INSERIDO INCORRETAMENT O CARRINHO DE ABASTECIMENTO DE PEÇS U79/H79; PERDA DE POSIÇÃO DE MESA F0</t>
  </si>
  <si>
    <t xml:space="preserve">REALIZADO O POSICIONAMENTO CORRETO DO CARRINHO, REARMADO A BARREIRA; RESETADO CONDIÇÕES DE SEGURANÇA DOS ROBÔS, POSICIONADO SERRAGENS DE RETOCAGEM DA MESA</t>
  </si>
  <si>
    <t xml:space="preserve">PISO TRASEIRO X52 POSTO SF130 JIGBOX</t>
  </si>
  <si>
    <t xml:space="preserve">DISPOSITIVO NÃO PRESSURIZA</t>
  </si>
  <si>
    <t xml:space="preserve">MAU CONTATO JUMP PINOS 1 E 2 BORNEIRA X9 - 0V</t>
  </si>
  <si>
    <t xml:space="preserve">TRABALHADO PARTE EM DEGRADADA, APERTADO JUMP E COLOCAÇÃO DISPOSITIVO EM CICLO</t>
  </si>
  <si>
    <t xml:space="preserve">R07 - MONTADORA</t>
  </si>
  <si>
    <t xml:space="preserve">FALHA SENSORES 101.2 E 101.4</t>
  </si>
  <si>
    <t xml:space="preserve">MOVIMENTO DO CILINDRO ELEVAÇÃO TRANSPORTE DE PNEUS TRAVADO REGULADORA DE FLUXO</t>
  </si>
  <si>
    <t xml:space="preserve">VERIFICAÇÃO SENSORES AJUSTE SENSOR DE BRAÇO FECHADO QUE NÃO ESTAVA ACIONANDO, E AJUSTE DA REGULADORA DE FLUXO PARA RODAR. OBS. NECESSÁRIA AVALIAÇÃO CIRCUITO DE AR COMPRIMIDO DE ALIMENTAÇÃO PANES SIMILARES JÁ OCORRERAM COM OUTRAS REGULADORAS DE FLUXO DE RO7</t>
  </si>
  <si>
    <t xml:space="preserve">SMPLOC ME5</t>
  </si>
  <si>
    <t xml:space="preserve">PC SMPLOC NÃO LIGA</t>
  </si>
  <si>
    <t xml:space="preserve">HD DANIFICADO</t>
  </si>
  <si>
    <t xml:space="preserve">LIMPEZA DE PC SUBSTITUIÇÃO DO HD, DESCARREGADO IMAGEM DE OUTRO PC, CONFIGURAÇÕES E ATUALIZAÇÕES WINDOWS E SMPLOC, E CRIAÇÃO DOS TOPICOS DDE DE COMUNICAÇÃO COM OS CLP'S</t>
  </si>
  <si>
    <t xml:space="preserve">OP50</t>
  </si>
  <si>
    <t xml:space="preserve">FALHA NA TROCA DE TIPO</t>
  </si>
  <si>
    <t xml:space="preserve">SENSOR DE POSIÇÃO DANIFICADO</t>
  </si>
  <si>
    <t xml:space="preserve">SUBSTITUIÇÃO DE SENSOR DANIFICADO E FINALIZADA TROCA DE TIPO.</t>
  </si>
  <si>
    <t xml:space="preserve">POSTO SAM 1</t>
  </si>
  <si>
    <t xml:space="preserve">TODAS AS MAQUINAS FORA DE COMUNICAÇÃO</t>
  </si>
  <si>
    <t xml:space="preserve">PLACA PROFIBUS PC MAU CONECTADA E ERRO APLICATIVO PLACA APLICCOM</t>
  </si>
  <si>
    <t xml:space="preserve">SUBSTITUIÇÃO TRAVAS PLASTICAS DE TRAVAMENTO DA POSIÇÃO DAS PLACAS NOS SLOTS DO PC, INSTALAÇÃO DO APLICATIVO DA APPLICOM E CONFIGURAÇÃO.</t>
  </si>
  <si>
    <t xml:space="preserve">ELEVADOR FERRAGEM</t>
  </si>
  <si>
    <t xml:space="preserve">COLISÃO DE UMA CARROCERIA L52 NO ELEVADOR</t>
  </si>
  <si>
    <t xml:space="preserve">FALTA DO GRAMPO CARROCERIA ABRIU A PORTA DIANTEIRA ESQUERDA ANTES DE ENTRAR NO ELEVADOR</t>
  </si>
  <si>
    <t xml:space="preserve">SUBSTITUÍDO SENSORES E DESENTORTADO SUPORTE VERIFICADO SENSORES E LÓGICA DO POKA YOKE, ALARME OK, OPERADOR RESETOU O ALARME E VALIDOU ENTRADA DO CARRO, FOI ERRO OPERATÓRIO</t>
  </si>
  <si>
    <t xml:space="preserve">UNIT ARRIERE ROBÔ K0</t>
  </si>
  <si>
    <t xml:space="preserve">ROBÔ COM FALHA DE TRAJETORIA DE LIMPEZA</t>
  </si>
  <si>
    <t xml:space="preserve">HABILITADO LÓGICA DE LIMPEZA DE TUCKER NO ROBÔ K0QUE NÃO ESTÁ CONFIABILIZADO AINDA, GERANDO FALHA POR NÃO TER UM WORK OBJETO PROGRAMADO</t>
  </si>
  <si>
    <t xml:space="preserve">LEVADO ROBÔ PARA HOME EM MANUAL E RESETADO PEDIDO DE LIMPEZA DE TUCKER VIA SOFTWARE</t>
  </si>
  <si>
    <t xml:space="preserve">ROBOS R14 E R24 VERNIZ</t>
  </si>
  <si>
    <t xml:space="preserve">ROBOS R14 E R24 COLIDIRAM COM BBB NA PORTA TRASEIRA</t>
  </si>
  <si>
    <t xml:space="preserve">PROVAVELMNETE SKID ENROSCOU E ROBOS COLIDIRAM NA PORTA TRASEIRA</t>
  </si>
  <si>
    <t xml:space="preserve">RETIRADO ROBOS EM MANUAL E REPARDO APLICADORES DE TINTA, REINICIADO PROCESSO E ACOMPANHADO 20 CARROS OK</t>
  </si>
  <si>
    <t xml:space="preserve">IHM DO AGV DANIFICADA</t>
  </si>
  <si>
    <t xml:space="preserve">COLISÃO DA PEÇA</t>
  </si>
  <si>
    <t xml:space="preserve">SUBSTITUÍDO IHM</t>
  </si>
  <si>
    <t xml:space="preserve">ROBOS R14 E R24 COLIDIRAM COM BBB NA PORTA TRASEIRA, ROBO R24 COLIDIU COM HHA</t>
  </si>
  <si>
    <t xml:space="preserve">PERDEU POSIÇÃO DO SKID EM RELAÇÃO AO MOVIMENTO DO ROBÔ DEVIDO A TER ENROSCADO NO SENSOR DE PRESENÇA QUE FICA PRÓXIMO AO TRANSPORTADOR</t>
  </si>
  <si>
    <t xml:space="preserve">REALIZADO A SUBSTÍTUIÇÃO DO SENSOR FOTOELETRICO DE START DOS ROBOS PARA PINTURA DO MODELO BBB AJUSTE NA POSIÇÃO DO SENSOR DE PRESENÇA DA MESA.</t>
  </si>
  <si>
    <t xml:space="preserve">OP60.5</t>
  </si>
  <si>
    <t xml:space="preserve">FALHA DE DRIVE PRONTO 611D</t>
  </si>
  <si>
    <t xml:space="preserve">FALTA DE ALIMENTAÇÃO NA CHAVE GERAL DE INTERFACE COM O PORTAL, CHAVE QUEBRADA</t>
  </si>
  <si>
    <t xml:space="preserve">DESMONTADO SCCIONADORA E REALIZADO A COMUTAÇÃO PARA A POSIÇÃO LIGADA</t>
  </si>
  <si>
    <t xml:space="preserve">LVD - A0</t>
  </si>
  <si>
    <t xml:space="preserve">COLISÃO DA GRIPPER DO ROBO A0 COM DISPOSITIVO</t>
  </si>
  <si>
    <t xml:space="preserve">PEÇA FORA DE POSIÇÃO NO DISPOSITIVO A0</t>
  </si>
  <si>
    <t xml:space="preserve">REPOSICIONADO A PEÇA E REINICIADO TRAJETORIA DE PEGA</t>
  </si>
  <si>
    <t xml:space="preserve">EMBREAGEM DA P50 PATINANDO</t>
  </si>
  <si>
    <t xml:space="preserve">EM ANALISE, PRESSÃO DO ACOMPLAMENTO DA EMBREAGEM EM 50 BAR, DEVERIA ESTAR EM 90 BAR</t>
  </si>
  <si>
    <t xml:space="preserve">SUBSTITUÍDO 2 VÁLVULAS DIRECIONAIS DA UNIDADE HIDRÁULICA DO ACOPLAMENTO DA EMPREAGEM, NÃO RESOLVEU, FOI ALTERADO A FERRAMENTA PARA UMA PEÇA COM PROFUNDIDADE MENOR, RODOU, FOI ACERTADO PARA CONTINUAR A ANALISE AS 00:00, ONDE SERÁ SUBSTITUÍDO O BLOCO DE VÁLVULAS COMPLETO DA UNIDADE HIDRAULICA E A UNIÃO ROTATIVA DO ACOPLAMENTO HIDRÁULICO</t>
  </si>
  <si>
    <t xml:space="preserve">MESAS AG1</t>
  </si>
  <si>
    <t xml:space="preserve">CARRO NÃO DESCARREGOU NA MESA D0 ULITIMA MESA AG1</t>
  </si>
  <si>
    <t xml:space="preserve">PERDEU SEGURANÇA DE MOVIMENTO DOS ROLOS NA MESA F0, PRIMEIRA MESA DA CSF2, PERDEU INFORMAÇÃO DE RECUO DO ELEVADOR DA MESA, VERIFICADO QUE O ATUADOR DO SENSOR ESTÁ NO LIMITE DE ATUAÇÃO DO SENSOR</t>
  </si>
  <si>
    <t xml:space="preserve">CORIGIDO AS MEMORIAS DAS MESAS B0, C0 E D0 AG1, E NO SENSOR DO ELEVADOR DA MESA F0 CSF2 FOI FORÇADO ATUADO MAIS PRÓXIMO DO SENSOR, NO HORÁRIO DA JANNTA DO 3º SERA FEITO AJUSTE DO ATUADOR.</t>
  </si>
  <si>
    <t xml:space="preserve">EM ANALISE, PRESSÃO DO ACOMPLAMENTO DA EMBREAGEM EM 50 BAR, DEVERIA ESTAR EM 90BAR</t>
  </si>
  <si>
    <t xml:space="preserve">CONTINUANDO A ANÁLISE AS 01:50, ONDE SERÁ SUBSTITUÍDO ROTATIVA DO ACOPLAMENTO HIDRAULICO DA EMBREAGEM. AINDA EM TRABALHOS NA PRENSA, SERÁ ABASTECIDO O ACUMULADOR DE PRESSÃO</t>
  </si>
  <si>
    <t xml:space="preserve">MESA 2 ENTRADA CATAFORESE</t>
  </si>
  <si>
    <t xml:space="preserve">SKID ENROSCADO NA MESA, NÃO INDEXANDO NO PÊNDULO DA CATA; DESARME DO INVERSOR DE FREQUÊNCIA.</t>
  </si>
  <si>
    <t xml:space="preserve">ROLOS DA MESA NÃO ESTAVAM RODANDO, ENGRENAGEM GASTA E DENTE TORNO, FAZENDO COM QUE A CORRENTE TRAVASSE NO SUPORTE DO ROLO</t>
  </si>
  <si>
    <t xml:space="preserve">DEVIDO NÃO TER RESERVA PARA SUBSTITUIR, FEITO TROCA DO ROLO QU EESTAVA DANIFICADO COM O ROLO QUE FICA NO FINAL DA MESA; AO VERIFICAR QUE A ENGRENAGEM DO ROLO QUE FICA NA TRAÇÃO COM DESGASTE, TAMBEM FOI FEITO A INVERSÃO DO MESMO PARA EVITAR MAIS PROBLEMAS.</t>
  </si>
  <si>
    <t xml:space="preserve">TGSE2 P50</t>
  </si>
  <si>
    <t xml:space="preserve">FALTA PRESSÃO NA ESTAMPAGEM DA PEÇA</t>
  </si>
  <si>
    <t xml:space="preserve">PERDA DE PRESSÃO INTERNA CIRCUITO DE EMBREAGEM</t>
  </si>
  <si>
    <t xml:space="preserve">DESENVOLVIMENTO MRHD DIAGNOSTICADO, PERDA DE PRESSÃO INTERNA CIRCTUIO DE EMBREAGEM. RODANDO DEGRADADO GAMAS QUE NECESSITAM MENOS PRESSÃO PARA ESTAMPAGEM. INSTALAÇÃO DO DOZISCOPE PARA AUXILIO NO DIAGNOSITCO. INTERVENÇÃO PROGRAMADA PARA INICIO A 01:30 DA MADRUGADA DESTA SEXTA PARA SABADO 14/04</t>
  </si>
  <si>
    <t xml:space="preserve">ESTUFA DE PRIMER</t>
  </si>
  <si>
    <t xml:space="preserve">DESLIGOU TODOS OS QUEIMADORES DA ESTUFA DE PRIMER</t>
  </si>
  <si>
    <t xml:space="preserve">NÃO ENCONTRADO A CAUSA, UNICA CONDIÇÃO QUE NÃO DESLIGA EM CASCATA SERIA UM PEDIDO DE DESLIGAMENTO IMEDIATO, PORÉM NÃO FOI GERADO ESSE EVENTO NO SMP</t>
  </si>
  <si>
    <t xml:space="preserve">REARMADO E MONITORADO AS CONDIÇÕES DE DESARME ATÉ O FINAL D OTURNO, PRECISA TESTAR SE AO ACIONAR O BOTÃO DE DESLIGA, ESTÁ SUBINDO O EVENTO NO SMP</t>
  </si>
  <si>
    <t xml:space="preserve">MM13 MOP1</t>
  </si>
  <si>
    <t xml:space="preserve">PERDA DE COMUNICAÇÃO SOP'S POSTOS MANUAIS</t>
  </si>
  <si>
    <t xml:space="preserve">TRAVAMENTO DO DATA COLETOR</t>
  </si>
  <si>
    <t xml:space="preserve">OCORRENCIA DE DOIS TRAVAMENTOS, PRIMEIRO DESABILITADO PLACA DE REDE E REABILITADO E REINICIALIZAÇÃO DO DATA COLECTOR, SEGUNDO REINICIALIZADO O PC E O MOP E RECRIADO O TÓPICO IE GENERAL DO SIMATIC STATION QUE HAVIA PERDIDO. SEGMENTO APÓS PANE: EFETUADO LIMPEZA DE PROGRAMAS, LIMPEZ DE PROGRAMAS DESNECESSÁRIOS CONFIGURAÇÃO PARA SISTEMA GERENCIAR MEMÓRIA</t>
  </si>
  <si>
    <t xml:space="preserve">PERDA DE PRESSÃO INTERNA CIRCUITO DE EMBREAGEM JÁ TRABALHANDO SOMENTE COM GAMAS PEQUENAS</t>
  </si>
  <si>
    <t xml:space="preserve">PRENSA NÃO REALIZA PRENSAGEM RETIRADA DO AMORTECIMENTO PARA ESTAMPAGEM DE PEÇAS ATÉ A INTERVENÇÃO JÁ PROGRAMADA</t>
  </si>
  <si>
    <t xml:space="preserve">MOP UNIT AVANT</t>
  </si>
  <si>
    <t xml:space="preserve">MOP SEM COMUNICAÇÃO CO MSMP E SIMATIC</t>
  </si>
  <si>
    <t xml:space="preserve">REDE NIVEL 2 OSCILANDO</t>
  </si>
  <si>
    <t xml:space="preserve">REINICIADO MOP NO HORÁRIO DA JANTA, SEGUE EM ANEXO O LOG DE FALHAS DO WINDOWS</t>
  </si>
  <si>
    <t xml:space="preserve">AG1</t>
  </si>
  <si>
    <t xml:space="preserve">TODOS OS CARROS DA AG1 FORA DE POSIÇÃO COM DEFEITO DE CONTROLE DE POSIÇÃO MESA A0</t>
  </si>
  <si>
    <t xml:space="preserve">ESCAPOU O ELETRODO DO ROBÔ E MOLHOU O DISTRIBUIDOR LÓGICO GERANDO VÁRIAS FALHAS</t>
  </si>
  <si>
    <t xml:space="preserve">SECADO DISTRIBUIDOR LÓGICO E CORRIGIDO MEMÓRIAS DAS MESAS </t>
  </si>
  <si>
    <t xml:space="preserve">CMO BLOCO - GHERING</t>
  </si>
  <si>
    <t xml:space="preserve">MAQUINA NÃO LIGA</t>
  </si>
  <si>
    <t xml:space="preserve">PERDA DE PROGRAMA DA CPU BATERIA BAIXA</t>
  </si>
  <si>
    <t xml:space="preserve">DESCARREGAMENTO DE BACKUP, PORÉM OCORRêNCIA DE FALHA DE BALOGH, VERIFICADO E DUAS DAS DBS DOS BACKUPS ESTAVAM SOMENTE FALTANDO INFORMAÇÕES DB42 E DB89 CORREÇAO DA ESTRUTURA DAS DB'S</t>
  </si>
  <si>
    <t xml:space="preserve">CMO CABEÇOTE - OP 360 CU1</t>
  </si>
  <si>
    <t xml:space="preserve">MAQUINA NÃO ENTRA EM CICLO</t>
  </si>
  <si>
    <t xml:space="preserve">PERDA DE PROGRAMA PLC E CARTÃO CP COM PROBLEMA</t>
  </si>
  <si>
    <t xml:space="preserve">SUBSTITUIÇÃO DO CARTÃO CP E DESCARREGAMENTO DO BACKUP PLC E ARQUIVO PLC DO CNC</t>
  </si>
  <si>
    <t xml:space="preserve">SIMATIC NÃO COMUNICA COM PLC</t>
  </si>
  <si>
    <t xml:space="preserve">DESCONHECIDA</t>
  </si>
  <si>
    <t xml:space="preserve">ALTERAÇÃO DE PORTA DE COMUNICAÇÃO E COMPARDO PROJETO NORMALMENTE</t>
  </si>
  <si>
    <t xml:space="preserve">MM13 - POSTO 05</t>
  </si>
  <si>
    <t xml:space="preserve">GRAVAÇÃO NÃO EXECUTADA</t>
  </si>
  <si>
    <t xml:space="preserve">TRAVAMENTO MOVIMENTO EIXO Y (VERTICAL)</t>
  </si>
  <si>
    <t xml:space="preserve">AJUSTE MECÂNICA EIXO Y, E POSICIONAMENTO MICRO SWITCH DE POSIÇÃO DO EIXO Y </t>
  </si>
  <si>
    <t xml:space="preserve">LTD</t>
  </si>
  <si>
    <t xml:space="preserve">FALHA DE MOEMORIA DE SUPORTE NA MESA 13 LTP</t>
  </si>
  <si>
    <t xml:space="preserve">´PARAFUSO QUE FIXA PILOTO DIANTEIRO DIREITO DO SKI SOLDO COLIDIU COM SENSORES DE BAIXA VELOCIDADE E PARADA DA MESA, QUEBRANDO SENSOR DE PARADA, SKID FICOU FORA DE POSIÇÃO</t>
  </si>
  <si>
    <t xml:space="preserve">FIXADO SENSOR DE PARADA E CORRIGIDO MEMÓRIA DE DESCARREGAMENTO DA MESA 13, FICOU PENDENTE DE MODIFICAR AJUSTE DO SENSOR NO HORÁRIO DA JANTA</t>
  </si>
  <si>
    <t xml:space="preserve">MOP2</t>
  </si>
  <si>
    <t xml:space="preserve">MOP2 COM FALHA SIMATIC MANAGER</t>
  </si>
  <si>
    <t xml:space="preserve">FALHA NO SOFTWARE DO MOP</t>
  </si>
  <si>
    <t xml:space="preserve">REINICIADO PC</t>
  </si>
  <si>
    <t xml:space="preserve">MOP SC5 TMD</t>
  </si>
  <si>
    <t xml:space="preserve">PREDISPOSIÇÃO INCORRETA FALTAM EVENTOS</t>
  </si>
  <si>
    <t xml:space="preserve">PROBLEMA GECLOC E PREDISPOSIÇÃO</t>
  </si>
  <si>
    <t xml:space="preserve">REINSTALAÇÃO SMPLOC E DESCARREGAMENTO DA PREDISPOSIÇÃO SEM DOBRADORES DE TUBO.</t>
  </si>
  <si>
    <t xml:space="preserve">PERDA DE CICLO BALANCEADORA</t>
  </si>
  <si>
    <t xml:space="preserve">FALHA SENSOR DE ULTRAPASSAGEM ENTRADA BALANCEADORA</t>
  </si>
  <si>
    <t xml:space="preserve">BY PASS DO SOFTWARE PROVISÓRIO E SUBSTITJUI~ÇAO POSTERIOR DO SENSOR.</t>
  </si>
  <si>
    <t xml:space="preserve">TRANSPORTADOR LVG TRAVADO</t>
  </si>
  <si>
    <t xml:space="preserve">TRANSP. AEREO U0C DEF. LIMITE DE TORQUE EXCEDIDO</t>
  </si>
  <si>
    <t xml:space="preserve">EXCESSO TORQUE NO MOTOR. PALLET N5 ROLAMENTOS DANIFICADOS GERANDO ESFORÇO</t>
  </si>
  <si>
    <t xml:space="preserve">VERIFICADO DESTRAVADO FREIO MOTOR E REITRADO PALLET DO FLUXO</t>
  </si>
  <si>
    <t xml:space="preserve">BANCOS</t>
  </si>
  <si>
    <t xml:space="preserve">MONTAGEM BANCOS BBB</t>
  </si>
  <si>
    <t xml:space="preserve">SCANNER ATUANDO INDEVIDAMENTE</t>
  </si>
  <si>
    <t xml:space="preserve">AREA DO SCANNER INCORRETA</t>
  </si>
  <si>
    <t xml:space="preserve">EFETUADO AJUSTE AREA JUNTO COM O FORNECEDOR DO INTERVALO DO ALMOÇO</t>
  </si>
  <si>
    <t xml:space="preserve">ILHA VIDROS ROBO LUNETE</t>
  </si>
  <si>
    <t xml:space="preserve">ROBO DA LUNETE PERDEU CICLO APÓS INSTRUSÃO DO SKID NO MOMENTO DA MEDIÇAO</t>
  </si>
  <si>
    <t xml:space="preserve">EM ANALISE, SERA VERIFICADO SENSOR DE PARADA DA MESA ANTERIOR.</t>
  </si>
  <si>
    <t xml:space="preserve">RETIRADO ROBO EM MANUAL, NÃO RODAVA A ROTINA DE REPLI NEM ABRIA A ROTINA PELO TP, ESTAVA COM USER DEFAULT, DEMOROU EM TORNO DE 5 MIN PARA LOGAR COM O USUARIO SNEF QUE PERMITE ACESSO AO PROGRAMA, APOS LEVAR O ROBO PARA REPLI FOI CORRIGIDO AS MEMORIAS DO SOFTWARE E LIBERADO EM AUTOMATICO.</t>
  </si>
  <si>
    <t xml:space="preserve">CSA080</t>
  </si>
  <si>
    <t xml:space="preserve">FALHA NO MOVIMENTO DE ASA ESQUERDA</t>
  </si>
  <si>
    <t xml:space="preserve">grampo SRH2 colidiiu perdeu sinal de recuo e perdeu a condição de segurança de movimento da asa</t>
  </si>
  <si>
    <t xml:space="preserve">retirado braço tensor do grampo e liberado em automático				
</t>
  </si>
  <si>
    <t xml:space="preserve">Robô F1 unit Avant				</t>
  </si>
  <si>
    <t xml:space="preserve">perdeu calibração da pinça no momento da troca				
</t>
  </si>
  <si>
    <t xml:space="preserve">em analise, ficou para 3 turno verificar os contatos do trocador de ferramenta da hora da ceia				
</t>
  </si>
  <si>
    <t xml:space="preserve">Feito calibração da pinça no dock, feito manservice calibre, forçado autorização de evolução do robô, forçado rotina de deposito da pinça e todas as condições para desacoplar a pinça, aberto a ronita de pega da pinça executado a pega em manual, chamado rontina principal e liberado em automático.				
</t>
  </si>
  <si>
    <t xml:space="preserve">Falha no movimento do eixo Y				
</t>
  </si>
  <si>
    <t xml:space="preserve">Queima fusível alim. sensores mesa TK.				
</t>
  </si>
  <si>
    <t xml:space="preserve">substituido sensor, 2A, passado para manutenção verificar se o sensor está correto, pois foi verificado que não havia curto circuito.				
</t>
  </si>
  <si>
    <t xml:space="preserve">Colheitadeira				</t>
  </si>
  <si>
    <t xml:space="preserve">Quebra do eixo de acionamento do redutor				
</t>
  </si>
  <si>
    <t xml:space="preserve">Em análise, possível esforço mecanico na tração				
</t>
  </si>
  <si>
    <t xml:space="preserve">"Substituído motoredutor.
Como não tem um com as mesmas especificações, foi adaptado um para instalar na tração, com o mesmo motor devido ao tamanho da carcaça ter a necessidade de ser modelo 80"				
</t>
  </si>
  <si>
    <t xml:space="preserve">ILHA MONTAGEM</t>
  </si>
  <si>
    <t xml:space="preserve">Desarme de toda a ilha de montagem do banco				
</t>
  </si>
  <si>
    <t xml:space="preserve">"Scanner com área interrompida, 
Scanner em falha"				
</t>
  </si>
  <si>
    <t xml:space="preserve">"Verificado e alterado área para correção, porém ao realizar o download travou e não comunicou mais com o Scanner,
Realizado o Bypass de Hardware (físico) de sinal do Scanner evido a estar com risco de faltar peças para a montagem.
OBS: será passado para o integrador realizar as alterações e correções necessárias neste equipamento."				
</t>
  </si>
  <si>
    <t xml:space="preserve">Ilha vidros ABB robô Lunete				</t>
  </si>
  <si>
    <t xml:space="preserve">Robo E1 e E2 não realizam a colagem do vidro				
</t>
  </si>
  <si>
    <t xml:space="preserve">Travamento Robo Lunete na posição de colagem				
</t>
  </si>
  <si>
    <t xml:space="preserve">Desligamento CPU PLC, Retirada manual dos Robos e e forçado condições para funcionamento da ilha em degradado.                                                              Obs: demora devido Simatic do MOP sem comunicar com a CPU do CLP e travamento do Promia do Robo sem envio informação Robo em automatico.				
</t>
  </si>
  <si>
    <t xml:space="preserve">Ilha vidros robô Lunete				</t>
  </si>
  <si>
    <t xml:space="preserve">usuário default nãopermite fazer repli nos robos E1 e E2				
</t>
  </si>
  <si>
    <t xml:space="preserve">usuário default estava com acesso de operador				
</t>
  </si>
  <si>
    <t xml:space="preserve">liberado acesso total no usário default e deletado o usuário snef				
</t>
  </si>
  <si>
    <t xml:space="preserve">MESA TE05</t>
  </si>
  <si>
    <t xml:space="preserve">Falha na traslação do skid no ponto de troca.				
</t>
  </si>
  <si>
    <t xml:space="preserve">Skid descarrilhou na mesa. (Mesa está um pouco no sentido de receber da mesa T09)				
</t>
  </si>
  <si>
    <t xml:space="preserve">"Corrigido posição do Skid na mesa,
Realizado reparo em um divisor ""Y"" de sinal que danificou-se com a batida do skid."				
</t>
  </si>
  <si>
    <t xml:space="preserve">Perda de comunicação rede DeviceNet				
</t>
  </si>
  <si>
    <t xml:space="preserve">Falha no módulo ASB da Zona 1B. 				
</t>
  </si>
  <si>
    <t xml:space="preserve">"Reset da cabeça de rede,
Acompanhamento das carrocerias para verificação de sincronismo FIFO e PSF"				
</t>
  </si>
  <si>
    <t xml:space="preserve">Robô C8 CSF 3				</t>
  </si>
  <si>
    <t xml:space="preserve">Junta fora da faixa da servogun;				
</t>
  </si>
  <si>
    <t xml:space="preserve">Articulação, Ponteira mal encaixada na haste da Servogun				
</t>
  </si>
  <si>
    <t xml:space="preserve">Remontada e reapertada a haste da Servogun				
</t>
  </si>
  <si>
    <t xml:space="preserve">TE 10 Mastic ao solo				</t>
  </si>
  <si>
    <t xml:space="preserve">TE10 Def. elevador (travamento mecânico)				
</t>
  </si>
  <si>
    <t xml:space="preserve">Quebra engrenagem				
</t>
  </si>
  <si>
    <t xml:space="preserve">Substituição da engrenagem mas foi necessário adaptar engrenagem reserva com dimensões diferente da original para montagem do conjunto de transmissão de movimento. Após colocar para rodar foi necessário efetuar tensionamento correia 2 das 4 estavam frouxas.				
</t>
  </si>
  <si>
    <t xml:space="preserve">MM01 Posto 140				</t>
  </si>
  <si>
    <t xml:space="preserve">Falta libereração do palet				
</t>
  </si>
  <si>
    <t xml:space="preserve">Falta condições parafusadeira para abertura do Stoper				
</t>
  </si>
  <si>
    <t xml:space="preserve">Verificação condições Reinicilização da parafusadeira, e colocação do posto para rodar em degradado.				
</t>
  </si>
  <si>
    <t xml:space="preserve">Banco de rolagem				</t>
  </si>
  <si>
    <t xml:space="preserve">Falha no motor de rolagem dianteiro esquerdo e direito, falha nos inversores Lenze, após desligar disjuntor 24v o mesmo não rearmava				
</t>
  </si>
  <si>
    <t xml:space="preserve">Aquecimento do painel				
</t>
  </si>
  <si>
    <t xml:space="preserve">Enquanto efetuamos as medições para detectar um possível curto, o painel esfriou um pouco devido as portas estarem aberta, e voltou a rearmar, liberado equipamento não gerou mais falha.				
</t>
  </si>
  <si>
    <t xml:space="preserve">AG1 ROBO C1				</t>
  </si>
  <si>
    <t xml:space="preserve">Falha de solda Erro 31 - 32 (corrente muito baixa ou nula)				
</t>
  </si>
  <si>
    <t xml:space="preserve">Cabo potência interno robô com problema				
</t>
  </si>
  <si>
    <t xml:space="preserve">Colocado em degradado, e passado cabo por fora para rodar.       OBS: Programação posterior troca do cabo, Robo Modelo H4 cabo faz parte do feixe interno do Robo.				
</t>
  </si>
  <si>
    <t xml:space="preserve">esteira SC5				</t>
  </si>
  <si>
    <t xml:space="preserve">Esteira parada com falha de inversor				
</t>
  </si>
  <si>
    <t xml:space="preserve">Falta alimentação de potência, chave manual aberta				
</t>
  </si>
  <si>
    <t xml:space="preserve">Fechado a chave manual e reset da falha, chave em posição não visível e sem identificação, inserido como ação da MBR modificar posição da chave (hoje a chave fica no fosso da esteira num local escuro e do lado do interruptor da iluminação) e criar identificação da chave.				
</t>
  </si>
  <si>
    <t xml:space="preserve">Elev 17 				</t>
  </si>
  <si>
    <t xml:space="preserve">Elevador parado fora de posição proximo ao nivel 2, sem apresentar falhas.				
</t>
  </si>
  <si>
    <t xml:space="preserve">Motorredutor sistema de tração do movimento de elevação do elevador apresentando problemas.				
</t>
  </si>
  <si>
    <t xml:space="preserve">Realizado a inversão do Motorredutor "pelo backup";				
</t>
  </si>
  <si>
    <t xml:space="preserve">TristoK "TK"				</t>
  </si>
  <si>
    <t xml:space="preserve">Falha ao realizar missão de descarregamento				
</t>
  </si>
  <si>
    <t xml:space="preserve">O Aoveolo C0124 estava com carro Skid 1074 porém o mesmo não estava presente no mapa móvel.				
</t>
  </si>
  <si>
    <t xml:space="preserve">Foi reposicionado o carro para um aoveolo vazio e feito pedido para bloqueio de onde ele foi inserido. Também bloqueado o que estava com carro no físico mais virtualmente não tinha nada". 				
</t>
  </si>
  <si>
    <t xml:space="preserve">LTP Mesa 13				</t>
  </si>
  <si>
    <t xml:space="preserve">Perda de posição do skid na mesa 13				
</t>
  </si>
  <si>
    <t xml:space="preserve">Sensores parada e baixa velocidade foram arrancados dos suportes após colisão com skid, Rolos desalinhados gerando tendência de movimento lateral que direcionava  skid contra batentes e sensores, ou batentes e sensores posicionados incorretamente				
</t>
  </si>
  <si>
    <t xml:space="preserve">Substituído os sensores quebrados,		
Alinhado as guias dos rolos e Skid,		
Corrigido suportes dos sensores de presença;				
</t>
  </si>
  <si>
    <t xml:space="preserve">Erro na medição de Aro e falha no retorno da informação de cilindo de medição recuado.				
</t>
  </si>
  <si>
    <t xml:space="preserve">"Mal contato no cabo do conector do Transdutor de medida;
Sensor magnético fora do ajuste do embolo."				
</t>
  </si>
  <si>
    <t xml:space="preserve">"Fixado conecto e reapertado. Em horário de ceia realizado a substituição do Transdutor;
Realizado ajustes de posição no sensor de informação de recuo."				
</t>
  </si>
  <si>
    <t xml:space="preserve">LTP</t>
  </si>
  <si>
    <t xml:space="preserve">Dados incorretos PSF				
</t>
  </si>
  <si>
    <t xml:space="preserve">PJI duplicado na linha				
</t>
  </si>
  <si>
    <t xml:space="preserve">Corrigido dados para PSF, e realinhado os pedidos das mesas				
</t>
  </si>
  <si>
    <t xml:space="preserve">Bancos de Testes motores				</t>
  </si>
  <si>
    <t xml:space="preserve">Falha no abastecimento de combustiveis nos bancos de testes.				
</t>
  </si>
  <si>
    <t xml:space="preserve">Valvula de liberação de combustiveis geral 				
</t>
  </si>
  <si>
    <t xml:space="preserve">Bomba alimentação de Gasolina no Posto ELF travada.				
</t>
  </si>
  <si>
    <t xml:space="preserve">MM13 - MOP1				</t>
  </si>
  <si>
    <t xml:space="preserve">Perda comunicação IHMP´s dos SOP´s dos Postos Manuais				
</t>
  </si>
  <si>
    <t xml:space="preserve">Travamento comunição "Level 1 IHM-SAVE" 				
</t>
  </si>
  <si>
    <t xml:space="preserve">Reinicialização do MOP, e restabelecimento das IHMP´s				
</t>
  </si>
  <si>
    <t xml:space="preserve">AG-X52 MOP ABM2 				</t>
  </si>
  <si>
    <t xml:space="preserve">Defeito detecção Skid, e SIPTOL defeito resposta calculador PGF 05.02				
</t>
  </si>
  <si>
    <t xml:space="preserve">Perda de comunicação com SIPTOL				
</t>
  </si>
  <si>
    <t xml:space="preserve">Verificação cabos e comunicação e mau contato cabo ponto T2-162 entrada MOP que chega do Switch da informatica.				
</t>
  </si>
  <si>
    <t xml:space="preserve">Mastic Mesa 103				</t>
  </si>
  <si>
    <t xml:space="preserve">Colisão na mesa 103 Z1 mastic				
</t>
  </si>
  <si>
    <t xml:space="preserve">Operador colocou ferramenta de abertura do porta malas na posição errada, ficou mais aberto e colidiu com as vigas do teto				
</t>
  </si>
  <si>
    <t xml:space="preserve">Corrigido posição das carrocerias e corrigido as memórias, rearmado disjuntor motor da mesa				
</t>
  </si>
  <si>
    <t xml:space="preserve">TK				</t>
  </si>
  <si>
    <t xml:space="preserve">Carro não descarregava da pintura para elevador				
</t>
  </si>
  <si>
    <t xml:space="preserve">Numero do skid duplicado, carro que estava para descarregar no skid 4109, pois estava com o skid com mesmo numero no alvéolo 123,				
</t>
  </si>
  <si>
    <t xml:space="preserve">Forçado via DLI o descarregamento do carro, no horário de janta foi corrigido os carros dos alvéolos 110, 123 e 124. corrigido PJI e numero do skid, no PLC e SIPTK				
</t>
  </si>
  <si>
    <t xml:space="preserve">Correntão ME3/ME5				</t>
  </si>
  <si>
    <t xml:space="preserve">Defeito Fim de curso contra peso baixo, tensionador				
</t>
  </si>
  <si>
    <t xml:space="preserve">Possível enrosco de balancele 58 na entrada de ME3, ponto de indexação do balancele com a corrente. (Ainda em análise)				
</t>
  </si>
  <si>
    <t xml:space="preserve">Forçado condição de avanço para a indexação do balancele. Após isso voltado condição normal de trabalho.				
</t>
  </si>
  <si>
    <t xml:space="preserve">Ilha de Vidros ABB - Robo Lunete				</t>
  </si>
  <si>
    <t xml:space="preserve">Defeito seguranção intrusão da ilha de vidros				
</t>
  </si>
  <si>
    <t xml:space="preserve">Colisão Robo com tampa do porta malas BBB aberta				
</t>
  </si>
  <si>
    <t xml:space="preserve">Retirada manual do Robo e colocação da ilha em degradado sem colagem do robo Lunete.				
</t>
  </si>
  <si>
    <t xml:space="preserve">TGSE2 ROBO ROD				</t>
  </si>
  <si>
    <t xml:space="preserve">Z1: R1 (ROD), Não está em Automatico				
</t>
  </si>
  <si>
    <t xml:space="preserve">FALHA DE COMUNICAÇÃO - COM MODULO SAIDA DIGITAL ET200ECO				
</t>
  </si>
  <si>
    <t xml:space="preserve">Tentativa de restabelecimento e Reinicialização Robo e modulo danificado, Substituição e configuração do modulo de saida ET200ECO				
</t>
  </si>
  <si>
    <t xml:space="preserve">Mastic ao Solo Mesa35				</t>
  </si>
  <si>
    <t xml:space="preserve">MESA 35: DEF. CTRL TIME-OUT PARATIA DIREITA e ESQUERDA				
</t>
  </si>
  <si>
    <t xml:space="preserve">Sensor de posição paratia fora de posição				
</t>
  </si>
  <si>
    <t xml:space="preserve">Reaperto do atuador (Parafuso Allen) - Sensor Lado Esquerdo (Dianteiro - Horinzontal). Revisão geral de todos os atuadores e sensores do sistema de Parati Lado Esquerdo e Direito.				
</t>
  </si>
  <si>
    <t xml:space="preserve">Robos Base BC1 e BC2				</t>
  </si>
  <si>
    <t xml:space="preserve">Pane Sistema 10 - Base BC1 e BC2				
</t>
  </si>
  <si>
    <t xml:space="preserve">Baixa pressão sistema de aplicação 				
</t>
  </si>
  <si>
    <t xml:space="preserve">Seguimento MRHD, diagnosticado bombas com problemas desligado as mesmas, e ajustes de pressão dos sistemas das bombas.				
</t>
  </si>
  <si>
    <t xml:space="preserve">CATAFORESE</t>
  </si>
  <si>
    <t xml:space="preserve">parada do transporte  na cataforese				
</t>
  </si>
  <si>
    <t xml:space="preserve">Pêndulo 80 atuou o cabo de segurança da cuba da cataforese				
</t>
  </si>
  <si>
    <t xml:space="preserve">Forcado o sinal do cabo de seguranca e aconpanhado a saida das carrocerias do banho não encontrado anomalia no posicionamento dos skids sobre os pêndulos.				
</t>
  </si>
  <si>
    <t xml:space="preserve">Transelevador parado com missão de carregamento. (falhas nos alvéolos 106, 2106)				
</t>
  </si>
  <si>
    <t xml:space="preserve">Disjuntor LM03 desarmado sem falha na IHM				
</t>
  </si>
  <si>
    <t xml:space="preserve">Devido a divergencia de informação entre DLI e Informática, foi resetado servidor do SipTK e reinicializado todos alvéolos, sem sucesso, voltou a rodar quando encontramos o disjuntor LM03 desarmado, do grupo de motores dos alvélos em que gerava a parada. nenhum dos 8 disjuntores dos drives indicava falha na IHM, foi corrigido o alarme.				
</t>
  </si>
  <si>
    <t xml:space="preserve">CX90 Piso U79				</t>
  </si>
  <si>
    <t xml:space="preserve">Falha no fechamento das Serragens e falha na CPU				
</t>
  </si>
  <si>
    <t xml:space="preserve">Curto circuito nos cabos de sensores das serragens grupo 11				
</t>
  </si>
  <si>
    <t xml:space="preserve">"Substituído cabos que estavam rompidos e jumpeado um sensor que queimou após o curto.
Sensor será requisitado outra peça para substituição."				
</t>
  </si>
  <si>
    <t xml:space="preserve">Picking MO - Prensa PTAR				</t>
  </si>
  <si>
    <t xml:space="preserve">Defeito Leitura Camera modelo não OK				
</t>
  </si>
  <si>
    <t xml:space="preserve">Habilitação de funcionamento com PSF pela Engenharia para testes modelo 4X4				
</t>
  </si>
  <si>
    <t xml:space="preserve">Habilitação de funcionamento com PSF pela Engenharia para testes modelo 4X4 (Manutenção não informada do teste)				
</t>
  </si>
  <si>
    <t xml:space="preserve">Painel Bombas Verniz				</t>
  </si>
  <si>
    <t xml:space="preserve">Defeito RIO				
</t>
  </si>
  <si>
    <t xml:space="preserve">Desarme proteção geral painel das bombas na subestação, Queima fiação disjuntor Bomba 3				
</t>
  </si>
  <si>
    <t xml:space="preserve">Desmontagem do Disjuntor e isolamento do circuito.				
</t>
  </si>
  <si>
    <t xml:space="preserve">Estufa cataforese				</t>
  </si>
  <si>
    <t xml:space="preserve">Falha no transportador da estufa de cataforese				
</t>
  </si>
  <si>
    <t xml:space="preserve">Corrente muito pesada com pouca lubrificação travou e degradou redutor do lado direito				
</t>
  </si>
  <si>
    <t xml:space="preserve">Substituído redutor lado direito sentido linha, alinhado a corrente, lubrificado toda a corrente, esvaziado a estufa para verificar se havia algo travando a corrente mecanicamente, ajuste do micro da embreagem para o novo conjunto.				
</t>
  </si>
  <si>
    <t xml:space="preserve">Banco de testes 4				</t>
  </si>
  <si>
    <t xml:space="preserve">Desarme do banco de testes				
</t>
  </si>
  <si>
    <t xml:space="preserve">Scanner de segurança do operador com acionamentos intermitentes após o início do teste de motor 				
</t>
  </si>
  <si>
    <t xml:space="preserve">Colocado um calço atras do suporte do Scanner para diminuir a vibração e direcionar o foco do Scanner. Deixado recado para analista da área para fazerem um intervenção e ajustes durante o dia.				
</t>
  </si>
  <si>
    <t xml:space="preserve">LVG - Robo N0				</t>
  </si>
  <si>
    <t xml:space="preserve">Tela Azul - Perda dos contadores de revolução				
</t>
  </si>
  <si>
    <t xml:space="preserve">Mau contato cabo SMB				
</t>
  </si>
  <si>
    <t xml:space="preserve">Verificação geral conexões e passado limpa contatos, diagnosticado conector cabo SMB ligação entre Painel e Base Robo frouxo na base do Robo, reapertado e atualização dos contadores de revolução.				
</t>
  </si>
  <si>
    <t xml:space="preserve">SMP GSE				</t>
  </si>
  <si>
    <t xml:space="preserve">SMPLOC fora de comunicação Local (com as Zonas)				
</t>
  </si>
  <si>
    <t xml:space="preserve">Perda do configuração do General IE no Simatic Station				
</t>
  </si>
  <si>
    <t xml:space="preserve">Recriado o tópico de comunicação para o mesmo.				
</t>
  </si>
  <si>
    <t xml:space="preserve">mesa Transbordo retoque				</t>
  </si>
  <si>
    <t xml:space="preserve">Falha na mesa 17 transbordo do retoque				
</t>
  </si>
  <si>
    <t xml:space="preserve">Quebrou eixo do motoredutor de translação				
</t>
  </si>
  <si>
    <t xml:space="preserve">Substituído motoredutor, adaptado engrenagem, pois o motoredutor original é obsoleto.</t>
  </si>
  <si>
    <t xml:space="preserve">rob OP280 Bloco				</t>
  </si>
  <si>
    <t xml:space="preserve">Robô com falha na presença de ferramenta				
</t>
  </si>
  <si>
    <t xml:space="preserve">Manipulação incorreta fora do horário de produção				
</t>
  </si>
  <si>
    <t xml:space="preserve">Ao chegar na máquina foi constatado que o robô estava com duas ferramentas uma em cada pinça, porém sem modelo, foi feito depósito no magazine em manual via TP das duas ferramentas, zerado memórias, passado toda máquina para automático, robô foi pegar a ferramenta e não concluiu o ciclo, aguardando sequência 1, não era possível visualizar troca de informações com o plc, e comando manual de fechamento de castanha e pinça não estavam funcionando no TP,  foi efetuado um P-start no robô, comunicação com plc voltou e comandos manuais também, verificado que a castanha ficava com os sinais aberta e fechada simultaneamente, ao fazer o fechamento, forçado condições de aberftura, e ajustado os micro switchs, após essa etapa começou a funcionar parcialmente, robô pegava ferramenta no magazine, se deslocava para o bloco fechava a pinça e parava aguardando a sequência 1, verificado sinais fisicos OK das pinças porém a memória virtual de pinça 1 F_D estava simulada (forçada) a zero, retirado simulação robô fez uma peça em automático, após retirado a simulação foi possível verificar o sinal do sensor de fechamento da pinça oscilando, substituído o sensor e liberado em automático.				
</t>
  </si>
  <si>
    <t xml:space="preserve">TPTS transporte				</t>
  </si>
  <si>
    <t xml:space="preserve">Falha no sinscronismo e nas correntes do transporte				
</t>
  </si>
  <si>
    <t xml:space="preserve">Desgaste da corrente, engrenagem de tração do "escravo"				
</t>
  </si>
  <si>
    <t xml:space="preserve">Substituído engrenagem de tração do "escravo", acertado os passos da corrente do transporte				
</t>
  </si>
  <si>
    <t xml:space="preserve">Máquina Enchimento AC				</t>
  </si>
  <si>
    <t xml:space="preserve">Defeito pequena fuga na pressão				
</t>
  </si>
  <si>
    <t xml:space="preserve">Possível erro na leitura dos valores do transdutor e vazamento durante a aplicação				
</t>
  </si>
  <si>
    <t xml:space="preserve">"Substituído uma váluvula da liberação de pressão e de vácuo, 
Substituição da válvula piloto"				
</t>
  </si>
  <si>
    <t xml:space="preserve">MM13 Posto 220				</t>
  </si>
  <si>
    <t xml:space="preserve">Posto parado sem seguimento do ciclo				
</t>
  </si>
  <si>
    <t xml:space="preserve">Queda retentor e perda ciclo gaveta retentor				
</t>
  </si>
  <si>
    <t xml:space="preserve">Pega novamente dos retentores das ogivas, restabelecimento ciclo das gavetas de retentores e do Robo, e colocação da celula novamente em ciclo.				
</t>
  </si>
  <si>
    <t xml:space="preserve">LVD				</t>
  </si>
  <si>
    <t xml:space="preserve">Travamento da CPU do CLP do MOP				
</t>
  </si>
  <si>
    <t xml:space="preserve">CPU 319 com problema				
</t>
  </si>
  <si>
    <t xml:space="preserve">Duas paradas primeira desligamento da CPU e restabelecimento das memorias de peças e sequencias SIPTOL dos postos, segunda substituição da CPU e cartão de memória restabelecimento das memorias de peças e sequencias SIPTOL dos postos				
</t>
  </si>
  <si>
    <t xml:space="preserve">Postos parados, Perda comunicação IHMP´s dos SOP´s dos Postos Manuais.				
</t>
  </si>
  <si>
    <t xml:space="preserve">Travamento comunição "Level 1 IHM-SAVE", falha de licença Simatic				
</t>
  </si>
  <si>
    <t xml:space="preserve">OP230 Ghering				</t>
  </si>
  <si>
    <t xml:space="preserve">Falha no funcionamento da maquina				
</t>
  </si>
  <si>
    <t xml:space="preserve">Fonte Geral 24V das ET200 queimada, queima de 2 modulos de potencia Indramat, e queima fonte PC medição				
</t>
  </si>
  <si>
    <t xml:space="preserve">Substituição Fonte Potencia das ET200, substituiçao dois modulos potencia Indramat, Substituição de um dos PCs estação de medição da maquina devido fonte queimada (Placas originais), verificado ausencia sinal sensor posição eixo C Estação 19, executado ajustes "zeramento" Eixo C da extação 19 que gerara erro na NGU.				
</t>
  </si>
  <si>
    <t xml:space="preserve">Retificador 4 				</t>
  </si>
  <si>
    <t xml:space="preserve">falha no retificador 4, superintesidade				
</t>
  </si>
  <si>
    <t xml:space="preserve">em analise				
</t>
  </si>
  <si>
    <t xml:space="preserve">Foi desabilitado a primeira zona do retificador 1, estava induzindo tensão no retificador 4 pelo pendulo.				
</t>
  </si>
  <si>
    <t xml:space="preserve">Robô C8 BM30				</t>
  </si>
  <si>
    <t xml:space="preserve">fazendo um estalo ao depositar o griper do L52 na BM30				
</t>
  </si>
  <si>
    <t xml:space="preserve">falha na trajetória do ponto de depósito				
</t>
  </si>
  <si>
    <t xml:space="preserve">corrigido ponto de depósito 				
</t>
  </si>
  <si>
    <t xml:space="preserve">Elevador 77 cera				</t>
  </si>
  <si>
    <t xml:space="preserve">Falha no drive de elevação do elevador				
</t>
  </si>
  <si>
    <t xml:space="preserve">Queima do inversor				
</t>
  </si>
  <si>
    <t xml:space="preserve">Verificado elevador em falha e drive desligado, verificado que o contator RLV estava atracado, medido saida do contator RLV, medido alimentação nos bornes internos do Diagnosticado  Inversor queimado, função variador de 7,5Kw, tentativa com uma função de 1,5 kW mas não partia o motor com falha de sobrecarga, substituida por funçao de 7,5Kw emprestada carroceria, descarreado o programa via IHM, mas na hora de partir não passava de 1,8Hz, copiado parametros do elevador 31 e descarregado, permaneceu mesmo modo de falha, ajustado os parametros do Inversor via IHM do mesmo, de acordo com ficha de parâmetros impressa no painel, então funcionamento do sistema OK, ajuste filme da FIFO liberado em automático.				
</t>
  </si>
  <si>
    <t xml:space="preserve">Mesa TB15				</t>
  </si>
  <si>
    <t xml:space="preserve">Falha por inversor de frequencia				
</t>
  </si>
  <si>
    <t xml:space="preserve">Em análise devido a vários pontos a serem verificados				
</t>
  </si>
  <si>
    <t xml:space="preserve">Checado as conexões de todos os sensores referentes ao acionamento dos rolos da mesa e também verificado as chabatas de interligação				
</t>
  </si>
  <si>
    <t xml:space="preserve">Carregador baterias AGV berço do Motor				</t>
  </si>
  <si>
    <t xml:space="preserve">Não estava carregando as baterias e ocorrendo falha na hora da liberação do AGV				
</t>
  </si>
  <si>
    <t xml:space="preserve">Sensor óptico de controle de parada e troca de informação desalinhado				
</t>
  </si>
  <si>
    <t xml:space="preserve">Realizado o ajuste de posição do sesor. Tem que melhorar a fixação pois a mesma está sem os chumbadores na base do suporte				
</t>
  </si>
  <si>
    <t xml:space="preserve">PC do SIPMEC				</t>
  </si>
  <si>
    <t xml:space="preserve">Perda de comunicação com o posto de trabalho, não liberava OF para execução da atividade				
</t>
  </si>
  <si>
    <t xml:space="preserve">"Falha na rede de troca de informação entre SIPMEC e PLC.
Não havia resposta da troca de dados"				
</t>
  </si>
  <si>
    <t xml:space="preserve">Realizado o Reset do PC e após verificações pela informática no cabeamento de rede, voltou a comunicar.				
</t>
  </si>
  <si>
    <t xml:space="preserve">TPTS				</t>
  </si>
  <si>
    <t xml:space="preserve">Desalinhamento dos Pêndulos na entrada de carros no TPTS				
</t>
  </si>
  <si>
    <t xml:space="preserve">Ainda em verificação, 				
</t>
  </si>
  <si>
    <t xml:space="preserve">Adiantado um elo de corrente lado esquerdo sentido fluxo na parte do "escravo", e também adiantado um dente na engrenagem de acionamento do "mestre".				
</t>
  </si>
  <si>
    <t xml:space="preserve">MM13 - Posto 0				</t>
  </si>
  <si>
    <t xml:space="preserve">Palete posicionado mas sem presença de TAG				
</t>
  </si>
  <si>
    <t xml:space="preserve">Falha de comunicação com SIPMECA				
</t>
  </si>
  <si>
    <t xml:space="preserve">Falha de comunicação desconexão cabo no cartão CP e na entrada do MOP, e posterior na IHM de posto e reconetado retornou comunicação.				
</t>
  </si>
  <si>
    <t xml:space="preserve">Alimentação Geral - Utilidades Substação 				</t>
  </si>
  <si>
    <t xml:space="preserve">Falta alimentação geral equipamentos CAR VU				
</t>
  </si>
  <si>
    <t xml:space="preserve">Disarme Disjuntor Substação 4:30 e 7:40				
</t>
  </si>
  <si>
    <t xml:space="preserve">Auxilio Car VU restart da linha ultimo equipamento Robo C4 da Base retorno ao funcionamento 8:35				
</t>
  </si>
  <si>
    <t xml:space="preserve">X52AG - BM2 BM70				</t>
  </si>
  <si>
    <t xml:space="preserve">M0 Informações enviadas incorretas 05.02				
</t>
  </si>
  <si>
    <t xml:space="preserve">Falha de comunicação com SIPTOL				
</t>
  </si>
  <si>
    <t xml:space="preserve">Falha de comunicação desconexão cabo no cartão CP e na entrada do MOP. (Retorno da comunicação)                                                        OBS: Ocorrencia de parada também por Siptol na BM30 proximo a parada da BM70 (Efetuada ação pela informatica e manutenção no MOP BM70 no horario do almoço)     				
</t>
  </si>
  <si>
    <t xml:space="preserve">Banco 1 paralelismo				</t>
  </si>
  <si>
    <t xml:space="preserve">Falha no pc do paralelismo				
</t>
  </si>
  <si>
    <t xml:space="preserve">Travamento de software				
</t>
  </si>
  <si>
    <t xml:space="preserve">Reiniciado pc, porém teclado não funcionava, foiutlizado o teclado virtual, depois que abriu o sw subsituimos o teclado				
</t>
  </si>
  <si>
    <t xml:space="preserve">RO7				</t>
  </si>
  <si>
    <t xml:space="preserve">
Falha ao medir a largura da roda				
</t>
  </si>
  <si>
    <t xml:space="preserve">Mau contato do cabo do transdutor				
</t>
  </si>
  <si>
    <t xml:space="preserve">Encontrado uma via rompida, foi feito a solda, porém continua gerando falha, foi desabilitado o controle e será preparado cabo para substituir na ceia do 3° turno				
</t>
  </si>
  <si>
    <t xml:space="preserve">Preliminar X52 - Robô H1 FM100				</t>
  </si>
  <si>
    <t xml:space="preserve">Falha ao disparar solda				
</t>
  </si>
  <si>
    <t xml:space="preserve">Falha no modo de controle adaptativo				
</t>
  </si>
  <si>
    <t xml:space="preserve">Desabilitado controle adaptativo				
</t>
  </si>
  <si>
    <t xml:space="preserve">Falha ao medir a largura da roda				
</t>
  </si>
  <si>
    <t xml:space="preserve">Substituído cabo de conexão com o transutor de medição da Roda "R100218554", segue mabec somente do conector "R100222385"				
</t>
  </si>
  <si>
    <t xml:space="preserve">Eleva vidro lado esquerdo				</t>
  </si>
  <si>
    <t xml:space="preserve">Falha em todo o sistema 12 volts do painel				
</t>
  </si>
  <si>
    <t xml:space="preserve">Queimou a fonte de alimentação do circuito de elevação dos vidros				
</t>
  </si>
  <si>
    <t xml:space="preserve">Substituído a fonte de alimentação. Como não encontramos uma com a mesma corrente, foi colocado de capacidade menor.				
</t>
  </si>
  <si>
    <t xml:space="preserve">MM13 - MOP2				</t>
  </si>
  <si>
    <t xml:space="preserve">Substituição do MOP com a imagem				
</t>
  </si>
  <si>
    <t xml:space="preserve">Mastic - Zona 2				</t>
  </si>
  <si>
    <t xml:space="preserve">Desarme geral disjuntor alimentação potencia Zona 2				
</t>
  </si>
  <si>
    <t xml:space="preserve">Curto circuito entre uma fase e neutro				
</t>
  </si>
  <si>
    <t xml:space="preserve">Retirada do neutro e ligação de um cabo com mesmo por fora para rodar e colocação de outro cabo por fora da calha após fim da produção.				
</t>
  </si>
  <si>
    <t xml:space="preserve">Balancele de Portas (Trecho C74/C75) entrada Elevador de portas ME3 LE</t>
  </si>
  <si>
    <t xml:space="preserve">Sem liberação de acionamento do comando neste trecho</t>
  </si>
  <si>
    <t xml:space="preserve">Cabo  de alimentação 24V solto no painel da zona 5.</t>
  </si>
  <si>
    <t xml:space="preserve">Realizado inpeção e verificação do painel elétrico e campo, religado fio 24V da alimentação do trecho na regua de distribuição da Flex IO,
Obs: Foi realizado em horário de ceia para evitar alguma outra ocorrência ou pane no reparo.
</t>
  </si>
  <si>
    <t xml:space="preserve">BITON</t>
  </si>
  <si>
    <t xml:space="preserve">Liberação de carros inseridos durante período de greve.				
</t>
  </si>
  <si>
    <t xml:space="preserve">Várias carrocerias de diversidades diferentes inseridas no processo devido a "greve"				
</t>
  </si>
  <si>
    <t xml:space="preserve">By pass da estação de  aplicação de Pintura Biton e zerado o tempo de passagem dos carros pela estufa, deixado apenas para circulação das carrocerias.				
</t>
  </si>
  <si>
    <t xml:space="preserve">Testes elétricos saída de ME3 (Estático)				</t>
  </si>
  <si>
    <t xml:space="preserve">Falha no teste de Gama nos veículos;
PC Estático 26 fora da rede;</t>
  </si>
  <si>
    <t xml:space="preserve">"Alguns dos PC's estavam logados de forma errada, (EcoScreen) sendo que todos deveriam estar logado como ( SIDIS);
Estático 26, com mal contato no cabo de rede do PC."				
</t>
  </si>
  <si>
    <t xml:space="preserve">"Realizado reset dos PCs do estático (21,22,23,24,25,26), realizado a troca de usuário com o Login (SIDIS);
Verificado conexão e religado cabo de rede do PC estático 26."				
</t>
  </si>
  <si>
    <t xml:space="preserve">Ilha Robôs SPBBB (Sertissagem portas)				</t>
  </si>
  <si>
    <t xml:space="preserve">Perda de alimentação de toda ilha				
</t>
  </si>
  <si>
    <t xml:space="preserve">Foi acionado a chave seccionadora na lateral do painel acidentalmente.				
</t>
  </si>
  <si>
    <t xml:space="preserve">"Colcado os Robôs em posição de calibração, devido os mesmos terem perdidos a posição do contadores do resolver;
Realizado o home position dos berços e da mesa."				
</t>
  </si>
  <si>
    <t xml:space="preserve">Bloco - OP214				</t>
  </si>
  <si>
    <t xml:space="preserve">Start</t>
  </si>
  <si>
    <t xml:space="preserve">Falta Robo Staubli em Home Position				
</t>
  </si>
  <si>
    <t xml:space="preserve">Robo fora da posição origem				
</t>
  </si>
  <si>
    <t xml:space="preserve">Posicionamento do Robo STAUBLI em HOME POSITION pela GROB e colocacão da estação em funcionamento.      OBS: Estação Nova projeto sem treinamento da manutenção na tecnologia especifica ROBO STAUBLI				
</t>
  </si>
  <si>
    <t xml:space="preserve">Cabeçote - OP330 Portal				</t>
  </si>
  <si>
    <t xml:space="preserve">Falta entrada Pallet na estação de carga				
</t>
  </si>
  <si>
    <t xml:space="preserve">Falta pilotagem valvula liberação Pallet estação carga				
</t>
  </si>
  <si>
    <t xml:space="preserve">Cabo de valvula danificado substituido estação carga OK, Estação Lavagem não liberando Pallets esvaziamento da estação desligamento e colocação em ciclo 				
</t>
  </si>
  <si>
    <t xml:space="preserve">Posto 05				</t>
  </si>
  <si>
    <t xml:space="preserve">Falta gravação K após troca de tipo de H para K				
</t>
  </si>
  <si>
    <t xml:space="preserve">Problema na cabeça de gravação				
</t>
  </si>
  <si>
    <t xml:space="preserve">Substituição da cabeça de gravação e depois da bobina do estilete				
</t>
  </si>
  <si>
    <t xml:space="preserve">EOM H79				</t>
  </si>
  <si>
    <t xml:space="preserve">Falha no index de elevação				
</t>
  </si>
  <si>
    <t xml:space="preserve">Sensor de recuo de elevação muito próximo do batente mecânico, sensor não atuou, EOM bateu no fim de curso mecânico e atuou sensor de recuo fechando o index fora de posição				
</t>
  </si>
  <si>
    <t xml:space="preserve">Forçado sinais de elevação e index para permitir movimentação, corrigido o ciclo e ajustado sensor de recuo de elevação				
</t>
  </si>
  <si>
    <t xml:space="preserve">Primer Estufa 2				</t>
  </si>
  <si>
    <t xml:space="preserve">Falha Esticador corrente principal lado dir				
</t>
  </si>
  <si>
    <t xml:space="preserve">Travamento do transportador				
</t>
  </si>
  <si>
    <t xml:space="preserve">Resfriamento estufa destravamento do transportador e resta				
</t>
  </si>
  <si>
    <t xml:space="preserve">Painel Enchimento PEV				</t>
  </si>
  <si>
    <t xml:space="preserve">Disarme geral painel PEV				
</t>
  </si>
  <si>
    <t xml:space="preserve">Problema no ar condicionado do painel				
</t>
  </si>
  <si>
    <t xml:space="preserve">Restabelecimento do Disjuntor principal F1 e restabelecimento geral dos PCs do PEV				
</t>
  </si>
  <si>
    <t xml:space="preserve">Falha no sensor transporte de pneu ensaboamento				
</t>
  </si>
  <si>
    <t xml:space="preserve">Pneu deformado do BBB passou pelo transporte e caiu antes da pega do pneu, acertando o sensor do transporte.				
</t>
  </si>
  <si>
    <t xml:space="preserve">Ajustado o sensor e realizado realinhamento da produção. *(em seguida ocorreu varias falhas de medição)				
</t>
  </si>
  <si>
    <t xml:space="preserve">transporte da saida do enchimento parada				
</t>
  </si>
  <si>
    <t xml:space="preserve">abraçadeira de nylon enroscou entre os elos da corrente				
</t>
  </si>
  <si>
    <t xml:space="preserve">retirado o pedaço de abraçadeira dos elos da corrente				
</t>
  </si>
  <si>
    <t xml:space="preserve">Robô								</t>
  </si>
  <si>
    <t xml:space="preserve">Robô E0 não aplica mastic								
</t>
  </si>
  <si>
    <t xml:space="preserve">bico da pistola entupido e com deficiência no aquecimento								
</t>
  </si>
  <si>
    <t xml:space="preserve">efetuado limpeza do bico e substiuído resistência da pistola								
</t>
  </si>
  <si>
    <t xml:space="preserve">Não executava o enchimento do pneu na infladora				
</t>
  </si>
  <si>
    <t xml:space="preserve">Vávula de liberação de ar estava danificada e não fazia a passagem de Ar, com isso a vávula de escape recebeu particulas da outra válvula e com isso também não pilotava.				
</t>
  </si>
  <si>
    <t xml:space="preserve">Substituído os conjuntos e reparos das válvulas de liberação de ar e da de escape.				
</t>
  </si>
  <si>
    <t xml:space="preserve">GSE - ROBO ROP				</t>
  </si>
  <si>
    <t xml:space="preserve">FALHA DE EMERGENCIA GERAL NA LINHA INICIO CHAFAB				
</t>
  </si>
  <si>
    <t xml:space="preserve">FONTE KPS ROBO ROP COM DEFEITO				
</t>
  </si>
  <si>
    <t xml:space="preserve">"DIAGNOSTICO EM REDE E HARDWARE, RESET PILZ, SUBSTITUIDO KCP TRAVADO, TROCA DO HD
DO ROBO, TROCA FONTE KPS RESTABELECEU EMERGENCIA E ROBO (FINALIZADO CHAFAB)"				
</t>
  </si>
  <si>
    <t xml:space="preserve">BM70				</t>
  </si>
  <si>
    <t xml:space="preserve">Desarme Geral				
</t>
  </si>
  <si>
    <t xml:space="preserve">Falha pressostato Ar Zona 3				
</t>
  </si>
  <si>
    <t xml:space="preserve">Diagnostico e colocação By pass provisório para o sinal do mesmo, e programado a troca.				
</t>
  </si>
  <si>
    <t xml:space="preserve">MOP BM2				</t>
  </si>
  <si>
    <t xml:space="preserve">falha de comuniação com PGF 05.02				
</t>
  </si>
  <si>
    <t xml:space="preserve">falha na comunicação com rede N2, possível falha na CP, foi requisitado uma nova para substituir no fim de semana				
</t>
  </si>
  <si>
    <t xml:space="preserve">retirado cabo de rede da porta 1 da CP e conectado cabo na porta 2.				
</t>
  </si>
  <si>
    <t xml:space="preserve">Robô E2 UAR				</t>
  </si>
  <si>
    <t xml:space="preserve">Perda de sinais do robô para o PLC				
</t>
  </si>
  <si>
    <t xml:space="preserve">Após uma peça com problema de geometria, teve de se fazer movimentos manuais com o Robô, durante este trabalho travou o TP e teve de ser reiniciado.				
</t>
  </si>
  <si>
    <t xml:space="preserve">"realizado o B_Start do Robô, porém não reconheceu os sinais, Realizado o P_Start e mesmo assim continuou em falha.
Após foi descarregado um backup anterior e voltou a funcionar os sinais do Robô para o PLC"				
</t>
  </si>
  <si>
    <t xml:space="preserve">CSF1 Robo E2				</t>
  </si>
  <si>
    <t xml:space="preserve">Falha Solda após troca bateria controlador Bosh descarregada intervalo café				
</t>
  </si>
  <si>
    <t xml:space="preserve">Travamento de ciclo e perda de programa do controlador de solda				
</t>
  </si>
  <si>
    <t xml:space="preserve">Reset através botão programação firmware controlador, e descarregamento de Backup.				
</t>
  </si>
  <si>
    <t xml:space="preserve">MM13 - Posto 40 (170 OFF)				</t>
  </si>
  <si>
    <t xml:space="preserve">Falha cadeia de Segurança				
</t>
  </si>
  <si>
    <t xml:space="preserve">Mau contato fios regua de Borne Robo				
</t>
  </si>
  <si>
    <t xml:space="preserve">Reaperto fios restabelecimento Robo, realização de P-Start e descarregamento de Backup.				
</t>
  </si>
  <si>
    <t xml:space="preserve">CSF1				</t>
  </si>
  <si>
    <t xml:space="preserve">Carro não de descarrega da mesa A0				
</t>
  </si>
  <si>
    <t xml:space="preserve">faltava informação do modelo da carroceria				
</t>
  </si>
  <si>
    <t xml:space="preserve">verificado condições de posicionamento da carroceria e modelo, forçado via sw, depois verificado que o carro foi movimentado na mão e faltou acionar um sensor do poka yoke				
</t>
  </si>
  <si>
    <t xml:space="preserve">Banco de Paralelismo 2				</t>
  </si>
  <si>
    <t xml:space="preserve">Falha placagem esquerda				
</t>
  </si>
  <si>
    <t xml:space="preserve">Falha sensor presença placagem				
</t>
  </si>
  <si>
    <t xml:space="preserve">Diagnosticado falha de acionamento no sensor da placagem, efetuado modificação provisoria para rodar com sensor da placagem direita até a substituição do sensor. (terceiro turno carro engatado retirou placagem de posição)				
</t>
  </si>
  <si>
    <t xml:space="preserve">Falha estação montagem de Pneus				
</t>
  </si>
  <si>
    <t xml:space="preserve">Pneus (Vectra) com forma ruim				
</t>
  </si>
  <si>
    <t xml:space="preserve">Retirada de pneus ruins e colocação de pneus montado externo para não perder sequencia (diversas paradas e tecnico responsavel da area direto acompanhando maquina para não parar a linha por falta de pneus)				
</t>
  </si>
  <si>
    <t xml:space="preserve">Robô R0				</t>
  </si>
  <si>
    <t xml:space="preserve">perdendo calibração da pinça de solda				
</t>
  </si>
  <si>
    <t xml:space="preserve">falha na comunicação som a placa SMB				
</t>
  </si>
  <si>
    <t xml:space="preserve">Efetuado limpeza em todas as conexões do cabo SBM com limpa contato e substituído a placa SMB, no horário do café.				
</t>
  </si>
  <si>
    <t xml:space="preserve">Falha no reconhecimento do codigo gravado				
</t>
  </si>
  <si>
    <t xml:space="preserve">Qualidade da gravação ruim dificuldade falta identificação caracteres pelo sistema de visão				
</t>
  </si>
  <si>
    <t xml:space="preserve">Ajuste parametros nas ferramentas de detecção caracteres do JOB6. (Será programado pela manutenção verificação posição do bloco e ajustes gravador)				
</t>
  </si>
  <si>
    <t xml:space="preserve">Virabrequim - OP130 Portal				</t>
  </si>
  <si>
    <t xml:space="preserve">Disarme estação no movimento eixos das garras				
</t>
  </si>
  <si>
    <t xml:space="preserve">Modulo de pontencia com problema erro de supervisão de contorno.				
</t>
  </si>
  <si>
    <t xml:space="preserve">Substituição do modulo de potencia dos eixos zeramento eixo "Z" que estava fora de posição, e colocaçao eixo I em posição.				
</t>
  </si>
  <si>
    <t xml:space="preserve">TK mesa 07				</t>
  </si>
  <si>
    <t xml:space="preserve">carro na mesa 55 não descarrega, carro na mesa 06 não descarrega para mesa 07				
</t>
  </si>
  <si>
    <t xml:space="preserve">skid eroscou no descarregamento da mesa 06 para mesa 55 foi posicionado carro na mão				
</t>
  </si>
  <si>
    <t xml:space="preserve">corrigido posição da mesa 55 na translação, corrigido posição da mesa 07 na translação, resetado inversor de translação da mesa 07, corrigido as memória de presença e trânsito das mesas 06,07 e 55.				
</t>
  </si>
  <si>
    <t xml:space="preserve">MOP PM2 mastic				</t>
  </si>
  <si>
    <t xml:space="preserve">falha no elevador.				
</t>
  </si>
  <si>
    <t xml:space="preserve">ocorreu uma falha no elevador, porém foi desligado o inversor da mesa posteriror e retirado o cabo da profinet com intuíto de fazer o reset da falha, porém derrubou a rede da zona toda.				
</t>
  </si>
  <si>
    <t xml:space="preserve">corrigido memórias de transito e presença das mesas da PM2				
</t>
  </si>
  <si>
    <t xml:space="preserve">falha de descarregamento do transelevador para alveolo 2107. segunda parada foi na descarga para alveolo 1107.				
</t>
  </si>
  <si>
    <t xml:space="preserve">bloqueado o alveolo 2107 via DLI e retirado a presença do transelevador, bloqueado o alveolo 1107 via DLI e retirado a presença do transelevador.				
</t>
  </si>
  <si>
    <t xml:space="preserve">Ilha de vidros				</t>
  </si>
  <si>
    <t xml:space="preserve">porta malas BBB abriu no momento de deposito, robô estava concluindo a medição, RB Lu ficou aguardando evento 5.				
</t>
  </si>
  <si>
    <t xml:space="preserve">modo operatório, porta malas não estava fechado corretamente.				
</t>
  </si>
  <si>
    <t xml:space="preserve">foi retornado robô para inicio da rotina de medição e acionado retorno a origem.				
</t>
  </si>
  <si>
    <t xml:space="preserve">.SAO				</t>
  </si>
  <si>
    <t xml:space="preserve">falha na posição dos postos, sem manter um padrão de posto ou modelo, parava aleatoriamente. 				
</t>
  </si>
  <si>
    <t xml:space="preserve">comprimento de um dos postos do SAO2 diferente dos demais. Posto 05 do SAO2 estava com comprimento de 520 e todos pos demais estavam com 510				
</t>
  </si>
  <si>
    <t xml:space="preserve">alterado comprimento do posto para 510				
</t>
  </si>
  <si>
    <t xml:space="preserve">Estufa 3 Cata Queimador				</t>
  </si>
  <si>
    <t xml:space="preserve">Falha detecção chama				
</t>
  </si>
  <si>
    <t xml:space="preserve">Problema de fixação sonda 				
</t>
  </si>
  <si>
    <t xml:space="preserve">Efetuada fixação provisporia para rodar e será programada intervenção para solda da sonda e um buraco de produção.				
</t>
  </si>
  <si>
    <t xml:space="preserve">Efetuada fixação provisoria para rodar 6 horas da manhã e substituida a sonda por peça nova proximo intervalo almoço.				
</t>
  </si>
  <si>
    <t xml:space="preserve">Elevador de entrada do TPTS				</t>
  </si>
  <si>
    <t xml:space="preserve">Skid cata gerando ultrapassagem				
</t>
  </si>
  <si>
    <t xml:space="preserve">Sensor de baixa velocidade sempre a 1				
</t>
  </si>
  <si>
    <t xml:space="preserve">Substiuído sensor de baixa velocidade				
</t>
  </si>
  <si>
    <t xml:space="preserve">Mesa 14 cera				</t>
  </si>
  <si>
    <t xml:space="preserve">Falha na mesa 14				
</t>
  </si>
  <si>
    <t xml:space="preserve">Intrusão nos sensores de segurança elevador, tampa porta malas U79 aberta				
</t>
  </si>
  <si>
    <t xml:space="preserve">Reset de falhas e rearmado a zona				
</t>
  </si>
  <si>
    <t xml:space="preserve">Tristock				</t>
  </si>
  <si>
    <t xml:space="preserve">Falha de descarregamento do transelevador para alveolo 2107. segunda parada foi na descarga para alveolo 1107.				
</t>
  </si>
  <si>
    <t xml:space="preserve">Em analise				
</t>
  </si>
  <si>
    <t xml:space="preserve">Bloqueado o alveolo 2107 via DLI e retirado a presença do transelevador, bloqueado o alveolo 1107 via DLI e retirado a presença do transelevador.				
</t>
  </si>
  <si>
    <t xml:space="preserve">Monofluxo LVG - transportador R0				</t>
  </si>
  <si>
    <t xml:space="preserve">Falha de marriage no transportador R0				
</t>
  </si>
  <si>
    <t xml:space="preserve">Falha de posição do batente 9 não gerou MPP				
</t>
  </si>
  <si>
    <t xml:space="preserve">Escrito dados no sw manualmente e corrigido memórias.				
</t>
  </si>
  <si>
    <t xml:space="preserve">MM13 - Posto 220				</t>
  </si>
  <si>
    <t xml:space="preserve">Falha Sensor Retentor Embreagem invertido BR08/LS				
</t>
  </si>
  <si>
    <t xml:space="preserve">Falha de leitura no sensor do retentor				
</t>
  </si>
  <si>
    <t xml:space="preserve">Ajuste posiçao sensor e colocação Ogiva High que havia caido da garra.				
</t>
  </si>
  <si>
    <t xml:space="preserve">PSF Biton				</t>
  </si>
  <si>
    <t xml:space="preserve">Falha caracteres incorretos PSF				
</t>
  </si>
  <si>
    <t xml:space="preserve">Falha na leitura sick				
</t>
  </si>
  <si>
    <t xml:space="preserve">Escrito os dados do carro manualmente				
</t>
  </si>
  <si>
    <t xml:space="preserve">MM13 - Posto 140				</t>
  </si>
  <si>
    <t xml:space="preserve">Diversas micro paradas				
</t>
  </si>
  <si>
    <t xml:space="preserve">Falha no parafusamento capas mancal				
</t>
  </si>
  <si>
    <t xml:space="preserve">Posicionamento pontos 				
Ajuste posiçao de alguns pontos e das variaveis do valor distancia entre parafusos para o modelo LOW				
</t>
  </si>
  <si>
    <t xml:space="preserve">Elevador 77 cera P3				</t>
  </si>
  <si>
    <t xml:space="preserve">Falha na alta velocidade na descida do elevador nos modelos U79 e HHA				
</t>
  </si>
  <si>
    <t xml:space="preserve">Parametro 61 do drive configurado para calcular funçoes do inversor em modo (0) sendo que o correto é em modo (3) que é basedo no calculo do motor				
</t>
  </si>
  <si>
    <t xml:space="preserve">Alterado parametro 61 do Drive de "0" para 3				
</t>
  </si>
  <si>
    <t xml:space="preserve">CSF 3 no P1				</t>
  </si>
  <si>
    <t xml:space="preserve">Erro no sequenciamento de modelo dentro da CSF e consequentemente colisãode robôs com carroceria				
</t>
  </si>
  <si>
    <t xml:space="preserve">Prossivelmente ocorreu movimentação de memórias dentro da ilha, devido a uma oscilação de falha de emergência que estava acontecendo na AG3.				
</t>
  </si>
  <si>
    <t xml:space="preserve">"Retornado os Robôs para posição Home;
Acertado as memórias e posições carrocerias nas mesas A0, B0, C0;
Inserido na lógica de intertravamento entre a AG um filtro de 500ms para não ocorrer a oscilação de sinal."				
</t>
  </si>
  <si>
    <t xml:space="preserve">Banco de teste 4				</t>
  </si>
  <si>
    <t xml:space="preserve">Falha na extração de ar no banco de testes				
</t>
  </si>
  <si>
    <t xml:space="preserve">"Inversor de frequencia do exaustor principal em falha,
Erro na leitura do sensor de extração de gases"				
</t>
  </si>
  <si>
    <t xml:space="preserve">"Rest no inversor do exaustor, 
Realizado limpeza no sensor de verificação da extração de gases"				
</t>
  </si>
  <si>
    <t xml:space="preserve">EL1 SE4				</t>
  </si>
  <si>
    <t xml:space="preserve">Erro na descida do elevador gerando DEF. CORRENTE ELEVADOR 03				
</t>
  </si>
  <si>
    <t xml:space="preserve">Problema no circuito do sensor de verificação da corrente arrebentada. Oscilando sinal				
</t>
  </si>
  <si>
    <t xml:space="preserve">Forçado o sinal do sensor via PLC para não gerar parada de linha, retirado o sensor para testes, Verificado que a alimentação quando sensor atuado no circuito está com 12V, possivelmente problema nos cabos ou interligações do sensor.				
</t>
  </si>
  <si>
    <t xml:space="preserve">SMP geral</t>
  </si>
  <si>
    <t xml:space="preserve">Ausencia contadores de produção e tempo requerido</t>
  </si>
  <si>
    <t xml:space="preserve">Falta programação de dia Especial</t>
  </si>
  <si>
    <t xml:space="preserve">Forçado Tempo requerido para aparecimento das falhas.</t>
  </si>
  <si>
    <t xml:space="preserve">CABEÇOTE NOVO OP110				</t>
  </si>
  <si>
    <t xml:space="preserve">Robo fora da posição de origem				
</t>
  </si>
  <si>
    <t xml:space="preserve">Sinais simulados impedindo movimentação do Robo				
</t>
  </si>
  <si>
    <t xml:space="preserve">(Sinais simulados para intervenção de verificação 7 eixo do robo na sexta feira), retirada dos sinais sinulados recolocação Robo em Repli e colocação ilha em funcionamento.				
</t>
  </si>
  <si>
    <t xml:space="preserve">Elevador 				</t>
  </si>
  <si>
    <t xml:space="preserve">Z4_2 DEF. TIME-OUT   ELEVACAO ELV77				
</t>
  </si>
  <si>
    <t xml:space="preserve">Abertura do acoplamento				
</t>
  </si>
  <si>
    <t xml:space="preserve">Reposicionamento e ajuste do acoplamento.				
</t>
  </si>
  <si>
    <t xml:space="preserve">Falta numero Sick mesa 03				
</t>
  </si>
  <si>
    <t xml:space="preserve">Procedimento de teste de By pass ocorreu travamento impedindo abertura e saida pelo SIPTK (transito elevador para mesa 03)				
</t>
  </si>
  <si>
    <t xml:space="preserve">Verificação junto ao DLI e executado passagem CLP1 para Prog e Run (Analise posterior efetuado alteração da lógica para não gerar transito do elevador para mesa 03 com botoeira de passagem acionada)				
</t>
  </si>
  <si>
    <t xml:space="preserve">Falha no transporte após passagem do sabão				
</t>
  </si>
  <si>
    <t xml:space="preserve">Soltou haste da rótula de acionamento do motor de elevação.				
</t>
  </si>
  <si>
    <t xml:space="preserve">Roscado haste na rótula novamente e corrigido o sequênciamento 2 duas vezes.				
</t>
  </si>
  <si>
    <t xml:space="preserve">OP 60 cabeçote linha nova				</t>
  </si>
  <si>
    <t xml:space="preserve">Falha na rede profinet nenhum dos 5 LOP's comunicava com CLP				
</t>
  </si>
  <si>
    <t xml:space="preserve">Falha de programação, após intervenção feita via team viewer, foi conctado um cabo erroneamete no switch, gerou falha de comunição profinet, devido a falta de inforção foi feito download do hardware dessa forma.				
</t>
  </si>
  <si>
    <t xml:space="preserve">Encontrado cabo de rede principal dos LOP's desligado (foi ligado novamente), descarregado hardware do backup atual e descarregado netpro.				
</t>
  </si>
  <si>
    <t xml:space="preserve">ISRA Verniz				</t>
  </si>
  <si>
    <t xml:space="preserve">Falha no sistema de visão, travou tela e não disparava foto				
</t>
  </si>
  <si>
    <t xml:space="preserve">Falha interna no software				
</t>
  </si>
  <si>
    <t xml:space="preserve">Reiniciado pc ISRA				
</t>
  </si>
  <si>
    <t xml:space="preserve">robô J0 LVG				</t>
  </si>
  <si>
    <t xml:space="preserve">Falha de supervisão de movimento				
</t>
  </si>
  <si>
    <t xml:space="preserve">Contator do freio danificado 				
</t>
  </si>
  <si>
    <t xml:space="preserve">Substituido contator do freio				
</t>
  </si>
  <si>
    <t xml:space="preserve">PO 270 - Esteira Kitting				</t>
  </si>
  <si>
    <t xml:space="preserve">Falha funcionamento IHM				
</t>
  </si>
  <si>
    <t xml:space="preserve">Configuração incorreta comunicação Hardware				
</t>
  </si>
  <si>
    <t xml:space="preserve">Reconfiguração dos parametros e Download				
</t>
  </si>
  <si>
    <t xml:space="preserve">AGV - Kitting				</t>
  </si>
  <si>
    <t xml:space="preserve">Liberação incorreta AGV - Kitting				
</t>
  </si>
  <si>
    <t xml:space="preserve">Sensor liberação AGV acionado direto				
</t>
  </si>
  <si>
    <t xml:space="preserve">Em diagnostico pela manutenção da Area				
</t>
  </si>
  <si>
    <t xml:space="preserve">ilha de vidros </t>
  </si>
  <si>
    <t xml:space="preserve">Descartando vidro excessivamente da lunete U79, falha no eixo Z				
</t>
  </si>
  <si>
    <t xml:space="preserve">Glauber programou intervenção no domingo, porém como tempo de retrabalho, é muito elevado (1,5 a 2h) foi solicitado uma cotenção até domingo, foi iniciado uma analise porém ocorreu outra pane na pintura, foi passado para 3 turno dar continuidade, foi sugerido aumentar o limite de tolerância em Z.				
</t>
  </si>
  <si>
    <t xml:space="preserve">Falha de movimento na posição de estagio 1 do cilindro				
</t>
  </si>
  <si>
    <t xml:space="preserve">Não fazia o scape da camera de avanço por completo.				
</t>
  </si>
  <si>
    <t xml:space="preserve">Substituído 2 válvulas de escape rápido e uma válvula "OU"				
</t>
  </si>
  <si>
    <t xml:space="preserve">Alimentação Geral				</t>
  </si>
  <si>
    <t xml:space="preserve">Falta alimentação geral na planta				
</t>
  </si>
  <si>
    <t xml:space="preserve">Desarme circuito de proteção de alimentação ramal A da CIA na Substação 69 (permanece diagnostico causa raiz)				
</t>
  </si>
  <si>
    <t xml:space="preserve">Entrada automatico dos Geradores auxiliares CIA, Utilidades tentativa de rearme do Ramal A não foi possivel, comutação para o Ramal B. (Auxilio nos restabelecimento dos fornos e maquinas da CIA)				
</t>
  </si>
  <si>
    <t xml:space="preserve">Correntão (ME3-ME5)				</t>
  </si>
  <si>
    <t xml:space="preserve">ILOT: Monitoramento 24V Z6IM31				
</t>
  </si>
  <si>
    <t xml:space="preserve">Possivel curto circuito em analise				
</t>
  </si>
  <si>
    <t xml:space="preserve">Verificação de alguns dispositivos e assistencias pertencentas a Z6IM31, e Restabelecimento da linha para rodar.				
</t>
  </si>
  <si>
    <t xml:space="preserve">MOP Correntão 6 POUCES				</t>
  </si>
  <si>
    <t xml:space="preserve">Parada Geral circuito aereo Balanceles (correntões fricções)				
</t>
  </si>
  <si>
    <t xml:space="preserve">CPU MOP em STOP Carregamento DB não existente				
</t>
  </si>
  <si>
    <t xml:space="preserve">Retirada modificação efetuada, colocação em funcionamento e correção de presenças e ciclos circuito aereo e demais equipamentos e instalações afetadas.				
</t>
  </si>
  <si>
    <t xml:space="preserve">Falha na leitura de presença da mesa do TK				
</t>
  </si>
  <si>
    <t xml:space="preserve">Sensor danificado gerou presença inadequadamente				
</t>
  </si>
  <si>
    <t xml:space="preserve">"Substituído Sensor, porém devido a presença falsa gerou restrições para realizar missões.
Correção será feita em 3º Turno"				
</t>
  </si>
  <si>
    <t xml:space="preserve">Verificações das condições para funcionamento do TK em automático.				
</t>
  </si>
  <si>
    <t xml:space="preserve">Devido a falha do sensor gerou presença errada no Alvéolo 0106, o skid 1398 não saiu da mesa 03 e também encontrado  restrição na saída mesa 05 porque ficou com a ultima missão setada.				
</t>
  </si>
  <si>
    <t xml:space="preserve">"No horário da ceia, foi realizado a limpeza das memórias que ficaram setadas, apagado o erro no alvéolo 0106. Direcionado o carro da mesa 03 para outro alvéolo e bloqueado.
Após isso colocado o sistema em automático."				
</t>
  </si>
  <si>
    <t xml:space="preserve">TK tentou descarregar onde já continha um veículo 				
</t>
  </si>
  <si>
    <t xml:space="preserve">Ainda em análise, possível ser devido a pane anterior				
</t>
  </si>
  <si>
    <t xml:space="preserve">Realizado o movimento e descarga em manual, realizado novamente o reconhecimento do MAPA MOVEL do TK, para  concordância do sistema SiPTK e CLP				
</t>
  </si>
  <si>
    <t xml:space="preserve">Preli X52 - FM2 Robo B2				</t>
  </si>
  <si>
    <t xml:space="preserve">Falha de solda				
</t>
  </si>
  <si>
    <t xml:space="preserve">Queima do transformador de solda da Pinça				
</t>
  </si>
  <si>
    <t xml:space="preserve">Substituição do Transformador, restauração de sistema e ajuste de parametrização.				
</t>
  </si>
  <si>
    <t xml:space="preserve">TGSE1 - Repuxo				</t>
  </si>
  <si>
    <t xml:space="preserve">Falha linha de Prensa				
</t>
  </si>
  <si>
    <t xml:space="preserve">Valvula MOOG FE com problema, e cabo da mesma danificado				
</t>
  </si>
  <si>
    <t xml:space="preserve">Substituido cabo danificado, e a valvula MOOG FE.				
</t>
  </si>
  <si>
    <t xml:space="preserve">Prensa Picking Mecânica				</t>
  </si>
  <si>
    <t xml:space="preserve">Quebra convite anel tambor BBB				
</t>
  </si>
  <si>
    <t xml:space="preserve">Anel do tambor do BBB entrou fora de posição travando ferramenta com a guia e quebrando o convite				
</t>
  </si>
  <si>
    <t xml:space="preserve">Substituição da guia quebrada				
</t>
  </si>
  <si>
    <t xml:space="preserve">LVD - Robô B4				</t>
  </si>
  <si>
    <t xml:space="preserve">Falha de solda				
</t>
  </si>
  <si>
    <t xml:space="preserve">Barramento Transformador / braço fixo frouxo				
</t>
  </si>
  <si>
    <t xml:space="preserve">Apertado conexão do barrento no braço fixo.				
</t>
  </si>
  <si>
    <t xml:space="preserve">Tucker LVG				</t>
  </si>
  <si>
    <t xml:space="preserve">Falha de solda da Tucker				
</t>
  </si>
  <si>
    <t xml:space="preserve">A ponta da solda fundiu com o parafuso tucker, devido a porca de trava da ponteira estar solta.				
</t>
  </si>
  <si>
    <t xml:space="preserve">Removido a ponteira de solda e substituida por uma nova.				
</t>
  </si>
  <si>
    <t xml:space="preserve">MASSL Elevador 02				</t>
  </si>
  <si>
    <t xml:space="preserve">Falha retacagem mesa 100 e elevador 02				
</t>
  </si>
  <si>
    <t xml:space="preserve">Em análise				
</t>
  </si>
  <si>
    <t xml:space="preserve">Verificado as logicas de movimentação. Feito o movimento manual e presurização da ilha.				
</t>
  </si>
  <si>
    <t xml:space="preserve">Robô  E0 ACL1 Portas				</t>
  </si>
  <si>
    <t xml:space="preserve">Robô parado no meio do ciclo de aplicação de mastic, não era possivel rodar rotina repli				
</t>
  </si>
  <si>
    <t xml:space="preserve">Falha na bomba de mastic, e falha no promia (sinais enviados do CLP não eram reconhecidos no robô)				
</t>
  </si>
  <si>
    <t xml:space="preserve">Simulado autorização de evolução no robô para executar rotina repli, limpado bico da pistola e purgado mastic, após fazer um ciclo pulando eventos da bomba, restabelecido ciclo e retirado simulação do robô (simulado pois no CLP está com BA1 no bloco do robô)				
</t>
  </si>
  <si>
    <t xml:space="preserve">ABM 2 mesa M0				</t>
  </si>
  <si>
    <t xml:space="preserve">Perda de dados e comunicação com entre API e SIPTOL. Erro de discordância.				
</t>
  </si>
  <si>
    <t xml:space="preserve">Oscilação na comunicação de rede N2				
</t>
  </si>
  <si>
    <t xml:space="preserve">Forçado alguns carro e depois tratado no SIPTOL, validando posições. Sincronizado leitura e escrita  (VAL CAL / VAL API)				
</t>
  </si>
  <si>
    <t xml:space="preserve">CSF3 antiga AG3				</t>
  </si>
  <si>
    <t xml:space="preserve">Falha na transferencia de dados da J0W. Erro nos Muting de by pass barreira entre CSF3 e FSM				
</t>
  </si>
  <si>
    <t xml:space="preserve">Falha nos sensores que fazem transferência de dados e também nos sensores de controle dos Muting. Alterações de projeto realizados em final de semana				
</t>
  </si>
  <si>
    <t xml:space="preserve">Corrigido posição do Skid na mesa, forçado condições para transferencia entre zonas, corrigido posição do skid e acertado memórias para movimentação. (Fornecedor em acompanhamento)				
</t>
  </si>
  <si>
    <t xml:space="preserve">MM13 Posto 80				</t>
  </si>
  <si>
    <t xml:space="preserve">Falha de parafusamento				
</t>
  </si>
  <si>
    <t xml:space="preserve">Quebra haste parafusadeira				
</t>
  </si>
  <si>
    <t xml:space="preserve">By pass temporário no software para liberação do pallet em degradado.				
</t>
  </si>
  <si>
    <t xml:space="preserve">Banco de Teste 1				</t>
  </si>
  <si>
    <t xml:space="preserve">Falha rotação motor				
</t>
  </si>
  <si>
    <t xml:space="preserve">Sensor de rotação danificado				
</t>
  </si>
  <si>
    <t xml:space="preserve">Substituição do sensor de rotação				
</t>
  </si>
  <si>
    <t xml:space="preserve">Elevador SE2				</t>
  </si>
  <si>
    <t xml:space="preserve">13				</t>
  </si>
  <si>
    <t xml:space="preserve">Elevador pedendo marcha auto, falha nos inversores e falha no CLP de segurança (falha intermitente)				
</t>
  </si>
  <si>
    <t xml:space="preserve">Queda na alimentação 24Vcc para apróximadamente 12,9Vcc. (curto circuito entre 24Vcc de chamada ao posto com a massa 0V)				
</t>
  </si>
  <si>
    <t xml:space="preserve">Cabo de alimentação 24Vcc com isolação danificada na entrada da esteira porta cabos do posto 8E, foi isoloado cabo e fixao na esteira porta cabo.				
</t>
  </si>
  <si>
    <t xml:space="preserve">MM13 Posto 180				</t>
  </si>
  <si>
    <t xml:space="preserve">Falta liberação do posto				
</t>
  </si>
  <si>
    <t xml:space="preserve">Barreira de segurança desalinhada colisão de Kit				
</t>
  </si>
  <si>
    <t xml:space="preserve">By pass temporário no software para liberação do pallet em degradado, e ajustado posicionamento da barreira no intervalo do almoço.				
</t>
  </si>
  <si>
    <t xml:space="preserve">TGSE1 prensa P10				</t>
  </si>
  <si>
    <t xml:space="preserve">Falha comando Falha rede Profibus				
</t>
  </si>
  <si>
    <t xml:space="preserve">Mau contato conector profibus nó 32 Repuxo.</t>
  </si>
  <si>
    <t xml:space="preserve">Faha generalizada rede, verificação conectores e diagnosticado erros no nó 90 PN/PN invertido com outra prensa, nó 32 (PC BECKOFF repuxo) executado abertura e remontagem do conector e reaperto, e substituição conector na saida Bus2 da CPU.                                                                                       A tarde durante verificação encontrado problema entre nós 6 e 7 substituição de conector e cabo.				
</t>
  </si>
  <si>
    <t xml:space="preserve">LVD - ROBO A0				</t>
  </si>
  <si>
    <t xml:space="preserve">Falha Robô A0				
</t>
  </si>
  <si>
    <t xml:space="preserve">Erro curto circuito Eixo 3				
</t>
  </si>
  <si>
    <t xml:space="preserve">Substituição do modulo de Pontencia do Robo.				
</t>
  </si>
  <si>
    <t xml:space="preserve">MM01 - Posto 140				</t>
  </si>
  <si>
    <t xml:space="preserve">Falha colisão Robo 2				
</t>
  </si>
  <si>
    <t xml:space="preserve">Colisão com soquete (Robo1 posto 140) que caiu no motor				
</t>
  </si>
  <si>
    <t xml:space="preserve">Retirada e reposicionado robos e colocação do posto em ciclo.				
</t>
  </si>
  <si>
    <t xml:space="preserve">Robô Comau mastic cofre				</t>
  </si>
  <si>
    <t xml:space="preserve">TP do robô travado e após reiniciar subiu com fatal error. (robô dentro da carroceria)				
</t>
  </si>
  <si>
    <t xml:space="preserve">falha no circuito RPT (bateria na base do robô)				
</t>
  </si>
  <si>
    <t xml:space="preserve">Para acionar o degradado foi necesssário retirar o motor do eixo 1, desmontar o bico de aplicação de mastic e puxar robô na mão para fora da carroceria, feito by pass no sw das condições do robô e estartado degradado. após liberar a linha em degradado, foi desabilitado circiuto da bateria, calibrado eixo 1 e efetuado Turn Set nos demais eixos.				
</t>
  </si>
  <si>
    <t xml:space="preserve">AG2 X79 geral				</t>
  </si>
  <si>
    <t xml:space="preserve">Não entrava colocação em serviço em nenhuma zona da AG2				
</t>
  </si>
  <si>
    <t xml:space="preserve">Falha geral DeviceNet				
</t>
  </si>
  <si>
    <t xml:space="preserve">Nó 26 com falha de rede, desligado alimentação da rede e efetuado reset do módulo Flex IO e religado alimentação da rede.				
</t>
  </si>
  <si>
    <t xml:space="preserve">MM13 - Posto 270 Esteira Kitting saida 				</t>
  </si>
  <si>
    <t xml:space="preserve">Falha funcionamento Esteira Saida de Kit Posto 270				
</t>
  </si>
  <si>
    <t xml:space="preserve">Tensão incorreta de alimentação fonte				
</t>
  </si>
  <si>
    <t xml:space="preserve">Cabo ligação sensor liberação AGV com problema (Dois cabos ligados na mesma saida desativado cabo antigo)				
</t>
  </si>
  <si>
    <t xml:space="preserve">Mesa V0				</t>
  </si>
  <si>
    <t xml:space="preserve">Mesa não fazia transbordo da U7 para W0				
</t>
  </si>
  <si>
    <t xml:space="preserve">Falta do sinal função variador ok				
</t>
  </si>
  <si>
    <t xml:space="preserve">Colocado shunt para liberar linha, após abrir a ilha voltou a subir o sinal.				
</t>
  </si>
  <si>
    <t xml:space="preserve">Forno T9				</t>
  </si>
  <si>
    <t xml:space="preserve">Perda de ciclo Automático na Zona				
</t>
  </si>
  <si>
    <t xml:space="preserve">Perda de posição do Elevador do quitching, estava fora da atuação do sensor.				
</t>
  </si>
  <si>
    <t xml:space="preserve">Aberto a ilha e verificado a posição da elevação, movimentado manualmente a mesa de elevação e com isso desenroscou o cilindro, acionando o sensor. Colocado em automático e voltou a rodar.				
</t>
  </si>
  <si>
    <t xml:space="preserve">não conseguia encher o pneu				
</t>
  </si>
  <si>
    <t xml:space="preserve">parafuso que fixa borracha de vedação da infladora quebrado, borracha deslocou.				
</t>
  </si>
  <si>
    <t xml:space="preserve">substituído parafusos				
</t>
  </si>
  <si>
    <t xml:space="preserve">EOM B3 parou antes da posição de translação na mesa e fechou index fora de posição.				
</t>
  </si>
  <si>
    <t xml:space="preserve">sensor acionou antes da posição				
</t>
  </si>
  <si>
    <t xml:space="preserve">forçado condições no sw para movimento manual, corrigido as memórias e liberado. Ficou como pendência veificar ajuste e limpeza dos sensores.				
</t>
  </si>
  <si>
    <t xml:space="preserve">não efetuava balanceamento				
</t>
  </si>
  <si>
    <t xml:space="preserve">quebra do eixo que posiciona a roda				
</t>
  </si>
  <si>
    <t xml:space="preserve">foi soldado eixo no horário de janta				
</t>
  </si>
  <si>
    <t xml:space="preserve">Mesa88 do LAR				</t>
  </si>
  <si>
    <t xml:space="preserve">Desarme do disjuntor da mesa				
</t>
  </si>
  <si>
    <t xml:space="preserve">Soltou a guia da corrente e enroscou no elo, o que fez travar.				
</t>
  </si>
  <si>
    <t xml:space="preserve">Foi retirado o pedaço da guia e liberado para rodar. No horario da ceia foi realizado a substituição deste pedaço e soldado.				
</t>
  </si>
  <si>
    <t xml:space="preserve">Painel Zona 1 SE2				</t>
  </si>
  <si>
    <t xml:space="preserve">Desarme e falha de discrepância CLP de segurança. Perda de ciclo automático na zona 1 e zona 1B.				
</t>
  </si>
  <si>
    <t xml:space="preserve">Após bypass na chave magnetica e analise da falha, foi encontrado um fio solto no borne de 24V.				
</t>
  </si>
  <si>
    <t xml:space="preserve">"Realizado bypass na chave magnetica do portão superior.
Monitorado 24V do CLP de segurança e das entradas. 
Após análise foi reapertado o cabo 24V solto."				
</t>
  </si>
  <si>
    <t xml:space="preserve">Mesa compensação RO7				</t>
  </si>
  <si>
    <t xml:space="preserve">Não habilita a seleção de pesos para balanceamento de roda.				
</t>
  </si>
  <si>
    <t xml:space="preserve">Presostato da estação de correção 2 frouxo				
</t>
  </si>
  <si>
    <t xml:space="preserve">Apertado a conexão do pressostato				
</t>
  </si>
  <si>
    <t xml:space="preserve">Montagem Bancos				</t>
  </si>
  <si>
    <t xml:space="preserve">Perda dos dados de turno, contador e status dos postos				
</t>
  </si>
  <si>
    <t xml:space="preserve">Após substituição do HD do mop ao reiniciar a aplicação ocorreu a perda dos dados das DB's				
</t>
  </si>
  <si>
    <t xml:space="preserve">Reparametrizado os dados da linha e reiniciado os ciclos.				
</t>
  </si>
  <si>
    <t xml:space="preserve">Mesa 5 TTS				</t>
  </si>
  <si>
    <t xml:space="preserve">Sobre carga no motor, falha OCF no inversor				
</t>
  </si>
  <si>
    <t xml:space="preserve">Baixa isolação no cabo  do motor				
</t>
  </si>
  <si>
    <t xml:space="preserve">Substituido o cabo.				
</t>
  </si>
  <si>
    <t xml:space="preserve">CMO </t>
  </si>
  <si>
    <t xml:space="preserve">Perda de comunicação entre maquina e clp, impossibilitando o munuseio em automatico/manual.				
</t>
  </si>
  <si>
    <t xml:space="preserve">Reiniciado as comunicações e forçado memoria no clp para reinicio de ciclo.				
</t>
  </si>
  <si>
    <t xml:space="preserve">mesa 5 TPTS 2				</t>
  </si>
  <si>
    <t xml:space="preserve">Falha OCF no drive (sobrecarga), do acionamento dos rolos.				
</t>
  </si>
  <si>
    <t xml:space="preserve">cabo de alimentação do motor com baixa isolação entre fases 0,2 MΩ, trecho entre a caixa de passagem CF5 e caixa de passagem localizada na mesa.				
</t>
  </si>
  <si>
    <t xml:space="preserve">passado um cabo comum até o final de semana, pois o cabo a ser instalado deve ser extra flexível, essa mesa é pivotante.				
</t>
  </si>
  <si>
    <t xml:space="preserve">MN1_Z5 				</t>
  </si>
  <si>
    <t xml:space="preserve">Perda de sinal da chave de segurança do Portão 3 PAZ3				
</t>
  </si>
  <si>
    <t xml:space="preserve">Sinais de Rearme, Anulaçao de Defeito e Marcha ciclo, forçados no CLP inibindo a condição de rearme da segura, devido a necessidade de pulso para restabelecer as condições de máquina.				
</t>
  </si>
  <si>
    <t xml:space="preserve">Removido os Force's que estavam nesses sinais				
</t>
  </si>
  <si>
    <t xml:space="preserve">"Falha no sensor de presença balanceadora. 
Em seguida queda de roda da esteira de montagem.
Em sequência parada da esteira de entrada de pneu e roda na montadora"				
</t>
  </si>
  <si>
    <t xml:space="preserve">Parada da esteira de entrada de pneu e roda na montadora ocasionada por perda da sequência ao forçar entrada de pneu na montadora.				
</t>
  </si>
  <si>
    <t xml:space="preserve">"Ajustado o sensor da balanceadora.
Retirado a roda que caiu e ajustado a sequência de montagem.
"				
</t>
  </si>
  <si>
    <t xml:space="preserve">Falha na infladora				
</t>
  </si>
  <si>
    <t xml:space="preserve">conector da solinóide da válvula hidráulica de segurança solto e com acúnulo de óleo				
</t>
  </si>
  <si>
    <t xml:space="preserve">efetuado limpeza e fixado conector				
</t>
  </si>
  <si>
    <t xml:space="preserve">Ilha de vidros robô E2				</t>
  </si>
  <si>
    <t xml:space="preserve">Erro de sequênciamento de vidros Lunete. Perda de posição segura do robô				
</t>
  </si>
  <si>
    <t xml:space="preserve">"Operação senquênciou vidro errado;
A falha do robô ainda em análise."				
</t>
  </si>
  <si>
    <t xml:space="preserve">"Retirado os robôs para degradado e depois realizado sequenciamento dos vidros.
Obs: Houve diversorsos erros no sequênciamento de vidros no retorno dos robôs, o que ocasionou em perdas de produção."				
</t>
  </si>
  <si>
    <t xml:space="preserve">Queimador Saída estufa Verniz				</t>
  </si>
  <si>
    <t xml:space="preserve">Falha na ignição da chama de partida;		
Sevo Motor do damper sem comando.				
</t>
  </si>
  <si>
    <t xml:space="preserve">Ajustes de pressão e vazão de gás errada;	
Relé de acionamento do avanço com defeito				
</t>
  </si>
  <si>
    <t xml:space="preserve">Ajustado na válvula de liberação de gás e ajustado a pressão do circuito; Substituído o relé do avanço.				
</t>
  </si>
  <si>
    <t xml:space="preserve">AGV da linha</t>
  </si>
  <si>
    <t xml:space="preserve">Rodando, com mudança de steps manualmente	Perda de leitura das Tag's				
</t>
  </si>
  <si>
    <t xml:space="preserve">No final de semana foi feito o piso e pintado próximo a sala da Revocoat, com isso danificou alguns pontos da fita magnética e sensores TAG's				
</t>
  </si>
  <si>
    <t xml:space="preserve">Substituído partes da fita neste trajeto próximo a revocoat;				
Substituído uma tag, feito limpeza para remoção de resíduos das tintas.				
OBS: Ainda existem pontos que estão ocorrendo erro (Step 28, 30, 31).				
</t>
  </si>
  <si>
    <t xml:space="preserve">Falhas intermitentes na alimentação 24Vcc IM31, desarmando o correntão				
</t>
  </si>
  <si>
    <t xml:space="preserve">Não encontrado a causa, pois rodou uma até a hora da janta sem gerar a falha, verificados cabos de chamada ao posto e caixa de ligação da IM31 e não encontrado nada.				
</t>
  </si>
  <si>
    <t xml:space="preserve">Rearmado Mop e permanece diagnostico				
</t>
  </si>
  <si>
    <t xml:space="preserve">ME1 ACOSTAGEM</t>
  </si>
  <si>
    <t xml:space="preserve">Carro passou sem acostagem do Conjunto Motor				
</t>
  </si>
  <si>
    <t xml:space="preserve">Falha na logica PLC				
</t>
  </si>
  <si>
    <t xml:space="preserve">Abertura lateral das grades e retirada da base pouteuse com conjunto motor, verificação posterior e encontrado problema na lógica que possibilitou  a passagem sem a acostagem.				
</t>
  </si>
  <si>
    <t xml:space="preserve">Falha na pega de peça pelo robô				
</t>
  </si>
  <si>
    <t xml:space="preserve">Problema com a valvula de vacuo da ferramenta de pega.				
</t>
  </si>
  <si>
    <t xml:space="preserve">Substituição e ajuste da valvula			
</t>
  </si>
  <si>
    <t xml:space="preserve">Falha na cadeia de segurança da linha				
</t>
  </si>
  <si>
    <t xml:space="preserve">Falha causada pelo sinal de abertura de grade da P22.				
</t>
  </si>
  <si>
    <t xml:space="preserve">Ajustado a micro de sensoriamento de porta fechada.				
</t>
  </si>
  <si>
    <t xml:space="preserve">Falha no repuxo				
</t>
  </si>
  <si>
    <t xml:space="preserve">Falha leitura valvula MOOG				
</t>
  </si>
  <si>
    <t xml:space="preserve">Diagnostico  pela Shuler e verificaçao problema na valvula Dianteira Esquerda, substituição por valvula revisada.				
</t>
  </si>
  <si>
    <t xml:space="preserve">Robô aplicação silicone P070				</t>
  </si>
  <si>
    <t xml:space="preserve">Quebra da trava mecânica da ponteira do aplicador				
</t>
  </si>
  <si>
    <t xml:space="preserve">Colisão em manipulação manual				
</t>
  </si>
  <si>
    <t xml:space="preserve">Usinado suporte quebrado e alinhado o bico de silicone				
</t>
  </si>
  <si>
    <t xml:space="preserve">ROBÔ G3 CSF1</t>
  </si>
  <si>
    <t xml:space="preserve">Falha de espessura				
</t>
  </si>
  <si>
    <t xml:space="preserve">Falha no servo motor da pinça (servogun)				
</t>
  </si>
  <si>
    <t xml:space="preserve">Substituído servogun				
</t>
  </si>
  <si>
    <t xml:space="preserve">OP 200 escapamento				</t>
  </si>
  <si>
    <t xml:space="preserve">"Falha na leitura do código de barras para modelos;
Erro no carregamento de peça"				
</t>
  </si>
  <si>
    <t xml:space="preserve">"Leitura desabilitada via IHM, erro na leitura do codígo de HHA; Sensores de posição frouxos não reconhecendo a peça"				
</t>
  </si>
  <si>
    <t xml:space="preserve">"Habilitado leitura de dados pelo Leitor de código;
Ajustado sensores de presença de peça na máquina."				
</t>
  </si>
  <si>
    <t xml:space="preserve">Falha de sincronismo de PSF				
</t>
  </si>
  <si>
    <t xml:space="preserve">Erro de leituras na chamada de peça				
</t>
  </si>
  <si>
    <t xml:space="preserve">Realizado o sincronismo com PSF via IHM				
</t>
  </si>
  <si>
    <t xml:space="preserve">SE2 Elev 22				</t>
  </si>
  <si>
    <t xml:space="preserve">Falha de perda de ciclo automático,
Erro  no drive do elevador				
</t>
  </si>
  <si>
    <t xml:space="preserve">Acionamento indevido da portinhola de segurança entrada da mesa 21				
</t>
  </si>
  <si>
    <t xml:space="preserve">Realizado o rearme da ilha, reset do inversor devido a ter dado falha por estar em movimento(NST), realizado movimento manual no elevador para reconhecimento de posição				
</t>
  </si>
  <si>
    <t xml:space="preserve">Posto 70 - Robo 1 Aplicação Silicone				</t>
  </si>
  <si>
    <t xml:space="preserve">Falha sensores na troca de tipo				
</t>
  </si>
  <si>
    <t xml:space="preserve">Falta acionamento sensor ferramenta				
</t>
  </si>
  <si>
    <t xml:space="preserve">Ajuste de posiçao do sensor de detecção da ferramenta motor H				
</t>
  </si>
  <si>
    <t xml:space="preserve">RO7 Balanceadora				</t>
  </si>
  <si>
    <t xml:space="preserve">Falta validação estação 1				
</t>
  </si>
  <si>
    <t xml:space="preserve">Botão validação fim de ciclo elemento interno do botão com trava quebrada				
</t>
  </si>
  <si>
    <t xml:space="preserve">Diagnostico encontrado falta de validação na tentativa de By Pass retirada de condiçoes by passadas anteriormente, retorno das condiçoes no software e substituiçao posterior do elemento danificado.				
</t>
  </si>
  <si>
    <t xml:space="preserve">AGV´s MM01				</t>
  </si>
  <si>
    <t xml:space="preserve">Falha radiofrequencia				
</t>
  </si>
  <si>
    <t xml:space="preserve">Interferencia externa caixa de som</t>
  </si>
  <si>
    <t xml:space="preserve">Verificaçao AGV´s diagnostico e Desligamento da caixa de som.				
</t>
  </si>
  <si>
    <t xml:space="preserve">MM01 - Posto 05				</t>
  </si>
  <si>
    <t xml:space="preserve">Erro posição parafusamento 3				
</t>
  </si>
  <si>
    <t xml:space="preserve">Em diagnostico causa raiz possivel problema no pallet				
</t>
  </si>
  <si>
    <t xml:space="preserve">Robo estava com soquete errado substituido e Parafusado manual, Retorno Robo para origem e colocação posto em ciclo.				
</t>
  </si>
  <si>
    <t xml:space="preserve">Robôs R1 e R2 Fora de ciclo.				</t>
  </si>
  <si>
    <t xml:space="preserve">Robô R1 com bloco mas sem memória, ao movimentar o robô gerou falha de segurança, robô R2 com fora de ciclo.				
</t>
  </si>
  <si>
    <t xml:space="preserve">Enroscou uma peça no dispositivo, e foi manipulado memórias				
</t>
  </si>
  <si>
    <t xml:space="preserve">Corrigido as memórias dos 2 robôs levados robôs para repli e sincronizado EPS do R1				
</t>
  </si>
  <si>
    <t xml:space="preserve">TTS - ZONA</t>
  </si>
  <si>
    <t xml:space="preserve">Falha Emergencia Zona				
</t>
  </si>
  <si>
    <t xml:space="preserve">Fusivel proteção 24VS aberto				
</t>
  </si>
  <si>
    <t xml:space="preserve">Diagnostico e verificação do fusivel aberto, substituiçao e restabelecimento do processo. (Será verificado possiveis problemas de curto que possam ter ocasioado a queima do fusivel)				
</t>
  </si>
  <si>
    <t xml:space="preserve">PORTAS AUTOMÁTICAS CPL</t>
  </si>
  <si>
    <t xml:space="preserve">AGV´s parados				
</t>
  </si>
  <si>
    <t xml:space="preserve">Acionamento Scanner AGV´s devido neblina				
</t>
  </si>
  <si>
    <t xml:space="preserve">Verificação junto utilidades problema nas portas automaticas 1 e 2 do CPL:                                                     (Porta 1 AGV aciona fita no piso acionando abertura da porta permitindo entrada da neblina e gerando parada do AGV "deixado a mesma com Emergencia batida para não gerar parada dos AGV´s)                                                                                     (Porta 2, porta não descia conjunto mecânico travado "no terceiro turno foi soltado a fita pela Utilidades para deixar porta em baixo até a intervenção da equipe da Predial")				
</t>
  </si>
  <si>
    <t xml:space="preserve">IMPRESSORA</t>
  </si>
  <si>
    <t xml:space="preserve">Não realizava a impressão				
</t>
  </si>
  <si>
    <t xml:space="preserve">Perda de IP da impressora no desligamento para troca de Toner				
</t>
  </si>
  <si>
    <t xml:space="preserve">Reconfigurado as informações de IP da impressora. Demora devido a não ter a senha para inserir dados na configuração				
</t>
  </si>
  <si>
    <t xml:space="preserve">MESA 30 PIVOTANTE MASSL</t>
  </si>
  <si>
    <t xml:space="preserve">Falha no inversor de frequencia tanto no avanço como no recuo da mesa				
</t>
  </si>
  <si>
    <t xml:space="preserve">Problema interno no Drive, estava perdendo o sinal de drive_ok da função variadora				
</t>
  </si>
  <si>
    <t xml:space="preserve">"Substituído o inversor de frequencia. Só foi mantida a mesma CU, pois o problema é interno no Drive.
Acompanhado após a ceia e ficou OK"				
</t>
  </si>
  <si>
    <t xml:space="preserve">Cross Transfer saida linha Final Ent Cera				</t>
  </si>
  <si>
    <t xml:space="preserve">Cross Transfer sem destino para movimentação				
</t>
  </si>
  <si>
    <t xml:space="preserve">Cross tranfer parado com carroceria para subida repintura				
</t>
  </si>
  <si>
    <t xml:space="preserve">"Verificação nos 3 PLC´s de troca de informações com a mesa Cross Transfer (Sem alarmes ou falhas nos 3)
- Inspeção no supervisorio da Cera, verificado,  alarme Fotocelula M06 Feito alinhamento fotocelula, permaneceu Transfer parada.
- Verificado no CLP LCAF que o comando ATC2 estava ativo, porém sem movimentação do cross transfer C2
- Verificado pedido ativo mesa 16 LCAF para carroceria U79 para sair mesa 91
- Constatado carroceria parada entre a mesa 26 LCAF e M02 cera , obstruindo a fotocelula de interligação de zona.
- Verificado que o painel do  inversor C2 estava sem alimentação.
- Acionado emergencia geral LCAF e realizado rearme assim retornando os ciclos em automatico.)      Movimento de descarregamento normal após restabelecimento"				
</t>
  </si>
  <si>
    <t xml:space="preserve">MOP - Transporte Mastic AEREO				</t>
  </si>
  <si>
    <t xml:space="preserve">Falta Rearme ilha após limpeza intervalo almoço				
</t>
  </si>
  <si>
    <t xml:space="preserve">Defeito Profinet alguns dispositivos				
</t>
  </si>
  <si>
    <t xml:space="preserve">Desligamento e restabelecimento Drive Mesa TP126 e modulo PM que estavam em defeito, e restabelecimento da linha.				
</t>
  </si>
  <si>
    <t xml:space="preserve">Robô C3 FM30				</t>
  </si>
  <si>
    <t xml:space="preserve">Falha de solda "timer_read1"				
</t>
  </si>
  <si>
    <t xml:space="preserve">falha interna no controlador de solda				
</t>
  </si>
  <si>
    <t xml:space="preserve">foi reiniciado o controlador de solda				
</t>
  </si>
  <si>
    <t xml:space="preserve">R07				</t>
  </si>
  <si>
    <t xml:space="preserve">Parada por sinal emergencia				
</t>
  </si>
  <si>
    <t xml:space="preserve">Batido emergencia acidentalmente				
</t>
  </si>
  <si>
    <t xml:space="preserve">Encontrado a emergencia batida e voltado para a posição normal.				
</t>
  </si>
  <si>
    <t xml:space="preserve">ROBÔ</t>
  </si>
  <si>
    <t xml:space="preserve">Falha na supervisão de movimento				
</t>
  </si>
  <si>
    <t xml:space="preserve">Parou movimento durante a pega do resfriador				
</t>
  </si>
  <si>
    <t xml:space="preserve">Conferido posição do robô e reset da falha para retorno de movimento				
</t>
  </si>
  <si>
    <t xml:space="preserve">Fricção 67				</t>
  </si>
  <si>
    <t xml:space="preserve">Z7: FR67 Def. time-out avanço				
</t>
  </si>
  <si>
    <t xml:space="preserve">Quebra estrutura da fricção				
</t>
  </si>
  <si>
    <t xml:space="preserve">"Parada de 10 minutos para desmontar a tração.
Rodado em degradado até parada programada da produção.
Troca do conjunto."				
</t>
  </si>
  <si>
    <t xml:space="preserve">ME1				</t>
  </si>
  <si>
    <t xml:space="preserve">Bolha na entrada da ME1. Fricção não enviou o  carro				
</t>
  </si>
  <si>
    <t xml:space="preserve">Manipulação das memórias das fricções devido a pane anterior na FR67				
</t>
  </si>
  <si>
    <t xml:space="preserve">Adiantado parada da fabricação para reduzir impacto. Empurrado balancele em manual em toda a ME1				
</t>
  </si>
  <si>
    <t xml:space="preserve">Falha na segurança da barreira onde bate a massa na roda				
</t>
  </si>
  <si>
    <t xml:space="preserve">Desarme da segurança da Zona				
</t>
  </si>
  <si>
    <t xml:space="preserve">Rearmado o sistema e voltou a funcionar				
</t>
  </si>
  <si>
    <t xml:space="preserve">Rele Pilz de fechamento de Zona com Mal contato nos conectores.				
</t>
  </si>
  <si>
    <t xml:space="preserve">Substituído Relé Pilz por outro novo.				
</t>
  </si>
  <si>
    <t xml:space="preserve">QB90, Leitor de Skid mesa 123				</t>
  </si>
  <si>
    <t xml:space="preserve">Não está fazendo leitura do Codigo do Skid				
</t>
  </si>
  <si>
    <t xml:space="preserve">SMPLOC ACL2				</t>
  </si>
  <si>
    <t xml:space="preserve">SMPLOC em estado Mudo				
</t>
  </si>
  <si>
    <t xml:space="preserve">Possível alterações em final de semana, onde pode ter sido incluído ou excluído alguma Tag da Tempredis				
</t>
  </si>
  <si>
    <t xml:space="preserve">Realizado um DescConf do SMPLOC porém retornou com falhas de HS em todas as Zonas. Após isso, realizado Fase 3 para correção da Tempredis.				
</t>
  </si>
  <si>
    <t xml:space="preserve">Não faz leitura do Codigo do Skid				
</t>
  </si>
  <si>
    <t xml:space="preserve">Erro de parametrização				
</t>
  </si>
  <si>
    <t xml:space="preserve">Verificação e a tela Parametrização estava sem configuração necessária para a leitura do código do Skid, configurado os parâmetros com os valores conforme verificado na outra caixa de leitura QB090.				
</t>
  </si>
  <si>
    <t xml:space="preserve">Alterações em final de semana inserção de novas zonas e eventos				
</t>
  </si>
  <si>
    <t xml:space="preserve">Intervalo do Almoço, Executado RecupConf da base do SMPLOC para central e posterior Desc Conf para sincronismo.				
</t>
  </si>
  <si>
    <t xml:space="preserve">PRP Posto Preparação				</t>
  </si>
  <si>
    <t xml:space="preserve">Falha solda 				
</t>
  </si>
  <si>
    <t xml:space="preserve">Problema deslocamento de area das PRPs final de semana				
</t>
  </si>
  <si>
    <t xml:space="preserve">Substituição do controlador e ajustes para rodar em degradado sem medição de corrente (By pass) da toroide				
</t>
  </si>
  <si>
    <t xml:space="preserve">dispositivo não atingia a posição zero				
</t>
  </si>
  <si>
    <t xml:space="preserve">perdeu posição zero, estava deslocado em +/- 3°.				
</t>
  </si>
  <si>
    <t xml:space="preserve">efetuado calibração do encoder do servomotor na posição zero.				
</t>
  </si>
  <si>
    <t xml:space="preserve">Posto LGR071 PTI0456				</t>
  </si>
  <si>
    <t xml:space="preserve">Pinça não realizava solda				
</t>
  </si>
  <si>
    <t xml:space="preserve">Capacitor da placa de potencia danificado				
</t>
  </si>
  <si>
    <t xml:space="preserve">Sunbstituído a placa de potência				
</t>
  </si>
  <si>
    <t xml:space="preserve">MOP 1				</t>
  </si>
  <si>
    <t xml:space="preserve">Travamento de comunicação com IHMP's SOP's	</t>
  </si>
  <si>
    <t xml:space="preserve">Travamento do PC</t>
  </si>
  <si>
    <t xml:space="preserve">Substituído HD do PC, realizado as configurações de OPC e atualizado as tabelas de pré-disposição				
</t>
  </si>
  <si>
    <t xml:space="preserve">Estufa 1 Recirculo Verniz				</t>
  </si>
  <si>
    <t xml:space="preserve">Queimador não parte				
</t>
  </si>
  <si>
    <t xml:space="preserve">Problema controlador da valvula de entrada de Gás				
</t>
  </si>
  <si>
    <t xml:space="preserve">Ligado queimador em manual degradado para posterior reparo da controladora da valvula de Gás (Revisão posterior de valvula em bancada e substituição da controladora defeituosa)				
</t>
  </si>
  <si>
    <t xml:space="preserve">Cabeçote Novo OP110				</t>
  </si>
  <si>
    <t xml:space="preserve">Perda de sincronisco com velocidade 100%				
</t>
  </si>
  <si>
    <t xml:space="preserve">Problema no servo (sequencia diagnóstico do problema)				
</t>
  </si>
  <si>
    <t xml:space="preserve">Substituição do servo e realizado Fine Calibration após rodando com velocidade em 100%				
</t>
  </si>
  <si>
    <t xml:space="preserve">Cera P3 Mesa 14				</t>
  </si>
  <si>
    <t xml:space="preserve">Df bom funcionamento fotocelula mesa 14 vazia				
</t>
  </si>
  <si>
    <t xml:space="preserve">Fotocelua suja				
</t>
  </si>
  <si>
    <t xml:space="preserve">Diagnostico efetuado limpeza e restabelecimento devido falha na mesa seguinte.				
</t>
  </si>
  <si>
    <t xml:space="preserve">AG1 - Mesa AA 				</t>
  </si>
  <si>
    <t xml:space="preserve">Carro sem modelo na mesa AA AG1				
</t>
  </si>
  <si>
    <t xml:space="preserve">Folga na correia dos rolos, da mesa, fez com que fosse acionada a fotocelula de outro modelo.				
</t>
  </si>
  <si>
    <t xml:space="preserve">Corrigido via sw e orientado a substituir a correia, pois já está no limite do esticador.				
</t>
  </si>
  <si>
    <t xml:space="preserve">Aplicação Robô Bavolet				</t>
  </si>
  <si>
    <t xml:space="preserve">Falta de aplicação robô 2				
</t>
  </si>
  <si>
    <t xml:space="preserve">faltava sinal de pressão devido à mal contato no cabo do sensor.				
</t>
  </si>
  <si>
    <t xml:space="preserve">corrigida as conexões elétricas do sensor				
</t>
  </si>
  <si>
    <t xml:space="preserve">Robô ST200 (Ilha de Vidros)				</t>
  </si>
  <si>
    <t xml:space="preserve">falha de segurança após colisão de empilhadeira com porta da ilha robotizada.				
</t>
  </si>
  <si>
    <t xml:space="preserve">desalinhamento do sensor magnético da porta				
</t>
  </si>
  <si>
    <t xml:space="preserve">realinhamento do sensor.				
</t>
  </si>
  <si>
    <t xml:space="preserve">TTS - Zona 4				</t>
  </si>
  <si>
    <t xml:space="preserve">ZONA 4 : DEF. LINHA RELE EMERGENCIA				
</t>
  </si>
  <si>
    <t xml:space="preserve">Sem causa original do desarme				
</t>
  </si>
  <si>
    <t xml:space="preserve">Erro para rearmamento da Zona 4, devido algum alarme ativo atuando na linha do Rele Sirene Ativar impedindo rearme pela BFU, diagnostico anulação defeitos e rearme zonas em  geral ativando ciclo.				
</t>
  </si>
  <si>
    <t xml:space="preserve">CATA - Motor UFR2 do processo				</t>
  </si>
  <si>
    <t xml:space="preserve">Defeito Proteção Retificador 1 DR1				
</t>
  </si>
  <si>
    <t xml:space="preserve">Curto circuito contra massa Motor UFR2  PBC32. 				
</t>
  </si>
  <si>
    <t xml:space="preserve">"Realizado troca do disjuntor motor;
    Realizado troca do contator;
    Realizado troca do motor 20cv 1775rpm 160M"				
</t>
  </si>
  <si>
    <t xml:space="preserve">OP 200 Escapamentos				</t>
  </si>
  <si>
    <t xml:space="preserve">CPU foi stop ao zipar uma carta.				
</t>
  </si>
  <si>
    <t xml:space="preserve">Erro de escrita/leitura na DB. Análisando a causa				
</t>
  </si>
  <si>
    <t xml:space="preserve">Feito o reinicio da CPU e rearmado a ilha				
</t>
  </si>
  <si>
    <t xml:space="preserve">Lateral HHA Posto PEGD050				</t>
  </si>
  <si>
    <t xml:space="preserve">Falta Acionamento dispositivo				
</t>
  </si>
  <si>
    <t xml:space="preserve">Quebra do conector de alimentação da valvula de ar				
</t>
  </si>
  <si>
    <t xml:space="preserve">passagem de cabo por fora e posterior reparo com conector montado.				
</t>
  </si>
  <si>
    <t xml:space="preserve">Mac tanque BBB				</t>
  </si>
  <si>
    <t xml:space="preserve">Perda de funcionamento da linha				
</t>
  </si>
  <si>
    <t xml:space="preserve">Ao alterar o programa no almoço, foi perdido os dados da DB do teste eletrico.				
</t>
  </si>
  <si>
    <t xml:space="preserve">Recolocado os dados e rearmado a linha.				
</t>
  </si>
  <si>
    <t xml:space="preserve">Balanceadora RO7				</t>
  </si>
  <si>
    <t xml:space="preserve">Falha na movimentaçao da mesa				
</t>
  </si>
  <si>
    <t xml:space="preserve">Quebra do rolete da mesa de aplicação de massa				
</t>
  </si>
  <si>
    <t xml:space="preserve">Substituição do rolete (Erro na seleçao do PJI de corte acarretando falta de rodas em ME5)				
</t>
  </si>
  <si>
    <t xml:space="preserve">Estufa recirculo 2 Verniz				</t>
  </si>
  <si>
    <t xml:space="preserve">estufa ligava mas não mantinha a chama				
</t>
  </si>
  <si>
    <t xml:space="preserve">sujeira no sensor de chama				
</t>
  </si>
  <si>
    <t xml:space="preserve">limpado acesso do sensor de chama				
</t>
  </si>
  <si>
    <t xml:space="preserve">MOP Transporte Biton				</t>
  </si>
  <si>
    <t xml:space="preserve">PC do MOP não liga				
</t>
  </si>
  <si>
    <t xml:space="preserve">Não reconhece o HD				
</t>
  </si>
  <si>
    <t xml:space="preserve">Restauração Imagem Padrão e inserção arquivos Backup do GEDAUTO				
</t>
  </si>
  <si>
    <t xml:space="preserve">Robô				</t>
  </si>
  <si>
    <t xml:space="preserve">Falha de ar intermitente.				
</t>
  </si>
  <si>
    <t xml:space="preserve">Erro interno de atualização da variavel.				
</t>
  </si>
  <si>
    <t xml:space="preserve">Reinicialização do controlador.				
</t>
  </si>
  <si>
    <t xml:space="preserve">Biton mesa pivotante 32				</t>
  </si>
  <si>
    <t xml:space="preserve">Carroceria sem autorização de transferência.				
</t>
  </si>
  <si>
    <t xml:space="preserve">Falta sinal de fim de leitura code sick.				
</t>
  </si>
  <si>
    <t xml:space="preserve">Setado fim de leitura, presença e código de skid.				
</t>
  </si>
  <si>
    <t xml:space="preserve">Ilha vidros Robô PB				</t>
  </si>
  <si>
    <t xml:space="preserve">sistema perceptron não comunica com as cameras				
</t>
  </si>
  <si>
    <t xml:space="preserve">falha de comuniação entre PC/bridge/cameras				
</t>
  </si>
  <si>
    <t xml:space="preserve">reiniciado PC perceptron e reset da placa bridge.				
</t>
  </si>
  <si>
    <t xml:space="preserve">MOP				</t>
  </si>
  <si>
    <t xml:space="preserve">falha coletor de dados				
</t>
  </si>
  <si>
    <t xml:space="preserve">falha do windows				
</t>
  </si>
  <si>
    <t xml:space="preserve">reiniciado o MOP 2 vezes e desligado 1 vez e religado				
</t>
  </si>
  <si>
    <t xml:space="preserve">Robô R2 Bavolet				</t>
  </si>
  <si>
    <t xml:space="preserve">Erro no sistema, fatal error				
</t>
  </si>
  <si>
    <t xml:space="preserve">"Foi reiniciado o Armário do Robô;
Após isso feito o turn set nos eixos 1 e 6"				
</t>
  </si>
  <si>
    <t xml:space="preserve">Pinças automaticas PRG480 Portas X52				</t>
  </si>
  <si>
    <t xml:space="preserve">falha de corrente nas pinças automáticas				
</t>
  </si>
  <si>
    <t xml:space="preserve">Falha no circuito de medição				
</t>
  </si>
  <si>
    <t xml:space="preserve">feito by pass no sistema de medição, rodando pelo controle de potência.				
</t>
  </si>
  <si>
    <t xml:space="preserve">Robo E1 ilha de vidros 				</t>
  </si>
  <si>
    <t xml:space="preserve">Erro na lleitura para aplicação do vidro				
</t>
  </si>
  <si>
    <t xml:space="preserve">Sujeira "óleo" nas lentes da camera de verificação				
</t>
  </si>
  <si>
    <t xml:space="preserve">Realizado a limpeza das lentes				
</t>
  </si>
  <si>
    <t xml:space="preserve">CSA 150 ilha X79				</t>
  </si>
  <si>
    <t xml:space="preserve">Erro na mudança de área do leitor Sick				
</t>
  </si>
  <si>
    <t xml:space="preserve">Mal contato na saída do cartão digital do PLC				
</t>
  </si>
  <si>
    <t xml:space="preserve">Feito o reaperto das conexões e realizado verificação de outros pontos				
</t>
  </si>
  <si>
    <t xml:space="preserve">Laterais direita X52 mesa C0				</t>
  </si>
  <si>
    <t xml:space="preserve">Discordancia na inserção de peça entre software e SIPTOL				
</t>
  </si>
  <si>
    <t xml:space="preserve">Ainda em análise, não ocorreu a transferencia de memória entre a A0W e C0				
</t>
  </si>
  <si>
    <t xml:space="preserve">Forçado as condições para a realização da peça, corrigido o filme na posição C0 e também corrigido filme das memórias vindas da mesa D0 e D0W				
</t>
  </si>
  <si>
    <t xml:space="preserve">Lateral esquerda X52				</t>
  </si>
  <si>
    <t xml:space="preserve">Várias falhas no MOP, parou toda lateral				
</t>
  </si>
  <si>
    <t xml:space="preserve">Falha no cabo ethernet entre CPU do CLP e switch				
</t>
  </si>
  <si>
    <t xml:space="preserve">Substituído cabo ethernet dentro do MOP da CPU do CLP até o switch				
</t>
  </si>
  <si>
    <t xml:space="preserve">TTPS Mesa 03 saída				</t>
  </si>
  <si>
    <t xml:space="preserve">Desalinhou skid na entrada da mesa após a saída do TTPS.				
</t>
  </si>
  <si>
    <t xml:space="preserve">Quebou haste do fim de curso que aciona centrador 				
</t>
  </si>
  <si>
    <t xml:space="preserve">Substituído a haste do fim de curso, desenroscado as carrocerias que colidiram, reposicionado os skids.				
</t>
  </si>
  <si>
    <t xml:space="preserve">Robô op 05				</t>
  </si>
  <si>
    <t xml:space="preserve">gerando supervisão de movimento eixo 2				
</t>
  </si>
  <si>
    <t xml:space="preserve">falha do motor eixo 2				
</t>
  </si>
  <si>
    <t xml:space="preserve">substituido motor do eixo 2				
</t>
  </si>
  <si>
    <t xml:space="preserve">pinça robô A2 P1				</t>
  </si>
  <si>
    <t xml:space="preserve">pinça pegou fogo				
</t>
  </si>
  <si>
    <t xml:space="preserve">cabo de potência aqueceu muito e pegou fogo na capa e mangueira de ar				
</t>
  </si>
  <si>
    <t xml:space="preserve">apagado fogo com extintor e substituído cabo de potência e mangueira de ar.				
</t>
  </si>
  <si>
    <t xml:space="preserve">ILHA VIDROS</t>
  </si>
  <si>
    <t xml:space="preserve">14				</t>
  </si>
  <si>
    <t xml:space="preserve">falha no deposito dos 2 vidros				
</t>
  </si>
  <si>
    <t xml:space="preserve">falha no sistema perceptron				
</t>
  </si>
  <si>
    <t xml:space="preserve">reiniciado pc perceptron, levado robôs para home e corrigido as memórias				
</t>
  </si>
  <si>
    <t xml:space="preserve">MOP Robos Biton				</t>
  </si>
  <si>
    <t xml:space="preserve">Falha geral panic Blink na CPU				
</t>
  </si>
  <si>
    <t xml:space="preserve">Versão de Firmware antiga				
</t>
  </si>
  <si>
    <t xml:space="preserve">Reset CPU e descarregado base de dados de aplicação dos Robos				
</t>
  </si>
  <si>
    <t xml:space="preserve">Mesa 2 Cataforese				</t>
  </si>
  <si>
    <t xml:space="preserve">Falha posição carro na mesa 2				
</t>
  </si>
  <si>
    <t xml:space="preserve">Carro enroscou no avanço do Slide				
</t>
  </si>
  <si>
    <t xml:space="preserve">Reposicionamento do carro e reset de falha				
</t>
  </si>
  <si>
    <t xml:space="preserve">Lateral Direita X52				</t>
  </si>
  <si>
    <t xml:space="preserve">Em diagnostico				
</t>
  </si>
  <si>
    <t xml:space="preserve">Reset geral do MOP, Warm restart da CPU e ajustes das peças e ordem de acordo com as ordens dos PGF´s SIPTOL				
</t>
  </si>
  <si>
    <t xml:space="preserve">Reset geral do MOP, Warm restart da CPU e ajustes das peças e ordem de acordo com as ordens dos PGF´s SIPTOL Continuação intervenção terceiro turno				
</t>
  </si>
  <si>
    <t xml:space="preserve">CU11 Virabrequim OP110				</t>
  </si>
  <si>
    <t xml:space="preserve">Falha supervisão movimento colisão de junta				
</t>
  </si>
  <si>
    <t xml:space="preserve">Seguimento Problema				
</t>
  </si>
  <si>
    <t xml:space="preserve">Substituição dos circuitos de medição e potencia todo trecho do painel ao eixo 7, permanece intervenção de reparo.				
</t>
  </si>
  <si>
    <t xml:space="preserve">AG X52 - BM60				</t>
  </si>
  <si>
    <t xml:space="preserve">			Falha sick				
</t>
  </si>
  <si>
    <t xml:space="preserve">problema no sick				
</t>
  </si>
  <si>
    <t xml:space="preserve">Substituição do sick por outro modelo e executado ajustes de areas para rodar. (Original para 7 m instalado para 5,5 m)				
</t>
  </si>
  <si>
    <t xml:space="preserve">Unit Arriere Monofluxo Robo K5				</t>
  </si>
  <si>
    <t xml:space="preserve">Falha no deposito Griper K32 X79 no Docking K3C				
</t>
  </si>
  <si>
    <t xml:space="preserve">Quebra do suporte e do Trojan Griper K32 Robo K5				
</t>
  </si>
  <si>
    <t xml:space="preserve">Retirado conjunto completo do Griper do HJD e montado ajuste mecanico no suporte e ajuste de trajetórias para rodar. (necessário ajuste de trajetória de todos os gripers 				
</t>
  </si>
  <si>
    <t xml:space="preserve">Ilha de Tanques				</t>
  </si>
  <si>
    <t xml:space="preserve">Ilha fora de ciclo				
</t>
  </si>
  <si>
    <t xml:space="preserve">Intervenção projeto final de semana, falta Start-UP erro abertura de portas modo de funcionamento PSF incorreto				
</t>
  </si>
  <si>
    <t xml:space="preserve">Execução dos procedimentos de abertura de portas ajustes de presenças da ilha e correção do modo de funcionamento PSF 				
</t>
  </si>
  <si>
    <t xml:space="preserve">SMP SAO				</t>
  </si>
  <si>
    <t xml:space="preserve">Falta carregamento no SMP99 do jornal de paradas de SAO				
</t>
  </si>
  <si>
    <t xml:space="preserve">SMPLOC em modo Mudo Modificação Topico na predisposição				
</t>
  </si>
  <si>
    <t xml:space="preserve">Reconfigurado nome do Tópico e reinicialização do SMPLOC				
</t>
  </si>
  <si>
    <t xml:space="preserve">Mastic ao Solo MOP				</t>
  </si>
  <si>
    <t xml:space="preserve">Falhas intermitentes defeito de Ar				
</t>
  </si>
  <si>
    <t xml:space="preserve">Teste da cadeia de segurança e instalação do Diziscope para analise do problema.				
</t>
  </si>
  <si>
    <t xml:space="preserve">SMP99 Carroceria				</t>
  </si>
  <si>
    <t xml:space="preserve">Erro nos encursos CSF5				
</t>
  </si>
  <si>
    <t xml:space="preserve">modificação de predisposição na sexta feira				
</t>
  </si>
  <si>
    <t xml:space="preserve">Verificação das variaveis e predisposição no SMPLOC e PLC, e associação dos encursos aos respectivos grupos.				
</t>
  </si>
  <si>
    <t xml:space="preserve">SAO2 M1				</t>
  </si>
  <si>
    <t xml:space="preserve">Perdeu sequenciamento no SAO				
</t>
  </si>
  <si>
    <t xml:space="preserve">time out de comunicação PSF				
</t>
  </si>
  <si>
    <t xml:space="preserve">reiniciado IHM e o pessoal da informática fez o reset do PSF				
</t>
  </si>
  <si>
    <t xml:space="preserve">OP180				</t>
  </si>
  <si>
    <t xml:space="preserve">falha no ciclo do posto				
</t>
  </si>
  <si>
    <t xml:space="preserve">falha no sensor de presença de peça				
</t>
  </si>
  <si>
    <t xml:space="preserve">substituído sensor				
</t>
  </si>
  <si>
    <t xml:space="preserve">Pinça 863 piso tras U79				</t>
  </si>
  <si>
    <t xml:space="preserve">pinça estourando ponto				
</t>
  </si>
  <si>
    <t xml:space="preserve">cilindro perdendo pressão no momento da solda				
</t>
  </si>
  <si>
    <t xml:space="preserve">substituido cilindro				
</t>
  </si>
  <si>
    <t xml:space="preserve">Verniz mesa pivotante saida				</t>
  </si>
  <si>
    <t xml:space="preserve">Desarme do relé de acionamento do motor				
</t>
  </si>
  <si>
    <t xml:space="preserve">Enroscou uma das travas do capô do BBB entra a corrente e engrenagem do rolo				
</t>
  </si>
  <si>
    <t xml:space="preserve">Retirado a trava, substituído o relé e ajustado rolos.				
</t>
  </si>
  <si>
    <t xml:space="preserve">Maquina 1 Molde areia cabeçote				</t>
  </si>
  <si>
    <t xml:space="preserve">Erro no aquecimento da caixa do molde, erro de inicialização da máquina				
</t>
  </si>
  <si>
    <t xml:space="preserve">Falha no aquecimento, não estava iniciando o ciclo				
</t>
  </si>
  <si>
    <t xml:space="preserve">Reset das falhas, verificação dos aaquecedores, acompanhamento do inicio do ciclo da máquina.				
</t>
  </si>
  <si>
    <t xml:space="preserve">Cabine Base Mesa 19				</t>
  </si>
  <si>
    <t xml:space="preserve">Desarme				
</t>
  </si>
  <si>
    <t xml:space="preserve">Bobina Freio em curto				
</t>
  </si>
  <si>
    <t xml:space="preserve">Desabilitado Freio ajuste de sensores e logica para rodar sem freio (Substituição do motor no intervalo da janta do segundo turno)				
</t>
  </si>
  <si>
    <t xml:space="preserve">Novamente substituição do Motor (Acompanhamento para verificação retorno problema)				
</t>
  </si>
  <si>
    <t xml:space="preserve">Virabrequim OP200 				</t>
  </si>
  <si>
    <t xml:space="preserve">Falha Sistema de Visão				
</t>
  </si>
  <si>
    <t xml:space="preserve">Perda de posição e Foco camera				
</t>
  </si>
  <si>
    <t xml:space="preserve">Efetuado ajustes nas janelas de busca dos caracteres do sistema de Visão.				
</t>
  </si>
  <si>
    <t xml:space="preserve">Falha sick				
</t>
  </si>
  <si>
    <t xml:space="preserve">Substituição do sick por outro modelo e executado ajustes de areas para rodar. (Original para 7 m instalado para 5,5 m) ((Continuação intervenção Terceiro Turno))				
</t>
  </si>
  <si>
    <t xml:space="preserve">Retirado conjunto completo do Griper do HJD e montado ajuste mecanico no suporte e ajuste de trajetórias para rodar. (necessário ajuste de trajetória de todos os gripers ((Continuação intervenção Terceiro Turno))				
</t>
  </si>
  <si>
    <t xml:space="preserve">ACL4 - Capo Cofre HHA Robo A2				</t>
  </si>
  <si>
    <t xml:space="preserve">Travamento TP do robo e perda calibração eixos				
</t>
  </si>
  <si>
    <t xml:space="preserve">Reinicialização Robo recalibração dos eixos e colocação da ilha em Ciclo.				
</t>
  </si>
  <si>
    <t xml:space="preserve">Tristock (Mesa 5, PSF SIPTK)				</t>
  </si>
  <si>
    <t xml:space="preserve">DEF. LEiTOR SICK 2 MESA 05				
</t>
  </si>
  <si>
    <t xml:space="preserve">Falha na leitura do Sick mesa 05 e perda sincronismo PSF SIPTK e PLC (PLC em aguardo resposta PSF)				
</t>
  </si>
  <si>
    <t xml:space="preserve">Colocação do Tristock em By Pass e forçado PJI´s em manual para todos carros, intervalo café efetuado reset PLC e SIPTK carros entrando normalmente no TK, mas não descarrega carros para mesa 05, acionamento By Pass e digitação do PJI em manual pelo DLI até fim do turno. Após 18:40 Reset do PLC e Tristock enviou carro para mesa 5 e fica aguardando resposta do PSF (intervenção informatica para restabelecimento). 				
</t>
  </si>
  <si>
    <t xml:space="preserve">Maquina de Enchimento BV				</t>
  </si>
  <si>
    <t xml:space="preserve">Perdendo dados da DB37 onde escreve os valores para cada ciclo.				
</t>
  </si>
  <si>
    <t xml:space="preserve">Ainda em análise para descobrir a causa				
</t>
  </si>
  <si>
    <t xml:space="preserve">Criado uma DB38 para fazer imagem da DB37, na OB1 foi inserido rotina para mover os valores da DB38 para DB37 pela memória de clock da CPU, Corrigido By pass da trava.		</t>
  </si>
  <si>
    <t xml:space="preserve">Unit Avant ( Robôs F e Gripper K35/K36/K34)				</t>
  </si>
  <si>
    <t xml:space="preserve">Perda de sincronismo e marrige dentro da ilha				
</t>
  </si>
  <si>
    <t xml:space="preserve">Possivelmente inserido com OF duplicada, ainda em verificação de causa,				
</t>
  </si>
  <si>
    <t xml:space="preserve">Retirado as peças da linha para acertar o filme de produção na mesma.				
</t>
  </si>
  <si>
    <t xml:space="preserve">Prensa Durval				</t>
  </si>
  <si>
    <t xml:space="preserve">Não esta fazendo a prensagem correta da polia				
</t>
  </si>
  <si>
    <t xml:space="preserve">Erro constante no posicionamento do ServoMotor				
</t>
  </si>
  <si>
    <t xml:space="preserve">Durante a noite, foi calibrado varias vezes. Verificado parametros de funcionamento de posição,				
</t>
  </si>
  <si>
    <t xml:space="preserve">Lateral Esquerda X52 Dispositivo B0				</t>
  </si>
  <si>
    <t xml:space="preserve">Falta carregamento OF Siptol na Mesa A0				
</t>
  </si>
  <si>
    <t xml:space="preserve">Mesa B0 em falha (Z1: B01 Falha sem Condição de Máquina) quebra peça travou movimento grampo				
</t>
  </si>
  <si>
    <t xml:space="preserve">Intervenção ocorreu perda de sequencia (ajustado OF´s e sequencia Base de Dados dispositivos) (Seguimento junto com a area "alteração texto descrição falha IHMP e alteração da MOV2P1 pois não indicava falha do grampo especifico (problema conceito do bloco)")				
</t>
  </si>
  <si>
    <t xml:space="preserve">SC5 BVDA				</t>
  </si>
  <si>
    <t xml:space="preserve">Falha na liberação dos fluidos				
</t>
  </si>
  <si>
    <t xml:space="preserve">Valores da DB37 zerando sem comando de zeramento				
</t>
  </si>
  <si>
    <t xml:space="preserve">Feito download do programa completo no horáio de janta, mas não resolveu, foi preparado uma cpu para substiuir no mop.				
</t>
  </si>
  <si>
    <t xml:space="preserve">robô Biton				</t>
  </si>
  <si>
    <t xml:space="preserve">				</t>
  </si>
  <si>
    <t xml:space="preserve">Carro não entra na cabine de pintura				
</t>
  </si>
  <si>
    <t xml:space="preserve">Falha no sistema de lubrificação do robô 				
</t>
  </si>
  <si>
    <t xml:space="preserve">Efetuado reset da falha pela tela do eco screen				
</t>
  </si>
  <si>
    <t xml:space="preserve">Robô 01 base				</t>
  </si>
  <si>
    <t xml:space="preserve">Falha de movimento eixo 2				
</t>
  </si>
  <si>
    <t xml:space="preserve">Motor travado				
</t>
  </si>
  <si>
    <t xml:space="preserve">Substítuido motor (Walter atendeu)				
</t>
  </si>
  <si>
    <t xml:space="preserve">assitencia de bateria SE6				</t>
  </si>
  <si>
    <t xml:space="preserve">Operador levando choque ao utilizar a parafusadeira				
</t>
  </si>
  <si>
    <t xml:space="preserve">Falta aterramento do dispositivo (estava com 49Vca do terra em relação a estrutura metálica)				
</t>
  </si>
  <si>
    <t xml:space="preserve">Ligado aterramentos no painel, porta do painel e estrutura, no horário de janta os técnicos revisaram toda instalação.				
</t>
  </si>
  <si>
    <t xml:space="preserve">Unit Cental				</t>
  </si>
  <si>
    <t xml:space="preserve">Falta liberação Pallet no descarregamento, depois falha no carregamento				
</t>
  </si>
  <si>
    <t xml:space="preserve">Falta 24V alimentação segurança Valvulas mau contato conector Y entrada CPX				
</t>
  </si>
  <si>
    <t xml:space="preserve">Verificação condições software e Esquema e verificação conexões eletricas, diagnosticado mau contato conector Y entrada CPX A0DIM1.  Depois falha carregamento comparação modelos substituição de peça e leitura OK.				
</t>
  </si>
  <si>
    <t xml:space="preserve">MM13 Posto 350				</t>
  </si>
  <si>
    <t xml:space="preserve">Falta sinal Robo Colaborativo em Posição Inicial				
</t>
  </si>
  <si>
    <t xml:space="preserve">Travamento variaveis internas ou perda ponteiro programa				
</t>
  </si>
  <si>
    <t xml:space="preserve">Verificação troca de sinais Robo CLP e condições programa, retirada do By Pass Robo, reiniciado Robo parando programa depois desligando via TP e colocação posto em ciclo.				
</t>
  </si>
  <si>
    <t xml:space="preserve">MM01 Posto 05				</t>
  </si>
  <si>
    <t xml:space="preserve">Falha na Leitura OCR (Motor HR16 nacional)				
</t>
  </si>
  <si>
    <t xml:space="preserve">Em analise aguardando retorno (Motor HR16 nacional) para teste				
</t>
  </si>
  <si>
    <t xml:space="preserve">Executado (limpeza de arquivos do PC) e ajuste posicionamento iluminação sistema de Visão.				
</t>
  </si>
  <si>
    <t xml:space="preserve">AG X52 - BM30 Robo C6				</t>
  </si>
  <si>
    <t xml:space="preserve">Quebra sistema de balanceamento pinça Robo C6				
</t>
  </si>
  <si>
    <t xml:space="preserve">Colisão Robos C4 e C6 após realização de Troca de eletrodo Robo C6				
</t>
  </si>
  <si>
    <t xml:space="preserve">Substituição conjunto balanceamento da pinça ajuste de pontos e ajuste das regulagens do sistema de balanceamento. 				
</t>
  </si>
  <si>
    <t xml:space="preserve">Unit Avant Monofluxo				</t>
  </si>
  <si>
    <t xml:space="preserve">Falha de divercidade de peça mesa K2 (Operador colocou a peça do HHA OF0779 gerou varias falha de sensores)				
</t>
  </si>
  <si>
    <t xml:space="preserve">OF0779 Travada na troca com o SIPTOL				
</t>
  </si>
  <si>
    <t xml:space="preserve">"Na tela de identificação de peça a OF 0779 estava para o modelo BBB. Foi colocado o tablier do BBB peça entrou normalmente gerando falha no casamento na F0. Em análise foi verificado que a OF 0779 já tinha sido fabricada para BBB. 
Descartado a OF no robô K5 que depositou o tablier na mesa K8 e ajustado o casamento das peça. "				
</t>
  </si>
  <si>
    <t xml:space="preserve">falha de caracteristicas incorretas na recalagem				
</t>
  </si>
  <si>
    <t xml:space="preserve">OF do lançamento estava na recalagem, mas modelo estava correto no display do lançamento				
</t>
  </si>
  <si>
    <t xml:space="preserve">Corrigido sequencia de modelo com a ordem, foi deixado o diziscope monitorando o mop				
</t>
  </si>
  <si>
    <t xml:space="preserve">Robô B2 Ilha portas H79				</t>
  </si>
  <si>
    <t xml:space="preserve">Perda de comunicção com a SMB				
</t>
  </si>
  <si>
    <t xml:space="preserve">"Falha no sistema do Robô,
Perda de ciclo da máquina."				
</t>
  </si>
  <si>
    <t xml:space="preserve">"Reset e reinicio do sistema do robô;
Refeita a atualização dos contadores de revolução dos 6 eixos;
Corrigido ciclo dos berços da linha de sertissagem."				
</t>
  </si>
  <si>
    <t xml:space="preserve">TGSE2				</t>
  </si>
  <si>
    <t xml:space="preserve">202 m</t>
  </si>
  <si>
    <t xml:space="preserve">falha 24V circuito das garras				
</t>
  </si>
  <si>
    <t xml:space="preserve">causa1: painel das garras caiu sobre o cabo, gerando fuga para a massa.                                          causa2: falha em  cartão safety de módulo remoto				
</t>
  </si>
  <si>
    <t xml:space="preserve">corretiva1: fixado novamente o painel e corrigido conexões dos cabos removendo o curto        corretiva2: substituído módulo safety de um painel pelo outro, ambos funcionaram				
</t>
  </si>
  <si>
    <t xml:space="preserve">X52 Preliminar - FM1				</t>
  </si>
  <si>
    <t xml:space="preserve">FM70 não descarrega veiculo da FM70 para FM80 e falha de colisão de junta robo F2				
</t>
  </si>
  <si>
    <t xml:space="preserve">Modo deverminagem ativo na Zona (Modo deverminagem manda espessura 0 para o Robo acarretando falha de colisão de junta, e Zera modelo na mesa quando a mesma sobe após fim de trabalho impedindo transferencia para mesa posterior)				
</t>
  </si>
  <si>
    <t xml:space="preserve"> Robo F2: Troca de eletrodo tentativa de recalibragem efetuado calibração fina Robo mas continuou gerando faha.                                             Ausencia Transferencia de modelo verificação condições e diagnostico modo deverminagem ativo Retirado modo e funcionamento OK. 				
</t>
  </si>
  <si>
    <t xml:space="preserve">Robô C8 CSF3 no P1				</t>
  </si>
  <si>
    <t xml:space="preserve">Erro na abertura da válvula de refrigeração da pinça de solda				
</t>
  </si>
  <si>
    <t xml:space="preserve">Falha no sistema "PROMIA", ficou travado não realizando o comando de abertura da válvula				
</t>
  </si>
  <si>
    <t xml:space="preserve">"Realizado 2 vezes o comando B_Start para reinicialização do sistema,
Terminado o carro em manual para finalização de ciclo."				
</t>
  </si>
  <si>
    <t xml:space="preserve">MM01 - Posto 55				</t>
  </si>
  <si>
    <t xml:space="preserve">Falta aperto 3 e 4 (automatico) Posto 55				
</t>
  </si>
  <si>
    <t xml:space="preserve">Perda de programa do controlador parafusadeiras fusos 3 e 4 				
</t>
  </si>
  <si>
    <t xml:space="preserve">Diagnosticado e não havia o chamado de programa, entradas do controlador funcionando normalmente substituido unidade CPU e colocação em funcionamento. Dificuldades e problemas em estabelecer o posto em degradado. (dificuldade diagnostico display do controlador das parafusadeiras bastante apagado)				
</t>
  </si>
  <si>
    <t xml:space="preserve">Esteira Estufa Primer				</t>
  </si>
  <si>
    <t xml:space="preserve">Defeito Tensor corrente				
</t>
  </si>
  <si>
    <t xml:space="preserve">Corrente Travando				
</t>
  </si>
  <si>
    <t xml:space="preserve">Na retirada das carrocerias estufa arrebentou a corrente retirada dos carros em manual para realização da intervenção.				
</t>
  </si>
  <si>
    <t xml:space="preserve">Guia entrada tripartida pedaço intermediario rompeu parafuso fixação e atravessou travando corrente				
</t>
  </si>
  <si>
    <t xml:space="preserve">Reparo pedaço intermediario realinhamento e restabelecimento de condiçoes para rodar.				
</t>
  </si>
  <si>
    <t xml:space="preserve">Parafusadeira Quadrifusa TA9				</t>
  </si>
  <si>
    <t xml:space="preserve">Falha no parafusamento dos modelos X79 e HHA				
</t>
  </si>
  <si>
    <t xml:space="preserve">Mal contato no conector do sensor que fica dentro do mangote e controla posição da torre 				
</t>
  </si>
  <si>
    <t xml:space="preserve">Aberto o mangote, melhorado a conexão dos sensores e verificado os demmais. Após isso melhorado a fixação do cabo				
</t>
  </si>
  <si>
    <t xml:space="preserve">ME3				</t>
  </si>
  <si>
    <t xml:space="preserve">Perda de sinal 24V na IM da Zona 6				
</t>
  </si>
  <si>
    <t xml:space="preserve">Ainda em verificação e diagnóstico, paradas intermitentes ocorrendo				
</t>
  </si>
  <si>
    <t xml:space="preserve">Colocado multimetro para verificação do sinal de 24V e monitorando para acompanhar quando ocorre o problema				
</t>
  </si>
  <si>
    <t xml:space="preserve">Banco de Rolagem 2				</t>
  </si>
  <si>
    <t xml:space="preserve">Rolo de segurança dianteiro não movimenta				
</t>
  </si>
  <si>
    <t xml:space="preserve">Cilindro principal de movimento com problema interno possivel embolo solto				
</t>
  </si>
  <si>
    <t xml:space="preserve">Ajuste circuito pneumatico e substituição do cilindro que mesmo com ar para movimentação e não movimentava.				
</t>
  </si>
  <si>
    <t xml:space="preserve">Maquina de Enchimento SC5 - BVDA				</t>
  </si>
  <si>
    <t xml:space="preserve">Máquina enchimento SC5 perda de parâmetros				
</t>
  </si>
  <si>
    <t xml:space="preserve">Em tratativa ainda sem causa para o problema				
</t>
  </si>
  <si>
    <t xml:space="preserve">Troca do HDD do PC para SSD, retornado CPU original e feito downgrade de firmware e permaneceu problema. Colocação novamente de uma DB38 para manter os valores da DB37 que são zerados.				
</t>
  </si>
  <si>
    <t xml:space="preserve">Unit Central Monofluxo				</t>
  </si>
  <si>
    <t xml:space="preserve">Falta de segurança da Zona				
</t>
  </si>
  <si>
    <t xml:space="preserve">Fim de curso de segurança assistencia de carregamento (instalada faz pouco ainda de projeto) ligado em série segurança não libera alimentação p drive.				
</t>
  </si>
  <si>
    <t xml:space="preserve">Posicionamento da assistencia e restabelecimento condições da ilha.				
</t>
  </si>
  <si>
    <t xml:space="preserve">Ilha Sertissagem Portas BBB				</t>
  </si>
  <si>
    <t xml:space="preserve">Problema qualidade Sertissagem porta Traseira direita BBB				
</t>
  </si>
  <si>
    <t xml:space="preserve">Diagnostico e problema servo eixo 4 Robo B3				
</t>
  </si>
  <si>
    <t xml:space="preserve">Executado diminuição de velocidade nos pontos, e programação para substituição do servo eixo 4 no final de semana.				
</t>
  </si>
  <si>
    <t xml:space="preserve">Robô H0 (Gravador de Chassy)				</t>
  </si>
  <si>
    <t xml:space="preserve">Falha de barramento Profinet				
</t>
  </si>
  <si>
    <t xml:space="preserve">"Conector na CPX com mau contato,
Falha na Placa de rede do PC do gravador"				
</t>
  </si>
  <si>
    <t xml:space="preserve">"Refeita a conexão do cabo que vai ligado na CPX,
Reiniciado o PC do gravador e também verificado conexão de alimentação da placa."				
</t>
  </si>
  <si>
    <t xml:space="preserve">Esteira Bancos ME3				</t>
  </si>
  <si>
    <t xml:space="preserve">Esteiras fora de sincronismo				
</t>
  </si>
  <si>
    <t xml:space="preserve">Logica Ladder incorreta, e fotocelula acionamento esteira saida atuada direto. 				
</t>
  </si>
  <si>
    <t xml:space="preserve">Descarregamento das FCs de controle das esteiras e colocação de espelho para reflexão da fotocelula acionamento esteira saida.				
</t>
  </si>
  <si>
    <t xml:space="preserve">Transportador Tristock				</t>
  </si>
  <si>
    <t xml:space="preserve">Z1: TK Defeito de Movimento Tristock				
</t>
  </si>
  <si>
    <t xml:space="preserve">skid 1620 descarrilhou na mesa do Transelevador TK				
</t>
  </si>
  <si>
    <t xml:space="preserve">Posicionamento da Carroceria na mesa do TK e restabelecimento.				
</t>
  </si>
  <si>
    <t xml:space="preserve">MM01 Posto 163				</t>
  </si>
  <si>
    <t xml:space="preserve">Ciclo não inicia após retorno Robo para Home				
</t>
  </si>
  <si>
    <t xml:space="preserve">Colisão Robo com a peça, e SEQ1 ficou ativa impedindo reinicio ciclo				
</t>
  </si>
  <si>
    <t xml:space="preserve">Recolocação Robo em Home e executado a Sequencia 1 através da Tela de comandos das  sequencias do Promia.				
</t>
  </si>
  <si>
    <t xml:space="preserve">Centrador banco paralelismo 1				</t>
  </si>
  <si>
    <t xml:space="preserve">falha de movimento motor centrador				
</t>
  </si>
  <si>
    <t xml:space="preserve">extracurso no recuo travou motor				
</t>
  </si>
  <si>
    <t xml:space="preserve">acionado diretamente no contactor				
</t>
  </si>
  <si>
    <t xml:space="preserve">EOM H79 CSA100				</t>
  </si>
  <si>
    <t xml:space="preserve">falha de translação da EMO H79				
</t>
  </si>
  <si>
    <t xml:space="preserve">falha nó 28 DeviceNet gerou falha no inversor e não chegou na posição de translação				
</t>
  </si>
  <si>
    <t xml:space="preserve">Feito movimento manual para corrigir o ciclo				
</t>
  </si>
  <si>
    <t xml:space="preserve">desarme por intrusão barreira IT1				
</t>
  </si>
  <si>
    <t xml:space="preserve">skid ou peça colidiu com sensor de passagem de skid, que está no bloco anti intrusão do safety.				
</t>
  </si>
  <si>
    <t xml:space="preserve">ajustado posição do sensor.				
</t>
  </si>
  <si>
    <t xml:space="preserve">Mastic ao Solo Mesa 126				</t>
  </si>
  <si>
    <t xml:space="preserve">ILOT: Def. barramento ProfiNET				
</t>
  </si>
  <si>
    <t xml:space="preserve">T126 Def. mesa.				
</t>
  </si>
  <si>
    <t xml:space="preserve">Após rearme das ilhas em automático,  intervenção do almoço TP14, falha no rearme da zona 04 (Variador TP126 ).  Rearme cabeça de rede TP126, rearmou zona Movimentações em manual  carroceria da mesa T125 p TP126, e reset do 24V do Variador TP126 (ausencia sinal variador OK sem nenhum diagnostico na IHM).				
</t>
  </si>
  <si>
    <t xml:space="preserve">MM13 - BAP Posto 10 OFF Line				</t>
  </si>
  <si>
    <t xml:space="preserve">Falha Leitura Data Matrix				
</t>
  </si>
  <si>
    <t xml:space="preserve">Erro Identificação do código				
</t>
  </si>
  <si>
    <t xml:space="preserve">Reset e Releitura do Data Matrix OK mas posto parado sem seguimento do ciclo, returada das peças e restabelecimento das condições para funcionamento.				
</t>
  </si>
  <si>
    <t xml:space="preserve">PM1				</t>
  </si>
  <si>
    <t xml:space="preserve">Perdeu do sinal sensor extra curso inferior posição elevador nivél 0				
</t>
  </si>
  <si>
    <t xml:space="preserve">rolo guia lateral travado				
</t>
  </si>
  <si>
    <t xml:space="preserve">inserido force no fim de curso até o horário de janta, O elevador descarregou o skid que ja estava carregado o proximo skid ficou parado na mesa 04 aguardando fim de dialogo psf,forçado esta memoria o skid descarregou				
     e o proximo ficou parado novamente na mesa 04,foi optado por esvaziar o encurso do elevador para limpar as memorias incoerênte das mesa T03,T04,T05 e elevador EDL02.				
     Liberado a linha normalizou todos os ciclos.				
    feito associação de cinco carrocerias na linha PM1, no horário de janta foi feito lublificação,ajustado sensor extra curso em 8mm				
</t>
  </si>
  <si>
    <t xml:space="preserve">Posto LVG 035 pinça PTI 936				</t>
  </si>
  <si>
    <t xml:space="preserve">Queima do trafo e da chabata de ligação da pinça				
</t>
  </si>
  <si>
    <t xml:space="preserve">SCR estava com o gate travado mandando tensão direta para o trafo				
</t>
  </si>
  <si>
    <t xml:space="preserve">Substituído o trafo, realizado a substituição da chabata de ligação e também a substituição do SCR.				
</t>
  </si>
  <si>
    <t xml:space="preserve">MM13 - Posto 40				</t>
  </si>
  <si>
    <t xml:space="preserve">Falha Giro Servo				
</t>
  </si>
  <si>
    <t xml:space="preserve">Falta acionamento sensores de posicionamento mesa em Z181DIPLA11 E Z181DIPLA21				
</t>
  </si>
  <si>
    <t xml:space="preserve">Efetuada logica paralela no software até a verificação do problema fisico				
</t>
  </si>
  <si>
    <t xml:space="preserve">Unit Arriere Monofluxo RF1 e RF2				</t>
  </si>
  <si>
    <t xml:space="preserve">Defeito resposta Calculador SIPTOL				
</t>
  </si>
  <si>
    <t xml:space="preserve">Falta de resposta do SIPTOL analise pela informatica				
</t>
  </si>
  <si>
    <t xml:space="preserve">Tentativa de tratar localmente no Siptol mas não funcionava necessario por intermedio Informatica reinicio Servidor SIPTOL				
</t>
  </si>
  <si>
    <t xml:space="preserve">Banco Paralelismo Lazatron				</t>
  </si>
  <si>
    <t xml:space="preserve">Falha ao enviar codigo para Luminoscopio				
</t>
  </si>
  <si>
    <t xml:space="preserve">Run-time error 339 (CoolButton.ocx) Exclusão incorreta de programas				
</t>
  </si>
  <si>
    <t xml:space="preserve">Substituição do PC pelo PC backup no intervalo do almoço e efetuado as calibrações do equipamento.				
</t>
  </si>
  <si>
    <t xml:space="preserve">Mesa TE05 - Troca de skid MASSL				</t>
  </si>
  <si>
    <t xml:space="preserve">Defeito elevador fim de curso quebra de corrente				
</t>
  </si>
  <si>
    <t xml:space="preserve">Quebra do eixo da tesoura de elevação da troca de skid				
</t>
  </si>
  <si>
    <t xml:space="preserve">Substituição do eixo da mesa e teste de movimentação				
</t>
  </si>
  <si>
    <t xml:space="preserve">SMPLOC - ME5, PO4, SE4, Transp Bancos				</t>
  </si>
  <si>
    <t xml:space="preserve">SMPLOCs sem comunicação				
</t>
  </si>
  <si>
    <t xml:space="preserve">Erros hardware, rede, e comunicação				
</t>
  </si>
  <si>
    <t xml:space="preserve">ME5 - Inicio intervenção no terceiro turno substituição placa KTX e reparo via do fio de rede solto no conector,                                                  SE4 - Conector de rede DH+ danificado substituido                                                                PO4 - Reinicialização do PC e reconeção cabo de rede com mau contato                                                Transp Bancos - Reconfigurado e download OPC e reinicialização do PC.				
</t>
  </si>
  <si>
    <t xml:space="preserve">SMPLOC - SAO				</t>
  </si>
  <si>
    <t xml:space="preserve">SMPLOC sem comunicação				
</t>
  </si>
  <si>
    <t xml:space="preserve">Erros configuração				
</t>
  </si>
  <si>
    <t xml:space="preserve">Reinstalação do SMPLOC e criação de uma base nova e desc conf.				
</t>
  </si>
  <si>
    <t xml:space="preserve">SMPLOC - Portas 				</t>
  </si>
  <si>
    <t xml:space="preserve">Restabelecimento do PC e comunicação 				
</t>
  </si>
  <si>
    <t xml:space="preserve">Ilha Vidros ABB -  Conjunto Cola Robo Parabrisa				</t>
  </si>
  <si>
    <t xml:space="preserve">CO2 Def. bloqueio cola				
</t>
  </si>
  <si>
    <t xml:space="preserve">Quebra parafuso dosador mastic parabrisa				
</t>
  </si>
  <si>
    <t xml:space="preserve">Desmontagem limpeza do conjunto, substituição do parafuso quebrado e recolocação em ciclo.				
</t>
  </si>
  <si>
    <t xml:space="preserve">Balsa 55 LTP				</t>
  </si>
  <si>
    <t xml:space="preserve">Balsa 55 parada 				
</t>
  </si>
  <si>
    <t xml:space="preserve">falha de ultrapassagem e não resetava falha				
</t>
  </si>
  <si>
    <t xml:space="preserve">efetuado reset via sw				
</t>
  </si>
  <si>
    <t xml:space="preserve">Banco paralelismo 1				</t>
  </si>
  <si>
    <t xml:space="preserve">Falha na inicialização do Xline, erros de tabelas; Erro na chamada de modelo no LET.</t>
  </si>
  <si>
    <t xml:space="preserve">Alterações realizadas no X_Line em final de semana				
</t>
  </si>
  <si>
    <t xml:space="preserve">Inserido um backup semana anterior no X_Line, Encontrado cabo de comunicação serial entre PC e LET solto				
</t>
  </si>
  <si>
    <t xml:space="preserve">Banco de teste motor 1				</t>
  </si>
  <si>
    <t xml:space="preserve">Não entra no ciclo de partida após a inicialização do teste				
</t>
  </si>
  <si>
    <t xml:space="preserve">Ainda em verificação				
</t>
  </si>
  <si>
    <t xml:space="preserve">Substituído cabo e sensor de verificação de velocidade ;                                                       Verificado Alimentação dos sinais de entrada e saídas.				
</t>
  </si>
  <si>
    <t xml:space="preserve">Não entra no ciclo de partida após a inicialização do teste				
</t>
  </si>
  <si>
    <t xml:space="preserve">Falha de comunicação com a ECU da maleta				
</t>
  </si>
  <si>
    <t xml:space="preserve">Fio de ligação do CanL da maleta (cabo que vai na caixa VERLOG auxiliar conexão calculador BR10 e HR16), pino 37 quebrado no conector da tomada Harting, substituição do pino porém pino novo não esta travando corretamente no concetor necessaria substituição da tomada completa.				
</t>
  </si>
  <si>
    <t xml:space="preserve">Elevador 02 PM1 MASSL				</t>
  </si>
  <si>
    <t xml:space="preserve">falha do movimento do elevador				
</t>
  </si>
  <si>
    <t xml:space="preserve">inverisor queimado (capacitores danificados)				
</t>
  </si>
  <si>
    <t xml:space="preserve">provável defeito de fabricação do inversor				
</t>
  </si>
  <si>
    <t xml:space="preserve">sistema de medição BM50				</t>
  </si>
  <si>
    <t xml:space="preserve">falha de medição ISRA				
</t>
  </si>
  <si>
    <t xml:space="preserve">robô F6 colidiu com a camera 1 do sistema ISRA, devido a colagem de eletrodo.				
</t>
  </si>
  <si>
    <t xml:space="preserve">ajustado a camera com no padrão do cam check, acionado equipe de monitoramento de solda para verificar os parametros de solda do robô F6				
</t>
  </si>
  <si>
    <t xml:space="preserve">sistema de medição BM50 (Robô F6)				</t>
  </si>
  <si>
    <t xml:space="preserve">"1º - Tolerância na colocação do teto acima do aceitavel em +/- 3mm, 
2º - Robô F6 com trajetória na direção da camera."				
</t>
  </si>
  <si>
    <t xml:space="preserve">"1º - Após colisão do robô com as cameras ocorreu erro na junção das peças,
2º - Na trajetória do BBB foram criados 2 pontos de Método na direção das cameras e com isso não foi colocado evento para intertravar com a saída do robô F3, 
"				
</t>
  </si>
  <si>
    <t xml:space="preserve">"1º -  Foi corrigido os valores de eixos para posicionamento do teto, ficou em um limite aceitável, porém necessário proramar para realizar ajustes,
2º - no Robô F6 foi inserido Evento 2 (EV2) segurança traseira do robô F6 na linha de programa antes da entrada do robô para realizar os pontos de Metodos (PM1 e PM2)"				
</t>
  </si>
  <si>
    <t xml:space="preserve">Robô D3  P1 AG1Z1				</t>
  </si>
  <si>
    <t xml:space="preserve">Erro de corrente de solda nula (Err 23)				
</t>
  </si>
  <si>
    <t xml:space="preserve">Curto circuito no conector de potência da pinça de solda que fica na base do robô, com isso rompeu uma das vias				
</t>
  </si>
  <si>
    <t xml:space="preserve">Realizado emenda no cabo para de potência.				
</t>
  </si>
  <si>
    <t xml:space="preserve">Conjunto Tanque Bomba Preto Stilo				</t>
  </si>
  <si>
    <t xml:space="preserve">Falta pressão de tinta para aplicação				
</t>
  </si>
  <si>
    <t xml:space="preserve">Mangueira ligação tanque de tinta a bomba rompida				
</t>
  </si>
  <si>
    <t xml:space="preserve">Sem mangueira de reposição adaptação de outra mangueira em saida lateral do tanque original saida inferior. (Desabilitação dos Robos e Passagem com aplicação Degradado)				
</t>
  </si>
  <si>
    <t xml:space="preserve">MM01 - Posto 178				</t>
  </si>
  <si>
    <t xml:space="preserve">Time Out Leitura TAG				
</t>
  </si>
  <si>
    <t xml:space="preserve">Erro escrita devido perda presença de TAG				
</t>
  </si>
  <si>
    <t xml:space="preserve">Retirada pallet da antena leitura com Hand Hald e TAG OK, tentativa de Leitura e Time Out Leitura, substiutição da antena e permanencia de Time Out Leitura (encontrado falha escrita ativa), descarregado DB´s RFID do PLC.				
</t>
  </si>
  <si>
    <t xml:space="preserve">RO7 Montadora				</t>
  </si>
  <si>
    <t xml:space="preserve">Pneu encavalado saida montadora				
</t>
  </si>
  <si>
    <t xml:space="preserve">Folga conjunto de movimentação Roda Pneu e came posicionamento conjunto torto.				
</t>
  </si>
  <si>
    <t xml:space="preserve">Ajuste Came de posicionamento da mesa deslocamento roda pneu, reset drives que ficaram em falha, e ajuste sequencia.				
</t>
  </si>
  <si>
    <t xml:space="preserve">Talhas Lateral Esquerda H79				</t>
  </si>
  <si>
    <t xml:space="preserve">todas as talhas paradas				
</t>
  </si>
  <si>
    <t xml:space="preserve">falta de uma das fases				
</t>
  </si>
  <si>
    <t xml:space="preserve">passado cabo em paralelo enquanto utilidades procurava o cofre de alimentação das talhas, pois não havia identificação, liberado em degradado, enquanto utilidades substituia o fusível, no final do turno foi voltado a condição normal. Acionado a engenharia para verificar o ciruito, pois a mudança dos postos foi recente.				
</t>
  </si>
  <si>
    <t xml:space="preserve">ME3 Máquina estanqueidade AC				</t>
  </si>
  <si>
    <t xml:space="preserve">Pequena Fuga de pressão				
</t>
  </si>
  <si>
    <t xml:space="preserve">Sujeira (residuo processo) no conjunto valvulas do adaptador				
</t>
  </si>
  <si>
    <t xml:space="preserve">colocação em funcionamento o adaptador do degradado. Enviado para revisar o adaptador principal.				
</t>
  </si>
  <si>
    <t xml:space="preserve">Banco de Paralelismo Lazatron 				</t>
  </si>
  <si>
    <t xml:space="preserve">Tempo excessivo ao executar teste travamento (Lazatron 3000)				
</t>
  </si>
  <si>
    <t xml:space="preserve">Problema Slot da placa COM V1.1				
</t>
  </si>
  <si>
    <t xml:space="preserve">Verificação mecanica parte placagem, diagnosticado problema PC troca da Placa COM V1.1  de Slot e rodou normal (porém diferença com o BDM, efetuado calibração Lasafix e Estatica BDM valores OK), Descarregado imagem em outro HD e substiutição do PC e calibrações no intervalo do almoço.				
</t>
  </si>
  <si>
    <t xml:space="preserve">Mastic Mesa 124				</t>
  </si>
  <si>
    <t xml:space="preserve">Defeito inversor Rolante				
</t>
  </si>
  <si>
    <t xml:space="preserve">Defeito Barramento Profinet				
</t>
  </si>
  <si>
    <t xml:space="preserve">Reset e Rearme, mas não retornava reset do inversor mesa 126 que estava em falha e posterior falha mesa 30 parou fora posição posicionado manual e retirada erro.				
</t>
  </si>
  <si>
    <t xml:space="preserve">OP 150				</t>
  </si>
  <si>
    <t xml:space="preserve">Mesa da OP150 não faz elevação				
</t>
  </si>
  <si>
    <t xml:space="preserve">quebrou rolete de sustentação da mesa				
</t>
  </si>
  <si>
    <t xml:space="preserve">retirado rolete quebrado e travado a lógica para mesa não fazer elevação, vai rodar assim até o final de semana				
</t>
  </si>
  <si>
    <t xml:space="preserve">Falha na rede profinet				
</t>
  </si>
  <si>
    <t xml:space="preserve">mau contato da conexão interna do painel de zona Z5ZB, onde faz a troca de RJ45 para M12				
</t>
  </si>
  <si>
    <t xml:space="preserve">desconectado e conectado o cabo novamente, substituido conector no horário de janta.				
</t>
  </si>
  <si>
    <t xml:space="preserve">Ilha portas HHA				</t>
  </si>
  <si>
    <t xml:space="preserve">Falha de sobre aquecimento no drive do robô				
</t>
  </si>
  <si>
    <t xml:space="preserve">caixa de procedimentos da produção obstruindo entrada de ar dos coolers do drive				
</t>
  </si>
  <si>
    <t xml:space="preserve">retirado a caixa que estava obstruindo a entrada de ar e orientado a produção para deixar a área livre.				
</t>
  </si>
  <si>
    <t xml:space="preserve">OP350				</t>
  </si>
  <si>
    <t xml:space="preserve">Não rearma OP350 em automático				
</t>
  </si>
  <si>
    <t xml:space="preserve">mau contato na chave seletora manual/automático				
</t>
  </si>
  <si>
    <t xml:space="preserve">fixado os cabos				
</t>
  </si>
  <si>
    <t xml:space="preserve">FM70 Robô F6				</t>
  </si>
  <si>
    <t xml:space="preserve">falha  na rede profinet				
</t>
  </si>
  <si>
    <t xml:space="preserve">pino do trocador de ferramentas da profinet travado				
</t>
  </si>
  <si>
    <t xml:space="preserve">retirado robô em manual para destravar o pino, acoplado novamente e corrigido o ciclo, serásubstituído o pino na ceia do 3°turno				
</t>
  </si>
  <si>
    <t xml:space="preserve">Banco 4				</t>
  </si>
  <si>
    <t xml:space="preserve">Falha na continuação de teste do motor				
</t>
  </si>
  <si>
    <t xml:space="preserve">Erro no drive de controle, ficou ativo o banco não realizando os ultimos step de teste				
</t>
  </si>
  <si>
    <t xml:space="preserve">Reset geral do drive, e reinicialização do PC devido não ter carregado a tabela de dados do motor				
</t>
  </si>
  <si>
    <t xml:space="preserve">Mesa A0 OP500 (Lateral direita)				</t>
  </si>
  <si>
    <t xml:space="preserve">Perda de sinal de fehamento dos dispositivos durante giro para mesa A400				
</t>
  </si>
  <si>
    <t xml:space="preserve">Após comando para peça padrão e retorno origem, travou a retacagem RTM e ficou o Abatan D sem chegar a posição final				
</t>
  </si>
  <si>
    <t xml:space="preserve">Forçado condições para liberação do retorno de giro para a mesa A500 e pilotado as váluvulas do Abatam e retacagem manualmente para retorno de posição de Condição de máquina Recuada.				
</t>
  </si>
  <si>
    <t xml:space="preserve">Acostagem				</t>
  </si>
  <si>
    <t xml:space="preserve">curto circuito no cabo de um sensor da acostagem, desarmou disjuntor 24Vcc do switch da zona 4 (como caiu a Profinet no meio do ciclo, caiu a infordação de drive ok do inversor de rolos da mesa T18 e da Torre lade esquerdo)				
</t>
  </si>
  <si>
    <t xml:space="preserve">efetuado isolação do cabo do sensor, corrigido o ciclo da acostagem em manual e efetuado reset da CU dos inversores 				
</t>
  </si>
  <si>
    <t xml:space="preserve">CMO-CABEÇOTE</t>
  </si>
  <si>
    <t xml:space="preserve">Posto SIPMECA				</t>
  </si>
  <si>
    <t xml:space="preserve">Não carregava as ordens para fabricação de cabeçote				
</t>
  </si>
  <si>
    <t xml:space="preserve">Travou o sistema de carregamento das OF's, pedido para levantar os Log's de erro na informática para análise				
</t>
  </si>
  <si>
    <t xml:space="preserve">Reiniciado o programa e destravado no SIPMECA a próxima ordem para fabricação.				
</t>
  </si>
  <si>
    <t xml:space="preserve">Ilha Capô e Cofre H79 robô B2				</t>
  </si>
  <si>
    <t xml:space="preserve">"* Falha de sistema
* Erro na placa Axis Computer,
* Falha na rede profinet do Robô"				
</t>
  </si>
  <si>
    <t xml:space="preserve">Curto circuito do Cofre queimou Axis computer				
</t>
  </si>
  <si>
    <t xml:space="preserve">"*Ralizado restart do Robô,
*Substituído a placa Axis Computer,
*Substituído e reconfigurado a placa de rede profinet."				
</t>
  </si>
  <si>
    <t xml:space="preserve">Def. EV sobe centralizador pallet				
</t>
  </si>
  <si>
    <t xml:space="preserve">Falha conjunto elevação e index travamento.				
</t>
  </si>
  <si>
    <t xml:space="preserve">Durante intervenção ocorrencia de outros erros retirada de blocos manual e colocação posto em ciclo, Realizado lógica paralela para acionamento das condições .				
</t>
  </si>
  <si>
    <t xml:space="preserve">Posto parado sem executar Gravação Bloco Motor HR16				
</t>
  </si>
  <si>
    <t xml:space="preserve">Erro comunicação Ethernet com o controlador do Gravador Sick				
</t>
  </si>
  <si>
    <t xml:space="preserve">Mudança da comunicação de Ethernet para serial, e alteração de parametros bloco de troca com o controlador da gravação, para gravação em automatico. 				
</t>
  </si>
  <si>
    <t xml:space="preserve">Falha na gravação do bloco HR16				
</t>
  </si>
  <si>
    <t xml:space="preserve">Erro comunicação serial com o controlador do Gravador Sick				
</t>
  </si>
  <si>
    <t xml:space="preserve">Durante intervenção ocorrencia de outros erros retirada de blocos manual e colocação posto em ciclo, Realizado lógica paralela para acionamento das condições. (Ficou para Verificação posterior da manutenção problema do conjunto elevação e index travamento).				
</t>
  </si>
  <si>
    <t xml:space="preserve">ILHA DE VIDROS</t>
  </si>
  <si>
    <t xml:space="preserve">Intrusão IT1				
</t>
  </si>
  <si>
    <t xml:space="preserve">Sensores de passagem de skid 1 e multing longe do skid, foi feito alteração pela manutenção, sensores estavam fora de posição.				
</t>
  </si>
  <si>
    <t xml:space="preserve">Ajustado os dois sensores.				
</t>
  </si>
  <si>
    <t xml:space="preserve">BM20 X52</t>
  </si>
  <si>
    <t xml:space="preserve">FALHA NA PRESENÇA DE SKID</t>
  </si>
  <si>
    <t xml:space="preserve">Não atuou o sensor de baixa velocidade, e skid colidiu com stoper mecânico e arrancou o estoper do piso				
</t>
  </si>
  <si>
    <t xml:space="preserve">Retirado stoper e será programado nova instalação 				
</t>
  </si>
  <si>
    <t xml:space="preserve">Não estava destravando o martelo da P51				
</t>
  </si>
  <si>
    <t xml:space="preserve">Trava do martelo deu extra curso e travou mecanicamente				
</t>
  </si>
  <si>
    <t xml:space="preserve">Destravado trava do martelo em manual forçando motor com a mão na ventoinha				
</t>
  </si>
  <si>
    <t xml:space="preserve">TALHAS LATERAL ESQ H79</t>
  </si>
  <si>
    <t xml:space="preserve">Queimou fusível do cofre				
</t>
  </si>
  <si>
    <t xml:space="preserve">Escova saiu do suporte do trolle e fechou curto no barramento				
</t>
  </si>
  <si>
    <t xml:space="preserve">Reposicionado escova e substituído fusível 				
</t>
  </si>
  <si>
    <t xml:space="preserve">Mesa da SE2 entradailha de vidros				</t>
  </si>
  <si>
    <t xml:space="preserve">Falha na liberação de entrada de carro na colocação de vidro				
</t>
  </si>
  <si>
    <t xml:space="preserve">Sensor de liberação da barreira quebrou suporte devido colisão com Skid				
</t>
  </si>
  <si>
    <t xml:space="preserve">Realizado a fixação e ajuste do sensor				
</t>
  </si>
  <si>
    <t xml:space="preserve">Transporte C3 estufa Cata				</t>
  </si>
  <si>
    <t xml:space="preserve">Perda de sinais da Zona 9 da cataforese				
</t>
  </si>
  <si>
    <t xml:space="preserve">Curto circuito no cabo do sensor da mesa de rolos				
</t>
  </si>
  <si>
    <t xml:space="preserve">Realizado o reparo do cabo do sensor, substituído fusivel de comando da zona 9				
</t>
  </si>
  <si>
    <t xml:space="preserve">Barramento BWC0001 Cofre 137 				</t>
  </si>
  <si>
    <t xml:space="preserve">Desarme do disjuntor do barramento 21BWC0001				
</t>
  </si>
  <si>
    <t xml:space="preserve">Curto circuito no cofre				
</t>
  </si>
  <si>
    <t xml:space="preserve">Retirado o Cofre e realizado a alimentação do circuito pertencente a ele direto por uma tomada TOF				
</t>
  </si>
  <si>
    <t xml:space="preserve">Ilha SPH070				</t>
  </si>
  <si>
    <t xml:space="preserve">Perda do sincronismo de processo 				
</t>
  </si>
  <si>
    <t xml:space="preserve">Curto circuito do Cofre				
</t>
  </si>
  <si>
    <t xml:space="preserve">Realizado o retorno a origem de todos os berços e conferido funcionamento dos Robôs				
</t>
  </si>
  <si>
    <t xml:space="preserve">Ilha SPBB060				</t>
  </si>
  <si>
    <t xml:space="preserve">"* Perda de calibração dos 3 Robôs,
*Defeito na rede DeviceNet
*Perda de sincronismo de processo"				
</t>
  </si>
  <si>
    <t xml:space="preserve">"* Realizado o Reset dos robôes devido a erro de desligamento, feito a calibração dos 3 Robôs e realizado um WarmRestart devido a erro de sistema.
*Realizado o reset da rede DeviceNet, porém so voltou após realizarmos os resets individuais em cada módulo,
* Realizado a retirada das peças dos berços , e realizado o retorno a origem dos mesmos."				
</t>
  </si>
  <si>
    <t xml:space="preserve">"* Falha de sistema,
* Erro na placa Axis Computer,
* Falha na rede profinet do Robô"				
</t>
  </si>
  <si>
    <t xml:space="preserve">MM13 Posto 60				</t>
  </si>
  <si>
    <t xml:space="preserve">Falta marcha ciclo após abertura porta				
</t>
  </si>
  <si>
    <t xml:space="preserve">Problema contato auxiliar contator de potencia da celula				
</t>
  </si>
  <si>
    <t xml:space="preserve">Diagnostico falha e encontrado problema contato auxiliar do contator de potencia da celula retirado um dos contatores do Feedback até o almoço que foi substituido o contator.				
</t>
  </si>
  <si>
    <t xml:space="preserve">Ilha de Vidros - Robo Lunete				</t>
  </si>
  <si>
    <t xml:space="preserve">Z3: T14 Def. capo ou porta-malas aberto dentro				
</t>
  </si>
  <si>
    <t xml:space="preserve">Tampa porta malas aberto modelo BBB				
</t>
  </si>
  <si>
    <t xml:space="preserve">Setado pela produção sem montagem, fechamento tampa e rearmado ilha liberou transito mas robos não descartaram nas mesas de descarte, foi necessario decarte dos vidros colocação dos robos em home manualmente.  				
</t>
  </si>
  <si>
    <t xml:space="preserve">Ilha Portas X79 PAV070				</t>
  </si>
  <si>
    <t xml:space="preserve">Mesa B01 não funciona				
</t>
  </si>
  <si>
    <t xml:space="preserve">Sensor presença de peça solto ocasionando perda acionamento				
</t>
  </si>
  <si>
    <t xml:space="preserve">Substituido o parafuso de fixação e colocado o sensor na posição correta				
</t>
  </si>
  <si>
    <t xml:space="preserve">MM01 Posto 168				</t>
  </si>
  <si>
    <t xml:space="preserve">Falta seguimento ciclo				
</t>
  </si>
  <si>
    <t xml:space="preserve">Falta acionamento sensor mediçao do (PMS) ponto morto superior do motor				
</t>
  </si>
  <si>
    <t xml:space="preserve">Colocação em by pass sem verificação do PMS para verificação do funcionamento no segundo turno.				
</t>
  </si>
  <si>
    <t xml:space="preserve">MM13 Posto 178				</t>
  </si>
  <si>
    <t xml:space="preserve">Falta seguimento ciclo na chegada do palet e falta Start Checker				
</t>
  </si>
  <si>
    <t xml:space="preserve">Auxilio manutenção para Diagnostico do problema continua em acompanhamento.				
</t>
  </si>
  <si>
    <t xml:space="preserve">RO7 				</t>
  </si>
  <si>
    <t xml:space="preserve">Roda fora de tolerancia montadora 				
</t>
  </si>
  <si>
    <t xml:space="preserve">Falha de sequenciamento				
</t>
  </si>
  <si>
    <t xml:space="preserve">Ajuste da sequencia e colocação em ciclo.				
</t>
  </si>
  <si>
    <t xml:space="preserve">Robo colaborativo não entra em ciclo				
</t>
  </si>
  <si>
    <t xml:space="preserve">Reinicio do robo e execução rotinas para posição inicial e restart do programa varias vezes para colocação em ciclo.				
</t>
  </si>
  <si>
    <t xml:space="preserve">Correntão ME3				</t>
  </si>
  <si>
    <t xml:space="preserve">falha de 24V Z6IM31, desarma mop				
</t>
  </si>
  <si>
    <t xml:space="preserve">não localizado a falha				
</t>
  </si>
  <si>
    <t xml:space="preserve">rearmado MOP				
</t>
  </si>
  <si>
    <t xml:space="preserve">BM30 Robô C8				</t>
  </si>
  <si>
    <t xml:space="preserve">Falha na saída do Robô após indexação do Gripper, não liberava a castanha do apply				
</t>
  </si>
  <si>
    <t xml:space="preserve">Defeito no Trojan 				
</t>
  </si>
  <si>
    <t xml:space="preserve">Substituído o Trojan				
</t>
  </si>
  <si>
    <t xml:space="preserve">1 - Falta retorno parafusamento para liberação palet após ciclo                                                             2 - Não OK parafusamento direto e parafusadeira rodando normal				
</t>
  </si>
  <si>
    <t xml:space="preserve">1 - Falta OK retorno parafusamento para liberação palet após ciclo                                                             2 - Parafusadeira do modelo K em erro gerando erro no modelo H				
</t>
  </si>
  <si>
    <t xml:space="preserve">1 - Verificação e conector das saidas das parafusadeiras para o PLC mau conectado, restabelecida condição                                                             2 - Efetuado alteração provisória na lógica para rodar degradado e após turno verificado que nok da parafusadeira degradado ligada junto com a Parafusadeira normal do posto na entrada parafusamento NOK do PLC				
</t>
  </si>
  <si>
    <t xml:space="preserve">Ilha de Portas CV700				</t>
  </si>
  <si>
    <t xml:space="preserve">Mesa posicionada mas sem o index totalmente avançado				
</t>
  </si>
  <si>
    <t xml:space="preserve">Intrusão da ilha quando estava finalizando o Giro, mensagem SMP (Intrusão Operador A1)				
</t>
  </si>
  <si>
    <t xml:space="preserve">Movimentos manuais forçado condições para posicionamento da mesa de giro totalmente na posição colocação dos robos em origem e colocação celula em ciclo (Diversos problemas de inserção de novos modelos detectados, tratativa com a MBR junto ao responsavel Engenharia) 				
</t>
  </si>
  <si>
    <t xml:space="preserve">MM13 Posto 05				</t>
  </si>
  <si>
    <t xml:space="preserve">Falta de movimento prensa Hidraulica				
</t>
  </si>
  <si>
    <t xml:space="preserve">Rele circuito de acionamento motor Hidraulico da prensa com mau contato				
</t>
  </si>
  <si>
    <t xml:space="preserve">Diagnostico e substituição do rele e colocação do posto em ciclo				
</t>
  </si>
  <si>
    <t xml:space="preserve">Mesa 17 Balsa Retoque				</t>
  </si>
  <si>
    <t xml:space="preserve">Falha de posicionamento da mesa				
</t>
  </si>
  <si>
    <t xml:space="preserve">Problema na medição dos valores encoder				
</t>
  </si>
  <si>
    <t xml:space="preserve">Verificação condiçoes mecanicas e ajustes dos valores do encoder para rodar até verificação e calibração em horario não produtivo				
</t>
  </si>
  <si>
    <t xml:space="preserve">Robô A4 AG1 Comau				</t>
  </si>
  <si>
    <t xml:space="preserve">falha de curto circuito eixo2				
</t>
  </si>
  <si>
    <t xml:space="preserve">placa de disparo do eixo 2, do drive, em curto				
</t>
  </si>
  <si>
    <t xml:space="preserve">substituído (foi retirado de outro robô)				
</t>
  </si>
  <si>
    <t xml:space="preserve">MO1 trecho balancele C1 a C8				</t>
  </si>
  <si>
    <t xml:space="preserve">Desarme do disjuntor de alimentação do trecho C1 a C8 dos balanceles motores				
</t>
  </si>
  <si>
    <t xml:space="preserve">Balancele em curto com das escovas com o barramento				
</t>
  </si>
  <si>
    <t xml:space="preserve">Aberto a caixa de escovas e retirado o balancele para zona de manutenção para verificação.				
</t>
  </si>
  <si>
    <t xml:space="preserve">Preliminar X52 - FM10 Robo E1				</t>
  </si>
  <si>
    <t xml:space="preserve">Falha na pega Piso Central				
</t>
  </si>
  <si>
    <t xml:space="preserve">Serragens com Folga.				
</t>
  </si>
  <si>
    <t xml:space="preserve">Executado possicionamento e pegas manuais verificação posterior e ajuste de serragens que estavam com folga e ajustes de trajetórias.				
</t>
  </si>
  <si>
    <t xml:space="preserve">Mesa T12 Mastic aéreo				</t>
  </si>
  <si>
    <t xml:space="preserve">13	</t>
  </si>
  <si>
    <t xml:space="preserve">mesa T12 Defeito do movimento do Index				
</t>
  </si>
  <si>
    <t xml:space="preserve">Válvula pneumática do index do balancele, travada não permitindo atuação em manual.				
</t>
  </si>
  <si>
    <t xml:space="preserve">Retirada a válvula do index da mesa T19, robô do sopro, e colocado no index da mesa T12, lubrificado a válvula travada e montado na mesa T19, rodou até o horário de janta, quando foi substituída por uma nova.				
</t>
  </si>
  <si>
    <t xml:space="preserve">robô biton				</t>
  </si>
  <si>
    <t xml:space="preserve">falha geral controlador				
</t>
  </si>
  <si>
    <t xml:space="preserve">defeito sensor pressão verniz				
</t>
  </si>
  <si>
    <t xml:space="preserve">substituido sensor				
</t>
  </si>
  <si>
    <t xml:space="preserve">Rbô E2 ilha de vidros				</t>
  </si>
  <si>
    <t xml:space="preserve">Falha na trajetória de deposito do Vidro no carro				
</t>
  </si>
  <si>
    <t xml:space="preserve">Sinal do EV15 "evento 15" simulado no Robô				
</t>
  </si>
  <si>
    <t xml:space="preserve">Verificações de condições para funcionamento e removido a simulação deste evento				
</t>
  </si>
  <si>
    <t xml:space="preserve">Robô H0 ilha do X52 portas				</t>
  </si>
  <si>
    <t xml:space="preserve">Perda de sinais de segurançã da Zona				
</t>
  </si>
  <si>
    <t xml:space="preserve">Após verificação dos sinais visto que a mesma estava sendo derrubada devido a sinal de intrusão que entrava intermitentemente				
</t>
  </si>
  <si>
    <t xml:space="preserve">Retirado um suporte para painel que foi inserido ao lado da grade em final de semana, estava dentro da área de atuação do Scanner				
</t>
  </si>
  <si>
    <t xml:space="preserve">Bancos teste de motor 1 e 2				</t>
  </si>
  <si>
    <t xml:space="preserve">Falha no abastecimento de combustiveis nestes bancos				
</t>
  </si>
  <si>
    <t xml:space="preserve">"Estava de sarmado o disjuntor da bomba na central de distribuição.
Após algum tempo começou acionamento errado  no contator do painel, e com isso fica oscilando o funcionamento das válvulas."				
</t>
  </si>
  <si>
    <t xml:space="preserve">"Rearmado o disjuntor,
Necessita da continuação da análise e providenciar desenho elétrico para entendimento e reparo do problema "				
</t>
  </si>
  <si>
    <t xml:space="preserve">Banco de teste de Motor 3				</t>
  </si>
  <si>
    <t xml:space="preserve">Desarme geral por segurança de vazamento e perda de ciclo do banco				
</t>
  </si>
  <si>
    <t xml:space="preserve">"Está gerando erro na leitura de gases ""Carbono e Hidrocarboneto"" no banco.
Perdou sequencia de ciclo de funcionamento"				
</t>
  </si>
  <si>
    <t xml:space="preserve">"Forçado fim de ciclo na máquina e também forçado válvulas para poder fazer a retirada do otor que estava em teste para poder reiniciar o ciclo.
Chamado os bombeiros para avaliar os alarmes, visto que, após retornarmos o ciclo, desarmou mais 3 vezes logo após iniciar os testes."				
</t>
  </si>
  <si>
    <t xml:space="preserve">Monofluxo - Unit Central				</t>
  </si>
  <si>
    <t xml:space="preserve">Defeito NC Locator D01NCLOC1				
</t>
  </si>
  <si>
    <t xml:space="preserve">Peça modelo HHA fora de posição para pega do gripper robo D0 (Cabide 05 fora de geometria)				
</t>
  </si>
  <si>
    <t xml:space="preserve">Reposicionado locator em manual para pocição de pega peça modelo HHA, mesmo assim peça muito fora de posição não acionando sensor de presença de peça e gerando falha de posição de locator. Foi forçado via software condição de posição do locator do robo D0 e presença de peça no gripper do robo D0. Devido essas condições forçadas Dispositivo E0 não recebeu ordem para avançar locator 5 do dispositivo para modelo HHA gerando falha no deposito da peça tambem. Movimentado locator 5 do dispositivo E0 em manual para posição do modelo HHA.				
</t>
  </si>
  <si>
    <t xml:space="preserve">MM13 BAP				</t>
  </si>
  <si>
    <t xml:space="preserve">Servo Montagem de aneis não avançam				
</t>
  </si>
  <si>
    <t xml:space="preserve">Perda dos parametros dos servos, DB´s parametros zeradas possivel desligamento ou Restart CPU				
</t>
  </si>
  <si>
    <t xml:space="preserve">Start UP já com problema, verificação e drive em erro reinicialização do drive e inserção dos parametros recuperados de Backup (necessario ajustes de alguns parametros) 				
</t>
  </si>
  <si>
    <t xml:space="preserve">MM01 Posto 310				</t>
  </si>
  <si>
    <t xml:space="preserve">Não faz liberação pallet				
</t>
  </si>
  <si>
    <t xml:space="preserve">Quebra parafusos de fixação cilindro dispositivo giro pallet				
</t>
  </si>
  <si>
    <t xml:space="preserve">Verificação condições e a colocação logica para acionamento temporario até o reparo da fixação.				
</t>
  </si>
  <si>
    <t xml:space="preserve">MM01 Posto 0 Prensa K				</t>
  </si>
  <si>
    <t xml:space="preserve">Prensa K valores fora de range				
</t>
  </si>
  <si>
    <t xml:space="preserve">Diferença de valores medidos 				
</t>
  </si>
  <si>
    <t xml:space="preserve">Prensa K valores fora de range (permanece intervenção manutenção Montagem CMO, passagem para fabricação modelo HR16 até a correção das leituras)				
</t>
  </si>
  <si>
    <t xml:space="preserve">mesa 03				</t>
  </si>
  <si>
    <t xml:space="preserve">chegou carro na mesa 03 não descarregava, e não gerou defeito.				
</t>
  </si>
  <si>
    <t xml:space="preserve">chegou carro na mesa 03 skid 1015, no leitor sick constava skid 247 (segundo a DLI sempre precisa ler os 4 digitos deveria ter lido 0247), não abriu a tela para tratar no siptk				
</t>
  </si>
  <si>
    <t xml:space="preserve">Foi tentado codificar o skid em manual no leitor, não aceitou  inserir o numero do skid em manual, porém zerou o número do skid e abriu a tela para tratar no siptk, foi inserido o numero do skid 1512 no siptk e descarregou carro em automático, próximo carro não leu de novo o skid na mesa 3. só voltou a ler depois de faxer um reset do leitor sick. (Tivemos uma grande dificuldade em acessar o PC que tem o sw do API1, pois o cabo da rede estava desconectado da CPU, ao conectar os cabos o pc travou e foi necessário reiniciar o PC, todo o procedimento para restabelecer a comunição levou em torno de 20 min).				
</t>
  </si>
  <si>
    <t xml:space="preserve">Robo Comau ST300				</t>
  </si>
  <si>
    <t xml:space="preserve">Emergencia Ilha ST300 - Circuito segurança novo				
</t>
  </si>
  <si>
    <t xml:space="preserve">Emergencia Bimanual atras bomba de cola precionado				
</t>
  </si>
  <si>
    <t xml:space="preserve">Diagnostico cadeia de segurança e restabelecimento do Processo				
</t>
  </si>
  <si>
    <t xml:space="preserve">Esteira SC5				</t>
  </si>
  <si>
    <t xml:space="preserve">Z1: CH03 Def. ctrl tension. direito esteira SC5				
</t>
  </si>
  <si>
    <t xml:space="preserve">Quebra guia lateral de deslizamento dos rolamentos				
</t>
  </si>
  <si>
    <t xml:space="preserve">Soldado uma nova guia de cantoneira por baixo das taparelas para apoio realinhamento do carro no conjunto esticador.				
</t>
  </si>
  <si>
    <t xml:space="preserve">Posto 205 MM01				</t>
  </si>
  <si>
    <t xml:space="preserve">Carro auxiliar parafusamento travado				
</t>
  </si>
  <si>
    <t xml:space="preserve">Banco 2				</t>
  </si>
  <si>
    <t xml:space="preserve">Falha na partida do banco de teste				
</t>
  </si>
  <si>
    <t xml:space="preserve">Falta do sinal de sensor para habilitação da ponta do eixo de teste				
</t>
  </si>
  <si>
    <t xml:space="preserve">Reposicionado a ponta de eixo no sensor para liberação do início de ciclo				
</t>
  </si>
  <si>
    <t xml:space="preserve">Desarme geral no banco de testes </t>
  </si>
  <si>
    <t xml:space="preserve">Acionamento indevido do scanner de segurança do banco</t>
  </si>
  <si>
    <t xml:space="preserve">Verificado condições no perímetros se alcance do sensor scanner </t>
  </si>
  <si>
    <t xml:space="preserve">TA9 prensa de tambor freio BBB				</t>
  </si>
  <si>
    <t xml:space="preserve">Falha na presnsagem do anel elástico de fixação do rolamento 				
</t>
  </si>
  <si>
    <t xml:space="preserve">Estava danificado a peça que auxilia na centralização do anel para prensagem				
</t>
  </si>
  <si>
    <t xml:space="preserve">Retirado a peça e realizado a usinagem em seu diâmetro externo para diminuir o contato da área e  melhor centralização.				
</t>
  </si>
  <si>
    <t xml:space="preserve">CSF? Gravador SIC				</t>
  </si>
  <si>
    <t xml:space="preserve">Falha visão gravação de chassis				
</t>
  </si>
  <si>
    <t xml:space="preserve">Chamada de Arquivo incorreto sistema de visão				
</t>
  </si>
  <si>
    <t xml:space="preserve">Exclusão de arquivo salvo automaticamente ao fechar aplicação				
</t>
  </si>
  <si>
    <t xml:space="preserve">Tunel Transportador C1				</t>
  </si>
  <si>
    <t xml:space="preserve">Acionamento incorreto rolos mesa				
</t>
  </si>
  <si>
    <t xml:space="preserve">Tampa travando rolo e parametrização do inversor incorreta (Valor da sobrecorrente acima do limite termico do inversor).				
</t>
  </si>
  <si>
    <t xml:space="preserve">Revisão da parametrização do inversor e reposicionamento de tampa que estava travando rolo.				
</t>
  </si>
  <si>
    <t xml:space="preserve">MM13 posto 220 robo 1				</t>
  </si>
  <si>
    <t xml:space="preserve">Falha de Sistema Robo ao Reiniciar				
</t>
  </si>
  <si>
    <t xml:space="preserve">Compact Flash do Robo corrompida				
</t>
  </si>
  <si>
    <t xml:space="preserve">Tentativa de reinstalação do Sistema via Pen Drive não funcionou, substituição da Flash reinstalação do sistema descarregamento Backup verificação calibrações e colocaçao do Robo em funcionamento. 				
</t>
  </si>
  <si>
    <t xml:space="preserve">MM13 posto 220 Mesa de rolos transporte				</t>
  </si>
  <si>
    <t xml:space="preserve">Falha no posicionamento do Pallet				
</t>
  </si>
  <si>
    <t xml:space="preserve">Conjunto tração rolo danificado				
</t>
  </si>
  <si>
    <t xml:space="preserve">By pass da operação e montagem dos retentores em degradado, reparo provisorio para rodar posto no inicio segundo turno. (programação intervenção para intervalo sem produção)				
</t>
  </si>
  <si>
    <t xml:space="preserve">Aplicação Cola Lunete ilha ABB				</t>
  </si>
  <si>
    <t xml:space="preserve">Falha aquecimento sistema de cola				
</t>
  </si>
  <si>
    <t xml:space="preserve">Verificação cabeamento e reinicio do sistema do controlador SCA				
</t>
  </si>
  <si>
    <t xml:space="preserve">FORNO 1</t>
  </si>
  <si>
    <t xml:space="preserve">FALHA NO QUEIMADOR DE AQUECIMENTO DO FORNO</t>
  </si>
  <si>
    <t xml:space="preserve">AINDA EM ANÁLISE, APÓS DESLIGAR PELO SET POINT ENTRA EM FALHA AO REINICIAR</t>
  </si>
  <si>
    <t xml:space="preserve">REALIZADO O RESET DO MÓDULO HONEYWELL E RESET DO QUEIMADOR PELO PAINEL </t>
  </si>
  <si>
    <t xml:space="preserve">P1 - CSF2 Mesa C0				</t>
  </si>
  <si>
    <t xml:space="preserve">Defeito carregamento descarregamento Mesa				
</t>
  </si>
  <si>
    <t xml:space="preserve">Mau contato tomada Harting motor da mesa 				
</t>
  </si>
  <si>
    <t xml:space="preserve">Reconectada tomada e travamento com as travas da tomada Harting.				
</t>
  </si>
  <si>
    <t xml:space="preserve">LFM - CSF5 Robo D2				</t>
  </si>
  <si>
    <t xml:space="preserve">Falha cadeia de segurança				
</t>
  </si>
  <si>
    <t xml:space="preserve">Mau contato conector no Painel RB71				
</t>
  </si>
  <si>
    <t xml:space="preserve">Duas paradas primeira restabelecida precionando e emergencia e restabelecendo segunda verificado mau conta no conector do Robo D2 no painel RB71 de distribuição para os Robos 				
</t>
  </si>
  <si>
    <t xml:space="preserve">Banco paralelismo 2				</t>
  </si>
  <si>
    <t xml:space="preserve">Falha no nivelometro				
</t>
  </si>
  <si>
    <t xml:space="preserve">Mau contato no conector do painel onde conecta o nivelometro (solda fria)				
</t>
  </si>
  <si>
    <t xml:space="preserve">Refeito solda do cabo azul.				
</t>
  </si>
  <si>
    <t xml:space="preserve">Prensa - TA9160				</t>
  </si>
  <si>
    <t xml:space="preserve">Defeito carta de segurança 				
</t>
  </si>
  <si>
    <t xml:space="preserve">Falha no fechamento chave segurança porta				
</t>
  </si>
  <si>
    <t xml:space="preserve">Abertura e fechamento portas, reset 24V drives reset falha no MOP TA9, e referenciamento dos drives. (Dificuldade devido mudança da prensa que era no TA9 para lado MOP tanques, mas instalação permanece no MOP TA9) 				
</t>
  </si>
  <si>
    <t xml:space="preserve">ME1 Assitência Molas		</t>
  </si>
  <si>
    <t xml:space="preserve">Perda referencia dos Locators 1 e 6				
</t>
  </si>
  <si>
    <t xml:space="preserve">Queda de mola dentro da área dos locators</t>
  </si>
  <si>
    <t xml:space="preserve">Referênciamento do locator 1, ajuste do sensor A0DRPLOC6 e referenciamento do locator 6.</t>
  </si>
  <si>
    <t xml:space="preserve">Robô E3 colidiu com a pc (BBB) na mesa E0</t>
  </si>
  <si>
    <t xml:space="preserve">Peça mal posiconada, trajetória passa muito próximo da peça.</t>
  </si>
  <si>
    <t xml:space="preserve">Retirado robô em manual, retirado a peça e inserido outra peça no verificado a trajetória.</t>
  </si>
  <si>
    <t xml:space="preserve">Alarme de incêndio </t>
  </si>
  <si>
    <t xml:space="preserve">disparou alarme de abandono.</t>
  </si>
  <si>
    <t xml:space="preserve">Alarmou dos 2 acionadores manuais coluna C12 (15:57) e A15(16:00), porém não foram atuados e alarme nãosinalizou na central PCS, o alarme não chegou na PCS, pois o sistema está interligado em rede e para evitar o
travamento da central do PCS foi retirado a alimentação da placa de rede da central da montagem (estava em
manutenção por 5min), o que causou a falha de comunicação das centrais da carroceria com a PCS, evitando que o
alarme pudesse ser reconhecido antes do alarme de abandono.</t>
  </si>
  <si>
    <t xml:space="preserve">Substituído os acionadores manuais, identificado os conectores da placa de comunicação, para evitardesligamento errôneo novamente.</t>
  </si>
  <si>
    <t xml:space="preserve">Mastic Aereo Equipamento: Z3 Mesa 19 Estação Robotizada Sopro</t>
  </si>
  <si>
    <t xml:space="preserve">T19 Def. movimento Indexage</t>
  </si>
  <si>
    <t xml:space="preserve">Problema circuito pneumatico acionamento cilindro</t>
  </si>
  <si>
    <t xml:space="preserve">Verificação presenças e condições fisicas e PLC, verificação da logica e forçado sinal comunicação
By pass até o café para rodar degradado (aplicação manual), café colocação aplicação automáticosomente com um cilindro de Index, almoço</t>
  </si>
  <si>
    <t xml:space="preserve">Mesa 13 transbordo</t>
  </si>
  <si>
    <t xml:space="preserve">MESA 13 TEMPOR CTRL</t>
  </si>
  <si>
    <t xml:space="preserve">Carro parado Mesa 13 não descarrega</t>
  </si>
  <si>
    <t xml:space="preserve">Mexido posição carro na mesa, carro da LTP 1 Linha 5 tentou descarregar com carro no dosador 13
(com carro ainda em cima), com auxilio DLI forçado descarregamento para LTP2 Linha 2, verificadoposteriormente PRESENÇA FISICA (de um carro a mais na LTP1 linha 5, e um carro a menos na linha 203) PSF VIRTUAL (de um carro a menos na LTP1 linha 5, e um carro a mais na linha 203). Forçado condições e ajustes
das presenças e memorias (FISICO e VIRTUAL PSF). TRATATIVA VIA MBR</t>
  </si>
  <si>
    <t xml:space="preserve">CU11 (Cabeçote Novo) Portal OP60</t>
  </si>
  <si>
    <t xml:space="preserve">Falta liberação OP50 para retirada peça pelo Portal</t>
  </si>
  <si>
    <t xml:space="preserve">Falha de Comunicação entre portal e Servidor de Rastreabilidade</t>
  </si>
  <si>
    <t xml:space="preserve">Verificação presenças e condições fisicas e PLC, verificação da logica e forçado sinal comunicação
com Servidor de rastreabilidade destravando a comunicação.</t>
  </si>
  <si>
    <t xml:space="preserve">Não realizava os testes nos modelos X52</t>
  </si>
  <si>
    <t xml:space="preserve">Problema comunicação entre Teste elétrico "PSF" e Sedis</t>
  </si>
  <si>
    <t xml:space="preserve">Alterado modo de funcionamento de SEDIS para ECOS, realizado pela Engenharia</t>
  </si>
  <si>
    <t xml:space="preserve">Robo R23</t>
  </si>
  <si>
    <t xml:space="preserve">Falha comunicação interna Modulo Rede Piconet</t>
  </si>
  <si>
    <t xml:space="preserve">Falha cartões distribuição e modulo cabeça de rede interno Robo</t>
  </si>
  <si>
    <t xml:space="preserve">Substituição trecho de fibra otica comunicação interna modulos, e substituição dos modulos A6 A9 e
cabeça de Rede (A3), e reinicializaçãocontrolador do Robo.</t>
  </si>
  <si>
    <t xml:space="preserve">Robô R23 Verniz</t>
  </si>
  <si>
    <t xml:space="preserve">Robô R23 em falha desarmando o disjuntor 6F7 por curto circuito (alimentação 24Vcc)</t>
  </si>
  <si>
    <t xml:space="preserve">Cartão A5 em com curto interno</t>
  </si>
  <si>
    <t xml:space="preserve">Substituído cartão e deixado osciloscópio e amperímetro monitorando a saída do disjuntor 6F7
dentro do painel do robô R23, 25,5 Vcc e 970mA.
</t>
  </si>
  <si>
    <t xml:space="preserve">Tristok masa 31 (retorno de skid para pintura)</t>
  </si>
  <si>
    <t xml:space="preserve">Mesa 31 fora de posição e skid não descarregava para mesa 32</t>
  </si>
  <si>
    <t xml:space="preserve">Mesa 31 não descarregou totalmente o skid para mesa 34, foi movimentado a mesa na mão e
modificado memórias no sw, q fez perder o ciclo.</t>
  </si>
  <si>
    <t xml:space="preserve">Corrigido as memórias no sw e posicionado o skid na mesa 34.</t>
  </si>
  <si>
    <t xml:space="preserve">Zona 6 ME5</t>
  </si>
  <si>
    <t xml:space="preserve">Desarme 24V da Zona 6</t>
  </si>
  <si>
    <t xml:space="preserve">Ainda em verificação., esta é uma pane que vem ocorrendo intermitentemente há algum tempo</t>
  </si>
  <si>
    <t xml:space="preserve">Rearme da zonas e colocação em serviço.</t>
  </si>
  <si>
    <t xml:space="preserve">MESA A0 - P1 AG1</t>
  </si>
  <si>
    <t xml:space="preserve">Falha no descarregamento da Mesa A0 para B0</t>
  </si>
  <si>
    <t xml:space="preserve">Problema no Inversor (Capacitores internos)</t>
  </si>
  <si>
    <t xml:space="preserve">Auxilio analise, substituição Drive (por outro usado) ajuste dos sensores no intervalo do almoço, e
ajuste da rampa de aceleração fim primeiro turno após sem mais ocorrencias. (Será revisado inversor
substituido para retorno do mesmo)</t>
  </si>
  <si>
    <t xml:space="preserve">TGSE1 - PRENSA P10</t>
  </si>
  <si>
    <t xml:space="preserve">Auxilio analise, atraves software Profitrace intervalo do almoço refeito conexão no nó 89 um dos que
apresentavam mais ruido (ocorrencia de mais uma falha no terceiro turno).</t>
  </si>
  <si>
    <t xml:space="preserve">Maquina de Cola Nordson</t>
  </si>
  <si>
    <t xml:space="preserve">Não funciona nenhum dos canais</t>
  </si>
  <si>
    <t xml:space="preserve">Mau contato conector X41 de Saida modulo controle</t>
  </si>
  <si>
    <t xml:space="preserve">By pass provisorio para rodar durante diagnostico, e reconexão conector X41 saida para comando
dos reles de estado solido</t>
  </si>
  <si>
    <t xml:space="preserve">Painel Alimentação SAO´s e Parafusadeiras</t>
  </si>
  <si>
    <t xml:space="preserve">Desarme disjuntor geral alimentação SAO's</t>
  </si>
  <si>
    <t xml:space="preserve">Curto circuito Tomada alimentação parafusadeira MO1</t>
  </si>
  <si>
    <t xml:space="preserve">Conector solto dentro da tomada Steck de alimentação parafusadeira conectada ao SAO </t>
  </si>
  <si>
    <t xml:space="preserve">Prensa P10</t>
  </si>
  <si>
    <t xml:space="preserve">By pass provisorio para rodar durante diagnostico, e reconexão conector X41 saida para comando dos reles de estado solido</t>
  </si>
  <si>
    <t xml:space="preserve">PEV</t>
  </si>
  <si>
    <t xml:space="preserve">PSF offline.</t>
  </si>
  <si>
    <t xml:space="preserve">Em analise, pessoal da montagem vai pedir o log do PSF</t>
  </si>
  <si>
    <t xml:space="preserve">Efetuado dos sistemas Sidis e Ecos, PSF voltou online, mas o SPY estava desabilitado (inicializa
automático), foi selecionado stop no aplicativo console, e reiniciado o Sidis novamente, voltou todos os sistemas ok.</t>
  </si>
  <si>
    <t xml:space="preserve">ROBO</t>
  </si>
  <si>
    <t xml:space="preserve">Falha controlador Robo</t>
  </si>
  <si>
    <t xml:space="preserve">falha geral controlador</t>
  </si>
  <si>
    <t xml:space="preserve">Falha geral controlador substituido controlador, e após verificado ausencia valor pressão bomba
volumétrica substituição da pilha de alimentação da mesma (Não apresentava erro de tensão baixa da pilha).</t>
  </si>
  <si>
    <t xml:space="preserve">MESA 126</t>
  </si>
  <si>
    <t xml:space="preserve">MESA 126 : DEF. TERMICO</t>
  </si>
  <si>
    <t xml:space="preserve">Cabo sensor prensado degradado (prensado skid) fechando curto</t>
  </si>
  <si>
    <t xml:space="preserve">Isolado circuito da queima do fusivel e isolado provisorio para rodar (programação posterior paratroca do cabo).</t>
  </si>
  <si>
    <t xml:space="preserve">SMPLOC</t>
  </si>
  <si>
    <t xml:space="preserve">SMPLOC fora de comunicação com a Central</t>
  </si>
  <si>
    <t xml:space="preserve">Erro placa e conflito de IP</t>
  </si>
  <si>
    <t xml:space="preserve">Verificação e falha de comunicação encontrado duas portas ethernet com mesmo IP, desativado
uma e restabelecido comunicação SMPLOC com a Central SMP99.</t>
  </si>
  <si>
    <t xml:space="preserve">Banco de Paralelismo 1</t>
  </si>
  <si>
    <t xml:space="preserve">Banco não faz ajuste paralelismo</t>
  </si>
  <si>
    <t xml:space="preserve">Xline não recebe valores do nivelometro (mau contato cabo nivelometro no painel do operador)</t>
  </si>
  <si>
    <t xml:space="preserve">Substituição do cabo nivelometro e substituição do nivelometro, inversão porta COM do nivelometro na multiserial, não comunicava, mexido cabo no painel e desmontagem conectores cabo serial e
remontagem comunicação OK.</t>
  </si>
  <si>
    <t xml:space="preserve">Carroceria CVP Robô E1 FM10</t>
  </si>
  <si>
    <t xml:space="preserve">robô colidiu com o bico da pistola de mastic</t>
  </si>
  <si>
    <t xml:space="preserve">desentortado o bico da pistola e ajustado a trajetória.</t>
  </si>
  <si>
    <t xml:space="preserve">transportador estufa primer</t>
  </si>
  <si>
    <t xml:space="preserve">corrente travada</t>
  </si>
  <si>
    <t xml:space="preserve">não foi encontrado nada travando, provável falta de lubrificação</t>
  </si>
  <si>
    <t xml:space="preserve">efetuado lubrificação e soltado esticador, puxado com tifor.</t>
  </si>
  <si>
    <t xml:space="preserve">esteira SC5</t>
  </si>
  <si>
    <t xml:space="preserve">esteira travou, guia da corrente entortou</t>
  </si>
  <si>
    <t xml:space="preserve">acúmulo de resíduos</t>
  </si>
  <si>
    <t xml:space="preserve">cortado o início da guia da corrente que estava torta.</t>
  </si>
  <si>
    <t xml:space="preserve">Esteira travou, guia da corrente entortou</t>
  </si>
  <si>
    <t xml:space="preserve">Acúmulo de resíduos. Entortou as pontas das taparelas causando travamento</t>
  </si>
  <si>
    <t xml:space="preserve">Teve de ser realizado a troca de 13 Taparelas, que tinham na área e desentortado as pontas das
demais. Foram aproximadamente 40 Taparelas danificadas.</t>
  </si>
  <si>
    <t xml:space="preserve">CLP1 - ENTRADA TTS</t>
  </si>
  <si>
    <t xml:space="preserve">CLP TSCC (API01) entrou em stop</t>
  </si>
  <si>
    <t xml:space="preserve">Leitura fora da memória do CLP por endereço indireto (encontrado o N213:313 com valor acima de
6000 "skid da carroceira veio com número de suporte errado")</t>
  </si>
  <si>
    <t xml:space="preserve">Inserido uma lógica "LADER 299 Ln 20" zerando o número de skid lido se a leitura for fora dos limites
0 e 250, (sera feito a insersão de um defeito no fim de leitura do RFID com parada na hora, de forma a
permitir a correção do erro em caso de Skids com número suporte incorreto)</t>
  </si>
  <si>
    <t xml:space="preserve">ROBO E3 CSF1</t>
  </si>
  <si>
    <t xml:space="preserve">PERDA SINAL DE CALIBRAÇÃO DA SERVOGUN</t>
  </si>
  <si>
    <t xml:space="preserve">DEFEITO NA PLACA SMB DO ROBO</t>
  </si>
  <si>
    <t xml:space="preserve">SUBSTITUIDA PLACA SMB</t>
  </si>
  <si>
    <t xml:space="preserve">AG1 ROBÔ A1</t>
  </si>
  <si>
    <t xml:space="preserve">PRINCÍPIO DE INCÊNDIO NA PINÇA DO ROBÔ</t>
  </si>
  <si>
    <t xml:space="preserve">SPLASH DE SOLDA</t>
  </si>
  <si>
    <t xml:space="preserve">REALIZADO A SUBSTITUIÇÃO DO CABO DE POTÊNCIA DA PINÇA E REPARO NA MANGUEIRA DE AR COMPRIMIDO</t>
  </si>
  <si>
    <t xml:space="preserve">MONOFLUXO UNIT CENTRAL - ROBO E0</t>
  </si>
  <si>
    <t xml:space="preserve">Falha de posição de locator 5</t>
  </si>
  <si>
    <t xml:space="preserve">Peça fora de posição/geometria colidiu com o piloto do locator Robos E0 e F0</t>
  </si>
  <si>
    <t xml:space="preserve">Foi executado movimento manual do locator, By pass no software para liberação de solda e depois
retirada peça, (Executado by pass via software e colocação Robos em Home) para continuar o ciclo em 3
peças. Executado trajetoria de repli no locator 5 da mesa E0 então ciclo OK.</t>
  </si>
  <si>
    <t xml:space="preserve">BM1 - VISÃO ISRA</t>
  </si>
  <si>
    <t xml:space="preserve">ROBO F3 DEFEITO VISÃO ISRA</t>
  </si>
  <si>
    <t xml:space="preserve">TRAVAMENTO PROGRAMA AO COPIAR/EXCLUIR ARQUIVO</t>
  </si>
  <si>
    <t xml:space="preserve">RETORNO ROBOS AO REPLI REINICIADO APALICAÇÃO ISRA E RETIRADO CARROCERIA COMO RETRABALHO</t>
  </si>
  <si>
    <t xml:space="preserve">EOM</t>
  </si>
  <si>
    <t xml:space="preserve">ESTAVA EM CURTO 24Vcc queimando fusível 14S5</t>
  </si>
  <si>
    <t xml:space="preserve">Cabo do sensor esmagado dentro da eletrocalha embaixo da mesa CSA100</t>
  </si>
  <si>
    <t xml:space="preserve">Substituido o caba do sensor de mutting da CSA 95</t>
  </si>
  <si>
    <t xml:space="preserve">Carro chegou na CSA e não iniciou o ciclo</t>
  </si>
  <si>
    <t xml:space="preserve">Sensores do Grampo BOFC21 e BOFC22 sem alimentação, mal contato no barramento do ARMOR Point nó 7</t>
  </si>
  <si>
    <t xml:space="preserve">Desconectado e reconectado os módulos</t>
  </si>
  <si>
    <t xml:space="preserve">CSA200</t>
  </si>
  <si>
    <t xml:space="preserve">Carro chegou na CSA200 EOM HHA não avançava</t>
  </si>
  <si>
    <t xml:space="preserve">Mal contato no cabo de alimentação da Chabata</t>
  </si>
  <si>
    <t xml:space="preserve">Reaperto do cabo de alimentação</t>
  </si>
  <si>
    <t xml:space="preserve">ROBÔ C1</t>
  </si>
  <si>
    <t xml:space="preserve">Falha no robô C1 AG1 do P1</t>
  </si>
  <si>
    <t xml:space="preserve">Erro na placa de tensão regenerativa</t>
  </si>
  <si>
    <t xml:space="preserve">Substituída Placa</t>
  </si>
  <si>
    <t xml:space="preserve">Falaha no fechamento dos gripers após pega de peça</t>
  </si>
  <si>
    <t xml:space="preserve">Mal contato nos bornes fusíveis do painel </t>
  </si>
  <si>
    <t xml:space="preserve">Realizado o reaperto</t>
  </si>
  <si>
    <t xml:space="preserve">Falha no elevador EDL02 entrada PM1</t>
  </si>
  <si>
    <t xml:space="preserve">Após chamada para descarregar na mesa 100 no stocking gerou erros de memórias no elevador; Perda de sincronismo de velocidade alta para carregamento do elevador com a carroceria.</t>
  </si>
  <si>
    <t xml:space="preserve">Realizadas algumas contenções para rodar até o horário da ceia com acompanhamento full time; Retornado FB's antes das alterações de modificações do elevador e de mesas, em horário da ceia pra não ocorrer mais impacto</t>
  </si>
  <si>
    <t xml:space="preserve">Posto 60</t>
  </si>
  <si>
    <t xml:space="preserve">Liberação de dois pallets ao mesmo tempo </t>
  </si>
  <si>
    <t xml:space="preserve">Intermitência acionamento sensor alinhamento de pallet </t>
  </si>
  <si>
    <t xml:space="preserve">Verificação velocidade transportador  diferente para o posto seguinte. Ajuste do posicionamento do sensor de alinhamento de pallet </t>
  </si>
  <si>
    <t xml:space="preserve">CCD400</t>
  </si>
  <si>
    <t xml:space="preserve">Falta de condições de ciclo </t>
  </si>
  <si>
    <t xml:space="preserve">Em análise </t>
  </si>
  <si>
    <t xml:space="preserve">Foram forçadas as memórias de fim de ciclo e feito bypass de segurança de fechamento do dispositivo </t>
  </si>
  <si>
    <t xml:space="preserve">OP214</t>
  </si>
  <si>
    <t xml:space="preserve">Robô Staubli sem falha, mas não movimenta, nem em manual.</t>
  </si>
  <si>
    <t xml:space="preserve">Após uma colisão entrou no modo de falha </t>
  </si>
  <si>
    <t xml:space="preserve">Reparo em 3º turno </t>
  </si>
  <si>
    <t xml:space="preserve">Circuito aéreo de balance de motores </t>
  </si>
  <si>
    <t xml:space="preserve">Desarmou disjuntor do trecho C13 e disjuntor geral do barramentos </t>
  </si>
  <si>
    <t xml:space="preserve">Não encontrado a causa, verificado as escovas e barramento, não localizado o curto </t>
  </si>
  <si>
    <t xml:space="preserve">Rearmamento os disjuntores </t>
  </si>
  <si>
    <t xml:space="preserve">UAV UAR LATERAIS X52</t>
  </si>
  <si>
    <t xml:space="preserve">Falha OF X52
fase 2</t>
  </si>
  <si>
    <t xml:space="preserve">Tabela CDIV com critério 2 de diversidade com valor 2 online</t>
  </si>
  <si>
    <t xml:space="preserve">Forçado OF nas Units Avant e Arriere sem produzir a peça, Lateral forçada a OF e produzida a peça, retirada do piso Central da OF do X52 fase 2 (que estava para entrada na preliminar), avanço Skid vazio da entrada preliminar retirada das Doubloure que estavam na FM70, retirada Laterais do fase 2 no casamento com a preliminar. (dificuldade nas retiradas de peça pois não funcionaram corretamente os descartes de peças do X52 fase 2)</t>
  </si>
  <si>
    <t xml:space="preserve">Centrador direito</t>
  </si>
  <si>
    <t xml:space="preserve">Falha no centrador </t>
  </si>
  <si>
    <t xml:space="preserve">Fim de vida útil das escovas do motor do centrador, mola fechou curto no coletor.</t>
  </si>
  <si>
    <t xml:space="preserve">Substituído motor do centrador</t>
  </si>
  <si>
    <t xml:space="preserve">Insufladora</t>
  </si>
  <si>
    <t xml:space="preserve">Não estava realizando o enchimento de ar no pneu</t>
  </si>
  <si>
    <t xml:space="preserve">Mesa Tripartida com vazamento de ar. Reparo danificado e mesa com folga nos patins</t>
  </si>
  <si>
    <t xml:space="preserve">Realizado a troca do reparo danificado, substituído parafusos de fixação da chapa, ajuste nas rotulas, regulagens de distancia para fechamento do conjunto da mesa.</t>
  </si>
  <si>
    <t xml:space="preserve">Robô R21</t>
  </si>
  <si>
    <t xml:space="preserve">Falha conexão de rede do rob</t>
  </si>
  <si>
    <t xml:space="preserve">Realizado reset geral do robô.</t>
  </si>
  <si>
    <t xml:space="preserve">Banco de Paralelismo 2</t>
  </si>
  <si>
    <t xml:space="preserve">Em analise (Erro aconteceu com varios MDA´s)</t>
  </si>
  <si>
    <t xml:space="preserve">MRHD tratativa do problema, Reparo de cabo MDA22 que estava danificado, substituição da placa
SDA no intervalo almoço, retorno de ocorrencia erro com MDA22, invertido MDA22 com o MDA24 e não apresentou mais erros 1°e 2° turnos</t>
  </si>
  <si>
    <t xml:space="preserve">(LTP, Saida Tunel, Mesa A0 CSF5, Pickup saida AG3)</t>
  </si>
  <si>
    <t xml:space="preserve">DEF. RESPOSTA PSF</t>
  </si>
  <si>
    <t xml:space="preserve">Perda de comunicação com o PSF</t>
  </si>
  <si>
    <t xml:space="preserve">Retorno dos pontos em falha (Tratativa problema via informatica)</t>
  </si>
  <si>
    <t xml:space="preserve">Falha conexão de rede no drive do eixo 4 do robô.</t>
  </si>
  <si>
    <t xml:space="preserve">Defeito no módulo eletrônico de controle do drive</t>
  </si>
  <si>
    <t xml:space="preserve">Substituído a placa de controle do eixo 4. Foi retirado do robô R13 do primmer ( Robô reserva)
devido já estar pronto para rodar sem necessidade de descarregar parâmetros. Após a substituição teve de
fazer a calibração do eixo 4, devido ao mesmo ter perdido valor do resolver.</t>
  </si>
  <si>
    <t xml:space="preserve">Mesa 11</t>
  </si>
  <si>
    <t xml:space="preserve">Falha na transferência da mesa 11 para a mesa 12, com isso ocorria atraso para descarregar na
corrente da SE4</t>
  </si>
  <si>
    <t xml:space="preserve">Falha no inversor de frequência da mesa 11</t>
  </si>
  <si>
    <t xml:space="preserve">Realizado o reset do inversor e verificado status das memórias para colocação em ciclo.</t>
  </si>
  <si>
    <t xml:space="preserve">OP210</t>
  </si>
  <si>
    <t xml:space="preserve">Variação na identificação dos caracteres</t>
  </si>
  <si>
    <t xml:space="preserve">Ajustes de posicionamento, nos valores de brilho e ganho de luminosidade.</t>
  </si>
  <si>
    <t xml:space="preserve">Torre de fusão HPDC</t>
  </si>
  <si>
    <t xml:space="preserve">Não acionava nem um comando do forno, não gerava alarme nem o botão de teste de lâmpada
funcionava</t>
  </si>
  <si>
    <t xml:space="preserve">Cartão de entrada de leitura dos termopares em curto interno derrubando a rede profinet</t>
  </si>
  <si>
    <t xml:space="preserve">Substituição do cartão de i/o.</t>
  </si>
  <si>
    <t xml:space="preserve">Robo ROD (Desempilhador)</t>
  </si>
  <si>
    <t xml:space="preserve">Curto circuito no eixo 5 do robô ROD</t>
  </si>
  <si>
    <t xml:space="preserve">Cabo de alimentação do motor em curtocircuito</t>
  </si>
  <si>
    <t xml:space="preserve">Foi feito o isolado do cabo, substituição da placa SMB e placa de liberação dos freios. (Após retorno do robô houve um problema na porta automática aproximadamente 30 minutos para restabelecimento para rodar)</t>
  </si>
  <si>
    <t xml:space="preserve">Falha no deposito do Bloco modelo H nas CU's</t>
  </si>
  <si>
    <t xml:space="preserve">Estava com o sinal de pinça vazia mesmo quando com peça</t>
  </si>
  <si>
    <t xml:space="preserve">Verificado na lógica e encontrado o sinal de pinça carregada e forçado o sinal. Após isso voltado ao normal a lógica e realizado a descarga nas demais CU (1 e 2), operação normalizada.</t>
  </si>
  <si>
    <t xml:space="preserve">MONOFLUXO - UNIT CENTRAL</t>
  </si>
  <si>
    <t xml:space="preserve">FALHA NO LANÇAMENTO DO SIPTOL</t>
  </si>
  <si>
    <t xml:space="preserve">Foi feito o lançado de peça especifica no ponto de lançamento (a peça deveria ter sido lançada no
ponto de recalage)</t>
  </si>
  <si>
    <t xml:space="preserve">Foi feito o avanço da OF (Forçado VAL API e ETAT FLUX a 1 e o VAL CAL a 0 (OF7720))</t>
  </si>
  <si>
    <t xml:space="preserve">BANCO DE PARALELISMO</t>
  </si>
  <si>
    <t xml:space="preserve">Falha no reconhecimento da carta para inicio de teste elétrico</t>
  </si>
  <si>
    <t xml:space="preserve">Travado sistema ECOS</t>
  </si>
  <si>
    <t xml:space="preserve">Reset no PC e na placa DAS</t>
  </si>
  <si>
    <t xml:space="preserve">MONOFLUXO - UNIT AVANT</t>
  </si>
  <si>
    <t xml:space="preserve">Falha no posto de recalagem com a OF1843</t>
  </si>
  <si>
    <t xml:space="preserve">Chegou uma peça com duas chamadas de decisão no fluxo</t>
  </si>
  <si>
    <t xml:space="preserve">Forçado a injeção de peça para saída</t>
  </si>
  <si>
    <t xml:space="preserve">OP40 - ROBÔ DE RECORTE DE PEÇA</t>
  </si>
  <si>
    <t xml:space="preserve">Falha no cabo de alimentação das válvulas da garra</t>
  </si>
  <si>
    <t xml:space="preserve">Fornecedor ao substituir cabo da garra fechou curto,
Fio invertido no cabo de ligação das válvulas
Mal contato no conector fêmea que vem do Robô</t>
  </si>
  <si>
    <t xml:space="preserve">Substituição dos fusíveis;
Acertado posição do cabo na ligação do mesmo
Aberto o conector e realizado reparo no pino que estava fora de posição.</t>
  </si>
  <si>
    <t xml:space="preserve">TGSE2 - P50</t>
  </si>
  <si>
    <t xml:space="preserve">Falha no circuito de potência, curto circuito nos IGBTs</t>
  </si>
  <si>
    <t xml:space="preserve">Substituído painel completo do inversor do martelo P50</t>
  </si>
  <si>
    <t xml:space="preserve">CORRENTÃO ME3 - ANTI RUN 03B</t>
  </si>
  <si>
    <t xml:space="preserve">Linha parada com falha de 24V.</t>
  </si>
  <si>
    <t xml:space="preserve">Problemas de rede profinet no drivebox AR03B.</t>
  </si>
  <si>
    <t xml:space="preserve">Substituído cabos de rede profinet da função variador e eliminado o conector de painel de
M12/RJ45 e ligado cabo de entrada direto na IM</t>
  </si>
  <si>
    <t xml:space="preserve">BITON - TRANSBORDO 32</t>
  </si>
  <si>
    <t xml:space="preserve">Mesa transbordo parada sem apresentar falha</t>
  </si>
  <si>
    <t xml:space="preserve">Carro na mesa sem leitura do Skid</t>
  </si>
  <si>
    <t xml:space="preserve">Forçado dialogo com PSF e carro descarregou normalmente proximo carro gerou erro leitor sick
passado painel IHM Sick em modo operação e funcionamento normal.</t>
  </si>
  <si>
    <t xml:space="preserve">ECA</t>
  </si>
  <si>
    <t xml:space="preserve">
Defeito de ciclo da estação 
</t>
  </si>
  <si>
    <t xml:space="preserve">Falha em grampo que não é utilizado porém está no software 
</t>
  </si>
  <si>
    <t xml:space="preserve">
Correção da falha do grampo 
</t>
  </si>
  <si>
    <t xml:space="preserve"> Montadora de Rodas</t>
  </si>
  <si>
    <t xml:space="preserve">Perda de posição da mesa de translação de rodas</t>
  </si>
  <si>
    <t xml:space="preserve">
Em análise - Provável problema na correia do conjunto do lado esquerdo 
</t>
  </si>
  <si>
    <t xml:space="preserve">
Substituição da correia 
</t>
  </si>
  <si>
    <t xml:space="preserve">PLC geral</t>
  </si>
  <si>
    <t xml:space="preserve">
Falha de Bom funcionamento do CLP 
</t>
  </si>
  <si>
    <t xml:space="preserve">
Desarmou disjuntor de 24V do painel 
</t>
  </si>
  <si>
    <t xml:space="preserve">
 Rearmado o disjuntor e conferido mesas 
</t>
  </si>
  <si>
    <t xml:space="preserve"> Elevador Portas</t>
  </si>
  <si>
    <t xml:space="preserve">Perda de ciclo automático no elevador</t>
  </si>
  <si>
    <t xml:space="preserve">
Intrusão operação 
</t>
  </si>
  <si>
    <t xml:space="preserve"> Rearmado a zona e também reset do CLP de segurança Sick</t>
  </si>
  <si>
    <t xml:space="preserve">Todas as máquinas de montagem</t>
  </si>
  <si>
    <t xml:space="preserve">Não reconhecimento específico de modelo de Aro "roda"</t>
  </si>
  <si>
    <t xml:space="preserve">Mudança do código de referencia PPUM do modelo e não alterado na linha de montagem 
</t>
  </si>
  <si>
    <t xml:space="preserve">Inserido o código de referência na tabela Assembly cod das máquinas 
</t>
  </si>
  <si>
    <t xml:space="preserve">Arrastadores</t>
  </si>
  <si>
    <t xml:space="preserve">Erro de Safety na ilha, faltando sinal de segurança 
</t>
  </si>
  <si>
    <t xml:space="preserve"> Após falha foi desligado o painel, como está em processo de validação, caiu um sinal de colocação em ciclo da máquina 
</t>
  </si>
  <si>
    <t xml:space="preserve">Realizado o Set da memória de colocação em ciclo da máquina 
</t>
  </si>
  <si>
    <t xml:space="preserve">P10 e P13</t>
  </si>
  <si>
    <t xml:space="preserve">Falha sistema válvulas MOOG e Sistema Hidráulico</t>
  </si>
  <si>
    <t xml:space="preserve">Falha sistema hidráulico</t>
  </si>
  <si>
    <t xml:space="preserve">Troca da válvula MOOG,  ajustes na  P10 e P13,  troca do contactor do motor e válvulas hidráulicas. 
</t>
  </si>
  <si>
    <t xml:space="preserve">Robo M4</t>
  </si>
  <si>
    <t xml:space="preserve">
Perda de Calibração eixos 1 a 7 
</t>
  </si>
  <si>
    <t xml:space="preserve">
Sistema corrompido 
</t>
  </si>
  <si>
    <t xml:space="preserve">Reinicialização do robô, atualização dos contadores de revolução, habilitação e calibração da Pinça.</t>
  </si>
  <si>
    <t xml:space="preserve"> Prensa TA9</t>
  </si>
  <si>
    <t xml:space="preserve">Cubo BBB travando</t>
  </si>
  <si>
    <t xml:space="preserve">Copo guia do anel trava degradado travando movimento eixo principal 
</t>
  </si>
  <si>
    <t xml:space="preserve">Utilização de processo degradado para montagem do anel trava, (montagem do anel após prensagem do rolamento, e diminuição do valor para deslocamento de prensagem para compensação da retirada do anel). 
</t>
  </si>
  <si>
    <t xml:space="preserve">Perda de Sistema </t>
  </si>
  <si>
    <t xml:space="preserve">Problema na CPU</t>
  </si>
  <si>
    <t xml:space="preserve">Substituição da CPU, retornado memória Flash com sistema da semana 41 e Backup atualizado, calibração fina dos eixos e repassado trajetória OK 
</t>
  </si>
  <si>
    <t xml:space="preserve">Robo Comau ST200</t>
  </si>
  <si>
    <t xml:space="preserve">Fatal Error Robo</t>
  </si>
  <si>
    <t xml:space="preserve">Sem informações (Log de erro havia sobrescrito) 
</t>
  </si>
  <si>
    <t xml:space="preserve">Descarregamento do Backup e  execução Turn Set. 
</t>
  </si>
  <si>
    <t xml:space="preserve">Sistema Tritante</t>
  </si>
  <si>
    <t xml:space="preserve">Após pular sequencia para envio de carro de Projeto, sistema não faz carregamento e descarregamento automático  
</t>
  </si>
  <si>
    <t xml:space="preserve"> Possível erro de procedimento ao enviar carro de projeto.</t>
  </si>
  <si>
    <t xml:space="preserve">
Reset das memórias de missão e PJI. 
</t>
  </si>
  <si>
    <t xml:space="preserve">FSM - CLP5</t>
  </si>
  <si>
    <t xml:space="preserve">Desarme geral FSM</t>
  </si>
  <si>
    <t xml:space="preserve">Perda de Programa CPU PLC5</t>
  </si>
  <si>
    <t xml:space="preserve">  Descarregamento backup e restabelecimento do ciclo em automático.</t>
  </si>
  <si>
    <t xml:space="preserve">
Desarme do comando da prensa 
</t>
  </si>
  <si>
    <t xml:space="preserve">Contactor de segurança  do travamento martelo danificado 
</t>
  </si>
  <si>
    <t xml:space="preserve">Substituição do contactor danificado. 
</t>
  </si>
  <si>
    <t xml:space="preserve">Desarme do comando da prensa</t>
  </si>
  <si>
    <t xml:space="preserve">Falha de Rede Profibus</t>
  </si>
  <si>
    <t xml:space="preserve">Foram desligados e religados todos os módulos da rede</t>
  </si>
  <si>
    <t xml:space="preserve">PINÇA</t>
  </si>
  <si>
    <t xml:space="preserve">Braço da pinça quebrado 
</t>
  </si>
  <si>
    <t xml:space="preserve"> n/a 
</t>
  </si>
  <si>
    <t xml:space="preserve">Substituição da haste do braço da pinça 
</t>
  </si>
  <si>
    <t xml:space="preserve"> Leitor Sick</t>
  </si>
  <si>
    <t xml:space="preserve">CLP não recebe sinal de fim de leitura do leitor Sick 
</t>
  </si>
  <si>
    <t xml:space="preserve">Travamento da placa Prosoft</t>
  </si>
  <si>
    <t xml:space="preserve">Reset da placa prosoft 
</t>
  </si>
  <si>
    <t xml:space="preserve">TPTC</t>
  </si>
  <si>
    <t xml:space="preserve">Falta de sinal dos sensores da mesa 06 
</t>
  </si>
  <si>
    <t xml:space="preserve"> A caixa de ligação embarcada na mesa enroscou e rompeu os cabos 
</t>
  </si>
  <si>
    <t xml:space="preserve">Reparo dos cabos danificados, fixação provisória da caixa e esteira porta cabos. 
</t>
  </si>
  <si>
    <t xml:space="preserve">Falta movimentação Elevador 
</t>
  </si>
  <si>
    <t xml:space="preserve">Defeito Bom funcionamento PLC "(desarme 24V cabo barreira NR12 desconectado fechando curto)" e (parada balancele porta aberta elevador portas Esquerda ME3)  
</t>
  </si>
  <si>
    <t xml:space="preserve">Movimentação em manual do Elevador e recolocação em ciclo.</t>
  </si>
  <si>
    <t xml:space="preserve">Elevador Remontagem Porta Direita ME3</t>
  </si>
  <si>
    <t xml:space="preserve">
Balancele parado elevador não desce 
</t>
  </si>
  <si>
    <t xml:space="preserve">Defeito Bom funcionamento PLC (Problema cabo barreira NR12 desconectado fechando curto)</t>
  </si>
  <si>
    <t xml:space="preserve">Posicionamento manual do balancele e movimento manual do elevador nas primeiras falhas, e diagnosticado cabo desconectado fechando curto, Isolado provisoriamente as vias do mesmo para rodar e restabelecimento do ciclo do elevador 
</t>
  </si>
  <si>
    <t xml:space="preserve">PC N2 - CV_PTTS</t>
  </si>
  <si>
    <t xml:space="preserve">PC não liga</t>
  </si>
  <si>
    <t xml:space="preserve">PC com falha de Boot </t>
  </si>
  <si>
    <t xml:space="preserve"> Instalação provisoria PC SMPLOC04 ao lado por medida de contenção para rodar as aplicações (IHM FTView, RSLogix e SMP) 
</t>
  </si>
  <si>
    <t xml:space="preserve">Repuxo PC Beckhoff</t>
  </si>
  <si>
    <t xml:space="preserve">Falha no Repuxo </t>
  </si>
  <si>
    <t xml:space="preserve">Válvula MOOG  (Frente Esquerda) travada aberta 
</t>
  </si>
  <si>
    <t xml:space="preserve">Substituição da válvula. (Suspeita de óleo contaminado) 
</t>
  </si>
  <si>
    <t xml:space="preserve">Transportador TK</t>
  </si>
  <si>
    <t xml:space="preserve">
Falha no descarregamento para o Alveolo 0120  
</t>
  </si>
  <si>
    <t xml:space="preserve">
 Falha inversor A01 
</t>
  </si>
  <si>
    <t xml:space="preserve">Rearme inversor e descarga manual do carro no alvéolo </t>
  </si>
  <si>
    <t xml:space="preserve">Posto TU20</t>
  </si>
  <si>
    <t xml:space="preserve">Falha de ciclo no dispositivo</t>
  </si>
  <si>
    <t xml:space="preserve">Perda de ciclo devido a piloto travado</t>
  </si>
  <si>
    <t xml:space="preserve">Verificação via software do PlC e ajuste de memórias de ciclo 
</t>
  </si>
  <si>
    <t xml:space="preserve">Falha da rede Devicene</t>
  </si>
  <si>
    <t xml:space="preserve">Cabo de rede danificado</t>
  </si>
  <si>
    <t xml:space="preserve">Restabelecimento da Rede e posterior substituição do cabo.</t>
  </si>
  <si>
    <t xml:space="preserve">FSM</t>
  </si>
  <si>
    <t xml:space="preserve">Sem liberação para a mesa 18 
</t>
  </si>
  <si>
    <t xml:space="preserve">Falha na  troca de informação com PSF 
</t>
  </si>
  <si>
    <t xml:space="preserve">Forçado a passagem do carro e testado a leitura do rfid da linha 
</t>
  </si>
  <si>
    <t xml:space="preserve">Robo ROP</t>
  </si>
  <si>
    <t xml:space="preserve">
Falha no sistema de freio do 7eixo 
</t>
  </si>
  <si>
    <t xml:space="preserve">
Curto no cabo do 7 eixo 
</t>
  </si>
  <si>
    <t xml:space="preserve">
Refeito a conexão do cabo e substituído o servo. 
</t>
  </si>
  <si>
    <t xml:space="preserve">OP156</t>
  </si>
  <si>
    <t xml:space="preserve">Parada do Robo sem 'Motor On'</t>
  </si>
  <si>
    <t xml:space="preserve">
Falha na cadeia de segurança 
</t>
  </si>
  <si>
    <t xml:space="preserve">Verificado a cadeia de segurança e rearmado o posto 
</t>
  </si>
  <si>
    <t xml:space="preserve">OP200 Robo 2</t>
  </si>
  <si>
    <t xml:space="preserve">
 Falha do Robô 
</t>
  </si>
  <si>
    <t xml:space="preserve">
Placa de distribuição de 24 V Robô danificada 
</t>
  </si>
  <si>
    <t xml:space="preserve">
Substituição da Placa 
</t>
  </si>
  <si>
    <t xml:space="preserve"> Robô L0</t>
  </si>
  <si>
    <t xml:space="preserve">Falha no fechamento dos grampos e acionamento dos pilotos</t>
  </si>
  <si>
    <t xml:space="preserve">Cabo rompido do 0V do circuito 24V de segurança</t>
  </si>
  <si>
    <t xml:space="preserve"> Foi realizado um reparo no cabo e foi retirado o prensa cabo que causou o rompimento. 
</t>
  </si>
  <si>
    <t xml:space="preserve"> P24</t>
  </si>
  <si>
    <t xml:space="preserve">Falha de segurança no restabelecimento TAF</t>
  </si>
  <si>
    <t xml:space="preserve">Cartão de I/O com mau contato</t>
  </si>
  <si>
    <t xml:space="preserve"> Encaixe correto do cartão de I/O</t>
  </si>
  <si>
    <t xml:space="preserve">MP3 mesa 24</t>
  </si>
  <si>
    <t xml:space="preserve">Falha no movimento de elevação da mesa</t>
  </si>
  <si>
    <t xml:space="preserve">Quebra do eixo do motor</t>
  </si>
  <si>
    <t xml:space="preserve">Substituído o eixo e refeito o alinhamento do motor.</t>
  </si>
  <si>
    <t xml:space="preserve">Robô C2</t>
  </si>
  <si>
    <t xml:space="preserve">Fatal error no sistema do robô Comau</t>
  </si>
  <si>
    <t xml:space="preserve">Erro em arquivo, corrompeu o sistema e gerou erro na RBC e na SCC.</t>
  </si>
  <si>
    <t xml:space="preserve">Retirado o Robô para de gradado, 
Retirado as placas para verificação e limpeza com limpa contatos,                                       Reinstalado o sistema à partir de um backup modelo H4
 Descarregado backup do Robô C2 (29/09/2018)  Realizado a calibração de todos os eixos.
</t>
  </si>
  <si>
    <t xml:space="preserve">Mesa 250 lateral direita</t>
  </si>
  <si>
    <t xml:space="preserve">System Fail no modulo de entrada da CPX</t>
  </si>
  <si>
    <t xml:space="preserve">Curto na talha causou queda de energia na mesa, danificando o modulo. Circuito de alimentação da talha esta junto com a alimentação dos módulos. 
</t>
  </si>
  <si>
    <t xml:space="preserve">Substituído o modulo de Entrada da cpx</t>
  </si>
  <si>
    <t xml:space="preserve"> Desarme do comando da prensa</t>
  </si>
  <si>
    <t xml:space="preserve">Reset da prensa e diminuição da velocidade até finalização da Gama 17. </t>
  </si>
  <si>
    <t xml:space="preserve">Porta direita não movimenta</t>
  </si>
  <si>
    <t xml:space="preserve">Intermitência no sinal de acionamento micro porta em movimento</t>
  </si>
  <si>
    <t xml:space="preserve">Reaperto borne (=27-A560.02:4) 24V que sai do cartão passa pelo micro para retornar na entrada I60.2 e ajuste do cam</t>
  </si>
  <si>
    <t xml:space="preserve">Cartão PM de alimentação nó 20 com problema</t>
  </si>
  <si>
    <t xml:space="preserve">Substituição do cartão e restabelecimento da prensa</t>
  </si>
  <si>
    <t xml:space="preserve">Elevador Entrada SE2</t>
  </si>
  <si>
    <t xml:space="preserve">Perda de sinal de segurança -  sensor de corrente rompida.</t>
  </si>
  <si>
    <t xml:space="preserve">Rolamentos dos mancais de tração do elevador danificados</t>
  </si>
  <si>
    <t xml:space="preserve">Substituição do conjunto de mancais.</t>
  </si>
  <si>
    <t xml:space="preserve"> Sistema Perceptron</t>
  </si>
  <si>
    <t xml:space="preserve">Sistema  Perceptron não faz a leitura da Lunete</t>
  </si>
  <si>
    <t xml:space="preserve">Em análise - Provável problema no módulo E-Bridge</t>
  </si>
  <si>
    <t xml:space="preserve">
 Substituição do módulo E-bridge e reinicialização do PC  
 Substituição do módulo E-bridge e reinicialização do PC  
 Substituição do módulo E-bridge e reinicialização do PC 
</t>
  </si>
  <si>
    <t xml:space="preserve">Pro Montagem OP31 - Robô</t>
  </si>
  <si>
    <t xml:space="preserve">Falha de rede Profinet nó 32 (Robô ABB)</t>
  </si>
  <si>
    <t xml:space="preserve">Placa Profinet do robô apresentando defeito.</t>
  </si>
  <si>
    <t xml:space="preserve">Restart do robô</t>
  </si>
  <si>
    <t xml:space="preserve">Robô não deu inicio a grafagem da caixa de roda U79 lado esquerdo</t>
  </si>
  <si>
    <t xml:space="preserve">Falha no sensor de medição Wengler do eixo X</t>
  </si>
  <si>
    <t xml:space="preserve"> Feito o bypass do sensor pela ihm, finalizado a grafagem e retirado o bypass.</t>
  </si>
  <si>
    <t xml:space="preserve">Mesa 50    </t>
  </si>
  <si>
    <t xml:space="preserve">Mesa travando ao realizar o giro da mesa</t>
  </si>
  <si>
    <t xml:space="preserve">Mesa enroscando devido a proteção de teflon solta</t>
  </si>
  <si>
    <t xml:space="preserve">Foi retirada a proteção de teflon da roda.</t>
  </si>
  <si>
    <t xml:space="preserve">OP218</t>
  </si>
  <si>
    <t xml:space="preserve">Robô travado</t>
  </si>
  <si>
    <t xml:space="preserve">Robô travado em rotina Safety</t>
  </si>
  <si>
    <t xml:space="preserve">Foi efetuado o retorno a origem do robô e foi feita a reinicialização do GROB.</t>
  </si>
  <si>
    <t xml:space="preserve">Estufa 2</t>
  </si>
  <si>
    <t xml:space="preserve">Falha na mesa de transporte estufa 2</t>
  </si>
  <si>
    <t xml:space="preserve">Rolamento da corrente transportadora danificado</t>
  </si>
  <si>
    <t xml:space="preserve">Substituído o rolamento da corrente.</t>
  </si>
  <si>
    <t xml:space="preserve">CC500, mesa A0</t>
  </si>
  <si>
    <t xml:space="preserve">Perda de condição de máquina recuada</t>
  </si>
  <si>
    <t xml:space="preserve">Travou pilotos e não realizou o fechamento de serragens na máquina 
</t>
  </si>
  <si>
    <t xml:space="preserve">Pilotado condições nas válvulas para poder fazer a movimentação da máquina.</t>
  </si>
  <si>
    <t xml:space="preserve">SMO(Prensa suporte pendular)</t>
  </si>
  <si>
    <t xml:space="preserve">Falha na detecção de suporte para prensagem de modelos de suporte pendular.</t>
  </si>
  <si>
    <t xml:space="preserve">Dificuldade na indexação da base para apoio do suporte</t>
  </si>
  <si>
    <t xml:space="preserve">Realizado o lixamento devido a este index estar com marcas de impacto.  
</t>
  </si>
  <si>
    <t xml:space="preserve">Erro Linearidade Serial X e Y </t>
  </si>
  <si>
    <t xml:space="preserve">Discrepância medição na SMB</t>
  </si>
  <si>
    <t xml:space="preserve">Reinstalação do Sistema e reinicialização do Robo</t>
  </si>
  <si>
    <t xml:space="preserve">Posto 200</t>
  </si>
  <si>
    <t xml:space="preserve">Colisão Robos 1 e 2</t>
  </si>
  <si>
    <t xml:space="preserve">Falta intertravamento na mudança de tipo </t>
  </si>
  <si>
    <t xml:space="preserve">Retirada dos Robos e colocação do posto em By Pass</t>
  </si>
  <si>
    <t xml:space="preserve">Desbobinador (Mandril)</t>
  </si>
  <si>
    <t xml:space="preserve">Falha no drive do Mandril</t>
  </si>
  <si>
    <t xml:space="preserve">Conector de ventilação do motor desconectado</t>
  </si>
  <si>
    <t xml:space="preserve">Foi reconectada a ventilação do motor  e feito o reset geral do painel elétrico do desbobinador. 
</t>
  </si>
  <si>
    <t xml:space="preserve">Martelo Principal</t>
  </si>
  <si>
    <t xml:space="preserve">Falha no martelo principal</t>
  </si>
  <si>
    <t xml:space="preserve">Falha de leitura do encoder</t>
  </si>
  <si>
    <t xml:space="preserve">Retirada a alimentação dos encoders e restabelecimento da linha</t>
  </si>
  <si>
    <t xml:space="preserve">Robô Rebarbador</t>
  </si>
  <si>
    <t xml:space="preserve">Erro no resolver</t>
  </si>
  <si>
    <t xml:space="preserve">Placa SMB com problemas</t>
  </si>
  <si>
    <t xml:space="preserve">Verificação dos cabos e substituição da Placa SMB</t>
  </si>
  <si>
    <t xml:space="preserve">Robô</t>
  </si>
  <si>
    <t xml:space="preserve">Falha no Robô de movimentação das peças.</t>
  </si>
  <si>
    <t xml:space="preserve">Colisão do Robô com a lateral do deposito de peças prontas</t>
  </si>
  <si>
    <t xml:space="preserve"> Retirado o robô da posição, conferido posição das garras e retorno para posição. 
</t>
  </si>
  <si>
    <t xml:space="preserve">RF1 Z1 Ilha</t>
  </si>
  <si>
    <t xml:space="preserve">Defeito no Barramento Profinet</t>
  </si>
  <si>
    <t xml:space="preserve">Mau contato no cabo de rede Profinet – NC Locator da mesa G0</t>
  </si>
  <si>
    <t xml:space="preserve"> Foi feito o ajuste no conector e foi programada a substituição do cabo. 
</t>
  </si>
  <si>
    <t xml:space="preserve">1º Faltava EV7 na informação para avanço robô 
 2º Supervisão de movimento ao descarregar no espaço 3 de resfriamento 
</t>
  </si>
  <si>
    <t xml:space="preserve">1º Não encontrado a causa da falta do evento, pois todas as condições pareciam certas e sem erro na IHM 
2º Estava faltando presença virtual de ocupação do espaço 3, com isso colidiu no deposito 
</t>
  </si>
  <si>
    <t xml:space="preserve">
º verificado condições dos sensores fisicamente nos elevadores, retorno do robô para posição de Repli.                                                                         2º Teve de destravar as peças da pinça do robô, retirado manualmente o robô da posição de colisão,  retornado para posição de Repli e removido as peças de dentro do resfriamento.  
</t>
  </si>
  <si>
    <t xml:space="preserve"> Esteira Larga saída da rolagem </t>
  </si>
  <si>
    <t xml:space="preserve">Travou o transportador da linha de validação</t>
  </si>
  <si>
    <t xml:space="preserve">Taparelas danificadas e/ou tortas</t>
  </si>
  <si>
    <t xml:space="preserve">Substituíção de 3 taparelas</t>
  </si>
  <si>
    <t xml:space="preserve">Esteira estreita após ducha</t>
  </si>
  <si>
    <t xml:space="preserve">Desarme por travamento e deslocamento de conjunto</t>
  </si>
  <si>
    <t xml:space="preserve">Encavalou o transporte na engrenagem principal e danificou o tensionador do conjunto</t>
  </si>
  <si>
    <t xml:space="preserve">Substituído o tensionador do conjunto, colocado o transporte na posição e corrigido tensionamento do transporte.</t>
  </si>
  <si>
    <t xml:space="preserve">Posto 310 - Banco a Frio AVL</t>
  </si>
  <si>
    <t xml:space="preserve">Falha de rede profinet e falha de segurança</t>
  </si>
  <si>
    <t xml:space="preserve">Falha de segurança  - rele 120 K1</t>
  </si>
  <si>
    <t xml:space="preserve">Reset da chave de segurança do giro e restabelecimento do ciclo</t>
  </si>
  <si>
    <t xml:space="preserve">Robô Biton</t>
  </si>
  <si>
    <t xml:space="preserve">Falha geral CLP</t>
  </si>
  <si>
    <t xml:space="preserve">CPU em Panic Blink </t>
  </si>
  <si>
    <t xml:space="preserve">Reset RPC e PLC e restabelecimento funcionamento Ilha</t>
  </si>
  <si>
    <t xml:space="preserve">Não realizava comunicação com PSF</t>
  </si>
  <si>
    <t xml:space="preserve">Reiniciado os PC's de comunicação entre os PV's, HDT's e PSF; </t>
  </si>
  <si>
    <t xml:space="preserve">Perda de sinal do EV1 no Robô</t>
  </si>
  <si>
    <t xml:space="preserve">Ainda em análise, devido a não ter acesso ao software durante a noite.</t>
  </si>
  <si>
    <t xml:space="preserve">Retirado as peças da garra, colocado em Repli o Robõ. E para retirar as peças do forno de envelhecimento foi acompanhado e pulado a rotina que necessitava deste evento, já que era para a posição de resfriamento do material. 
</t>
  </si>
  <si>
    <t xml:space="preserve">
Foi feito o ajuste no conector e foi programada a substituição do cabo. 
</t>
  </si>
  <si>
    <t xml:space="preserve">1º Faltava EV7 na informação para avanço robô 
2º Supervisão de movimento ao descarregar no espaço 3 de resfriamento 
</t>
  </si>
  <si>
    <t xml:space="preserve">1º Não encontrado a causa da falta do evento, pois todas as condições pareciam certas e sem erro na IHM                                                                           
2º Estava faltando presença virtual de ocupação do espaço 3, com isso colidiu no deposito 
</t>
  </si>
  <si>
    <t xml:space="preserve">
º verificado condições dos sensores fisicamente nos elevadores, retorno do robô para posição de Repli.                                                                                     2º Teve de destravar as peças da pinça do robô, retirado manualmente o robô da posição de colisão,  retornado para posição de Repli e removido as peças de dentro do resfriamento.  
</t>
  </si>
  <si>
    <t xml:space="preserve">Esteira Larga saída da rolagem </t>
  </si>
  <si>
    <t xml:space="preserve">Substituíção de 3 taparelas 
</t>
  </si>
  <si>
    <t xml:space="preserve">Encavalou o transporte na engrenagem principal e danificou o tensionador do conjunto 
</t>
  </si>
  <si>
    <t xml:space="preserve">Substituído o tensionador do conjunto, colocado o transporte na posição e corrigido tensionamento do transporte. 
</t>
  </si>
  <si>
    <t xml:space="preserve"> 40 OFF Prensa TOX</t>
  </si>
  <si>
    <t xml:space="preserve">Falta movimento para prensagem </t>
  </si>
  <si>
    <t xml:space="preserve">Drive sem os parâmetros</t>
  </si>
  <si>
    <t xml:space="preserve">Foi feito o comissionamento do drive. </t>
  </si>
  <si>
    <t xml:space="preserve">CLP LTP</t>
  </si>
  <si>
    <t xml:space="preserve">PSF_320 DEFEITO RESPOSTA (PGF 320)</t>
  </si>
  <si>
    <t xml:space="preserve">Problema ponto rede "cabo com 4 vias ruim" (Projeto HC Carroceria)</t>
  </si>
  <si>
    <t xml:space="preserve">Diagnostico de falta de conexão no ponto de rede Substituição do ponto de PSF do (PGF 320) do (T1 – 453) para o ponto reserva (T3 – 099)  (Informática irá restabelecer o ponto original) 
</t>
  </si>
  <si>
    <t xml:space="preserve">MOP Transporte</t>
  </si>
  <si>
    <t xml:space="preserve">ILOT: Def. barramento PROFINET</t>
  </si>
  <si>
    <t xml:space="preserve">Falha de rede em diagnóstico</t>
  </si>
  <si>
    <t xml:space="preserve">Restabelecimento da falha e colocação em ciclo</t>
  </si>
  <si>
    <t xml:space="preserve"> Paralelismo 1</t>
  </si>
  <si>
    <t xml:space="preserve">Erro no posicionador traseiro esquerdo</t>
  </si>
  <si>
    <t xml:space="preserve">Quebrou a haste do centrador devido a uma falha no sensor de verificação de encosto. 
</t>
  </si>
  <si>
    <t xml:space="preserve">Substituído o sensor danificado e feito solda no braço do centrador.  
</t>
  </si>
  <si>
    <t xml:space="preserve">Esteira estreita 2</t>
  </si>
  <si>
    <t xml:space="preserve">Travamento do conjunto de tração do transporte</t>
  </si>
  <si>
    <t xml:space="preserve">Devido a folga que nem no transportador enroscou e travou</t>
  </si>
  <si>
    <t xml:space="preserve">Realizado a colocação de uma chapa para alinhar o transporte no convite da guia e minimizar o impacto da folga da mesma.</t>
  </si>
  <si>
    <t xml:space="preserve">Robô R2 Motoman</t>
  </si>
  <si>
    <t xml:space="preserve">Falha de força excessiva nos eixos do Robô</t>
  </si>
  <si>
    <t xml:space="preserve">Houve uma colisão na aplicação interna do assoalho do HHA</t>
  </si>
  <si>
    <t xml:space="preserve">Retirado o robô manualmente da posição em que estava e colocado para Repli. Após isso liberado novamente</t>
  </si>
  <si>
    <t xml:space="preserve">Falha na transição da BM30 para BM50, não ligava os rolos</t>
  </si>
  <si>
    <t xml:space="preserve">Possivelmente, cabo rompido internamente na mesa, posição de giro.</t>
  </si>
  <si>
    <t xml:space="preserve">Deixado bobina de freio aberta para liberação de carro. Terá de ser programado para fazer a substituição do cabo da mesa 
</t>
  </si>
  <si>
    <t xml:space="preserve">Falha intermitente na rede profinet</t>
  </si>
  <si>
    <t xml:space="preserve">Conector danificado</t>
  </si>
  <si>
    <t xml:space="preserve">Substituição do cabo de rede </t>
  </si>
  <si>
    <t xml:space="preserve">Falha de incoerência balancele / base portese</t>
  </si>
  <si>
    <t xml:space="preserve">mesa não recuou totalmente e não carregou base portese</t>
  </si>
  <si>
    <t xml:space="preserve">movimentado a mesa em manual</t>
  </si>
  <si>
    <t xml:space="preserve"> Elevador 02</t>
  </si>
  <si>
    <t xml:space="preserve">Defeito geral na Zona 1, linha relé ativar</t>
  </si>
  <si>
    <t xml:space="preserve">Corrente de tração da elevação com folga, acionou o sensor do balancin do elevador (segurança mecânica).</t>
  </si>
  <si>
    <t xml:space="preserve">Forçado o sinal do sensor, após verificações das partes mecânicas para não ter risco. Terá de ser trocado parte da corrente para melhorar a folga com que está. 
</t>
  </si>
  <si>
    <t xml:space="preserve">Mesas 13 e 70</t>
  </si>
  <si>
    <t xml:space="preserve"> Falha na leitura de dados em uma carroceria na mesa 70</t>
  </si>
  <si>
    <t xml:space="preserve">falta de conhecimento do processo, foi inserido pane no modulo RFID, ao retirar o cabo da antena gerou falha na antena da mesa 13 que está no mesmo modulo de leitura.  
</t>
  </si>
  <si>
    <t xml:space="preserve">Foi forçado a inicialização das antenas via sw e descarregado carro da mesa 70, quando carro está na 70 precisa colocar PJI + chave na IHM para liberar. 
</t>
  </si>
  <si>
    <t xml:space="preserve">MOP</t>
  </si>
  <si>
    <t xml:space="preserve">SMPLOC aparecendo falhas não ativas no PLC</t>
  </si>
  <si>
    <t xml:space="preserve">Problemas na predisposição</t>
  </si>
  <si>
    <t xml:space="preserve">Restabelecida predisposição do PC com predisposição antes da troca do HD</t>
  </si>
  <si>
    <t xml:space="preserve">SMPLOC FSM</t>
  </si>
  <si>
    <t xml:space="preserve">Perda Encursos SMPLOC</t>
  </si>
  <si>
    <t xml:space="preserve">Criação de alarmes no Gecloc</t>
  </si>
  <si>
    <t xml:space="preserve">Efetuado Desc conf da Central sincronizando os encursos. </t>
  </si>
  <si>
    <t xml:space="preserve">Incinerador</t>
  </si>
  <si>
    <t xml:space="preserve">Falha na cadeia de segurança</t>
  </si>
  <si>
    <t xml:space="preserve">dos 4 controladores de temperatura somente 1 está funcionando, estava com alarme e saída auxiliar aberta nos controladores. 
</t>
  </si>
  <si>
    <t xml:space="preserve">Foi ligado direto as saidas e passado a situação para o supervisor, foi deixado rodando, pois um dos controladores está funcionando e controlando o valor de set point, houve grande dificuldade para diagnosticar a falha devido ao esquema elétrico não conter alguns componentes. 
</t>
  </si>
  <si>
    <t xml:space="preserve">Sistema cola Robô Parabrisa Bomba 2</t>
  </si>
  <si>
    <t xml:space="preserve">Falha sistema de cola</t>
  </si>
  <si>
    <t xml:space="preserve">Curto circuito Bomba 2 sistema de cola Robô Parabrisa</t>
  </si>
  <si>
    <t xml:space="preserve">Restabelecimento Disjuntor (F1) de alimentação Potencia das Bombas, passagem dos carros sem vidro e desabilitação Bomba 2. 
</t>
  </si>
  <si>
    <t xml:space="preserve">Injetora P1</t>
  </si>
  <si>
    <t xml:space="preserve">Falha no eixo Z do robô ao depositar peça na esteira de saída. 
</t>
  </si>
  <si>
    <t xml:space="preserve">não encontrado a causa, vai ser acionado fornecedor, pois o problema já estava ocorrendo esporadicamente. 
</t>
  </si>
  <si>
    <t xml:space="preserve"> Foi baixado a velocidade do robô para 95% e ajustado velocidade do extrator para ficar em sincronia com o robô, também foi ajustado as ventosas e invertido a ventosa esq inferior com a ventosa do centro. 
</t>
  </si>
  <si>
    <t xml:space="preserve">Prensa Tox Suporte Pendular</t>
  </si>
  <si>
    <t xml:space="preserve">Falha Drive Tox</t>
  </si>
  <si>
    <t xml:space="preserve">Falha transdutor (sensor não conectado ou invertido)</t>
  </si>
  <si>
    <t xml:space="preserve">Desligamento driver e restabelecimento ciclo de funcionamento 
</t>
  </si>
  <si>
    <t xml:space="preserve">Mesa CrossTransfer 20</t>
  </si>
  <si>
    <t xml:space="preserve">Time out subida/descida Mesa CrossTransfer</t>
  </si>
  <si>
    <t xml:space="preserve">Rompimento de 2 Correias transmissão</t>
  </si>
  <si>
    <t xml:space="preserve">Substituição das correias e ajustes mecânicos para rodar (OT 1023358043 MBR 1001368) 
</t>
  </si>
  <si>
    <t xml:space="preserve">Montadora</t>
  </si>
  <si>
    <t xml:space="preserve">Erro de sequenciamento pneus</t>
  </si>
  <si>
    <t xml:space="preserve">Deslocamento Correia de posicionamento</t>
  </si>
  <si>
    <t xml:space="preserve">Rodando degradado até finalização do turno para abastecimento da linha</t>
  </si>
  <si>
    <t xml:space="preserve">Máquina Estanqueidade AC</t>
  </si>
  <si>
    <t xml:space="preserve">Perda de comando do posto Servant de abastecimento</t>
  </si>
  <si>
    <t xml:space="preserve">Após queda de energia devido a desarme de disjuntor</t>
  </si>
  <si>
    <t xml:space="preserve">Após restabelecimento de energia e religado CLP teve de modificar uma memória a 1 para poder habilitar o posto Servant. Foi alterado a lógica para ser comutado pelo botão (Em Produção) no lugar desta memória  
</t>
  </si>
  <si>
    <t xml:space="preserve">Fricção 74</t>
  </si>
  <si>
    <t xml:space="preserve">Perda de movimento do balancele </t>
  </si>
  <si>
    <t xml:space="preserve">Quebro da estrutura da fricção, ficando pendurada</t>
  </si>
  <si>
    <t xml:space="preserve">Removida a estrutura da fricção e forçado o sinal do sensor a 0 para poder rodar em degradado independente desta fricção. Esta se movendo por inércia até a outra fricção 
</t>
  </si>
  <si>
    <t xml:space="preserve">Banco a Frio</t>
  </si>
  <si>
    <t xml:space="preserve">Falha pressão grampo 315S3</t>
  </si>
  <si>
    <t xml:space="preserve">Pallet 53 mau posicionado no Lado B</t>
  </si>
  <si>
    <t xml:space="preserve"> By pass do banco e retirada do pallet manual e retirada posterior do pallet (Em construção MRHD para diagnóstico da causa raiz)  
</t>
  </si>
  <si>
    <t xml:space="preserve">Ilha</t>
  </si>
  <si>
    <t xml:space="preserve"> Falha de segurança após emergência, não rearmava a célula. </t>
  </si>
  <si>
    <t xml:space="preserve">Robô Stäubli com falha emergência, e não possibilitava reset.</t>
  </si>
  <si>
    <t xml:space="preserve">Após entrar no menu de diagnóstico via TP do robô e acionar emergência, foi possível fazer o reset da falha, e conseguimos rearmar a ilha.</t>
  </si>
  <si>
    <t xml:space="preserve">Batente Evacuação BA6</t>
  </si>
  <si>
    <t xml:space="preserve">U0C Defeito variador do transportador</t>
  </si>
  <si>
    <t xml:space="preserve">Sensor indutivo com defeito</t>
  </si>
  <si>
    <t xml:space="preserve">Substituição do sensor indutivo</t>
  </si>
  <si>
    <t xml:space="preserve">Nivelometro</t>
  </si>
  <si>
    <t xml:space="preserve">Falha na medição do nivelometro</t>
  </si>
  <si>
    <t xml:space="preserve">comunicação serial travanda</t>
  </si>
  <si>
    <t xml:space="preserve">Alterado comunicação da porta COM 7 para COM 8</t>
  </si>
  <si>
    <t xml:space="preserve">Posto 220</t>
  </si>
  <si>
    <t xml:space="preserve">Falha servo prensagem</t>
  </si>
  <si>
    <t xml:space="preserve">Força mecânica prensagem lado oposto movimentando eixo do servo e gerando falha 
</t>
  </si>
  <si>
    <t xml:space="preserve">Ajuste de parâmetros de prensagem</t>
  </si>
  <si>
    <t xml:space="preserve">Falha na posição da mesa elevação</t>
  </si>
  <si>
    <t xml:space="preserve">Quebra dos parafusos de fixação da biela de elevaçã</t>
  </si>
  <si>
    <t xml:space="preserve">Realizado a substituição dos mesmos e também de um sensor de posição de para, pois estava danificado, ajustes de posicionamento sensores para parada da mesa nas posições corretas. (OT 1023386257) 
</t>
  </si>
  <si>
    <t xml:space="preserve"> Falha "erro na tomada"</t>
  </si>
  <si>
    <t xml:space="preserve">sistema travado</t>
  </si>
  <si>
    <t xml:space="preserve">Reiniciado PC e reset da placa DAS.</t>
  </si>
  <si>
    <t xml:space="preserve">Falha de rede interbus, Nó 5</t>
  </si>
  <si>
    <t xml:space="preserve">Falha no modulo de distribuição interbus</t>
  </si>
  <si>
    <t xml:space="preserve">Retirado o modulo em falha e por não possuir reserva por ser obsoleto, foi realocado os endereçamentos para outro distribuidor próximo. 
</t>
  </si>
  <si>
    <t xml:space="preserve">Robô OP600 CU11</t>
  </si>
  <si>
    <t xml:space="preserve">Robô não movia o ponteiro para nenhuma rotina</t>
  </si>
  <si>
    <t xml:space="preserve">Falha no sistema promia.</t>
  </si>
  <si>
    <t xml:space="preserve">Foi carregado o backup do sistema</t>
  </si>
  <si>
    <t xml:space="preserve">Mesa B0</t>
  </si>
  <si>
    <t xml:space="preserve">Apos final da solda a carroceria não avançou</t>
  </si>
  <si>
    <t xml:space="preserve">Falha no inversor e eixo da mesa com pino quebrado</t>
  </si>
  <si>
    <t xml:space="preserve">Substituído o inversor e rebatido o pino do eixo(será necessário substituir)</t>
  </si>
  <si>
    <t xml:space="preserve">TODAS AS MESAS </t>
  </si>
  <si>
    <t xml:space="preserve">Skid passando de posição em +/- 150mm em várias mesas aleatórias </t>
  </si>
  <si>
    <t xml:space="preserve">Excesso de lubrificante na corrente das mesas de retorno de skid da montagem </t>
  </si>
  <si>
    <t xml:space="preserve">Como contenção foi desativado a falha de ultrapassagem de todas as mesas PM2</t>
  </si>
  <si>
    <t xml:space="preserve">Elevador Posterior Z12</t>
  </si>
  <si>
    <t xml:space="preserve">Sobretensão Inversor Elevador </t>
  </si>
  <si>
    <t xml:space="preserve">Travamento Mecânico balança contrapeso saindo do trilho 
</t>
  </si>
  <si>
    <t xml:space="preserve">Rodando degradado até fim do turno e substituído os rolamentos danificados 
</t>
  </si>
  <si>
    <t xml:space="preserve">Robô D1</t>
  </si>
  <si>
    <t xml:space="preserve">Robô fora de serviço</t>
  </si>
  <si>
    <t xml:space="preserve">Perda de comunicação com a SMP e TP travado.</t>
  </si>
  <si>
    <t xml:space="preserve">Feito B-START do robô, troca do TP e calibração dos eixos e servogun.</t>
  </si>
  <si>
    <t xml:space="preserve">Mesas BRA10 e BRA20</t>
  </si>
  <si>
    <t xml:space="preserve">Falha OBF no inveror de rolos.</t>
  </si>
  <si>
    <t xml:space="preserve">No intervalo da janta foi descarregado o backup de uma mesa com as mesas características (BRA30). Porém, os parâmetros de velocidades do motor estavam diferentes e causou colisão de skids e transferências indevidas de memórias dos skids.</t>
  </si>
  <si>
    <t xml:space="preserve">Correção das memórias, atualização das OF´S no siptol e reposicionamento dos Skids. 
</t>
  </si>
  <si>
    <t xml:space="preserve">OP200A</t>
  </si>
  <si>
    <t xml:space="preserve">Desarme do disjuntor eletrônico de comando 24V da Zona 1A
</t>
  </si>
  <si>
    <t xml:space="preserve">Curto circuito no cabo de alimentação do By Ligth do deposito 27</t>
  </si>
  <si>
    <t xml:space="preserve">1º foi isolado o circuito para que pudesse ser operado em degradado;                                        2º Realizado testes e encontrado o cabo em curto. Foi realizado a substituição do mesmo e retornado a suas condições normais para operação em automático.  
</t>
  </si>
  <si>
    <t xml:space="preserve">CIA </t>
  </si>
  <si>
    <t xml:space="preserve">Forno preparação cabeçote</t>
  </si>
  <si>
    <t xml:space="preserve">Alarme por baixa temperatura </t>
  </si>
  <si>
    <t xml:space="preserve">Ao realizar a limpeza e preparação, ficou-se com as portas de manutenção aberta, com isso a temperatura abaixou. 
</t>
  </si>
  <si>
    <t xml:space="preserve">Fechados as portas de manutenção, aguardado a temperatura se estabilizar e feito o reset da falha. 
</t>
  </si>
  <si>
    <t xml:space="preserve">BM30 Griper</t>
  </si>
  <si>
    <t xml:space="preserve">Defeito Presença Gripper </t>
  </si>
  <si>
    <t xml:space="preserve">Falha Sensor presença de peça danificado</t>
  </si>
  <si>
    <t xml:space="preserve">Substituição Sensor (A0DPP4) danificado, resetando indevidamente a presença (TAG sensor no campo estava como A0DPP4 dificultando diagnóstico e localização do mesmo) 
</t>
  </si>
  <si>
    <t xml:space="preserve">Cabine Tranportado</t>
  </si>
  <si>
    <t xml:space="preserve">MESA 01: CARROCERIA NAO CODIFICADA</t>
  </si>
  <si>
    <t xml:space="preserve">Falha leitura e deslocamento FIFO cabine</t>
  </si>
  <si>
    <t xml:space="preserve">Limpeza sensores e espelho de leitura código Skid M01, esvaziamento da cabine e correção da FIFO (carregamento incorreto modelos veículos)  
</t>
  </si>
  <si>
    <t xml:space="preserve">Posto Preparação LRG80</t>
  </si>
  <si>
    <t xml:space="preserve">Falha na validação dispositivo</t>
  </si>
  <si>
    <t xml:space="preserve">Fio rompido e fios soltos dentro do Bimanual</t>
  </si>
  <si>
    <t xml:space="preserve">Emendadado provisoriamente fio rompido  e reconectado fios que escaparam ao abrir o Bimanual 
</t>
  </si>
  <si>
    <t xml:space="preserve">Após passar carro no modo "Quebra SSAR", o gestor de fluxo não indicou o próximo carro a ir para a pintura. 
</t>
  </si>
  <si>
    <t xml:space="preserve">Em análise - Testes programados para sexta-feira após a produção.</t>
  </si>
  <si>
    <t xml:space="preserve">Atualização do mapa do móvel e do ponteiro do filme no Gestor de Fluxo.</t>
  </si>
  <si>
    <t xml:space="preserve">Falha de posicionamento Locator 5</t>
  </si>
  <si>
    <t xml:space="preserve">Falha operacional, torre da U79 estava solta e colidiu com o locator 5 e tirou o sensor de posição do lugar e ao rodar manual perdeu sequenciamento PSF. 
</t>
  </si>
  <si>
    <t xml:space="preserve">Corrigido posição do sensor e corrigido PSF.</t>
  </si>
  <si>
    <t xml:space="preserve"> Linha 2</t>
  </si>
  <si>
    <t xml:space="preserve">Esteira de transporte de carros linha 2 travada. Desarmou inversor</t>
  </si>
  <si>
    <t xml:space="preserve"> As roldanas enroscaram nas guias devido a ter quebrado solda do suporte do convite de entrada das roldanas. 
</t>
  </si>
  <si>
    <t xml:space="preserve">Substituído 6 roldanas, refeito a solda para o suporte guia, e desenroscado a esteira que estava fora da guia. 
</t>
  </si>
  <si>
    <t xml:space="preserve">P21</t>
  </si>
  <si>
    <t xml:space="preserve">Falta das condições de segurança</t>
  </si>
  <si>
    <t xml:space="preserve">Falta de retorno de sinal de segurança da porta esquerda</t>
  </si>
  <si>
    <t xml:space="preserve"> Reset do CLP Pills e restabelecimento do sinal de segurança 24V da porta 
</t>
  </si>
  <si>
    <t xml:space="preserve">Não estava funcional o Software de testes do banco, problema com a interface DDT2000 
</t>
  </si>
  <si>
    <t xml:space="preserve">Licença do Software expirada</t>
  </si>
  <si>
    <t xml:space="preserve">Retirado o PC levado para a banca, e realizado acesso a internet para atualização de licença. 
</t>
  </si>
  <si>
    <t xml:space="preserve">Talhas Lateral Direita </t>
  </si>
  <si>
    <t xml:space="preserve">Talhas não funcionam</t>
  </si>
  <si>
    <t xml:space="preserve">Curto circuito no troley dos barramentos alimentação </t>
  </si>
  <si>
    <t xml:space="preserve">Retirada carrinhos das escovas e adaptação para funcionamento das talhas com cabo de ligação alimentação externa. (Programado trabalho de final de semana para restabelecimento da alimentação pelo barramento de escovas). 
</t>
  </si>
  <si>
    <t xml:space="preserve"> P22</t>
  </si>
  <si>
    <t xml:space="preserve">Falta de comando para a prensa</t>
  </si>
  <si>
    <t xml:space="preserve">Reparo no conector profibus</t>
  </si>
  <si>
    <t xml:space="preserve">Posto 360 </t>
  </si>
  <si>
    <t xml:space="preserve">Posto 360 falha frequencial</t>
  </si>
  <si>
    <t xml:space="preserve">Valores incorretos decorrentes do Posto 330</t>
  </si>
  <si>
    <t xml:space="preserve">Verificação e descarregamento FB441 e DB441 do Backup </t>
  </si>
  <si>
    <t xml:space="preserve">Posto 570 </t>
  </si>
  <si>
    <t xml:space="preserve">Falta impressão etiqueta Modelo K</t>
  </si>
  <si>
    <t xml:space="preserve">PC Advantech, impressão com Problema (placa processadora danificada)</t>
  </si>
  <si>
    <t xml:space="preserve">Substituição da placa processadora e colocação do posto em funcionamento. (Restabelecido posto e funcionamento 11:33) 
</t>
  </si>
  <si>
    <t xml:space="preserve">EOMH79 CSA100</t>
  </si>
  <si>
    <t xml:space="preserve">Várias falhas em toda AG2X79.</t>
  </si>
  <si>
    <t xml:space="preserve">Falha geral DeviceNet.</t>
  </si>
  <si>
    <t xml:space="preserve">Feito reset da cabeça de rede, rearmado o painel e corrigido ciclo e memórias, verificado que o primeiro nó a entrar em falha foi o nó 28. 
</t>
  </si>
  <si>
    <t xml:space="preserve">Linha de ar comprimido</t>
  </si>
  <si>
    <t xml:space="preserve">Vazamento de ar na tubulação principal do módulo.</t>
  </si>
  <si>
    <t xml:space="preserve">KBK da tucker fica colidindo constantemente com a tubulação e ar comprimido.</t>
  </si>
  <si>
    <t xml:space="preserve">Foi colodado um tampão da conexão quebrada e alterado o ponto de alimentação de ar, foi orientado o supervisor de manutenção para fazer um batente no KBK, para que não venha a colidir com a tubulação novamente. 
</t>
  </si>
  <si>
    <t xml:space="preserve">Portal</t>
  </si>
  <si>
    <t xml:space="preserve">Portal fora de Home e não faz mais de um ciclo.</t>
  </si>
  <si>
    <t xml:space="preserve">Sensor da esteira de saída danificado, foi feito um ciclo em manual e retirado uma peça, o que tirou o portal do ciclo. </t>
  </si>
  <si>
    <t xml:space="preserve">Corrigido ciclo do portal, corrigido as memórias e feito by pass no sensor danificado, pois não foi localizao o sensor. Chegando na central localizei o mabec e passei para o supervisor da manutenção usinagem (R100719856). 
</t>
  </si>
  <si>
    <t xml:space="preserve">Maquina Ensaboar</t>
  </si>
  <si>
    <t xml:space="preserve">Erro na transferência de pneu para montagem</t>
  </si>
  <si>
    <t xml:space="preserve">Arrebentou correia de tração dos rolos</t>
  </si>
  <si>
    <t xml:space="preserve">Substituído correias em horário de ceia</t>
  </si>
  <si>
    <t xml:space="preserve">Mesa 2</t>
  </si>
  <si>
    <t xml:space="preserve">Falha na mesa 2 de elevação erro de time out</t>
  </si>
  <si>
    <t xml:space="preserve">Perda de sinal da posição inferior devido a erro de leitura do sensor</t>
  </si>
  <si>
    <t xml:space="preserve">Realizado o reposicionamento do skid na mesa e acertado memórias da mesma </t>
  </si>
  <si>
    <t xml:space="preserve"> Robô F2</t>
  </si>
  <si>
    <t xml:space="preserve">Defeito na troca Ferramenta e defeito na castanha no deposito da pinça 2</t>
  </si>
  <si>
    <t xml:space="preserve">Problema no Trojan</t>
  </si>
  <si>
    <t xml:space="preserve">Verificação funcionamento Apply e contatos elétricos, lubrificação das castanha, substituição do Trojan 
</t>
  </si>
  <si>
    <t xml:space="preserve">Tristock</t>
  </si>
  <si>
    <t xml:space="preserve">Tranportador Tristock não realiza missão de entrada ou saída</t>
  </si>
  <si>
    <t xml:space="preserve">Missão de entrada não finalizada</t>
  </si>
  <si>
    <t xml:space="preserve">Foi feito o reset do pedido de missão de entrada</t>
  </si>
  <si>
    <t xml:space="preserve">Travamento OF Siptol na Inserção de Peças</t>
  </si>
  <si>
    <t xml:space="preserve">Reabertura da gaveta após validação (peça estava danificada)</t>
  </si>
  <si>
    <t xml:space="preserve"> Ajuste memorias e forçado comunicação com Siptol para restabelecimento comunicação normal com Siptol. 
</t>
  </si>
  <si>
    <t xml:space="preserve">Robo F1</t>
  </si>
  <si>
    <t xml:space="preserve">Ausência de tensão entrada controlador</t>
  </si>
  <si>
    <t xml:space="preserve">Controlador de solda avariado</t>
  </si>
  <si>
    <t xml:space="preserve">Substituição do controlador de solda</t>
  </si>
  <si>
    <t xml:space="preserve">6-Pouces </t>
  </si>
  <si>
    <t xml:space="preserve">Sirene do painel Z1 derrubou o disjuntor de alimentação dos Andons</t>
  </si>
  <si>
    <t xml:space="preserve">Rearme do disjuntor de alimentação dos Andons – Na parada de fim de ano os Andons serão transferidos para o último nó da rede.</t>
  </si>
  <si>
    <t xml:space="preserve">BR-20</t>
  </si>
  <si>
    <t xml:space="preserve">Discrepância entre OF no posto e a OF no Siptol na PGF 4.15 (ponto de passagem) 
</t>
  </si>
  <si>
    <t xml:space="preserve">Falha na escrita da RFID no ponto de lançamento (PGF 4.10) não avançou a OF no Siptol</t>
  </si>
  <si>
    <t xml:space="preserve"> Foi feito o ajuste das OFs no siptol do ponto de lançamento e ponto de passagem.  
</t>
  </si>
  <si>
    <t xml:space="preserve">Robô K5 e gripper K32</t>
  </si>
  <si>
    <t xml:space="preserve">Robô deu fim de pega ao fazer a pega do Gripper K32, mas não fechou os grampos do gripper 
</t>
  </si>
  <si>
    <t xml:space="preserve">Falha profinet ao fazer a troca de gripper</t>
  </si>
  <si>
    <t xml:space="preserve">Foi forçada a desativação da rede profinet</t>
  </si>
  <si>
    <t xml:space="preserve">Banco não realiza o teste do motor</t>
  </si>
  <si>
    <t xml:space="preserve">Mau contato no conector da maleta</t>
  </si>
  <si>
    <t xml:space="preserve">Conector do Banco para a maleta com sujeira isolando o contato elétrico, retirada de plástico e passagem limpa contato. 
</t>
  </si>
  <si>
    <t xml:space="preserve">Deslocamento do Palet na saída do Robô no aparafusamento do bloco no Pallet 
</t>
  </si>
  <si>
    <t xml:space="preserve">Falha de aparafusamento (Iniciado MBR da Pane)</t>
  </si>
  <si>
    <t xml:space="preserve">Ajuste de pontos do Robô em relação a garra de pega do bloco</t>
  </si>
  <si>
    <t xml:space="preserve">Banco não realiza teste para o modelo BR10HS</t>
  </si>
  <si>
    <t xml:space="preserve">Em analise seguimento MRHD para verificação da causa</t>
  </si>
  <si>
    <t xml:space="preserve">Realizado diversas ações permanece sem realizar o teste</t>
  </si>
  <si>
    <t xml:space="preserve">P50</t>
  </si>
  <si>
    <t xml:space="preserve">Falha no inversor de frequência</t>
  </si>
  <si>
    <t xml:space="preserve">Mal contato na chave de bloqueio do motor principal</t>
  </si>
  <si>
    <t xml:space="preserve">Será programado verificação da chave e reaperto.</t>
  </si>
  <si>
    <t xml:space="preserve">Robô ST200 </t>
  </si>
  <si>
    <t xml:space="preserve">Fatal error no comando do Robô</t>
  </si>
  <si>
    <t xml:space="preserve">Erro no sistema gerou falha na leitura de arquivos</t>
  </si>
  <si>
    <t xml:space="preserve"> Realizado o reset geral do painel do Robô e realizado o Turn Set de todos os eixos. 
</t>
  </si>
  <si>
    <t xml:space="preserve">Dobradora</t>
  </si>
  <si>
    <t xml:space="preserve">Falha no rearme da segurança</t>
  </si>
  <si>
    <t xml:space="preserve">Contator x4.6 do circuito de segurança colado</t>
  </si>
  <si>
    <t xml:space="preserve">Realizado o reset forçado e depois programado para substituir o contator 
</t>
  </si>
  <si>
    <t xml:space="preserve"> P50</t>
  </si>
  <si>
    <t xml:space="preserve">Falha no inversor de frequência do motor principal</t>
  </si>
  <si>
    <t xml:space="preserve">Excesso de temperatura no motor devido a ventilação forçada estar com motor queimado 
</t>
  </si>
  <si>
    <t xml:space="preserve">Feito a substituição do motor da ventilação forçada.</t>
  </si>
  <si>
    <t xml:space="preserve">SMPLOC1</t>
  </si>
  <si>
    <t xml:space="preserve">Falha PC SMPLOC </t>
  </si>
  <si>
    <t xml:space="preserve">Problemas de Base e configuração</t>
  </si>
  <si>
    <t xml:space="preserve">Reinstalação do SMPLOC e configuração do mesmo.</t>
  </si>
  <si>
    <t xml:space="preserve">BM50 </t>
  </si>
  <si>
    <t xml:space="preserve">Robos F1 e F6 não atualizam valores vetores correção BBB</t>
  </si>
  <si>
    <t xml:space="preserve">Valores do Sistema com vetores fora de alcance para os Robos (RCL : DEF. RECALAGE NUM MEDICAO) 
</t>
  </si>
  <si>
    <t xml:space="preserve"> Restabelecido efetuando reset dos blocos (F1 VECTEUR e F6 VECTEUR) os mesmos estavam com as saidas de erro "F1EVO2 e F6EVO2" ativas. 
</t>
  </si>
  <si>
    <t xml:space="preserve">Mesa 28</t>
  </si>
  <si>
    <t xml:space="preserve">Falha no inversor de frequencia da mesa</t>
  </si>
  <si>
    <t xml:space="preserve">Freio estava travando e desarmava o inversor</t>
  </si>
  <si>
    <t xml:space="preserve">Realizado ajuste no freio</t>
  </si>
  <si>
    <t xml:space="preserve"> Está gerando falha nos drives do eixo Y (Y1 e Y2), falha SSI feedback error</t>
  </si>
  <si>
    <t xml:space="preserve">Ainda em análise, pois o mesmo gera erro sem ocasionar a perda da posição o deposito do carro nas mesa mais abaixo</t>
  </si>
  <si>
    <t xml:space="preserve">Elaborado MRHD para ações de verificação, porém tem de ser realizadas somente nos intervalos de café, almoço, janta e ceia, pois mesmo gerando a falha, após o reset, volta a trabalhar sem impactar na linha. 
</t>
  </si>
  <si>
    <t xml:space="preserve">Drive Eixo Y</t>
  </si>
  <si>
    <t xml:space="preserve">Discrepância de posição no eixo Y</t>
  </si>
  <si>
    <t xml:space="preserve">Substituído conjunto de rolamentos lado direito sentido entrada de carros.</t>
  </si>
  <si>
    <t xml:space="preserve">ROBÔ </t>
  </si>
  <si>
    <t xml:space="preserve">Perda de dsinal automático na ilha. </t>
  </si>
  <si>
    <t xml:space="preserve">Faltou o Evento EV3 para revolução do Robô. </t>
  </si>
  <si>
    <t xml:space="preserve">Realizado retorno a Repli do Robô e colocação do sistema automático.</t>
  </si>
  <si>
    <t xml:space="preserve">Mesa A0 </t>
  </si>
  <si>
    <t xml:space="preserve">Foi feito lançamento de carro para teste de ultrason com o posto de testes ocupado. Causou erro de sequênciamento de 15 kittings na ferragem.</t>
  </si>
  <si>
    <t xml:space="preserve">Erro de procedimento </t>
  </si>
  <si>
    <t xml:space="preserve">Foi forçada a saída do carro e foi feita a limpeza das memórias e sequenciamento do kitting 
</t>
  </si>
  <si>
    <t xml:space="preserve">Fim de curso Extra curso baixo regulagem incorreta </t>
  </si>
  <si>
    <t xml:space="preserve">Ajuste do extra curso baixo (diagnosticado em testes no intervalo da janta) (não ocorreram falhas após ajuste do mesmo).</t>
  </si>
  <si>
    <t xml:space="preserve"> Robô B1</t>
  </si>
  <si>
    <t xml:space="preserve">Falha no robô B1</t>
  </si>
  <si>
    <t xml:space="preserve">Falha de sistema/promia</t>
  </si>
  <si>
    <t xml:space="preserve">Reinicialização do robô, correção da falha promia e colocação em ciclo</t>
  </si>
  <si>
    <t xml:space="preserve">OP243</t>
  </si>
  <si>
    <t xml:space="preserve">Falha no eixo Z na posição do portal</t>
  </si>
  <si>
    <t xml:space="preserve">Desgaste mecânico no fuso de movimentação do eixo</t>
  </si>
  <si>
    <t xml:space="preserve">Ainda em trabalho, está sendo retirado o conjunto mecânico para substituição. 
</t>
  </si>
  <si>
    <t xml:space="preserve">Posto 05</t>
  </si>
  <si>
    <t xml:space="preserve">Falha leitura de OCR (identificação data matrix)</t>
  </si>
  <si>
    <t xml:space="preserve">Diferença brilho do Bloco influencia leitura do código.</t>
  </si>
  <si>
    <t xml:space="preserve">Ajustes de parâmetros da câmera</t>
  </si>
  <si>
    <t xml:space="preserve">Posto 280</t>
  </si>
  <si>
    <t xml:space="preserve">CPU em STOP e sem comunicação com CPU do transportador e com o MOP</t>
  </si>
  <si>
    <t xml:space="preserve">CP343 se soltou do trilho e abriu o barramento ao ser puxado o cabo de rede</t>
  </si>
  <si>
    <t xml:space="preserve">Reinicialização da CPU, posto rodou Stop mas não liberava Palet do PréStop, necessario reset de falhas das duas IHM´s do transportador (Posto 0 e Posto 180).</t>
  </si>
  <si>
    <t xml:space="preserve">Robô R1 Op190</t>
  </si>
  <si>
    <t xml:space="preserve">Falha de sistema após alteração no Hot edit.</t>
  </si>
  <si>
    <t xml:space="preserve">Falha ao acessar área de memória flash com robô em movimento.</t>
  </si>
  <si>
    <t xml:space="preserve">Efetuado P-start. 
</t>
  </si>
  <si>
    <t xml:space="preserve">Prensa PEG01</t>
  </si>
  <si>
    <t xml:space="preserve">Falha de ciclo, condições forçadas após a intervenção do dia 11/12.</t>
  </si>
  <si>
    <t xml:space="preserve">Backup desatualizado não era possível corrigir todo o ciclo.</t>
  </si>
  <si>
    <t xml:space="preserve">Foi encontrado o ultimo backup atualizado com a engenharia, foi feito download do programa no horário do café, prensa restaurou o ciclo completo.</t>
  </si>
  <si>
    <t xml:space="preserve">Aplicação de silicone incorreta</t>
  </si>
  <si>
    <t xml:space="preserve">Execução Trajetória do Motor HS com modelo LS no posto</t>
  </si>
  <si>
    <t xml:space="preserve">Em análise da causa raiz</t>
  </si>
  <si>
    <t xml:space="preserve">Modelo LS Execução Trajetória (Distribuição) antiga antes da mudança da tampa  </t>
  </si>
  <si>
    <t xml:space="preserve">Descarregamento de Backup do mês 11/2018</t>
  </si>
  <si>
    <t xml:space="preserve">Pallet não avança do Pré stop</t>
  </si>
  <si>
    <t xml:space="preserve">Parafusos travando movimento do Pallet</t>
  </si>
  <si>
    <t xml:space="preserve"> Destravado pallet, descarte de um dois blocos (manuais) durante intervenção para restabelecimento do ciclo.   
</t>
  </si>
  <si>
    <t xml:space="preserve">Mop ABM2</t>
  </si>
  <si>
    <t xml:space="preserve">Falha de rede na BM2</t>
  </si>
  <si>
    <t xml:space="preserve">Switch Scalance travado</t>
  </si>
  <si>
    <t xml:space="preserve">Efetuado reset do Switch Scalance.</t>
  </si>
  <si>
    <t xml:space="preserve">Mesa T02B.</t>
  </si>
  <si>
    <t xml:space="preserve">Falha na mesa pivotante TB02.</t>
  </si>
  <si>
    <t xml:space="preserve">Curto no cabo de alimentação do motor.</t>
  </si>
  <si>
    <t xml:space="preserve">Substituído cabo (passado um cabo por fora) e substituído a Power Unit que danificou devido ao curto no cabo de alimentação do motor.</t>
  </si>
  <si>
    <t xml:space="preserve">Elevador 17 </t>
  </si>
  <si>
    <t xml:space="preserve">ZONA 6 DEF. TERMICO ALIMENTACAO</t>
  </si>
  <si>
    <t xml:space="preserve"> Ventilador externo instalado no inversor ATV66 queimou e fechou curto na fase de alimentação causando a queima do inversor da mesa rolos 17</t>
  </si>
  <si>
    <t xml:space="preserve">Desligamento do ventilador da ventilação forçada, Substituição do inversor da mesa a rolos e ajuste da rampa de desaceleração. 
</t>
  </si>
  <si>
    <t xml:space="preserve">Mesa 11 </t>
  </si>
  <si>
    <t xml:space="preserve">Falha na leitura do código de barras do Skid</t>
  </si>
  <si>
    <t xml:space="preserve">Cabo do Zipador danificado fechando curto-circuito</t>
  </si>
  <si>
    <t xml:space="preserve">Reparo do cabo do Zipador e possível queima da entrada serial da CPU (será feito o reset/troca da CPU no segundo turno) 
</t>
  </si>
  <si>
    <t xml:space="preserve">Mesa lado esquerdo</t>
  </si>
  <si>
    <t xml:space="preserve">Falha no funcionamento da Zona</t>
  </si>
  <si>
    <t xml:space="preserve">Após reset geral, iniciou sequencia de erros na IHM</t>
  </si>
  <si>
    <t xml:space="preserve">Realizado o reset individual de portões e da ilha. Ficou gerando um alarme de segurança de iluminação e também no movimento do carro. 
</t>
  </si>
  <si>
    <t xml:space="preserve">Falha no retorno do repuxo e de conjunto Becckoff</t>
  </si>
  <si>
    <t xml:space="preserve">Problema no final de curso que verifica posição do repuxo, não habilitava sinal da becckoff OK</t>
  </si>
  <si>
    <t xml:space="preserve">Colocado o parafuso faltante no fim de curso, ajustado posição. 
</t>
  </si>
  <si>
    <t xml:space="preserve">Não responde comando de limpeza de registros via IHM da maquina</t>
  </si>
  <si>
    <t xml:space="preserve">Incoerência de endereços entre IHM e clp</t>
  </si>
  <si>
    <t xml:space="preserve">Verificação via software e executado limpeza de memórias (FC 244 M119.2 e M83.4)</t>
  </si>
  <si>
    <t xml:space="preserve">Maquina Enchimento Freio Retoque </t>
  </si>
  <si>
    <t xml:space="preserve">Maquina não inicia ciclo</t>
  </si>
  <si>
    <t xml:space="preserve">Falha um dos módulas de cabeça de rede</t>
  </si>
  <si>
    <t xml:space="preserve">Correção de mau contato e colocação em ciclo.</t>
  </si>
  <si>
    <t xml:space="preserve">Robô C3</t>
  </si>
  <si>
    <t xml:space="preserve">Quebrou rotula do feixe de cabos.</t>
  </si>
  <si>
    <t xml:space="preserve">pressão da mola da "bazuca" desajustada.</t>
  </si>
  <si>
    <t xml:space="preserve">substituído a rótula e ajustado corrugado na bazuca</t>
  </si>
  <si>
    <t xml:space="preserve">Elevador Entrada</t>
  </si>
  <si>
    <t xml:space="preserve">Falha de segurança Ilha</t>
  </si>
  <si>
    <t xml:space="preserve">Scanner de segurança Elevador de entrada em falha</t>
  </si>
  <si>
    <t xml:space="preserve">Limpeza da lente do scanner e ajuste de área de segurança</t>
  </si>
  <si>
    <t xml:space="preserve">Infladora</t>
  </si>
  <si>
    <t xml:space="preserve">Falha centrador de pneus</t>
  </si>
  <si>
    <t xml:space="preserve"> Roda sem pneu e fora de centro colidiu com sino entortando eixo da centragem 
</t>
  </si>
  <si>
    <t xml:space="preserve">Retirada do eixo do cilindro para ajuste</t>
  </si>
  <si>
    <t xml:space="preserve">Sistema de visão</t>
  </si>
  <si>
    <t xml:space="preserve">Falha Profinet</t>
  </si>
  <si>
    <t xml:space="preserve">Perda de comunicação com o Sistema de Visão</t>
  </si>
  <si>
    <t xml:space="preserve">Colocação em degradado sem montagem e colagem manual (Ilha Robos Comau), reinicio PC sistema de visão e recolocação montagem em automático com os Robôs.</t>
  </si>
  <si>
    <t xml:space="preserve">Falha no repuxo da prensa</t>
  </si>
  <si>
    <t xml:space="preserve">Válvula que realiza o controle da pressão estava com defeito.</t>
  </si>
  <si>
    <t xml:space="preserve">
Substituída a válvula proporcional e realizado o balanceamento das pressões 
</t>
  </si>
  <si>
    <t xml:space="preserve">Realizado o restart do PC da Perceptron.</t>
  </si>
  <si>
    <t xml:space="preserve">Robôs de todas as zonas</t>
  </si>
  <si>
    <t xml:space="preserve">Perda de funcionamento dos Robôs e 4 perderam feedback de valores do resolver 
</t>
  </si>
  <si>
    <t xml:space="preserve">Queda de Tensão gerada pela Concessionária</t>
  </si>
  <si>
    <t xml:space="preserve">Realizado Warm Start em todos os Robôs, os 4 que tiveram problemas com valor do resolver, foi realizado o check das posições comforme indicação orientativa e realizado a confirmação dos valores. 
</t>
  </si>
  <si>
    <t xml:space="preserve">Robôs 1 e 2 do Bene </t>
  </si>
  <si>
    <t xml:space="preserve">Perda de funcionamento dos Robôs</t>
  </si>
  <si>
    <t xml:space="preserve">Realizado Warm Start em todos os Robôs e foi realizado o check das posições 
</t>
  </si>
  <si>
    <t xml:space="preserve">Toda linha</t>
  </si>
  <si>
    <t xml:space="preserve"> Perda de sinais de processo e funcionamento do Robô </t>
  </si>
  <si>
    <t xml:space="preserve">Queda de Tensão gerada pela concessionária</t>
  </si>
  <si>
    <t xml:space="preserve">Realizado a verificação das condições de falha e memórias faltantes. Na aplicação, foi desabilitado o ultimo processo e refeito a aplicação de verniz devido a não ter realizado esta etapa, ocasionado pela queda de tensão. 
</t>
  </si>
  <si>
    <t xml:space="preserve">ST300</t>
  </si>
  <si>
    <t xml:space="preserve">Falha no funcionamento do cilco da máquina</t>
  </si>
  <si>
    <t xml:space="preserve">Sistema de visão </t>
  </si>
  <si>
    <t xml:space="preserve">Falha Profinet com as cameras</t>
  </si>
  <si>
    <t xml:space="preserve">Ainda em análise, porém possivel falha na rede ou placas de comunicação  
</t>
  </si>
  <si>
    <t xml:space="preserve">Realizado o reset do PC da Perceptron, também realizado a troca do cabo de rede deixando direto desde a switch até a placa do PC deixando sem as interligações intermediarias entre os dois  </t>
  </si>
  <si>
    <t xml:space="preserve">Zona 3</t>
  </si>
  <si>
    <t xml:space="preserve">Falha com toda a Zona 3, não deixava rearmar a Zona</t>
  </si>
  <si>
    <t xml:space="preserve">Queima de cartão de saída F-DO de paradas e fechamento de zona 
</t>
  </si>
  <si>
    <t xml:space="preserve">Realizado a substituição do Cartão e também realizado a configuração dos parametros Safety do Módulo</t>
  </si>
  <si>
    <t xml:space="preserve">Banco de Teste 3 </t>
  </si>
  <si>
    <t xml:space="preserve">Falha de Estanqueidade Circuito Gasolina</t>
  </si>
  <si>
    <t xml:space="preserve">Disfunção bloco de valvulas Festo de controle das valvulas circuito gasolina (vazamento em vedações</t>
  </si>
  <si>
    <t xml:space="preserve">Desmontagem e lubrificação do bloco de valvulas e substituição de uma das valvulas do conjunto. (Necessaria intervenção para substituição das vedações das valvulas)  
</t>
  </si>
  <si>
    <t xml:space="preserve">Disfunção bloco de valvulas Festo de controle das valvulas circuito gasolina (vazamento em vedações das valvulas contaminou com gasolina o bloco de valvulas)</t>
  </si>
  <si>
    <t xml:space="preserve">Robo M2</t>
  </si>
  <si>
    <t xml:space="preserve">Perda de calibração e erro de torque eixo 7 pinça</t>
  </si>
  <si>
    <t xml:space="preserve">Cabo sinais do tranformador (Xpinça) danificado </t>
  </si>
  <si>
    <t xml:space="preserve">Isolado cabo e atualização do contador de revolução do eixo 7 (não ocorreram mais perda de calibração) mas ainda ocorrencia de erros de torque sem parada do posto somente reset de falhas (Final do turno trocado servomotor do eixo 7 pinça "Sem ocorrencias de falhas até as 7:30 de 21/12"). 
</t>
  </si>
  <si>
    <t xml:space="preserve">quipamento: Robô RX2</t>
  </si>
  <si>
    <t xml:space="preserve">Robô perdeu calibração de todos os eixos.</t>
  </si>
  <si>
    <t xml:space="preserve">provável falha de aterramento pois a isolação do cabo de potência está degradada. 
</t>
  </si>
  <si>
    <t xml:space="preserve"> Efetuado calibração, demorou pois precisamos aprender no momento da pane como calibrar os eixos e foi necessário desmontar a carenagem para instalar o sensor de calibração especifico para o robô KUKA.</t>
  </si>
  <si>
    <t xml:space="preserve">OP05</t>
  </si>
  <si>
    <t xml:space="preserve">Posto 05 fora de ciclo (robô e prensa).</t>
  </si>
  <si>
    <t xml:space="preserve">retirado memórias do robô, levado para home em manual corrigido as memórias do robô e prensa via IHMP. 
</t>
  </si>
  <si>
    <t xml:space="preserve"> OP390 Portal</t>
  </si>
  <si>
    <t xml:space="preserve">Falha no eixo A2 do portal, erro no sinal do calculador</t>
  </si>
  <si>
    <t xml:space="preserve">Problema no cabo de sinal</t>
  </si>
  <si>
    <t xml:space="preserve">Substituído cabo de sinal do resolver</t>
  </si>
  <si>
    <t xml:space="preserve">OP390 Portal</t>
  </si>
  <si>
    <t xml:space="preserve">Erro de referenciamento e não rearmava o portal</t>
  </si>
  <si>
    <t xml:space="preserve">Problema no módulo do eixo Z2, e também na controladora do eixo X 
</t>
  </si>
  <si>
    <t xml:space="preserve">Substituído o módulo de potencia do eixo Z2 e a controladora do eixo X</t>
  </si>
  <si>
    <t xml:space="preserve">P0STO 200 ROBO</t>
  </si>
  <si>
    <t xml:space="preserve">FALHA PROFINET ROBO</t>
  </si>
  <si>
    <t xml:space="preserve">CONTROLADOR PARAFUSADORA DANIFICADO</t>
  </si>
  <si>
    <t xml:space="preserve">SUBSTITUIÇÃO DO CONTROLADOR E PARAMETRIZAÇÃO</t>
  </si>
  <si>
    <t xml:space="preserve">POSTO 100.1 ROBO</t>
  </si>
  <si>
    <t xml:space="preserve">FALHA IDENTIFICAÇÃO SISTEMA DE VISÃO</t>
  </si>
  <si>
    <t xml:space="preserve">INFLUENCIA ILUMINAÇÃO SUPERIOR SUBSTITUÍDA</t>
  </si>
  <si>
    <t xml:space="preserve"> BY PASS PROVISÓRIO DA IDENTIFICAÇÃO E AJUSTE DE BRILHO DO SISTEMA</t>
  </si>
  <si>
    <t xml:space="preserve">ELEVADOR</t>
  </si>
  <si>
    <t xml:space="preserve">FALHA DE IDENTIFICAÇÃO SISTEMA DE VISÃO</t>
  </si>
  <si>
    <t xml:space="preserve">INFLUENCIA ILUMINAÇÃO SUPERIOR SUBSTITUÍDA </t>
  </si>
  <si>
    <t xml:space="preserve">BY PASS PROVISÓRIO DA IDENTIFICAÇÃO E AJUSTE DO BRILHO DO SISTEMA</t>
  </si>
  <si>
    <t xml:space="preserve">MIROITERIE - MESA SKID</t>
  </si>
  <si>
    <t xml:space="preserve">SKID TRAVOU NA MESA ANTES DA RETACAGEM, FOI EMPURRADO, MAS PASSOU DE POSIÇÃO E FECHOU A RETACAGEM FORA DE POSIÇÃO</t>
  </si>
  <si>
    <t xml:space="preserve">SKID 1000 TRAVOU 2 VEZES NO POSTO</t>
  </si>
  <si>
    <t xml:space="preserve">POSICIONADO SKID, CORRIGIDO AS MEMÓRIAS E PEDIDO PARA PINTURA RETIRAR O SKID DO CIRCUITO</t>
  </si>
  <si>
    <t xml:space="preserve">MASTIC AEREO</t>
  </si>
  <si>
    <t xml:space="preserve"> Falha na Antena RFID</t>
  </si>
  <si>
    <t xml:space="preserve">Módulo RFID travou a comunicação</t>
  </si>
  <si>
    <t xml:space="preserve"> Reset do módulo e antena</t>
  </si>
  <si>
    <t xml:space="preserve">LVD - ROBO S0</t>
  </si>
  <si>
    <t xml:space="preserve">Defeito na liberação do arame de solda da MIG</t>
  </si>
  <si>
    <t xml:space="preserve">Arame embolando dentro conduite na saida tambor Alimentação e bico danificado</t>
  </si>
  <si>
    <t xml:space="preserve">Retirado pedaço do arame quebrado dentro conduite na saída tambor e substituído bico danificado, repassado arame solda MIG, remontado tocha solda e recuperado trajetória solda.</t>
  </si>
  <si>
    <t xml:space="preserve">DLI EXPORTAÇÃO TURQUIA - LEITOR DATA MATRIX</t>
  </si>
  <si>
    <t xml:space="preserve"> Erro na execução de leitura do código no Data Matrix</t>
  </si>
  <si>
    <t xml:space="preserve">Data Matrix danificado, possível colisão de peça</t>
  </si>
  <si>
    <t xml:space="preserve">Substituído leitor Data Matrix, realizado a calibração e configuração de turn set para leitura.</t>
  </si>
  <si>
    <t xml:space="preserve">BANCO 4 - SCANNER SEGURANÇA</t>
  </si>
  <si>
    <t xml:space="preserve"> Scanner com erro de leitura da área de atuação do operador</t>
  </si>
  <si>
    <t xml:space="preserve">Leitura do Scanner Travada</t>
  </si>
  <si>
    <t xml:space="preserve">Realizado reset no Scanner retirando a alimentação dele para reiniciar leitura.</t>
  </si>
  <si>
    <t xml:space="preserve">LATERAIS X52 - MESA D0 (CCG300)</t>
  </si>
  <si>
    <t xml:space="preserve">Falha no fechamento da plataforma após giro da mesa</t>
  </si>
  <si>
    <t xml:space="preserve">Sensor do freio trava pneumático danificado</t>
  </si>
  <si>
    <t xml:space="preserve"> Retirado o sensor e realizado outro intertravamento no software para linha rodar e depois substituir o sensor danificado.</t>
  </si>
  <si>
    <t xml:space="preserve">BANCO 3 - SENSOR CHECK DE COMBUSTÍVEL</t>
  </si>
  <si>
    <t xml:space="preserve">Não estava reconhecendo o combustível (gasolina) para realizar o teste do motor</t>
  </si>
  <si>
    <t xml:space="preserve">Cabo de alimentação rompido no conector</t>
  </si>
  <si>
    <t xml:space="preserve">Substituído conector do sensor.</t>
  </si>
  <si>
    <t xml:space="preserve">Posto 200 Robô</t>
  </si>
  <si>
    <t xml:space="preserve">Falha Profinet Robô</t>
  </si>
  <si>
    <t xml:space="preserve">Controlador Parafusadora danificado</t>
  </si>
  <si>
    <t xml:space="preserve">Substituição do Controlador e parametrização </t>
  </si>
  <si>
    <t xml:space="preserve">Posto 100.1 Robo</t>
  </si>
  <si>
    <t xml:space="preserve">Falha identificação Sistema de visão</t>
  </si>
  <si>
    <t xml:space="preserve">Influencia iluminação superior substituída</t>
  </si>
  <si>
    <t xml:space="preserve">By Pass provisório da identificação e ajuste de brilho do sistema na troca de turnos 
</t>
  </si>
  <si>
    <t xml:space="preserve"> Posto 100.1 Robo</t>
  </si>
  <si>
    <t xml:space="preserve">Mesa 50 parada sem falhas</t>
  </si>
  <si>
    <t xml:space="preserve">Falta fim de escrita balancele 35</t>
  </si>
  <si>
    <t xml:space="preserve">Reset das falhas reinicio antena e releitura da Tag </t>
  </si>
  <si>
    <t xml:space="preserve">Lazatron</t>
  </si>
  <si>
    <t xml:space="preserve">Demora na comunicação Robos e PC Lazatron</t>
  </si>
  <si>
    <t xml:space="preserve">Ainda em analise (Revisando PC Backup que apresentou mesmo problema 16/01/2019)</t>
  </si>
  <si>
    <t xml:space="preserve">Verificações conexões e rodando aguardando comunicação Robos e PC 
</t>
  </si>
  <si>
    <t xml:space="preserve"> Lazatron</t>
  </si>
  <si>
    <t xml:space="preserve">Ainda em analise (Revisando PC Backup que apresentou mesmo problema 16/01/2019) 
</t>
  </si>
  <si>
    <t xml:space="preserve">Verificações conexões e rodando aguardando comunicação Robos e PC</t>
  </si>
  <si>
    <t xml:space="preserve">mesa Skid</t>
  </si>
  <si>
    <t xml:space="preserve">Skid travou na mesa antes da retacagem, foi empurrado, mas passou de posição e fechou a retacagem fora de posição.</t>
  </si>
  <si>
    <t xml:space="preserve">Skid 1000 travou 2 vezes no posto.</t>
  </si>
  <si>
    <t xml:space="preserve"> posicionado skid, corrigido as memórias e pedido para pintura retirar o skid do circuito. 
</t>
  </si>
  <si>
    <t xml:space="preserve">Falha na Antena RFID</t>
  </si>
  <si>
    <t xml:space="preserve">Reset do módulo e antena</t>
  </si>
  <si>
    <t xml:space="preserve">Robô S0</t>
  </si>
  <si>
    <t xml:space="preserve">Retirado pedaço do arame quebrado dentro conduite na saída tambor e substituído bico danificado, repassado arame solda MIG, remontado tocha solda e recuperado trajetória solda. 
</t>
  </si>
  <si>
    <t xml:space="preserve">Scanner Segurança</t>
  </si>
  <si>
    <t xml:space="preserve">Scanner com erro de leitura da área de atuação do operador</t>
  </si>
  <si>
    <t xml:space="preserve"> Realizado reset no Scanner retirando a alimentação dele para reiniciar leitura. 
</t>
  </si>
  <si>
    <t xml:space="preserve">Leitor Data Matrix</t>
  </si>
  <si>
    <t xml:space="preserve">Erro na execução de leitura do código no Data Matrix</t>
  </si>
  <si>
    <t xml:space="preserve"> Substituído leitor Data Matrix, realizado a calibração e configuração de turn set para leitura. 
</t>
  </si>
  <si>
    <t xml:space="preserve">Mesa D0 (CCG300)</t>
  </si>
  <si>
    <t xml:space="preserve">Retirado o sensor e realizado outro intertravamento no software para linha rodar e depois substituir o sensor danificado.</t>
  </si>
  <si>
    <t xml:space="preserve">Sensor check de combustível</t>
  </si>
  <si>
    <t xml:space="preserve"> Não estava reconhecendo o combustível (gasolina) para realizar o teste do motor</t>
  </si>
  <si>
    <t xml:space="preserve"> Mesa 5</t>
  </si>
  <si>
    <t xml:space="preserve">Perda de sinal de ultrapassagem da mesa no avanço</t>
  </si>
  <si>
    <t xml:space="preserve">Sensor fora do alcance de leitura do Skid </t>
  </si>
  <si>
    <t xml:space="preserve">Ajustado o sensor e programado para realizar a substituição do mesmo</t>
  </si>
  <si>
    <t xml:space="preserve">Mesa 55</t>
  </si>
  <si>
    <t xml:space="preserve">Erro no descarregamento da mesa</t>
  </si>
  <si>
    <t xml:space="preserve">Perda de sinal do skid na posição de presença</t>
  </si>
  <si>
    <t xml:space="preserve">Forçado o sinal de presença da mesa para liberar descarregamento</t>
  </si>
  <si>
    <t xml:space="preserve">Mesa 73</t>
  </si>
  <si>
    <t xml:space="preserve">Falha no avanço da mesa 73 para 74</t>
  </si>
  <si>
    <t xml:space="preserve">Não ocorreu a detecção de posição do balancele, com isso gerou erro no fim de trabalho  
</t>
  </si>
  <si>
    <t xml:space="preserve">Forçado sinal de presença do carro na autorização de avanço para a 74 e dado fim de trabalho</t>
  </si>
  <si>
    <t xml:space="preserve"> Elevador DE01 e Ficção 02</t>
  </si>
  <si>
    <t xml:space="preserve">Falha no sinal de fim de trabalho após carregamento do elevador</t>
  </si>
  <si>
    <t xml:space="preserve">Não ocorreu a finalização da transição na FR02 e no piloto da trava </t>
  </si>
  <si>
    <t xml:space="preserve">Ajustado posição e setado sensores para retornar as condições.                                                    OBS: Passou um balancele direto sem realizar o carregamento.</t>
  </si>
  <si>
    <t xml:space="preserve">Elevador DE01 e Fricção 02</t>
  </si>
  <si>
    <t xml:space="preserve">Falha no carregamento de balancele</t>
  </si>
  <si>
    <t xml:space="preserve">Após solda realizada nos suportes de sensores, ficou setado um sensor que bloqueava o avanço do balancele vazio </t>
  </si>
  <si>
    <t xml:space="preserve">Realizado o set desta memória para carregamento normal da linha</t>
  </si>
  <si>
    <t xml:space="preserve">talonador de pneu</t>
  </si>
  <si>
    <t xml:space="preserve">Após falha de pneu torto na infladora, gerou erro de sequencia na Talonadora</t>
  </si>
  <si>
    <t xml:space="preserve">Colocado esta máquina em by pass para poder dar seguimento e sequenciamento nas demais máquinas.</t>
  </si>
  <si>
    <t xml:space="preserve">Robô 1</t>
  </si>
  <si>
    <t xml:space="preserve">Robô em falha de supervisão de movimento</t>
  </si>
  <si>
    <t xml:space="preserve">Foi feito o byPass do robô para análise em terceiro turno</t>
  </si>
  <si>
    <t xml:space="preserve">USI CAB</t>
  </si>
  <si>
    <t xml:space="preserve">Robô em falha</t>
  </si>
  <si>
    <t xml:space="preserve">Falha de supervisão de movimento do eixo 4 do Robô</t>
  </si>
  <si>
    <t xml:space="preserve">Verificação parte mecânica externa eixos, mangueiras e periféricos. Ajuste de sensibilidade da supervisão de movimento </t>
  </si>
  <si>
    <t xml:space="preserve">Robô 2400</t>
  </si>
  <si>
    <t xml:space="preserve">Falha Comunicação SMB</t>
  </si>
  <si>
    <t xml:space="preserve">Problema intermitente de perda de calibração</t>
  </si>
  <si>
    <t xml:space="preserve">Troca da placa SMB</t>
  </si>
  <si>
    <t xml:space="preserve">Meio de Compressão Eixo Traseiro (Colheitadeira)</t>
  </si>
  <si>
    <t xml:space="preserve">Carro não indexa no veiculo</t>
  </si>
  <si>
    <t xml:space="preserve">Carro 2 com os sensores avanço e recuo acionados simultaneamente</t>
  </si>
  <si>
    <t xml:space="preserve">Ajuste sensor Carro  </t>
  </si>
  <si>
    <t xml:space="preserve">OP310.1</t>
  </si>
  <si>
    <t xml:space="preserve">Falha na rede de comunicação Profibus da operação</t>
  </si>
  <si>
    <t xml:space="preserve">
Durante a limpeza próximo a uma remota, bateram e quebrou o cabo de comunicação, 
Após isso não estava reconhecendo a DP/DP coupler no software;
</t>
  </si>
  <si>
    <t xml:space="preserve">Realizado um donwload do backup da máquina, após isso foi corrigido incoerência de equipamento do hardware e realizado um warm start na máquina.</t>
  </si>
  <si>
    <t xml:space="preserve">Talha elétrica</t>
  </si>
  <si>
    <t xml:space="preserve">Falha na talha de carregamento de motores para a CVP</t>
  </si>
  <si>
    <t xml:space="preserve">Enroscou o trolle das escovas fechando curto no barramento, separando a proteção do barramento e ficando desalinhada na guia do KBK</t>
  </si>
  <si>
    <t xml:space="preserve">
 Rearme do disjuntor de alimentação da talha; 
Com auxilio do Allison da utilidades, foi corrigido a escova no barramento, refeita a junção de emenda e alinhado a talha.                               Obs: Talha backup não estava ligada no barramento.
</t>
  </si>
  <si>
    <t xml:space="preserve">Enroscou o trolley das escovas fechando curto no barramento, separando a proteção do barramento e ficando desalinhada na guia do KBK</t>
  </si>
  <si>
    <t xml:space="preserve">Fechamento barramento de potência, e ajustes no suporte guia das escovas (liberação da talha para trabalho, e no almoço intervenção reposionamento pressa cabo e alinhamento da talha).</t>
  </si>
  <si>
    <t xml:space="preserve">OP130-2</t>
  </si>
  <si>
    <t xml:space="preserve">Falha sobrecorrente inversor rebolo</t>
  </si>
  <si>
    <t xml:space="preserve">Inversor danificado</t>
  </si>
  <si>
    <t xml:space="preserve">Substiuição inversor pela area mas não rodava (efetuado parametrização manual do mesmo) 
</t>
  </si>
  <si>
    <t xml:space="preserve">Robô ROD</t>
  </si>
  <si>
    <t xml:space="preserve">Falha de sobretemperatura nos drives do painel.</t>
  </si>
  <si>
    <t xml:space="preserve">Em análise.</t>
  </si>
  <si>
    <t xml:space="preserve">Atualização do software (Técnico Kuka), reinicializado controlador.  Programado a substituição do armário(23/01/19).</t>
  </si>
  <si>
    <t xml:space="preserve"> Máquina 1</t>
  </si>
  <si>
    <t xml:space="preserve">Alarme de enchimento de fluido de freio</t>
  </si>
  <si>
    <t xml:space="preserve">Problema na bomba pneumática</t>
  </si>
  <si>
    <t xml:space="preserve">Foi feita a substituição da bomba pneumática e o ajuste da pressão</t>
  </si>
  <si>
    <t xml:space="preserve">Robôs BD</t>
  </si>
  <si>
    <t xml:space="preserve">Colisão dos robôs com a carroceria. </t>
  </si>
  <si>
    <t xml:space="preserve">Substituição de bico e correção do ponto de referência.                                                                           Robô R2 ficou em degradado por falta do bico de aplicação</t>
  </si>
  <si>
    <t xml:space="preserve">BANCO 1</t>
  </si>
  <si>
    <t xml:space="preserve">Em intervenção ainda (para diagnostico causa principal)</t>
  </si>
  <si>
    <t xml:space="preserve">Foi substituído um porta fusível que estava queimado, Alimentação da maleta de teste na placa Simpro, porém ficou com erro na partida do motor.</t>
  </si>
  <si>
    <t xml:space="preserve">Mesa 16</t>
  </si>
  <si>
    <t xml:space="preserve">Base pourtese passou pela mesa T 16 direto e caiu no piso da balsa T17.</t>
  </si>
  <si>
    <t xml:space="preserve">3°rolo quebrou deixando os demais sem tração, após frenar o motor continuou o movimento por inércia.</t>
  </si>
  <si>
    <t xml:space="preserve">Realizado a solda no rolo para reparo e colocado a base pourtese na mesa T17 
</t>
  </si>
  <si>
    <t xml:space="preserve">Robô E2</t>
  </si>
  <si>
    <t xml:space="preserve">Falha na aplicação de cola (mastic) no para-brisa.</t>
  </si>
  <si>
    <t xml:space="preserve">Problema no dosador de cola.</t>
  </si>
  <si>
    <t xml:space="preserve">Realizando a desmontagem para revisão do mesmo (estimado em 4 horas). 
</t>
  </si>
  <si>
    <t xml:space="preserve">Mesa Rotação</t>
  </si>
  <si>
    <t xml:space="preserve">Time out rolos mesa</t>
  </si>
  <si>
    <t xml:space="preserve">Cabo do sensor  de parada arrebentado</t>
  </si>
  <si>
    <t xml:space="preserve">Reparo  e higienização do cabo </t>
  </si>
  <si>
    <t xml:space="preserve">OP310-01</t>
  </si>
  <si>
    <t xml:space="preserve">Falhas intermitentes na pega de sede BR10</t>
  </si>
  <si>
    <t xml:space="preserve">Trajetória do robô mau ajustada</t>
  </si>
  <si>
    <t xml:space="preserve">Ajustado postos e realizado backup robô</t>
  </si>
  <si>
    <t xml:space="preserve">Sistema de  Visão Po05</t>
  </si>
  <si>
    <t xml:space="preserve">Falhas intermitentes na leitura do OCR</t>
  </si>
  <si>
    <t xml:space="preserve">Posição e parâmetros da câmera mau ajustados</t>
  </si>
  <si>
    <t xml:space="preserve">Ajustado parâmetros do sistema de visão</t>
  </si>
  <si>
    <t xml:space="preserve"> Banco 1</t>
  </si>
  <si>
    <t xml:space="preserve">Banco não realiza teste BR10 HS/LS</t>
  </si>
  <si>
    <t xml:space="preserve">Curto-circuito na maleta de testes</t>
  </si>
  <si>
    <t xml:space="preserve">Substituição das ligações em cursto e correção da ligação de relê na blaca box 
</t>
  </si>
  <si>
    <t xml:space="preserve">Postos da MM01</t>
  </si>
  <si>
    <t xml:space="preserve">Erro de intervenção</t>
  </si>
  <si>
    <t xml:space="preserve">Desligamento incorreto da alimentação dos postos durante intervenção no horário do almoço (Correção de talhas)</t>
  </si>
  <si>
    <t xml:space="preserve">Rearme e colocação em ciclo</t>
  </si>
  <si>
    <t xml:space="preserve"> Robô RX2</t>
  </si>
  <si>
    <t xml:space="preserve">Perda de calibração eixo E1</t>
  </si>
  <si>
    <t xml:space="preserve">Provável problema de cabo do servo</t>
  </si>
  <si>
    <t xml:space="preserve">Inversão dos cabos entre a RDC e o Servo, preparado cabo novo para substituição 
</t>
  </si>
  <si>
    <t xml:space="preserve">Sobretemperatura em todos os drives do Controlador</t>
  </si>
  <si>
    <t xml:space="preserve">Substituição do armário completo (a falha sobretemperatura permaneceu);                                        Retorno do armário original (inserido a falha de freio do eixo ext. E1), reposicionado conector do freio;                                                                                        Retirado da eletrocalha todos os cabos de sinais suscetíveis a ruído (Profinet, rede Kuka RDC), substituído cabo de interligação com a RDC1.</t>
  </si>
  <si>
    <t xml:space="preserve">Transbordo TB34</t>
  </si>
  <si>
    <t xml:space="preserve">Falha Profinet no Drivebox T132</t>
  </si>
  <si>
    <t xml:space="preserve">Ainda em analise</t>
  </si>
  <si>
    <t xml:space="preserve">Reset geral linha rodou normalmente só que TB34 ficou parada e sem falhas (ausencia drive Ready "piscando em vermelho") efetuado desligamento e religado drive da TB34 e correção de base portese que foi duplicada na linha. 
</t>
  </si>
  <si>
    <t xml:space="preserve">OP320-340</t>
  </si>
  <si>
    <t xml:space="preserve">Falhas intermitentes no desparafusamento do cabeçote K4</t>
  </si>
  <si>
    <t xml:space="preserve">Disarme Disjuntor Geral alimentação Banco</t>
  </si>
  <si>
    <t xml:space="preserve">Conjunto indutor e Filtro do inversor do giro do motor avariado</t>
  </si>
  <si>
    <t xml:space="preserve">Substituição do Filtro e Indutor do inversor do giro do motor</t>
  </si>
  <si>
    <t xml:space="preserve">Posto 180</t>
  </si>
  <si>
    <t xml:space="preserve">Falha de indexação do pallet no posto</t>
  </si>
  <si>
    <t xml:space="preserve">Falha no sensor de avanço da trava  do index</t>
  </si>
  <si>
    <t xml:space="preserve">Ajuste do sensor</t>
  </si>
  <si>
    <t xml:space="preserve">Robô K0</t>
  </si>
  <si>
    <t xml:space="preserve">Robô não inicia sistema e após troca do TP o eixo 7 entrou em falha</t>
  </si>
  <si>
    <t xml:space="preserve">TP e motor com defeito</t>
  </si>
  <si>
    <t xml:space="preserve">Substituição do TP e do motor</t>
  </si>
  <si>
    <t xml:space="preserve">Robô C4</t>
  </si>
  <si>
    <t xml:space="preserve">Queda do Gripper sobre motor do eixo 2</t>
  </si>
  <si>
    <t xml:space="preserve">Falta de anel de trava no trocador de ferramenta</t>
  </si>
  <si>
    <t xml:space="preserve">Substituição do motor do eixo 2, ajuste do gripper e trajetórias</t>
  </si>
  <si>
    <t xml:space="preserve">Robô C4 (continuidade intervenção e acompanhamento)</t>
  </si>
  <si>
    <t xml:space="preserve">Robô C6 </t>
  </si>
  <si>
    <t xml:space="preserve">Falhas de espessura solda e supervisão de movimento (todos modelos)</t>
  </si>
  <si>
    <t xml:space="preserve">Balanceamento da pinça avariado (queda do griper robo C4)</t>
  </si>
  <si>
    <t xml:space="preserve">Executado ajustes de pontos e parametros de solda até a correção do balanceamento. 
</t>
  </si>
  <si>
    <t xml:space="preserve">Robô F5 e F6 </t>
  </si>
  <si>
    <t xml:space="preserve">Colisão Robos F5 e F6 com a doubloure</t>
  </si>
  <si>
    <t xml:space="preserve">Peça fora de Geometria</t>
  </si>
  <si>
    <t xml:space="preserve">Kitting Lado Direito</t>
  </si>
  <si>
    <t xml:space="preserve">Dialogo Kitting lado direito travado em aguardo resposta (Valapi em 2)</t>
  </si>
  <si>
    <t xml:space="preserve">Perda de comunicação com o PSF no meio do dialogo</t>
  </si>
  <si>
    <t xml:space="preserve">Verificação condições linha OK, resincronizado lado esquerdo mas direito permanecia no mesmo estado, necessário efetuar o zeramento VALAPI e solicitação de novo dialogo.</t>
  </si>
  <si>
    <t xml:space="preserve">Robô H0 </t>
  </si>
  <si>
    <t xml:space="preserve">Falhas movimento Locator H01</t>
  </si>
  <si>
    <t xml:space="preserve">Peça fora posição</t>
  </si>
  <si>
    <t xml:space="preserve">Referenciamento do Locator e executado peça em manual.</t>
  </si>
  <si>
    <t xml:space="preserve">Robô L0</t>
  </si>
  <si>
    <t xml:space="preserve">Cabo de alimentação da CPX em curto - má trajetória</t>
  </si>
  <si>
    <t xml:space="preserve">Substituição dos cabos de alimentação e profinet da CPX</t>
  </si>
  <si>
    <t xml:space="preserve"> Perda de alimentação do painel e  perda da sequencia de passos, travando no Step 31 
</t>
  </si>
  <si>
    <t xml:space="preserve">Desarme do disjuntor principal durante ciclo de teste</t>
  </si>
  <si>
    <t xml:space="preserve">Rearmado a geral do painel e depois teve de ser realizado o reset do passo via software.  Porém teve de ser feito um reset no PLC Beckoof de verificação das maletas devido não estar reconhecendo. 
</t>
  </si>
  <si>
    <t xml:space="preserve">Correntão e balancele</t>
  </si>
  <si>
    <t xml:space="preserve">Perda de sincronismo entre balancele e correntão, vindo o balancele ficar fora da posição de engate</t>
  </si>
  <si>
    <t xml:space="preserve"> Amarrado o balancele para acompanhar a linha com o balancele da frente, retirado o balancele para inspeção, verificado os sensores próximos a fricção de liberação do balancele. 
</t>
  </si>
  <si>
    <t xml:space="preserve">Elevador Saída</t>
  </si>
  <si>
    <t xml:space="preserve">Falha descarregamento do elevador para mesa translação (skid descarrilhou)</t>
  </si>
  <si>
    <t xml:space="preserve">Desalinhamento da mesa de translação</t>
  </si>
  <si>
    <t xml:space="preserve">Posicionado skid na mesa e ajuste da fita de parada da mesa</t>
  </si>
  <si>
    <t xml:space="preserve">Colocação do banco novamente em ciclo e desenvolvimento MRHD junto a área</t>
  </si>
  <si>
    <t xml:space="preserve">Iluminação </t>
  </si>
  <si>
    <t xml:space="preserve">Falta de iluminação sobre os postos de trabalho</t>
  </si>
  <si>
    <t xml:space="preserve">Falta de 2 fases no disjuntor de alimentar do circuito de iluminação</t>
  </si>
  <si>
    <t xml:space="preserve">Como não foi possível encontrar o cofre de alimentação, foi tirado a alimentação de outro ponto para energizar o circuito.</t>
  </si>
  <si>
    <t xml:space="preserve">ET2 Robô</t>
  </si>
  <si>
    <t xml:space="preserve">Não liberava a aplicação de mastic</t>
  </si>
  <si>
    <t xml:space="preserve">Após troca do produto, não foi realizado a aprendizagem de testes para liberação</t>
  </si>
  <si>
    <t xml:space="preserve">Feito o reconhecimento do produto e liberado para produção 
</t>
  </si>
  <si>
    <t xml:space="preserve">Falta de comunicação de rede para SMP99</t>
  </si>
  <si>
    <t xml:space="preserve">Problema na placa de rede</t>
  </si>
  <si>
    <t xml:space="preserve">Realizado a substituição da placa, como era modelo da D-Link, teve de ser instalado o driver para funcionamento 
</t>
  </si>
  <si>
    <t xml:space="preserve">Perda de alimentação do painel e  perda da sequencia de passos, travando no Step 31 
</t>
  </si>
  <si>
    <t xml:space="preserve">Desarme do disjuntor principal</t>
  </si>
  <si>
    <t xml:space="preserve">Rearmado a geral do painel e depois teve de ser realizado o reset do passo via software.</t>
  </si>
  <si>
    <t xml:space="preserve">PRP18</t>
  </si>
  <si>
    <t xml:space="preserve">Maquina não realiza solda</t>
  </si>
  <si>
    <t xml:space="preserve">Falta liberação válvula de segurança pneumática</t>
  </si>
  <si>
    <t xml:space="preserve">Substituição Rele K4 pertencente a cadeia liberação válvula de segurança </t>
  </si>
  <si>
    <t xml:space="preserve">Módulo RFID PIB2</t>
  </si>
  <si>
    <t xml:space="preserve">Não faz leitura da tag na mesa 13 (balsa)</t>
  </si>
  <si>
    <t xml:space="preserve">módulo RFID em falha antena não inicializa.</t>
  </si>
  <si>
    <t xml:space="preserve">Desligado módulo retirado o cabo das 2 antenas religado módulo e após inicializar ligado as antenas, efetuado toogle bit no status módulo inicializado de 1 para 0. </t>
  </si>
  <si>
    <t xml:space="preserve">Distribuição de Gás Maquina 1</t>
  </si>
  <si>
    <t xml:space="preserve">Falta de gás para partida do forno</t>
  </si>
  <si>
    <t xml:space="preserve">Válvula Shut Off travada na linha de distribuição da máquina 1</t>
  </si>
  <si>
    <t xml:space="preserve">Aberto a válvula  e resetado o diafragma</t>
  </si>
  <si>
    <t xml:space="preserve">Posto PRD200</t>
  </si>
  <si>
    <t xml:space="preserve">Falha na colocação em serviço da Jig Box</t>
  </si>
  <si>
    <t xml:space="preserve">Cabo de retorno da chave de emergência rompido, não retornava para o CLP</t>
  </si>
  <si>
    <t xml:space="preserve">Substituído o cabo 30 e utilizado a via 31 do multicabo.</t>
  </si>
  <si>
    <t xml:space="preserve"> Robô K5</t>
  </si>
  <si>
    <t xml:space="preserve">Falha no Griper do BBB no DOC</t>
  </si>
  <si>
    <t xml:space="preserve">Gripper movimentou com a castanha travada</t>
  </si>
  <si>
    <t xml:space="preserve">Colocação de temporizador  de um segundo para aguardo antes do recuo do Robô na abertura da castanha e ajuste do sensor da castanha.</t>
  </si>
  <si>
    <t xml:space="preserve">Robô K11</t>
  </si>
  <si>
    <t xml:space="preserve">E11 Def. Presença de Peça (Falha fechamento do grampo no modelo BBB na retirada do cabide) 
</t>
  </si>
  <si>
    <t xml:space="preserve">Pilotos fora de posição (geometria da peça incorreta)</t>
  </si>
  <si>
    <t xml:space="preserve">Ajuste da trajetória de pega e verificação da montagem na peça no Piso Central</t>
  </si>
  <si>
    <t xml:space="preserve">Robô E4</t>
  </si>
  <si>
    <t xml:space="preserve">Colagem de ponto</t>
  </si>
  <si>
    <t xml:space="preserve">Chapa suja isolando solda e danificando Porta de elétrodo</t>
  </si>
  <si>
    <t xml:space="preserve">Substituição do porta elétrodo e limpeza das peças da caixa</t>
  </si>
  <si>
    <t xml:space="preserve">Ilha não retorna após troca de elétrodo</t>
  </si>
  <si>
    <t xml:space="preserve">Modo de funcionamento da Zona 1 incorreto</t>
  </si>
  <si>
    <t xml:space="preserve">Finalização da troca elétrodo, e colocação da ilha Zona 1 em modo normal.</t>
  </si>
  <si>
    <t xml:space="preserve">Máquina enchimento 1</t>
  </si>
  <si>
    <t xml:space="preserve">Falha E1 no scanner Sick</t>
  </si>
  <si>
    <t xml:space="preserve">Falha interna no sensor.</t>
  </si>
  <si>
    <t xml:space="preserve">Substituição do scanner Sick</t>
  </si>
  <si>
    <t xml:space="preserve">USI CMO</t>
  </si>
  <si>
    <t xml:space="preserve">OP330</t>
  </si>
  <si>
    <t xml:space="preserve">Falha no transdutor do portal, foi desligado a geral do painel para verificar o transdutor e ao religar o Sinumerik entrou em falha e não subiu mais, ficava com todos leds acessos.</t>
  </si>
  <si>
    <t xml:space="preserve">Falha na rede Profinet de comunicação entre os sensores de Micro pulse das garras 
</t>
  </si>
  <si>
    <t xml:space="preserve">Substituíção o cabo de rede Profinet</t>
  </si>
  <si>
    <t xml:space="preserve">porta da Zona 3</t>
  </si>
  <si>
    <t xml:space="preserve">Falha na porta de segurança entrada da zona de robôs.</t>
  </si>
  <si>
    <t xml:space="preserve">Chave de manopla liga/desliga danificada</t>
  </si>
  <si>
    <t xml:space="preserve">Foi ajustada a manopla e foi disponibilizada uma chave reserva para troca</t>
  </si>
  <si>
    <t xml:space="preserve">Z1</t>
  </si>
  <si>
    <t xml:space="preserve">Falha no fechamento de segurança da zona 1.</t>
  </si>
  <si>
    <t xml:space="preserve">Defeito no cartão de F-DI do safety, não estava fechando o canal</t>
  </si>
  <si>
    <t xml:space="preserve">Substituição do cartão safety.</t>
  </si>
  <si>
    <t xml:space="preserve">Rede nível 2</t>
  </si>
  <si>
    <t xml:space="preserve">Defeito Ethernet nível 2.</t>
  </si>
  <si>
    <t xml:space="preserve">em analise com a informática</t>
  </si>
  <si>
    <t xml:space="preserve"> Alterado ponto de rede nível 2 para o cabo resrva que mede 81m o cabo do posto está com 132m, a informática alterou a velocidade do ponto para 100Mbs, após as alterações reduziu a incidência de falhas. 
</t>
  </si>
  <si>
    <t xml:space="preserve">Alarme de pressão mínima no repuxo</t>
  </si>
  <si>
    <t xml:space="preserve">Bomba do circuito 4.1 danificada</t>
  </si>
  <si>
    <t xml:space="preserve">Substituição da bomba de repuxo</t>
  </si>
  <si>
    <t xml:space="preserve">Mesa S11</t>
  </si>
  <si>
    <t xml:space="preserve">Falha no giro da mesa (indicando Falha inversor)</t>
  </si>
  <si>
    <t xml:space="preserve">Falha no resolver (perdeu medição seno/cosseno)</t>
  </si>
  <si>
    <t xml:space="preserve">Efetuado reset do inversor, movimetado em jog e posicionado em manual.</t>
  </si>
  <si>
    <t xml:space="preserve">SIPMECA</t>
  </si>
  <si>
    <t xml:space="preserve">SIPMECA não lançava peça</t>
  </si>
  <si>
    <t xml:space="preserve">Comunicação com sipmeca travada</t>
  </si>
  <si>
    <t xml:space="preserve">Efetuado reset geral da estação</t>
  </si>
  <si>
    <t xml:space="preserve">CU11 Op 125 Maq 1</t>
  </si>
  <si>
    <t xml:space="preserve">Após intervenção mecânica, MCU não inicializa</t>
  </si>
  <si>
    <t xml:space="preserve">Provável MCU ou cartão de memória em falha</t>
  </si>
  <si>
    <t xml:space="preserve">Em intervenção</t>
  </si>
  <si>
    <t xml:space="preserve">ACL2</t>
  </si>
  <si>
    <t xml:space="preserve">Mesa deslocou e colidiu com os grampos</t>
  </si>
  <si>
    <t xml:space="preserve">Mesa deslocou no mancal</t>
  </si>
  <si>
    <t xml:space="preserve">reposicionado a mesa e alterado algumas trajetórias.</t>
  </si>
  <si>
    <t xml:space="preserve">MOTORES</t>
  </si>
  <si>
    <t xml:space="preserve">Falha no gravador de cabeçote.</t>
  </si>
  <si>
    <t xml:space="preserve">Gravador com defeito</t>
  </si>
  <si>
    <t xml:space="preserve">Substituído o gravador.</t>
  </si>
  <si>
    <t xml:space="preserve">Falha Devicenet</t>
  </si>
  <si>
    <t xml:space="preserve">Mau contato na CPX da EOM</t>
  </si>
  <si>
    <t xml:space="preserve">Ajustado a conexão e forçado sinais para reiniciar o ciclo de deposito do teto.. 
</t>
  </si>
  <si>
    <t xml:space="preserve">Mesa 05</t>
  </si>
  <si>
    <t xml:space="preserve">Falha na transferência da mesa do TK para a mesa 05.</t>
  </si>
  <si>
    <t xml:space="preserve">O engate de fixação escapou do rolo de tração</t>
  </si>
  <si>
    <t xml:space="preserve">Colocado a linha para rodar em By Pass, reposicionado o rolo e fixado. Realizado testes na mesa, porem só será colocado em automático quando o volume do LAR chegar em 30 carros. 
</t>
  </si>
  <si>
    <t xml:space="preserve">Mesa CO</t>
  </si>
  <si>
    <t xml:space="preserve">Mesa C0 não setou o fim de trabalho. Não houve transferência dos dados para o robô E0 
</t>
  </si>
  <si>
    <t xml:space="preserve">Peça torta na mesa C0</t>
  </si>
  <si>
    <t xml:space="preserve">Retirada da peça e ajusta das memórias de diversidade.</t>
  </si>
  <si>
    <t xml:space="preserve">Defeito de movimento no TK; Falha de comunicação NMET</t>
  </si>
  <si>
    <t xml:space="preserve">Rolos se soltaram da mesa devido a má geometria do skid 1115</t>
  </si>
  <si>
    <t xml:space="preserve">Recolocado rolo; Reset Cpu, Descarregado Backup, Atualizado Mapa do  TK 
</t>
  </si>
  <si>
    <t xml:space="preserve">Mesa 0E</t>
  </si>
  <si>
    <t xml:space="preserve">TK parou na mês E0 sem indicação de falhas</t>
  </si>
  <si>
    <t xml:space="preserve">Discordância no mapa do móvel (CLP/SIPTK/Físico)</t>
  </si>
  <si>
    <t xml:space="preserve">Habilitação do modo degradado, conferência dos alvéolos e concordância CLP/SIPTK 
</t>
  </si>
  <si>
    <t xml:space="preserve">Locator F01</t>
  </si>
  <si>
    <t xml:space="preserve">Perda de referência durante movimentação</t>
  </si>
  <si>
    <t xml:space="preserve">Cabo danificado dentro do corrugado</t>
  </si>
  <si>
    <t xml:space="preserve">Passado cabo por fora</t>
  </si>
  <si>
    <t xml:space="preserve">SIPTOL</t>
  </si>
  <si>
    <t xml:space="preserve">Erro de discordância na recalagem PGF01.39</t>
  </si>
  <si>
    <t xml:space="preserve">Declaração de peça sucata após passagem da peça pela recalage</t>
  </si>
  <si>
    <t xml:space="preserve">A OF foi retirada do fluxo e foi feito o relançamento da próxima peça na PGF 01.39</t>
  </si>
  <si>
    <t xml:space="preserve">Elevador EL02</t>
  </si>
  <si>
    <t xml:space="preserve">Elevador não desceu ao nível 0 para buscar skid</t>
  </si>
  <si>
    <t xml:space="preserve">Sensor de presença de luge em curto (não dava fim de transito)</t>
  </si>
  <si>
    <t xml:space="preserve">Substituição do sensor de presença</t>
  </si>
  <si>
    <t xml:space="preserve">Robôs Preto Estilo</t>
  </si>
  <si>
    <t xml:space="preserve">Erro na leitura das cameras ISRA;</t>
  </si>
  <si>
    <t xml:space="preserve">Feito o reset do PC das cameras ISRA</t>
  </si>
  <si>
    <t xml:space="preserve">mesa D0</t>
  </si>
  <si>
    <t xml:space="preserve">Falha na translação da mesa </t>
  </si>
  <si>
    <t xml:space="preserve">Inversor "Drive Plate" queimado</t>
  </si>
  <si>
    <t xml:space="preserve">Realizado substituição Do drive da mesa</t>
  </si>
  <si>
    <t xml:space="preserve">Robô F01</t>
  </si>
  <si>
    <t xml:space="preserve">Falha na indexação de dispositivos lorcator</t>
  </si>
  <si>
    <t xml:space="preserve"> Após ter sido verificado encontrado um cabo de sinais em falha</t>
  </si>
  <si>
    <t xml:space="preserve">Substituído o cabo e deixado conectado até o 4º Turno</t>
  </si>
  <si>
    <t xml:space="preserve">Mesa P0</t>
  </si>
  <si>
    <t xml:space="preserve">Falha nos dispósitivos e na recalagem após peça declarada como suscata</t>
  </si>
  <si>
    <t xml:space="preserve">Peça torta e com solda errada</t>
  </si>
  <si>
    <t xml:space="preserve">Teve de ser forçada a saída de troca de sinais entre PLC e Siptol</t>
  </si>
  <si>
    <t xml:space="preserve">LET</t>
  </si>
  <si>
    <t xml:space="preserve">Falta de sinal de "alinhamento ok" para fazer ajuste dos faróis</t>
  </si>
  <si>
    <t xml:space="preserve">Fim de curso de posição do let quebrado</t>
  </si>
  <si>
    <t xml:space="preserve">Substituição do sensor de fim de curso</t>
  </si>
  <si>
    <t xml:space="preserve">Robô começa a movimentar e para sem gerar falha.</t>
  </si>
  <si>
    <t xml:space="preserve">curto circuito intermitente no cabo do sensor de avanço da garra.</t>
  </si>
  <si>
    <t xml:space="preserve">substituído cabo do sensor.</t>
  </si>
  <si>
    <t xml:space="preserve">Falha de ar não efetua reset.</t>
  </si>
  <si>
    <t xml:space="preserve">Falha no promia</t>
  </si>
  <si>
    <t xml:space="preserve">manutenção fez um P-start para eliminar a falha, mas começou a ocorerrer outras falhas diversas, anti crash, perda de calibração da ferramenta. Foi restaurado um backup de antes da pane. </t>
  </si>
  <si>
    <t xml:space="preserve">FM70</t>
  </si>
  <si>
    <t xml:space="preserve">Robô parou ao fazer a pega do gripper</t>
  </si>
  <si>
    <t xml:space="preserve">Perda do sinal da castanha avançada.</t>
  </si>
  <si>
    <t xml:space="preserve">Feito a manipulação do robô para teste do sensor. Ao manipular ocorreu a quebra da conexão pneumática, a mesma foi substituída. Retirado a castanha e ajustado o fim de curso do sensor.</t>
  </si>
  <si>
    <t xml:space="preserve">FM70 </t>
  </si>
  <si>
    <t xml:space="preserve">Após intrusão houve dificuldade no rearme da zona fechada</t>
  </si>
  <si>
    <t xml:space="preserve">Erro de procedimento</t>
  </si>
  <si>
    <t xml:space="preserve">Feito o rearme na zona correta (alteração das zonas devido a projeto) 
</t>
  </si>
  <si>
    <t xml:space="preserve">Mesa Transporte</t>
  </si>
  <si>
    <t xml:space="preserve">Transportador parado na OP100</t>
  </si>
  <si>
    <t xml:space="preserve">Quebrou ponta do eixo onde fica a engrenagem motriz</t>
  </si>
  <si>
    <t xml:space="preserve">Soldado engrenagem na ponta do eixo</t>
  </si>
  <si>
    <t xml:space="preserve">Mesa T14</t>
  </si>
  <si>
    <t xml:space="preserve">Programado para substituir roda motriz que estava danificada da mesa T14, no horário de janta</t>
  </si>
  <si>
    <t xml:space="preserve">Roda foi degradada no primeiro turno.</t>
  </si>
  <si>
    <t xml:space="preserve"> Substituído roda motriz, foi necessário ajustar os sensores de baixa velocidade e parada nos 2 sentidos. 
</t>
  </si>
  <si>
    <t xml:space="preserve">Mesa 17</t>
  </si>
  <si>
    <t xml:space="preserve">OP240</t>
  </si>
  <si>
    <t xml:space="preserve">Falha  intermitente nas parafusadoras</t>
  </si>
  <si>
    <t xml:space="preserve">Cabos danificados</t>
  </si>
  <si>
    <t xml:space="preserve">Substituição dos cabos das parafusadoras</t>
  </si>
  <si>
    <t xml:space="preserve"> Robô 2</t>
  </si>
  <si>
    <t xml:space="preserve">Falha na castanha de indexação de ferramentas, não havia sinal de fechado ou aberto</t>
  </si>
  <si>
    <t xml:space="preserve"> Mal contato na rede do robô, após conversor de sinais para rede Ethernet interna do robô 
</t>
  </si>
  <si>
    <t xml:space="preserve">Verificado sinais e conferido conexões dos cabos de comunicação entre robô e o painel elétrico</t>
  </si>
  <si>
    <t xml:space="preserve">Def. Encoder de posição da mesa</t>
  </si>
  <si>
    <t xml:space="preserve">Encoder danificado</t>
  </si>
  <si>
    <t xml:space="preserve">Substituição e parametrização do encoder</t>
  </si>
  <si>
    <t xml:space="preserve">Mesa 97</t>
  </si>
  <si>
    <t xml:space="preserve">Def. Trânsito mesa 97</t>
  </si>
  <si>
    <t xml:space="preserve">Falha no relé de interlock</t>
  </si>
  <si>
    <t xml:space="preserve">Foi forçada a passagem de 2 carros. Será feita a troca dos relés</t>
  </si>
  <si>
    <t xml:space="preserve">MOP ilha ACL2</t>
  </si>
  <si>
    <t xml:space="preserve">PLC entrou em Stop durante processo.</t>
  </si>
  <si>
    <t xml:space="preserve">Falha nos cartões CP e mal contato nos cabos de rede</t>
  </si>
  <si>
    <t xml:space="preserve">Realizado a substituição da CPU, reset dos modulos CP e verificação das conexões dos cabos 
</t>
  </si>
  <si>
    <t xml:space="preserve">OP120.1</t>
  </si>
  <si>
    <t xml:space="preserve">Não estava acionando sistema de lubrificação do motor</t>
  </si>
  <si>
    <t xml:space="preserve">Perda de sincronismo dos Steps da máquina</t>
  </si>
  <si>
    <t xml:space="preserve">Realizado verificação dos sinais que estavam faltando para funcionar automático.</t>
  </si>
  <si>
    <t xml:space="preserve">Desarme do ar da ilha ao movimentar a mesa e indexar para trabalho</t>
  </si>
  <si>
    <t xml:space="preserve">Ao indexar a mesa, o sensor de posicionamento de trabalho do posto B1 perdia o sinal e retornava. Devido ao tempo ser inferior a 1s, não gerava falha de sensor.</t>
  </si>
  <si>
    <t xml:space="preserve">Feito ajuste na peça de posicionamento da mesa, para ficar mais proxima do sensor. 
</t>
  </si>
  <si>
    <t xml:space="preserve">Robô F1</t>
  </si>
  <si>
    <t xml:space="preserve">Falha em alguns pontos de solda</t>
  </si>
  <si>
    <t xml:space="preserve">Foi encontrado um estrangulamento no cabo de potencia do servo.</t>
  </si>
  <si>
    <t xml:space="preserve">Removido a capa de proteção da pinça e colocado em funcionamento. Programado a verificação do cabos.</t>
  </si>
  <si>
    <t xml:space="preserve">Mesa M22</t>
  </si>
  <si>
    <t xml:space="preserve">Mesa M22 indicando falha de inversor na IHM.</t>
  </si>
  <si>
    <t xml:space="preserve">Aberto portão da zona no meio do ciclo</t>
  </si>
  <si>
    <t xml:space="preserve">Verificado que inversor não estava em falha, verificado no sw que a falha era devido a time out de descarregamento da mesa 22 para 23. Foi reposicionado skid na mesa 23, retirado memória de presença da mesa 22 e inserido memória de presença na mesa 23, passado pra auttomático. 
</t>
  </si>
  <si>
    <t xml:space="preserve">EL2 </t>
  </si>
  <si>
    <t xml:space="preserve">Falha de ultrapassagem no retorno cata </t>
  </si>
  <si>
    <t xml:space="preserve">Sensor em curto</t>
  </si>
  <si>
    <t xml:space="preserve">Substituído o sensor</t>
  </si>
  <si>
    <t xml:space="preserve">DPD150</t>
  </si>
  <si>
    <t xml:space="preserve">Falha de System Fault</t>
  </si>
  <si>
    <t xml:space="preserve">Defeito no cartão DI do dispositivo</t>
  </si>
  <si>
    <t xml:space="preserve">Substituído Cartão e verificado cabeça de rede.</t>
  </si>
  <si>
    <t xml:space="preserve">Mesa TB34</t>
  </si>
  <si>
    <t xml:space="preserve">Erro no leitor Sick</t>
  </si>
  <si>
    <t xml:space="preserve">Perda de programa</t>
  </si>
  <si>
    <t xml:space="preserve">Realizado o download dos parametros.</t>
  </si>
  <si>
    <t xml:space="preserve">Mesa</t>
  </si>
  <si>
    <t xml:space="preserve">Defeito de movimento no TK; Falha de comunicao NMET</t>
  </si>
  <si>
    <t xml:space="preserve">Rolo da mesa fora de posio</t>
  </si>
  <si>
    <t xml:space="preserve">Recolocado rolo; Reset Cpu, Descarregado Backup, Atualizado Mapa do  TK</t>
  </si>
  <si>
    <t xml:space="preserve">
Falha nos dispósitivos e na recalagem (PGF01.39) após peça declarada como sucata  
</t>
  </si>
  <si>
    <t xml:space="preserve">Peça torta e com solda errada excluida na gaveta Q09 </t>
  </si>
  <si>
    <t xml:space="preserve">Falha na indexação de dispositivos locator</t>
  </si>
  <si>
    <t xml:space="preserve">Após ter sido verificado encontrado um cabo de sinais em falha</t>
  </si>
  <si>
    <t xml:space="preserve">Substituído o cabo (passado cabo por fora) e deixado conectado até o 4º Turno</t>
  </si>
  <si>
    <t xml:space="preserve">Balanceadora</t>
  </si>
  <si>
    <t xml:space="preserve">Falha de balanceamento</t>
  </si>
  <si>
    <t xml:space="preserve">Pneu entrou na balanceadora sem estar inflado,  ao fazer a medição o pneu caiu fora do equipamento.</t>
  </si>
  <si>
    <t xml:space="preserve">Retirado o pneu e reajustado o ciclo</t>
  </si>
  <si>
    <t xml:space="preserve">OP205</t>
  </si>
  <si>
    <t xml:space="preserve">Dispositivo parava durante o ciclo</t>
  </si>
  <si>
    <t xml:space="preserve">Vazamento de ar em uma das mangueiras do cilindro</t>
  </si>
  <si>
    <t xml:space="preserve">Vereficação do ponto de vazamento e substituição da mangueira </t>
  </si>
  <si>
    <t xml:space="preserve">Mesa 23</t>
  </si>
  <si>
    <t xml:space="preserve">Defeito Intrusão Barreira Mesa 23 e Portinhola de segurança </t>
  </si>
  <si>
    <t xml:space="preserve">Reset da portinhola e barreira de segurança juntamente com CLP Segurança, posicionamento carro em transito e rearme </t>
  </si>
  <si>
    <t xml:space="preserve">OP30</t>
  </si>
  <si>
    <t xml:space="preserve">Falha de barreira de segurança </t>
  </si>
  <si>
    <t xml:space="preserve">Carrinho de transporte colidiu com as barreiras, desalinhando o posicionamento. Desalinhamento  também do ponto de indexação do carrinho</t>
  </si>
  <si>
    <t xml:space="preserve">Ajustado o posicionamento das barreiras e verificação do alinhamento macânico da mesa. Retiraso o carrinho que colidiu para verificação </t>
  </si>
  <si>
    <t xml:space="preserve">Loramendi 1 e 2</t>
  </si>
  <si>
    <t xml:space="preserve">Falha F50 temperatura (Estação 1 e 2)</t>
  </si>
  <si>
    <t xml:space="preserve">controlador temperatura KF0781 em OFF</t>
  </si>
  <si>
    <t xml:space="preserve">Reset dos Controladores Estação 1 e 2, reset ROBOMAT (Erro 2) estação 1, e colocação em ciclo seleção "Ativar Definição" do robo 1 da Estação 1 (não fazia Rebarbação).</t>
  </si>
  <si>
    <t xml:space="preserve">Falha de elevação da estação de montagem</t>
  </si>
  <si>
    <t xml:space="preserve">Ausência de acionamento do sensor de elevação da mesa</t>
  </si>
  <si>
    <t xml:space="preserve">Substituição sensor mesa regulagem</t>
  </si>
  <si>
    <t xml:space="preserve">Acostagem</t>
  </si>
  <si>
    <t xml:space="preserve">Falha no robô ROD após troca de gama 40512 "valor do eixo externo faltando"</t>
  </si>
  <si>
    <t xml:space="preserve">Provável falha na trajetória.</t>
  </si>
  <si>
    <t xml:space="preserve">Restaurado backup, calibrado robô, NOK, mudado de gama OK</t>
  </si>
  <si>
    <t xml:space="preserve">Mesa G0</t>
  </si>
  <si>
    <t xml:space="preserve"> BBB perdendo posição em 2 peças seguida</t>
  </si>
  <si>
    <t xml:space="preserve">Peças com problemas</t>
  </si>
  <si>
    <t xml:space="preserve">Após varias tentativas de ajustar a posição do locator, foi retirado as peças do fluxo. 
</t>
  </si>
  <si>
    <t xml:space="preserve">OP40</t>
  </si>
  <si>
    <t xml:space="preserve">Falha Profinet OP40</t>
  </si>
  <si>
    <t xml:space="preserve">Erro no driver de controle da prensa Trox da OP40. Ao ser acionado causa uma falha na profinet.</t>
  </si>
  <si>
    <t xml:space="preserve">Verificação dos cabos de rede e programado para o final de semana o reset do driver e verifiação dos parâmetros.</t>
  </si>
  <si>
    <t xml:space="preserve">Perda do ciclo de operação.</t>
  </si>
  <si>
    <t xml:space="preserve"> Falha de leitura do Datamatrix</t>
  </si>
  <si>
    <t xml:space="preserve">Vrificado logica de leitura, ajustado ponto de leitura e posicionamento. 
</t>
  </si>
  <si>
    <t xml:space="preserve">Falha na estação de aplicação</t>
  </si>
  <si>
    <t xml:space="preserve">Falha do solvente do robô gerando falha de emergência na ilha</t>
  </si>
  <si>
    <t xml:space="preserve">Reinicialização do robô e colocação em ciclo</t>
  </si>
  <si>
    <t xml:space="preserve">Robô RXX1 A2</t>
  </si>
  <si>
    <t xml:space="preserve">Falta de sinal da garra do robô após Chafab</t>
  </si>
  <si>
    <t xml:space="preserve">Ausência do sinal de clamping. Perda de configuração do distribuidor de sinal (entradas / saídas).</t>
  </si>
  <si>
    <t xml:space="preserve">Substituição do distribuidor de sinal e alteração da entrada do grampo para outra entrada reserva (No Arquivo de configuração de entradas e saídas do Robô).</t>
  </si>
  <si>
    <t xml:space="preserve">Lentidão e travamento PC durante regulagem compensação do veiculo.</t>
  </si>
  <si>
    <t xml:space="preserve">Em diagnostico. (Segmento MRHD para verificação da causa raiz)</t>
  </si>
  <si>
    <t xml:space="preserve">Substituição do PC pelo equipamento reserva (Mesmo após substituição permaneceu apresentando lentidão durante realização da compensação).</t>
  </si>
  <si>
    <t xml:space="preserve">MON</t>
  </si>
  <si>
    <t xml:space="preserve">Siptk</t>
  </si>
  <si>
    <t xml:space="preserve">TK parado descarregando carro para alvéolo 1101, com falha "perda marcha auto API1 zona1"</t>
  </si>
  <si>
    <t xml:space="preserve">Falha no drive do eixo Y. Siptk ficou com missão de entrada ativa.</t>
  </si>
  <si>
    <t xml:space="preserve">Reposicionado carro no alvéolo 1101, reinicialização do Siptk para reset da missão ativa.</t>
  </si>
  <si>
    <t xml:space="preserve">Dispositivo CCD400</t>
  </si>
  <si>
    <t xml:space="preserve">Alarme Profinet</t>
  </si>
  <si>
    <t xml:space="preserve"> Cabo da seletora de modelo em curto</t>
  </si>
  <si>
    <t xml:space="preserve">Retirada da seletora e validação do modelo via MOP (troca do cabo após produção)  
</t>
  </si>
  <si>
    <t xml:space="preserve">Geral linha </t>
  </si>
  <si>
    <t xml:space="preserve">Falha de sincronismo e parada da prensa</t>
  </si>
  <si>
    <t xml:space="preserve">Provável problema nos cabos dos encoders prensa 2</t>
  </si>
  <si>
    <t xml:space="preserve">Em diagnóstico. (Foram refeitas as conexões da IM30103, serão refeitas as conexões dos encoders).</t>
  </si>
  <si>
    <t xml:space="preserve">Robô </t>
  </si>
  <si>
    <t xml:space="preserve">Robô parou no meio do ciclo sem falhas</t>
  </si>
  <si>
    <t xml:space="preserve">Perda de ciclo da ilha</t>
  </si>
  <si>
    <t xml:space="preserve">Retirado bloco da garra do robô, reposicionado robô em repli e rearmado a ilha 
</t>
  </si>
  <si>
    <t xml:space="preserve">Lentidão e travamento PC, durante regulagem compensação do veiculo.</t>
  </si>
  <si>
    <t xml:space="preserve">Calibração cilindro de deslocamento da placagem traseira sem estar proximo do limite do cilindro (Intervalo do almoço calibrado novamente com diferença ainda maior "até fim do turno não ocorreram mais travamentos").</t>
  </si>
  <si>
    <t xml:space="preserve">Falha durante realização teste de estanqueidade</t>
  </si>
  <si>
    <t xml:space="preserve">Bloco de válvulas pneumáticas travado e vazamento ar pilotagem YV5.</t>
  </si>
  <si>
    <t xml:space="preserve">Lubrificação e destravado bloco de válvulas, e substituição conexão YV5.</t>
  </si>
  <si>
    <t xml:space="preserve">ACL3</t>
  </si>
  <si>
    <t xml:space="preserve">Ilha parada não segue o ciclo porta traseira L52 e não gera falha. </t>
  </si>
  <si>
    <t xml:space="preserve">Peça incorreta montada no dispositivo.</t>
  </si>
  <si>
    <t xml:space="preserve">Substituição da peça pelo modelo correto </t>
  </si>
  <si>
    <t xml:space="preserve">OP10BAP</t>
  </si>
  <si>
    <t xml:space="preserve">Enroscando na prensagem da biela no pistão </t>
  </si>
  <si>
    <t xml:space="preserve">Conjunto mêcanico desalinhado </t>
  </si>
  <si>
    <t xml:space="preserve">Feito ajuste mêcanico no batente de posicionamento</t>
  </si>
  <si>
    <t xml:space="preserve">CAB-CMO</t>
  </si>
  <si>
    <t xml:space="preserve">Prensa sede</t>
  </si>
  <si>
    <t xml:space="preserve">Falta de sincronismo do cilindros de prensagem e força irregular</t>
  </si>
  <si>
    <t xml:space="preserve">Irregularidades no ajusste hidráulico das válvulas proporcionais. </t>
  </si>
  <si>
    <t xml:space="preserve">Substituição da placa amplificadora Rexroth, Ajustes hidráulicos no circuito dos cilindros </t>
  </si>
  <si>
    <t xml:space="preserve">Elevador 37</t>
  </si>
  <si>
    <t xml:space="preserve">Falha na mesa do elevador de entrada da pintura</t>
  </si>
  <si>
    <t xml:space="preserve">Skid colidiu e desarmou relé térmico, sem desarmar segurança rolos. 
</t>
  </si>
  <si>
    <t xml:space="preserve">Rearmado  do relé térmico e correção do software 
</t>
  </si>
  <si>
    <t xml:space="preserve">Falha intermitente</t>
  </si>
  <si>
    <t xml:space="preserve">Cabo profibus degradado na esteira porta cabos do portal</t>
  </si>
  <si>
    <t xml:space="preserve">Substituição do cabo profinet (~50m)</t>
  </si>
  <si>
    <t xml:space="preserve">Transporte de molde</t>
  </si>
  <si>
    <t xml:space="preserve">Estação não fazia troca do molde</t>
  </si>
  <si>
    <t xml:space="preserve">Falha no drive dos roletes de transporte do molde</t>
  </si>
  <si>
    <t xml:space="preserve">Retirada e inserção do molde através da ponte rolante.</t>
  </si>
  <si>
    <t xml:space="preserve">MO1 Posto</t>
  </si>
  <si>
    <t xml:space="preserve">Falta de sinal de segurança MO1 para SC5</t>
  </si>
  <si>
    <t xml:space="preserve">Falta de sinal de emergência da botoeira de Validação 1</t>
  </si>
  <si>
    <t xml:space="preserve">Substituição da botoeira</t>
  </si>
  <si>
    <t xml:space="preserve">Posto 30</t>
  </si>
  <si>
    <t xml:space="preserve">Falha de movimento da paga do retentor </t>
  </si>
  <si>
    <t xml:space="preserve">Em análise-provável inconsistência no software</t>
  </si>
  <si>
    <t xml:space="preserve">Retorno a origem e reinício de ciclo</t>
  </si>
  <si>
    <t xml:space="preserve">Perda de ciclo durante deposito no resfriamento </t>
  </si>
  <si>
    <t xml:space="preserve">Faltou o evento 3 para continuar ciclo </t>
  </si>
  <si>
    <t xml:space="preserve">Reposicionamento o robô em Repli e reinicia o ciclo</t>
  </si>
  <si>
    <t xml:space="preserve">Caracol</t>
  </si>
  <si>
    <t xml:space="preserve">Defeito disjuntor rolos</t>
  </si>
  <si>
    <t xml:space="preserve">Falha no circuito de emergência </t>
  </si>
  <si>
    <t xml:space="preserve">Retirada e recolocação do cartão safety e bloqueio do comando da mesma.</t>
  </si>
  <si>
    <t xml:space="preserve">Robô F3 </t>
  </si>
  <si>
    <t xml:space="preserve">Defeito de movimento PLF (Peça fora de posição no deposito </t>
  </si>
  <si>
    <t xml:space="preserve">Serragem quebrada</t>
  </si>
  <si>
    <t xml:space="preserve">Soldado suporte da serragem e ajustes da geometria</t>
  </si>
  <si>
    <t xml:space="preserve">Banco 1 e 2</t>
  </si>
  <si>
    <t xml:space="preserve">Motores falhando ao rodar</t>
  </si>
  <si>
    <t xml:space="preserve">Ar no circuito de gasolina não enchendo corretamente os motores </t>
  </si>
  <si>
    <t xml:space="preserve">Retirado parte do ar do circuito sendo possível realizar o teste dos  motores sem gerar falha (Dificuldade no atendimento pois não há pessoa do Posto da CMO no terceiro turno).</t>
  </si>
  <si>
    <t xml:space="preserve">Lentidão e travamento PC, durante regulagem compensação (traseira esquerda) do veiculo. 
</t>
  </si>
  <si>
    <t xml:space="preserve">Problema no cabo de conexão do sensor de medição posição do cilindro com a placa do "Robô Traseiro esquerdo. 
</t>
  </si>
  <si>
    <t xml:space="preserve">Reparo no cabo do sensor.</t>
  </si>
  <si>
    <t xml:space="preserve">Falta de alimentação 24v na CPX do Gripper do BBB</t>
  </si>
  <si>
    <t xml:space="preserve"> Cabo de Alimentação do CPX danificado (enroscando na estrutura da mesa ao depositar griper) 
</t>
  </si>
  <si>
    <t xml:space="preserve">Reparo de cabo de sinal do e substituição do trojan do griper, troca do pino do 0 V da alimentação na caixa do trojan, higienização e amarração do cabo de alimentação não ocorreram mais falhas até intervalo do terceiro turno (substituição do cabo danificado).</t>
  </si>
  <si>
    <t xml:space="preserve">Montadora </t>
  </si>
  <si>
    <t xml:space="preserve">Estação de montagem, descarregamento da roda da mesa de medição sem desligar o motor, e não carregava a roda da mesa de trás, sem gerar falha. 
</t>
  </si>
  <si>
    <t xml:space="preserve">mesa da montadora fora da referência em 15mm</t>
  </si>
  <si>
    <t xml:space="preserve">Referenciado zero da mesa da montadora.</t>
  </si>
  <si>
    <t xml:space="preserve">Mesa 14</t>
  </si>
  <si>
    <t xml:space="preserve">Defeito leitor sick mesa 14</t>
  </si>
  <si>
    <t xml:space="preserve"> Skid colidindo nos rolos devido diferença de altura entre mesa 14 e mesa elevatória anterior a mesma.</t>
  </si>
  <si>
    <t xml:space="preserve">Ajustes de altura da mesa elevatória</t>
  </si>
  <si>
    <t xml:space="preserve">Elevador Saída </t>
  </si>
  <si>
    <t xml:space="preserve">E</t>
  </si>
  <si>
    <t xml:space="preserve">C</t>
  </si>
  <si>
    <t xml:space="preserve">Posto 168</t>
  </si>
  <si>
    <t xml:space="preserve">Erro 206 parafusadora do posto </t>
  </si>
  <si>
    <t xml:space="preserve">conector de antrada e saídas mal encaixado</t>
  </si>
  <si>
    <t xml:space="preserve">Colocação do posto em degradado , seguimento MRHD diagnosticado conector mal encaixado reconectado o mesmo </t>
  </si>
  <si>
    <t xml:space="preserve">Mesa Pivotante 15</t>
  </si>
  <si>
    <t xml:space="preserve">Skid parado sem falha no meio do descarregamento Pivotante 14 para Pivotante 15 
</t>
  </si>
  <si>
    <t xml:space="preserve"> Perda sensor de baixa velocidade giro Pivotante 15 durante transferência entre as pivotantes 
</t>
  </si>
  <si>
    <t xml:space="preserve">Acionamento do sensor de baixa e termino do descarregamento (dificuldade devido acesso restrito, acesso somente pela estrutura com cinto de segurança. 
</t>
  </si>
  <si>
    <t xml:space="preserve">Mesa D0</t>
  </si>
  <si>
    <t xml:space="preserve">Mau contato cabo profinet na saida da mesa E0 ligação com Entrada da Mesa D0 
</t>
  </si>
  <si>
    <t xml:space="preserve">Restabelecimento da Rede depois mesa D0 não responde comando acionamento dos rolos (Area modificada obsolescencia "TOPOLOGIA DE REDE DESATUALIZADA E FALTA ESQUEMA ELETRICO NO PAINEL").</t>
  </si>
  <si>
    <t xml:space="preserve">Pinça Automática</t>
  </si>
  <si>
    <t xml:space="preserve">Pinça automática travando abertura e colando ponto</t>
  </si>
  <si>
    <t xml:space="preserve">Colocação em degradado para rodar e reparo posterior</t>
  </si>
  <si>
    <t xml:space="preserve">OP520-2</t>
  </si>
  <si>
    <t xml:space="preserve">Falta liberação do Palet do posto</t>
  </si>
  <si>
    <t xml:space="preserve">Mau contanto no rele de liberação do modelo K</t>
  </si>
  <si>
    <t xml:space="preserve">Banco de Paralelismo 2 e Rolagem 2</t>
  </si>
  <si>
    <t xml:space="preserve">Falta leitura do código de barras</t>
  </si>
  <si>
    <t xml:space="preserve">Perda de configuração dos leitores</t>
  </si>
  <si>
    <t xml:space="preserve">Foi reconfigurado o leitor do banco de rolagem. O leitor do banco de paralelismo ficou rodando em degradado até sábado.</t>
  </si>
  <si>
    <t xml:space="preserve">MOP "SMPLOC"</t>
  </si>
  <si>
    <t xml:space="preserve">Perda de comunicação com as 13 zonas do MOP</t>
  </si>
  <si>
    <t xml:space="preserve">Alteração da tempredis no feriado de carnaval</t>
  </si>
  <si>
    <t xml:space="preserve">Realizado o carregamento da tempredis pelo Odil</t>
  </si>
  <si>
    <t xml:space="preserve">Maquina 3 "C200"</t>
  </si>
  <si>
    <t xml:space="preserve"> Não estava comutando o setup para os modelos HHA/HR16 e HHA/PCD 
</t>
  </si>
  <si>
    <t xml:space="preserve">Ainda em análise devido ao modelo de setup da máquina.</t>
  </si>
  <si>
    <t xml:space="preserve">Inserido na lógica a condição de pedido do modelo para confirmar que o setup estava certo para preparação.</t>
  </si>
  <si>
    <t xml:space="preserve">Robô R2</t>
  </si>
  <si>
    <t xml:space="preserve">Desarme das bombas de mastic</t>
  </si>
  <si>
    <t xml:space="preserve">Falha de sobrepressão das bombas</t>
  </si>
  <si>
    <t xml:space="preserve">Restabelecido as bombas, porém gerou erro na saída de veículo dos postos, faltava sinal de Repli do Robô R2 da zona 2</t>
  </si>
  <si>
    <t xml:space="preserve">Gravador de cabeçote </t>
  </si>
  <si>
    <t xml:space="preserve">Falha na gravação do cabeçote 
</t>
  </si>
  <si>
    <t xml:space="preserve">Erro de memórias das peças para gravação</t>
  </si>
  <si>
    <t xml:space="preserve">Realizado o reset geral da máquina e após isso os erros das memórias foram corrigidos. 
</t>
  </si>
  <si>
    <t xml:space="preserve">Elevador 02</t>
  </si>
  <si>
    <t xml:space="preserve">Elevador não estava atendendo o tempo de ciclo da linha</t>
  </si>
  <si>
    <t xml:space="preserve">durante o dia houve a substituição do drive e também alteração de parametros, devido ao mesmo ter perdido seus dados.</t>
  </si>
  <si>
    <t xml:space="preserve">Foi corrigido a velocidade gradativamente para alcançar o tempo de ciclo da linha, alterado apenas o limite de velocidade alta no movimento entre as posições do elevador. Estava setado com valor de (1700 rpm = 58 veic/h), alterado para (1970 rpm = 64veic/h)</t>
  </si>
  <si>
    <t xml:space="preserve">
 Zipagem paralelismo não funciona 
</t>
  </si>
  <si>
    <t xml:space="preserve">Leitor de código de barras com problema</t>
  </si>
  <si>
    <t xml:space="preserve">Foi configurado um leitor da Keyance 
</t>
  </si>
  <si>
    <t xml:space="preserve">BM50</t>
  </si>
  <si>
    <t xml:space="preserve">Robô F3 -  Defeito Visão Isra</t>
  </si>
  <si>
    <t xml:space="preserve">Medição L52 fora de tolerância</t>
  </si>
  <si>
    <t xml:space="preserve">Forçado condição para deposito do teto.</t>
  </si>
  <si>
    <t xml:space="preserve">Robô C5</t>
  </si>
  <si>
    <t xml:space="preserve">Defeito refrigeração  
</t>
  </si>
  <si>
    <t xml:space="preserve">Recolocação eletrodo, ao passar Robô para manual ocorrência de "falha Promia Realização Bstart e Pstart no Robo" e ajuste compensação eletrodo.</t>
  </si>
  <si>
    <t xml:space="preserve"> Elevador de entrada EDL02</t>
  </si>
  <si>
    <t xml:space="preserve">EDL02 Defeito Mesa e Defeito Variador Elevador 02
</t>
  </si>
  <si>
    <t xml:space="preserve">Falha intermitente em analise</t>
  </si>
  <si>
    <t xml:space="preserve"> Reset de falha e reposicionado elevador (auxilio no diagnostico do problema). 
</t>
  </si>
  <si>
    <t xml:space="preserve">Transelevador</t>
  </si>
  <si>
    <t xml:space="preserve">Falha intermitente no eixo X do transelevador.</t>
  </si>
  <si>
    <t xml:space="preserve">Aquecimento do motor, ventilação forçada não estava ligando.</t>
  </si>
  <si>
    <t xml:space="preserve">Após entrar na ilha para fazer uma verificação, os ventiladores voltaram a ligar, suspeita do contator com defeito programado troca no fim de semana. 
</t>
  </si>
  <si>
    <t xml:space="preserve">todos os SOP's da instalação.</t>
  </si>
  <si>
    <t xml:space="preserve">Nenhum dos SOP's estava comunicando com o MOP</t>
  </si>
  <si>
    <t xml:space="preserve">Pasta IHMP do mop não estava configurada como compartilhada.</t>
  </si>
  <si>
    <t xml:space="preserve">Compartilhado a pasta e reiniciado todos os SOP's e configurado IP da rede N2</t>
  </si>
  <si>
    <t xml:space="preserve">Alimentação 24Vcc de segurança</t>
  </si>
  <si>
    <t xml:space="preserve">desarmando disjuntor QF13705 
</t>
  </si>
  <si>
    <t xml:space="preserve">curto no cabo do sensor da mesa de entrada (blank)</t>
  </si>
  <si>
    <t xml:space="preserve">desconectado sensor e liberado a linha, será analisado o por que o sensor de presença de blank está na alimentação de 24Vcc de segurança, dificultado a analise, pois para toda a linha. 
</t>
  </si>
  <si>
    <t xml:space="preserve">Elevador de entrada EDL02</t>
  </si>
  <si>
    <t xml:space="preserve">Elevador fora de ciclo </t>
  </si>
  <si>
    <t xml:space="preserve">Descarrilhou skid ao descarregar do elevador para mesa 102, acompanhado por uns 40 min não voltou a ocorrer a falha.</t>
  </si>
  <si>
    <t xml:space="preserve">Corrigido as memórias de presença e seleção de nível do elevador. 
</t>
  </si>
  <si>
    <t xml:space="preserve">OP 170 </t>
  </si>
  <si>
    <t xml:space="preserve">Perda de ciclo na chamada do parafusamento do carter</t>
  </si>
  <si>
    <t xml:space="preserve">Erro de posição dos cilindros pneumáticos, perda de pressão de ar</t>
  </si>
  <si>
    <t xml:space="preserve">Realizado movimento manual, pilotando as válvulas para correção de posição tanto do index com do pica pa</t>
  </si>
  <si>
    <t xml:space="preserve">Trocador de calor</t>
  </si>
  <si>
    <t xml:space="preserve">Máquina não liberava comando para ligar.</t>
  </si>
  <si>
    <t xml:space="preserve">Fim de curso que indica que a válvula para o fluxo de óleo no trocador de calor estava danificado, isso ocorreu após a troca do conjunto trocador de calor. 
</t>
  </si>
  <si>
    <t xml:space="preserve">Substituído a chave fim de curso euchnner. Retirado da máquina que ainda está em processo de validação e liberação. 
</t>
  </si>
  <si>
    <t xml:space="preserve">Mesa E0 Entrada X52</t>
  </si>
  <si>
    <t xml:space="preserve">Defeito numero de Skid zerado</t>
  </si>
  <si>
    <t xml:space="preserve">Skid novo de Projeto inserido na linha </t>
  </si>
  <si>
    <t xml:space="preserve">Substituição da TAG e retirada do Skid como sucata (problemas de interferencia mecanica na passagem dos Postos) 
</t>
  </si>
  <si>
    <t xml:space="preserve">Robô B2</t>
  </si>
  <si>
    <t xml:space="preserve">Robôs parados em zona interferência</t>
  </si>
  <si>
    <t xml:space="preserve">Ausência sinal Pressão cabeça de sertissagem</t>
  </si>
  <si>
    <t xml:space="preserve">Retorno a origem na ilha, Reconectado o cabo da válvula e colocação em ciclo. 
</t>
  </si>
  <si>
    <t xml:space="preserve"> Marposs</t>
  </si>
  <si>
    <t xml:space="preserve">Falha eixos </t>
  </si>
  <si>
    <t xml:space="preserve">Fonte 24 V alimentação maquina avariada (atendimento tecnico Marposs) 
</t>
  </si>
  <si>
    <t xml:space="preserve">Reinstalação do software e (Substituição da fonte de 24 V), (Atendimento pelo tecnico 3D até as 11:50 só então avisado a manutenção da Usinagem). 
</t>
  </si>
  <si>
    <t xml:space="preserve">Conferência de balanceamento</t>
  </si>
  <si>
    <t xml:space="preserve">Mesmo em by pass não ligava os rolos para transporte das rodas  
</t>
  </si>
  <si>
    <t xml:space="preserve">Afundamento de tensão em movimento perdeu referência zero de início de ciclo 
</t>
  </si>
  <si>
    <t xml:space="preserve">forçado com Shunt para conseguir zerar ciclo.</t>
  </si>
  <si>
    <t xml:space="preserve">PTI470</t>
  </si>
  <si>
    <t xml:space="preserve">Corrente oscilando sem falhas</t>
  </si>
  <si>
    <t xml:space="preserve">Provável falha na bobina toroidal de medição de correte.</t>
  </si>
  <si>
    <t xml:space="preserve">Foi alterado para sistema de controle por potência, será verificado fim de semana. 
</t>
  </si>
  <si>
    <t xml:space="preserve"> Mop base 1</t>
  </si>
  <si>
    <t xml:space="preserve">MOP deu tela azul e não reiniciava sem a opção de check disk</t>
  </si>
  <si>
    <t xml:space="preserve">Provável aquecimento do PC</t>
  </si>
  <si>
    <t xml:space="preserve">reiniciado mop com check disk levou 23min para reiniciar.</t>
  </si>
  <si>
    <t xml:space="preserve">Mesas, Robôs e ciclo</t>
  </si>
  <si>
    <t xml:space="preserve">Perda de ciclo na CSA 90, erro na saída da sucata na mesa da CSA150 e erro na mesa de saída da CSA300</t>
  </si>
  <si>
    <t xml:space="preserve">Erro na declaração de sucata no posto CSA90, e erro na saída da sucata na CSA150</t>
  </si>
  <si>
    <t xml:space="preserve">Teve de fazer movimentação dos robôs em manual mesa da CSA90 para recuperar ciclo no carro, verificação de condições do processo para start, na mesa da CSA150 teve de ser corrigido presenças e ciclo pois a mesma estava com a condição de peça sem trabalho e na mesa da CSA300 estava declarada como sucata carro que era pra ser feito. Corrigido memórias, setado modelo do carro e corrigido sequencia do ciclo automático. 
</t>
  </si>
  <si>
    <t xml:space="preserve">PO200</t>
  </si>
  <si>
    <t xml:space="preserve">
Robô não entra em ciclo, Sistema de visão não faz a verificação 
</t>
  </si>
  <si>
    <t xml:space="preserve"> Erro memoria ciclo Robô e perda de ciclo sistema de visão (queda de energia) 
</t>
  </si>
  <si>
    <t xml:space="preserve">Forçado memoria de ciclo do Robô e reinicialização do sistema de visão</t>
  </si>
  <si>
    <t xml:space="preserve">Posto 158</t>
  </si>
  <si>
    <t xml:space="preserve">Troca de tipo não chama aperto da parafusadeira. </t>
  </si>
  <si>
    <t xml:space="preserve">Cabo gnd desconectado da borneira</t>
  </si>
  <si>
    <t xml:space="preserve">O cabo foi reconcertado</t>
  </si>
  <si>
    <t xml:space="preserve">Robô R1</t>
  </si>
  <si>
    <t xml:space="preserve">Falha geral de sistema do Robo. 
</t>
  </si>
  <si>
    <t xml:space="preserve">Sistema do robô corrompido</t>
  </si>
  <si>
    <t xml:space="preserve">Retirada do Robô da área do transporte e esvaziamento do transportador para intervenção e reinstalação do sistema do Robô. Foi reinstalado o sistema errado e não estava fazendo a pulverização. No segundo turno foi instalado o sistema correto.</t>
  </si>
  <si>
    <t xml:space="preserve">ABM2 SIPTOL</t>
  </si>
  <si>
    <t xml:space="preserve">Def. Carta de comunicação ETH N2.</t>
  </si>
  <si>
    <t xml:space="preserve">Problema de Siptol OF travada (Influencia Projeto retirada de operação último posto Engenharia inserção BM55). 
</t>
  </si>
  <si>
    <t xml:space="preserve">Colocação de retardo para chamada de dialogo do Siptol.</t>
  </si>
  <si>
    <t xml:space="preserve">Fuso 6</t>
  </si>
  <si>
    <t xml:space="preserve">Não liberava ferramenta</t>
  </si>
  <si>
    <t xml:space="preserve">Falha no drive do fuso 6</t>
  </si>
  <si>
    <t xml:space="preserve">Substituído drive </t>
  </si>
  <si>
    <t xml:space="preserve">CCG600</t>
  </si>
  <si>
    <t xml:space="preserve">Defeito movimento Serragem A</t>
  </si>
  <si>
    <t xml:space="preserve">Ocorrência da Falha durante troca de modelo na mesa</t>
  </si>
  <si>
    <t xml:space="preserve">Realização de movimentos manuais e colocação do dispositivo em ciclo 
</t>
  </si>
  <si>
    <t xml:space="preserve">Mesa 15</t>
  </si>
  <si>
    <t xml:space="preserve">M15 DEF RETACAGEM G</t>
  </si>
  <si>
    <t xml:space="preserve">Falha de ciclo retacagem</t>
  </si>
  <si>
    <t xml:space="preserve">Executado movimentos manuais e ajuste memórias</t>
  </si>
  <si>
    <t xml:space="preserve"> Posto 140</t>
  </si>
  <si>
    <t xml:space="preserve">Defeito de leitura RFID2</t>
  </si>
  <si>
    <t xml:space="preserve">Cartão SI danificado.</t>
  </si>
  <si>
    <t xml:space="preserve">Troca do cartão SI e descarregamento das DBs do RFID</t>
  </si>
  <si>
    <t xml:space="preserve">Defeito ultrapassagem Traseiro</t>
  </si>
  <si>
    <t xml:space="preserve">Sensor ultrapassagem atuado indevidamente devido a  limalhas 
</t>
  </si>
  <si>
    <t xml:space="preserve">Substituição de outro sensor que estava danificado e limpeza do sensor ultrapassagem. 
</t>
  </si>
  <si>
    <t xml:space="preserve">Defeito movimento Giro</t>
  </si>
  <si>
    <t xml:space="preserve">Proteção cilindro Carro Pilotos N travou movimento giro da mesa (proteção fora de posição</t>
  </si>
  <si>
    <t xml:space="preserve">Retirada provisória da proteção para realização do giro.</t>
  </si>
  <si>
    <t xml:space="preserve">C01 falha condição de Maquina</t>
  </si>
  <si>
    <t xml:space="preserve">Ausência movimento cilindro carro PLN (cilindro travado)</t>
  </si>
  <si>
    <t xml:space="preserve">
Verificação das condições e destravado movimento (será programada a troca do cilindro) 
</t>
  </si>
  <si>
    <t xml:space="preserve"> CLP ABM2</t>
  </si>
  <si>
    <t xml:space="preserve">Falha Siptol comunicação 
</t>
  </si>
  <si>
    <t xml:space="preserve">Ausência comunicação com Siptol</t>
  </si>
  <si>
    <t xml:space="preserve">Acionamento informática (retorno da informática de ponto bloqueado do switch) substituição do cabo de comunicação Siptol para o ponto reserva. 
</t>
  </si>
  <si>
    <t xml:space="preserve">Anti-run</t>
  </si>
  <si>
    <t xml:space="preserve">Roldana do Antirun soltou e travou na engrenagem</t>
  </si>
  <si>
    <t xml:space="preserve">Retirada da engrenagem para rodar sem anti-run</t>
  </si>
  <si>
    <t xml:space="preserve">Motor Eixo X1 </t>
  </si>
  <si>
    <t xml:space="preserve">Falha de posicionamento – eixo X</t>
  </si>
  <si>
    <t xml:space="preserve">Conjunto freio do motor 1 travando 
</t>
  </si>
  <si>
    <t xml:space="preserve">Substituição do conjunto do freio</t>
  </si>
  <si>
    <t xml:space="preserve">Porta de segurança</t>
  </si>
  <si>
    <t xml:space="preserve">falha no relé de segurança da porta
</t>
  </si>
  <si>
    <t xml:space="preserve">cabo do sensor anti esmagamento rompido internamente 
</t>
  </si>
  <si>
    <t xml:space="preserve">refeito o conector o cabo.</t>
  </si>
  <si>
    <t xml:space="preserve">Sistema de visão lunete</t>
  </si>
  <si>
    <t xml:space="preserve">Rejeitando vidros de 100% dos HHA e 50% dos U79</t>
  </si>
  <si>
    <t xml:space="preserve">Falha na placa e-bridge</t>
  </si>
  <si>
    <t xml:space="preserve">Efetuado reset da e-bridge no horário de janta</t>
  </si>
  <si>
    <t xml:space="preserve">
Mesa D0 fica subindo e descendo sem encontrar uma posição 
</t>
  </si>
  <si>
    <t xml:space="preserve">Contator de acionamento do motor travado</t>
  </si>
  <si>
    <t xml:space="preserve">
Destravado contator e programado a troca para o horário da ceia 
</t>
  </si>
  <si>
    <t xml:space="preserve">CCG500</t>
  </si>
  <si>
    <t xml:space="preserve">Emergência perda marcha auto zona</t>
  </si>
  <si>
    <t xml:space="preserve">Desarme 24V segurança (fio desencapado dentro da caixa da botoeira Pup3 dispositivo B0) 
</t>
  </si>
  <si>
    <t xml:space="preserve">Foi isolado o fio desencapado</t>
  </si>
  <si>
    <t xml:space="preserve">Transportador Tristock</t>
  </si>
  <si>
    <t xml:space="preserve">Z1: TK Defeito de Movimento Tristock</t>
  </si>
  <si>
    <t xml:space="preserve">Falha ao fazer descarga alvéolo 1011 cheio</t>
  </si>
  <si>
    <t xml:space="preserve">Atualização do mapa móvel</t>
  </si>
  <si>
    <t xml:space="preserve">Falha movimento elevador transporte de pneus</t>
  </si>
  <si>
    <t xml:space="preserve">Ausência sinal do sensor posição</t>
  </si>
  <si>
    <t xml:space="preserve">Verificação em campo ao desconectar e conectar o mesmo funcionamento OK (sera programada intervenção para verificação geral dos sensores do elevador transporte pneus)</t>
  </si>
  <si>
    <t xml:space="preserve">Molde não abria em automático após a injeção de alumínio gerando time out de abertura, porém possibilitava abertura em manual.</t>
  </si>
  <si>
    <t xml:space="preserve">Suspeita de travamento mecânico no conjunto molde/pistão/bucha.</t>
  </si>
  <si>
    <t xml:space="preserve">Foi substituído molde (retirado molde 1 e instalado molde 4), pistão e bucha.</t>
  </si>
  <si>
    <t xml:space="preserve">Caixa TOF alimentação Evaporadores</t>
  </si>
  <si>
    <t xml:space="preserve">Disjuntor desarmando</t>
  </si>
  <si>
    <t xml:space="preserve">Fechou curto na alimentação, queimou fusível e danificou o disjuntor</t>
  </si>
  <si>
    <t xml:space="preserve">Substituído os fusíveis queimados e também o disjuntor de alimentação</t>
  </si>
  <si>
    <t xml:space="preserve">Robôs</t>
  </si>
  <si>
    <t xml:space="preserve">Robô parou sem gerar alarme</t>
  </si>
  <si>
    <t xml:space="preserve">Perdeu ciclo de funcionamento, aguardando evento 7</t>
  </si>
  <si>
    <t xml:space="preserve">Movimentado o Robô para Repli e reiniciado o ciclo da máquina.</t>
  </si>
  <si>
    <t xml:space="preserve">Desacostagem </t>
  </si>
  <si>
    <t xml:space="preserve">Travamento da torre traseira esquerda "Base pourtaise 70 com balancele 70" </t>
  </si>
  <si>
    <t xml:space="preserve">Balancele e base pourtaise foram retirados para análise  
</t>
  </si>
  <si>
    <t xml:space="preserve">Foi feito o destravamento da torre em manual</t>
  </si>
  <si>
    <t xml:space="preserve">Eixo X1</t>
  </si>
  <si>
    <t xml:space="preserve">Falha no drive (telegrama não recebido ou em falha)</t>
  </si>
  <si>
    <t xml:space="preserve">em analise 
</t>
  </si>
  <si>
    <t xml:space="preserve">Reset do drive</t>
  </si>
  <si>
    <t xml:space="preserve">Balanceadora nova </t>
  </si>
  <si>
    <t xml:space="preserve">Perda de marcha ciclo da máquina</t>
  </si>
  <si>
    <t xml:space="preserve">Chave de segurança da porta, com erro no fechamento do canal, porta desalinhada gerando o erro. 
</t>
  </si>
  <si>
    <t xml:space="preserve">Foi calçada a porta para que ela ficasse na posição para fechar os contatos e liberar a máquina  </t>
  </si>
  <si>
    <t xml:space="preserve">Elevador 77  </t>
  </si>
  <si>
    <t xml:space="preserve">Perda de posição do elevador no nível 1 de parada para carregamento de carroceria 
</t>
  </si>
  <si>
    <t xml:space="preserve">Devido ao movimento que está fazendo no elevador, ele perde a proximidade com a fita metálica do sensor de posição</t>
  </si>
  <si>
    <t xml:space="preserve">Inserido mais um pedaço de fita, com alguns calços na mesma para que mesmo movimentando não perca a posição do sensor.</t>
  </si>
  <si>
    <t xml:space="preserve">Perda da autorização para descida do elevador</t>
  </si>
  <si>
    <t xml:space="preserve">Não fechou a retacagem de balancele no elevado</t>
  </si>
  <si>
    <t xml:space="preserve">Foi forçado a condição para liberar a descida, logo após a retacagem voltou a funcionar, porém foi deixado com o jump para poder ser verificado num momento oportuno.   
</t>
  </si>
  <si>
    <t xml:space="preserve">Robô A0</t>
  </si>
  <si>
    <t xml:space="preserve">Perda de marcha ciclo após erro de peça no locator.</t>
  </si>
  <si>
    <t xml:space="preserve">Travou no Loop da rotina de demanda retorno a origem </t>
  </si>
  <si>
    <t xml:space="preserve">Realizado movimentos manuais e depois chamado a rotina de Repli para setar os trabalhos. </t>
  </si>
  <si>
    <t xml:space="preserve">TU45 </t>
  </si>
  <si>
    <t xml:space="preserve">Falha de ar não liga dispositivo Jigbox  
</t>
  </si>
  <si>
    <t xml:space="preserve">Curto circuito bornes distribuição 24V </t>
  </si>
  <si>
    <t xml:space="preserve">Rodado em degradado e Substituição dos bornes</t>
  </si>
  <si>
    <t xml:space="preserve">Lavadora 410</t>
  </si>
  <si>
    <t xml:space="preserve">Lavadora não realiza o ciclo </t>
  </si>
  <si>
    <t xml:space="preserve">Lógica incorreta (logica de degradado antes de substituição sensor), e válvula agua fechada 
</t>
  </si>
  <si>
    <t xml:space="preserve">(Sensor de giro substituido pelo terceiro turno), Alteração da logica e restabelecimento do funcionamento, e abertura valvula da entrada de agua na lavadora (Primeiro turno). 
</t>
  </si>
  <si>
    <t xml:space="preserve">Porta traseira X52</t>
  </si>
  <si>
    <t xml:space="preserve">Falta de mastic no dosador</t>
  </si>
  <si>
    <t xml:space="preserve">Filtro de Mastic sujo</t>
  </si>
  <si>
    <t xml:space="preserve">Substituição do filtro </t>
  </si>
  <si>
    <t xml:space="preserve">Operação 120 Landis </t>
  </si>
  <si>
    <t xml:space="preserve">Falha de acionamento válvulas ao ligar maquina</t>
  </si>
  <si>
    <t xml:space="preserve">Ausência de tensão nos distribuidores  de sinais</t>
  </si>
  <si>
    <t xml:space="preserve">Desligado geral, rearme e recolocação em ciclo.</t>
  </si>
  <si>
    <t xml:space="preserve">Cala, Eixo Y</t>
  </si>
  <si>
    <t xml:space="preserve">Falha na movimentação eixo Y</t>
  </si>
  <si>
    <t xml:space="preserve">Falha no drive</t>
  </si>
  <si>
    <t xml:space="preserve">Substituído drive. 
</t>
  </si>
  <si>
    <t xml:space="preserve">Robô F3 Teto</t>
  </si>
  <si>
    <t xml:space="preserve">Ultrapassagem tempo ciclo BBB (Medição teto) </t>
  </si>
  <si>
    <t xml:space="preserve">Robô parado aguardando evento 6 (Travamento do sistema ISRA) 
</t>
  </si>
  <si>
    <t xml:space="preserve">Retirada do Robô F3 para Repli e reinicio ciclo</t>
  </si>
  <si>
    <t xml:space="preserve">Gripper K33</t>
  </si>
  <si>
    <t xml:space="preserve">Perda de rede profinet.</t>
  </si>
  <si>
    <t xml:space="preserve">Mal contato na conexão do gripper, seria feita uma análise melhor no horário da ceia 
</t>
  </si>
  <si>
    <t xml:space="preserve">Verificado as conexões da rede, habilitado/desabilitado rede pela tela de IHM. 
</t>
  </si>
  <si>
    <t xml:space="preserve">OP330 Portal</t>
  </si>
  <si>
    <t xml:space="preserve">Perda de sinal da garra.</t>
  </si>
  <si>
    <t xml:space="preserve">Cabo do encoder linear (Balluf) danificado.</t>
  </si>
  <si>
    <t xml:space="preserve">Substituído o cabo.</t>
  </si>
  <si>
    <t xml:space="preserve">Portal 330  </t>
  </si>
  <si>
    <t xml:space="preserve">Oscilação leitura sinal das garras.</t>
  </si>
  <si>
    <t xml:space="preserve">Falha de leitura das regua linear sinais garras.</t>
  </si>
  <si>
    <t xml:space="preserve">Não foi possivel restabelecer o funcionamento das reguas lineares, alteração do programa do PLC para rodar degradado sem o sinal das garras.</t>
  </si>
  <si>
    <t xml:space="preserve">Operação 80  </t>
  </si>
  <si>
    <t xml:space="preserve">Falta sinal posição maquina avançada/recuada.</t>
  </si>
  <si>
    <t xml:space="preserve">Cabo de sensor peça e posição invertidos.</t>
  </si>
  <si>
    <t xml:space="preserve">Inversão cabos dos sensores e reinicio.</t>
  </si>
  <si>
    <t xml:space="preserve">Portal OP10  </t>
  </si>
  <si>
    <t xml:space="preserve">Portal colidindo com algumas peças</t>
  </si>
  <si>
    <t xml:space="preserve">Posição do portal incorreta (mau contato no cabo do PLC).</t>
  </si>
  <si>
    <t xml:space="preserve">Melhora na conexão cabo no PLC do portal e ajuste no posicionamento eixo. 
</t>
  </si>
  <si>
    <t xml:space="preserve">Circuito Aereo Portas Trecho C92</t>
  </si>
  <si>
    <t xml:space="preserve">Perda de funcionamento circuito aéreo diversos trechos 
</t>
  </si>
  <si>
    <t xml:space="preserve">Oscilação  da referencia 0V para as PCM´s </t>
  </si>
  <si>
    <t xml:space="preserve">Rodado degradado.  puxando balanceles nos trechos de problema, verificado tensão baixa alimentação PCM´s (problema na derivação referencia 0V) ligação de mais um 0V na ultima ponta da derivação da referencia 0V.</t>
  </si>
  <si>
    <t xml:space="preserve">USI</t>
  </si>
  <si>
    <t xml:space="preserve">esteira de entrada brunimento</t>
  </si>
  <si>
    <t xml:space="preserve">Não retorna o bit "reader done" da antena RFID</t>
  </si>
  <si>
    <t xml:space="preserve">Substituído antena, módulo de leitura e efetuado reset geral da esteira NOK, feito by pass com o bit de presença de tag, segue rodando dessa forma.     
</t>
  </si>
  <si>
    <t xml:space="preserve">Robô RB4</t>
  </si>
  <si>
    <t xml:space="preserve">Falha de segurança na carta de sincronismo </t>
  </si>
  <si>
    <t xml:space="preserve">Sistema do robô corrompido 
</t>
  </si>
  <si>
    <t xml:space="preserve">Foi gerado novo sistema para o robô e foram retirados os dois painéis de solda e a EPS (que não são mais usadas) 
</t>
  </si>
  <si>
    <t xml:space="preserve">Robô 01</t>
  </si>
  <si>
    <t xml:space="preserve">Falha de Ar no Robo </t>
  </si>
  <si>
    <t xml:space="preserve">
Desligamento incorreto Engenharia intervenção Banco a Frio 
</t>
  </si>
  <si>
    <t xml:space="preserve">Desligamento Robo reset falha de ar e colocação em ciclo.</t>
  </si>
  <si>
    <t xml:space="preserve">Posto 305</t>
  </si>
  <si>
    <t xml:space="preserve">Posto não entra em ciclo</t>
  </si>
  <si>
    <t xml:space="preserve">IHM travada (Desligamento incorreto Engenharia intervenção Banco a Frio)</t>
  </si>
  <si>
    <t xml:space="preserve">Reiniciado IHM e colocação posto em funcionamento.</t>
  </si>
  <si>
    <t xml:space="preserve">OP40 OFFLine</t>
  </si>
  <si>
    <t xml:space="preserve">Não realizava prensagem da peça</t>
  </si>
  <si>
    <t xml:space="preserve">Perda do referenciamento da Tox e interrupção da barreira</t>
  </si>
  <si>
    <t xml:space="preserve">Realizado a calibração da prensa Tox e retirado uma ficha de instrução de trabalho que estava pendurada na máquina, as vezes ela interrompia a barreira</t>
  </si>
  <si>
    <t xml:space="preserve">OP220 Robô R2</t>
  </si>
  <si>
    <t xml:space="preserve">Robô não pegou o retentor da embreagem</t>
  </si>
  <si>
    <t xml:space="preserve">Havia uma mola de retentor travando a garra não deixando movimentar</t>
  </si>
  <si>
    <t xml:space="preserve">Realizado movimento manual no robô para movimentar a garra e após isso feito a higienização do local onde realiza a pega</t>
  </si>
  <si>
    <t xml:space="preserve">Não enchia o pneu </t>
  </si>
  <si>
    <t xml:space="preserve">Falha no circuito de enchimento, válvula de liberação e pressostato de enchimento 
</t>
  </si>
  <si>
    <t xml:space="preserve">Realizado a verificação e limpeza da válvula de liberação de ar e realizado o reset do pressostato de enchimento.</t>
  </si>
  <si>
    <t xml:space="preserve">Transportador aéreo</t>
  </si>
  <si>
    <t xml:space="preserve">Falha no acionamento do transportador</t>
  </si>
  <si>
    <t xml:space="preserve">ET200-pro com alimentação invertida (intervenção engenharia)</t>
  </si>
  <si>
    <t xml:space="preserve">Correção da ligação elétrica</t>
  </si>
  <si>
    <t xml:space="preserve">Portal OP180 </t>
  </si>
  <si>
    <t xml:space="preserve">Não liga Portal</t>
  </si>
  <si>
    <t xml:space="preserve">Falta de sinais de segurança no relé PILZ, erro de procedimento, após verificar no esquema elétrico os sinais que estavam faltando, foi encontrado uma porta de acesso de uma operação desativada aberta 
</t>
  </si>
  <si>
    <t xml:space="preserve">Fechado a porta e rearmado.</t>
  </si>
  <si>
    <t xml:space="preserve">Posto 140 Robô 1</t>
  </si>
  <si>
    <t xml:space="preserve">Erro de leitura do resolver do eixo 3 </t>
  </si>
  <si>
    <t xml:space="preserve">Em analise -  seguimento MRHD</t>
  </si>
  <si>
    <t xml:space="preserve">Reinicialização do robô e calibração dos eixos 2 e 3 </t>
  </si>
  <si>
    <t xml:space="preserve">Posto 310-3</t>
  </si>
  <si>
    <t xml:space="preserve">Erro de recuo  de movimento  na prensagem </t>
  </si>
  <si>
    <t xml:space="preserve">Perda de passo da máquina</t>
  </si>
  <si>
    <t xml:space="preserve">Reset da variável de passo da máquina</t>
  </si>
  <si>
    <t xml:space="preserve">Erro tensionamento  da correia do lado direito (clamp roda </t>
  </si>
  <si>
    <t xml:space="preserve">Queda de roda,  danificando a correia</t>
  </si>
  <si>
    <t xml:space="preserve">Substituição da correia lado direito.</t>
  </si>
  <si>
    <t xml:space="preserve"> Circuito Aéreo Cabides</t>
  </si>
  <si>
    <t xml:space="preserve">Colisão de cabides vazio -  Unit Central Monofluxo </t>
  </si>
  <si>
    <t xml:space="preserve">Grade de proteção muito justa. Peça travou movimento cabide (Instalado no final de semana)</t>
  </si>
  <si>
    <t xml:space="preserve">Destravado os cabides e retirada de cabide com problema de geometria devido a pane. 
</t>
  </si>
  <si>
    <t xml:space="preserve">Montadora de rodas</t>
  </si>
  <si>
    <t xml:space="preserve">Falha de avanço da mesa de montagem.</t>
  </si>
  <si>
    <t xml:space="preserve">Inversão do drive da mesa com o drive da estação de ensaboamento.</t>
  </si>
  <si>
    <t xml:space="preserve">Mesa HC</t>
  </si>
  <si>
    <t xml:space="preserve">Falha time out de elevação da mesa</t>
  </si>
  <si>
    <t xml:space="preserve">Mau contato do conector Harting de potência do motor </t>
  </si>
  <si>
    <t xml:space="preserve">Conectado novamente e fechado as travas do conector.</t>
  </si>
  <si>
    <t xml:space="preserve">OP20</t>
  </si>
  <si>
    <t xml:space="preserve">Falha no início da usinagem no berço2, serra toca o virabrequim e gera falha no eixo 1 
</t>
  </si>
  <si>
    <t xml:space="preserve">Fonte do drive danificada</t>
  </si>
  <si>
    <t xml:space="preserve">Substituição do módulo de potência, placa de regulagem de tensão e fonte do drive 
</t>
  </si>
  <si>
    <t xml:space="preserve">Prensa 1</t>
  </si>
  <si>
    <t xml:space="preserve">Falha no circuito de fechamento da porta, SOP travado</t>
  </si>
  <si>
    <t xml:space="preserve">
Fio arrebentado no circuito de fechamento da porta, SOP havia sido desligado e não reconheceu na inicialização 
</t>
  </si>
  <si>
    <t xml:space="preserve">Realizado o reparo dos fio do fechamento da porta, Inicializado o SOP em modo Administrador</t>
  </si>
  <si>
    <t xml:space="preserve">Mesa 3</t>
  </si>
  <si>
    <t xml:space="preserve">Perda de posição de presença da mesa 3</t>
  </si>
  <si>
    <t xml:space="preserve">Enroscou skid no carro de tração</t>
  </si>
  <si>
    <t xml:space="preserve">Recolocado o skid na posição e liberado para passar sem aplicação devido a perda dos dados do skid 
</t>
  </si>
  <si>
    <t xml:space="preserve">Câmeras de visão</t>
  </si>
  <si>
    <t xml:space="preserve">Não estava aceitando a validação de imagens da chapa na mesa de entrada 
</t>
  </si>
  <si>
    <t xml:space="preserve">Refeito os ajustes e calibração de leitura das posições da imagem em relação a chapa.  
</t>
  </si>
  <si>
    <t xml:space="preserve">Recusa do vidro lunete</t>
  </si>
  <si>
    <t xml:space="preserve">Falha no sistema de visão perceptron</t>
  </si>
  <si>
    <t xml:space="preserve">Foi feita  a troca de canal da E-bridge do sistema Perceptron</t>
  </si>
  <si>
    <t xml:space="preserve">Dispositivo parado sem falha com peça, mas não fecha</t>
  </si>
  <si>
    <t xml:space="preserve">Falha no grampo K, sensor danificado, devido a colisão com grampo G no recuo (quebrou batente do recuo)</t>
  </si>
  <si>
    <t xml:space="preserve">Substituido batente do grampo G e o sensor do grampo K  </t>
  </si>
  <si>
    <t xml:space="preserve"> Elevador 77</t>
  </si>
  <si>
    <t xml:space="preserve">Elevador caindo ao liberar o freio</t>
  </si>
  <si>
    <t xml:space="preserve">Trabalhando no limiar de atuação do motor com abertura do freio</t>
  </si>
  <si>
    <t xml:space="preserve">Alterado o parametro de frequencia para abertura do freio de 1Hz para 2Hz (P389). 
</t>
  </si>
  <si>
    <t xml:space="preserve">CC01 Op280</t>
  </si>
  <si>
    <t xml:space="preserve">Perda de sequência e falha no sinal das carras</t>
  </si>
  <si>
    <t xml:space="preserve">Comunicação com a CPU travada</t>
  </si>
  <si>
    <t xml:space="preserve">Realizado o P-Start do Robô</t>
  </si>
  <si>
    <t xml:space="preserve">Mesa de entrada</t>
  </si>
  <si>
    <t xml:space="preserve">Falha de discordância da mesa</t>
  </si>
  <si>
    <t xml:space="preserve">Provável falha de leitura RFID e erro de procedimento</t>
  </si>
  <si>
    <t xml:space="preserve">Correção do ciclo e ajuste da OF no Siptol</t>
  </si>
  <si>
    <t xml:space="preserve">Robô H4</t>
  </si>
  <si>
    <t xml:space="preserve">Falha de comunicação com módulo de acionamento</t>
  </si>
  <si>
    <t xml:space="preserve">Substituição da Flash do Robô</t>
  </si>
  <si>
    <t xml:space="preserve">OP232</t>
  </si>
  <si>
    <t xml:space="preserve">Não efetuava leitura dos dados do motor via RFID</t>
  </si>
  <si>
    <t xml:space="preserve">As 2 antenas do módulo não estavam inicializando</t>
  </si>
  <si>
    <t xml:space="preserve">Desconectado as antenas, efetuado reset do módulo de leitura sem as antenas e religado uma antena de cada vez.</t>
  </si>
  <si>
    <t xml:space="preserve">OP330.1 </t>
  </si>
  <si>
    <t xml:space="preserve">Está gerando falha na prensagem do escape e da admissão </t>
  </si>
  <si>
    <t xml:space="preserve"> Ainda em análise, gerando falha em alguns motores, as vezes seguidamente 
</t>
  </si>
  <si>
    <t xml:space="preserve">Foram corrigidas as 4 trajetórias para prensagem do escape e as 4 trajetórias da admissão´. Também reapertado parafusos de fixação dos cilindros de prensagem, porém mesmo assim ocorrem erros na execução da prensagem.   
</t>
  </si>
  <si>
    <t xml:space="preserve">Robo L0 Griper L01 e Recalagem</t>
  </si>
  <si>
    <t xml:space="preserve">
L01 Defefeito de detecção de peça  
</t>
  </si>
  <si>
    <t xml:space="preserve">Quebra do gripper devido a peça fora de geometria.</t>
  </si>
  <si>
    <t xml:space="preserve">Reparo do gripper e retirada da peça para inserção no ponto recalagem. Houve a tentativa de reinserção de peça, no entanto era peça específica. 
</t>
  </si>
  <si>
    <t xml:space="preserve"> OP360</t>
  </si>
  <si>
    <t xml:space="preserve">Não realizava a des-placagem do motor</t>
  </si>
  <si>
    <t xml:space="preserve">Dispositivo embreagem travado fora de ciclo</t>
  </si>
  <si>
    <t xml:space="preserve">Recolocada a máquina em ciclo  
</t>
  </si>
  <si>
    <t xml:space="preserve">Defeito na segurança de ar na pega do gripper  </t>
  </si>
  <si>
    <t xml:space="preserve">Falha no trojan do dispositivo C81</t>
  </si>
  <si>
    <t xml:space="preserve">Realizado a substituição do trojan. Porém o mesmo continuou em falha, após realizar alguns movimentos manuais para passagem de outros modelos de veículos e com isso testarmos a funcionalidade do apply, foi verificado no próprio trojan recém trocado que estava faltando um jumper na ligação do fechamento de segurança. Colocado este jumper e a linha foi liberada. </t>
  </si>
  <si>
    <t xml:space="preserve">P10  - Calha de retalho</t>
  </si>
  <si>
    <t xml:space="preserve">Falha segurança</t>
  </si>
  <si>
    <t xml:space="preserve">Problema de acionamento na haste da micro da calha traseira direita  
</t>
  </si>
  <si>
    <t xml:space="preserve">Executado ajuste da haste do fim de curso (Demora na localização e acesso ao painel) </t>
  </si>
  <si>
    <t xml:space="preserve">Transportador Aéreo</t>
  </si>
  <si>
    <t xml:space="preserve">Z3: M0C Def. Limite de torque excedido </t>
  </si>
  <si>
    <t xml:space="preserve">Falha no Drive devido falha Profinet (Cabo de interligação do portão com drive transportador aéreo problema no conector M12 "realocado painel pelo projeto no final de semana")   
</t>
  </si>
  <si>
    <t xml:space="preserve">Passagem cabo por fora (demora devido diagnóstico, apenas falha excesso de torque na IHMP ODIL, falha profinet aparecia e saia).    
</t>
  </si>
  <si>
    <t xml:space="preserve">Botoeiras ME3</t>
  </si>
  <si>
    <t xml:space="preserve">Def. 24V </t>
  </si>
  <si>
    <t xml:space="preserve">Fusível do painel QRQC queimado –Causa raiz em análise </t>
  </si>
  <si>
    <t xml:space="preserve">Substituição do fusível</t>
  </si>
  <si>
    <t xml:space="preserve">Posto 310 </t>
  </si>
  <si>
    <t xml:space="preserve">Robô parado não realiza ciclo </t>
  </si>
  <si>
    <t xml:space="preserve">Falha comunicação com o PLC </t>
  </si>
  <si>
    <t xml:space="preserve">Verificação  do gripper, reinicialização do robô e colocação em ciclo. </t>
  </si>
  <si>
    <t xml:space="preserve">Posto 270</t>
  </si>
  <si>
    <t xml:space="preserve">Erro de seguimento do Eixo X  - posicionador de braços</t>
  </si>
  <si>
    <t xml:space="preserve">Valor  do posicionador da lixa S4-Arm9 offset incorreto gerando travamento do eixo X 
</t>
  </si>
  <si>
    <t xml:space="preserve">Correção do valor do offset S4-Arma9 (DB648.DBD18 "415200 para 230"). Desmontagem do eixo X, posicionamento e referenciamento do mesmo e colocação maquina em funcionamento. 
</t>
  </si>
  <si>
    <t xml:space="preserve">Painel geral de alimentação da sala  </t>
  </si>
  <si>
    <t xml:space="preserve">Falha na alimentação do painel. </t>
  </si>
  <si>
    <t xml:space="preserve">Curto circuito nos bornes de alimentação do Painel e queima de fusível no cofre. 
</t>
  </si>
  <si>
    <t xml:space="preserve">Foi instalado um disjuntor no lugar dos bornes, devido a não ter o mesmo para substituição. Realizado a troca do fusível queimado</t>
  </si>
  <si>
    <t xml:space="preserve">Não realizava a gravação do bloco, robô parado e aguardando ciclo. </t>
  </si>
  <si>
    <t xml:space="preserve">Ainda em análise, devido a não carregar as informações para gravação</t>
  </si>
  <si>
    <t xml:space="preserve">Forçado sinal de fim de ciclo de gravação e descartado o bloco e o pallet com cartão vermelho 
</t>
  </si>
  <si>
    <t xml:space="preserve">Equipamento:  OP110 (TAYO) </t>
  </si>
  <si>
    <t xml:space="preserve">Não realizava início do ciclo  </t>
  </si>
  <si>
    <t xml:space="preserve">Travou na condição de medição Mestre, não liberando condições para operação normal.  
</t>
  </si>
  <si>
    <t xml:space="preserve">Set via software da memória de medição Mestre.  </t>
  </si>
  <si>
    <t xml:space="preserve">Robô C0 </t>
  </si>
  <si>
    <t xml:space="preserve">Perda de sincronismo de funcionamento</t>
  </si>
  <si>
    <t xml:space="preserve">Falta de evento 7 devido a falha na abertura de serragens </t>
  </si>
  <si>
    <t xml:space="preserve">Retirado a peça da mesa A3 e realizado o retorno a origem, e corrigido as aberturas das serragens</t>
  </si>
  <si>
    <t xml:space="preserve">Talha forno (cadinho)</t>
  </si>
  <si>
    <t xml:space="preserve">Não realizava o fechamento da tampa.</t>
  </si>
  <si>
    <t xml:space="preserve">Talha travou na tampa durante a abertura</t>
  </si>
  <si>
    <t xml:space="preserve">Foi realizado o reset da talha e destravado a tampa para realizar o fechamento</t>
  </si>
  <si>
    <t xml:space="preserve">Robô C4 Kuka</t>
  </si>
  <si>
    <t xml:space="preserve">Falha de Excesso de torque do eixo externo da Pinça</t>
  </si>
  <si>
    <t xml:space="preserve">Configuração de Skid incorreta</t>
  </si>
  <si>
    <t xml:space="preserve">Reinicialização do Robô, referenciamento do eixo externo e posicionamento correto do suporte do Skid.</t>
  </si>
  <si>
    <t xml:space="preserve">Elevador M0 Pickup</t>
  </si>
  <si>
    <t xml:space="preserve">Depositando carro fora dos pilotos no palete.</t>
  </si>
  <si>
    <t xml:space="preserve">Quebra dos pinos elásticos do acoplamento do sistema de tração das correias de elevação do elevador M0</t>
  </si>
  <si>
    <t xml:space="preserve">Reaperado acoplamentos, efetuado solda como contenção entre acoplamento e eixo, ajustado o nível do elevador, ajustado posição da balsa e ajustado index da balsa. 
</t>
  </si>
  <si>
    <t xml:space="preserve">Mesa de Elevação Troca skid 05 </t>
  </si>
  <si>
    <t xml:space="preserve">Queda da mesa de elevação (Defeito Fim de curso quebra da corrente)  
</t>
  </si>
  <si>
    <t xml:space="preserve">Rompimento das correias de Elevação</t>
  </si>
  <si>
    <t xml:space="preserve">Reparo do esticador e Substituição das correias arrebentadas  </t>
  </si>
  <si>
    <t xml:space="preserve">Robô 03 </t>
  </si>
  <si>
    <t xml:space="preserve">Robô 03 travado </t>
  </si>
  <si>
    <t xml:space="preserve">Robô 03 travado falha de Sistema (20254)</t>
  </si>
  <si>
    <t xml:space="preserve">Reinicialização do Robô duas vezes para retorno ao funcionamento (Necessária programação para reinstalar sistema).</t>
  </si>
  <si>
    <t xml:space="preserve">Magazine</t>
  </si>
  <si>
    <t xml:space="preserve">Falha no Drive (SEW)</t>
  </si>
  <si>
    <t xml:space="preserve">Modulo de potência do drive com problemas </t>
  </si>
  <si>
    <t xml:space="preserve">Substuituição por modulo de potência  por menor capacidade e limitado velocidade a 50%</t>
  </si>
  <si>
    <t xml:space="preserve">Robô 220 - 1 Falha parafusamento</t>
  </si>
  <si>
    <t xml:space="preserve">Suporte eixo 7 com base torta colisão dia anterior. </t>
  </si>
  <si>
    <t xml:space="preserve">Rodando com algumas falhas de parafusamento para um modelo, na troca de tipo problema de parafusamento em quase todos motores, colocação do Robô em degradado e substituição da base no intervalo do almoço, (necessária verificação do KM0 e ajustes no intervalo parafusamento em degradado)    
</t>
  </si>
  <si>
    <t xml:space="preserve">Posto 0 </t>
  </si>
  <si>
    <t xml:space="preserve">Posto não libera o pallet</t>
  </si>
  <si>
    <t xml:space="preserve">Erro de leitura e escrita da TAG. </t>
  </si>
  <si>
    <t xml:space="preserve">Suporte e auxilio analise do problema (Substituição da antena por outra usada, no intervalo do almoço), ocorrencia de um evento após o almoço. </t>
  </si>
  <si>
    <t xml:space="preserve">Br05 H79 </t>
  </si>
  <si>
    <t xml:space="preserve">Talha do posto parou e talha reserva estava com cabo rompido  
</t>
  </si>
  <si>
    <t xml:space="preserve">Em diagnostico talha principal. </t>
  </si>
  <si>
    <t xml:space="preserve">Reparo da talha reserva e colocação em funcionamento (Talha principal permanece intervenção para restabelecimento)</t>
  </si>
  <si>
    <t xml:space="preserve">Posto 0</t>
  </si>
  <si>
    <t xml:space="preserve">
Suporte e auxilio analise do problema (Substituição por antena e cabo novo, no intervalo do café).   
</t>
  </si>
  <si>
    <t xml:space="preserve"> BAP </t>
  </si>
  <si>
    <t xml:space="preserve">Falha intermitente, não prensava o pistão</t>
  </si>
  <si>
    <t xml:space="preserve"> Identificado sensor falhando. Rotula do cilindro pneumático da estação 2 solto, cilindro parando fora de posição.</t>
  </si>
  <si>
    <t xml:space="preserve">Fixado rotula e ajustado cilindro.</t>
  </si>
  <si>
    <t xml:space="preserve"> CSA200 EOM H79 </t>
  </si>
  <si>
    <t xml:space="preserve">EOM H79 não deposita o teto no carro </t>
  </si>
  <si>
    <t xml:space="preserve">Verificação condições faltantes via software, Colocação teto na Area do Bretele e validação. Falta sinal 24V de segurança para movimentação da EOM 
</t>
  </si>
  <si>
    <t xml:space="preserve">Verificação condições faltantes via software, Colocação teto na Area do Bretele e validação. </t>
  </si>
  <si>
    <t xml:space="preserve">Pinça de solda</t>
  </si>
  <si>
    <t xml:space="preserve">Pinça não efetua solda  
</t>
  </si>
  <si>
    <t xml:space="preserve">Cabo de comando (entre pinça e painel) com vias rompidas</t>
  </si>
  <si>
    <t xml:space="preserve">Substituição do cabo pinça. </t>
  </si>
  <si>
    <t xml:space="preserve">Portão 4 Zona 3</t>
  </si>
  <si>
    <t xml:space="preserve">Falha Profinet (com informação defeito abertura Portão 4) 
</t>
  </si>
  <si>
    <t xml:space="preserve">Falha no dispositivo portão conjunto Chave Euchner, e falha desvio 1 e 2 Piso Central Monofluxo (Desvio com alimentação Ar incorreta Projeto HJD)</t>
  </si>
  <si>
    <t xml:space="preserve">
Efetuado By pass do portão e travado com corrente (Area nova Projeto HJD)   
</t>
  </si>
  <si>
    <t xml:space="preserve">P21 </t>
  </si>
  <si>
    <t xml:space="preserve">Falha modulo I/O da pilz</t>
  </si>
  <si>
    <t xml:space="preserve">Encontrado cabo do fim de curso da tampa de retalhos cortado as 21h</t>
  </si>
  <si>
    <t xml:space="preserve">Reparo cabo do fim de curso</t>
  </si>
  <si>
    <t xml:space="preserve"> Robô R22 </t>
  </si>
  <si>
    <t xml:space="preserve">Falha na rede de comunicação do Robô</t>
  </si>
  <si>
    <t xml:space="preserve">Curto em um módulo da Piconet (A22) no MVS</t>
  </si>
  <si>
    <t xml:space="preserve">Substituído o módulo</t>
  </si>
  <si>
    <t xml:space="preserve">EOMH79</t>
  </si>
  <si>
    <t xml:space="preserve">Falta de alimentação de todas entradas da CPX da EOM</t>
  </si>
  <si>
    <t xml:space="preserve">Uma das alimentações 24V que alimenta só as entradas estava rompida 
</t>
  </si>
  <si>
    <t xml:space="preserve">Para liberar foi ligado a outra alimentação no 24V que vem para alimentação dos módulos. Ficou de durante um intervalo possível fazer uma revisão do cabo na esteira porta cabos. 
</t>
  </si>
  <si>
    <t xml:space="preserve">Piso Traseiro U79 - Pinça de Solda PTM0023</t>
  </si>
  <si>
    <t xml:space="preserve">Falha de solda </t>
  </si>
  <si>
    <t xml:space="preserve">Braço móvel da pinça problema interno isolando circulação de corrente.  
</t>
  </si>
  <si>
    <t xml:space="preserve">Substituição do Braço da Pinça</t>
  </si>
  <si>
    <t xml:space="preserve">Robô K4 </t>
  </si>
  <si>
    <t xml:space="preserve">Falha no Tool Chager robo k4</t>
  </si>
  <si>
    <t xml:space="preserve">Falha no sensor de acoplado/ desacoplado</t>
  </si>
  <si>
    <t xml:space="preserve">Ajustado o Sensor. Ao montar o tool change foi deixado deslocado em angulo. Foi necessário desmontar, reposicionar e reafixar no robô.</t>
  </si>
  <si>
    <t xml:space="preserve">Mesa E0 </t>
  </si>
  <si>
    <t xml:space="preserve">Enrosco de peça na Mesa ao inserir, colisão com robô E0.</t>
  </si>
  <si>
    <t xml:space="preserve">Quebra da trava do piloto do locator </t>
  </si>
  <si>
    <t xml:space="preserve">Substituído Piloto, e verificado trajetórias dos modelos X52 e BBB    
</t>
  </si>
  <si>
    <t xml:space="preserve">BLOCO CMO</t>
  </si>
  <si>
    <t xml:space="preserve">Gehring</t>
  </si>
  <si>
    <t xml:space="preserve">Defeito etiqueta Balogh da entrada da Gehring </t>
  </si>
  <si>
    <t xml:space="preserve">Falha no sensor 
</t>
  </si>
  <si>
    <t xml:space="preserve">Ajustado o sensor. Durante o inicio da falha foi retirado peça em manual e por falta de destreza da área perdeu-se todo o ciclo, com isso foi necessário referenciar todo o equipamento. 
</t>
  </si>
  <si>
    <t xml:space="preserve">Robô F6</t>
  </si>
  <si>
    <t xml:space="preserve">Defeito de presença de ar </t>
  </si>
  <si>
    <t xml:space="preserve">Pino do apply travado e ao fazer o procedimento de troca foi gerado um curto queimando o fusivel. 
</t>
  </si>
  <si>
    <t xml:space="preserve">Substituição do fusível e do pino do apply. Ajustado as memorias do robô.</t>
  </si>
  <si>
    <t xml:space="preserve">Falha de medição eixo A2 </t>
  </si>
  <si>
    <t xml:space="preserve">Cabo  do resolver danificado.</t>
  </si>
  <si>
    <t xml:space="preserve">Substituição do cabo.</t>
  </si>
  <si>
    <t xml:space="preserve">Virador de palet</t>
  </si>
  <si>
    <t xml:space="preserve">Sobrecarga no drive. </t>
  </si>
  <si>
    <t xml:space="preserve">Travamento mecânico do mancal de transmissão</t>
  </si>
  <si>
    <t xml:space="preserve">Substituição do mancal.</t>
  </si>
  <si>
    <t xml:space="preserve">PC</t>
  </si>
  <si>
    <t xml:space="preserve">Falha no teste elétrico.</t>
  </si>
  <si>
    <t xml:space="preserve">Aplicação SIDIS travada.</t>
  </si>
  <si>
    <t xml:space="preserve">Reiniciado PC do SIDIS.</t>
  </si>
  <si>
    <t xml:space="preserve"> ISRA</t>
  </si>
  <si>
    <t xml:space="preserve">Travamento do PC do sistema de Visão e Falha na medição do BBB</t>
  </si>
  <si>
    <t xml:space="preserve">Em Analise , identificado vários erros de configuração no sistema de visã</t>
  </si>
  <si>
    <t xml:space="preserve">21:20 o PC do ISRA apresentou falha e foi necessario realizar duas vezes o Reset, após a intervenção o BBB iniciou erro de medição, foi desativado o sistema de visão e iniciado a aplicação por orintação de ponto medio gerado no PLC.                                                                           
0:30 a produção percebeu que o H79 em modo de aplicação de ponto medio não estava sendo aplicado havia passado varias carrocerias sem aplicação, foi iniciado a aplicação manual nos H79.  
2:30 retornamos o sistema de visão após restaurar o backup do dia 07 
Obs: O Sistema de Visão esta com erros nos arquivos de configuração de imagem e sistemas de backup automatico, necessario programar intervenção de correção 
</t>
  </si>
  <si>
    <t xml:space="preserve"> BAP</t>
  </si>
  <si>
    <t xml:space="preserve">Falha intermitente no recuo do cilindro</t>
  </si>
  <si>
    <t xml:space="preserve">Sensor fora de posição</t>
  </si>
  <si>
    <t xml:space="preserve">Ajustado a posição do sensor 
</t>
  </si>
  <si>
    <t xml:space="preserve">Extrator 1</t>
  </si>
  <si>
    <t xml:space="preserve">Falha no monitoramento do PTC</t>
  </si>
  <si>
    <t xml:space="preserve">Problema na interface de leitura 
</t>
  </si>
  <si>
    <t xml:space="preserve">Substituição da interface (usada a interface do extrator 3, que esta desabilitado)</t>
  </si>
  <si>
    <t xml:space="preserve">Pinça ARO</t>
  </si>
  <si>
    <t xml:space="preserve">Falha no acionamento da pinça</t>
  </si>
  <si>
    <t xml:space="preserve">Curto no cabo de sinal e Cabo Afenol com mal contato</t>
  </si>
  <si>
    <t xml:space="preserve">Reapertado a conexão do cabo afenol, substituido o cabo y em curto e verificdo o controlador. 
</t>
  </si>
  <si>
    <t xml:space="preserve">Mesa C0</t>
  </si>
  <si>
    <t xml:space="preserve">Carroceria parou na mesa sem alarme</t>
  </si>
  <si>
    <t xml:space="preserve">Falha no atuador pneumático do locator direito</t>
  </si>
  <si>
    <t xml:space="preserve">Feita a substituição do atuador.</t>
  </si>
  <si>
    <t xml:space="preserve">PLASTICO</t>
  </si>
  <si>
    <t xml:space="preserve">Impressora Zebra</t>
  </si>
  <si>
    <t xml:space="preserve">Falha de impressão pelo supervisório de forma automática</t>
  </si>
  <si>
    <t xml:space="preserve">Erro interno da aplicação Clid </t>
  </si>
  <si>
    <t xml:space="preserve">Lançamento manual de impressão de etiquetas (está sendo contatado o fornecedor)</t>
  </si>
  <si>
    <t xml:space="preserve">Falha de comunicação com SIPTOL ( várias ocorrências no turno)</t>
  </si>
  <si>
    <t xml:space="preserve">Desconexão do processo SIPTOL </t>
  </si>
  <si>
    <t xml:space="preserve">(em análise)</t>
  </si>
  <si>
    <t xml:space="preserve">Robô do Magazine</t>
  </si>
  <si>
    <t xml:space="preserve">Perda de ciclo do Robô</t>
  </si>
  <si>
    <t xml:space="preserve">Realizado o REPLI do robo</t>
  </si>
  <si>
    <t xml:space="preserve">Dobradora 4</t>
  </si>
  <si>
    <t xml:space="preserve">Falha na dobra do tubo do BBB  </t>
  </si>
  <si>
    <t xml:space="preserve">Eixo 10 fora de referência </t>
  </si>
  <si>
    <t xml:space="preserve">Realizado o referenciamento do eixo 10 </t>
  </si>
  <si>
    <t xml:space="preserve">Bancos 1</t>
  </si>
  <si>
    <t xml:space="preserve">Emergência de Portão</t>
  </si>
  <si>
    <t xml:space="preserve">Falha na cadeia de segurança 
</t>
  </si>
  <si>
    <t xml:space="preserve">Verificado a cadeia de segurança, testado contatos do PILZ, força condições para teste. Mensagem de erro direcionando para localização errada. Encontrado problema com botão de emergência do operador. 
</t>
  </si>
  <si>
    <t xml:space="preserve">Mesa de transporte</t>
  </si>
  <si>
    <t xml:space="preserve">Carroceria não entrando na estação </t>
  </si>
  <si>
    <t xml:space="preserve">Após limpeza da estação, o sensor de presença ficou atuado constantemente pela chapa piso da estação. 
</t>
  </si>
  <si>
    <t xml:space="preserve">Removido interferência, ajustado sequência da fifo e colocação em ciclo.</t>
  </si>
  <si>
    <t xml:space="preserve">Erro de sequência na montadora. Contando um jogo a mais na sequência</t>
  </si>
  <si>
    <t xml:space="preserve">Removido a sequência errada e ajustado a linha.</t>
  </si>
  <si>
    <t xml:space="preserve">Robô C1</t>
  </si>
  <si>
    <t xml:space="preserve">Erro de medida nas espessuras</t>
  </si>
  <si>
    <t xml:space="preserve">Falha no servogum</t>
  </si>
  <si>
    <t xml:space="preserve">Substituído o servo e ajustado um ponto do BBB de tolerância de espessura.. 
</t>
  </si>
  <si>
    <t xml:space="preserve">Servogun sem referência/calibração de espessuras</t>
  </si>
  <si>
    <t xml:space="preserve">Substituição do porta eletrodo fixo e ajustados dos parametros de força e espessura. 
</t>
  </si>
  <si>
    <t xml:space="preserve">Magazine 3</t>
  </si>
  <si>
    <t xml:space="preserve">Falha na porta Euchner</t>
  </si>
  <si>
    <t xml:space="preserve">Cabo de alimentação danificado na curva da eletrocalha.</t>
  </si>
  <si>
    <t xml:space="preserve">Reparo do cabo.</t>
  </si>
  <si>
    <t xml:space="preserve">TK </t>
  </si>
  <si>
    <t xml:space="preserve">Não estava descarregando carro na mesa 5, porém estava tirando da mesa 3  
</t>
  </si>
  <si>
    <t xml:space="preserve">Ainda em análise, possível perda de comunicação entre PLC e PSF, pois não atualizou a troca de informação para saída</t>
  </si>
  <si>
    <t xml:space="preserve">Primeiro foi colocado em By pass devido a volume da passarela ter baixado muito. No intervalo da  ceia foi colocado o PLC em modo prog e voltado para  remoto para iniciar o First Scan do CLP 
</t>
  </si>
  <si>
    <t xml:space="preserve">Não realizava a lubrificação do motor</t>
  </si>
  <si>
    <t xml:space="preserve">Condição de máquina ausente.</t>
  </si>
  <si>
    <t xml:space="preserve">Ajustado posição do sensor que visualiza o mancal do motor para não ocorrer colisão dos bicos de lubrificação.</t>
  </si>
  <si>
    <t xml:space="preserve">OP130</t>
  </si>
  <si>
    <t xml:space="preserve">Falha ALDS5340 parameter checksum error </t>
  </si>
  <si>
    <t xml:space="preserve">passado para 3 turno dar continuidade, pois não solucionamos no 2 turno.</t>
  </si>
  <si>
    <t xml:space="preserve">Robô parou durante processo sem gerar falhas</t>
  </si>
  <si>
    <t xml:space="preserve">Ficou aguardando EV3 e não dava continuidade na trajetória 
</t>
  </si>
  <si>
    <t xml:space="preserve">Retornado para posição Repli e reiniciado trabalho</t>
  </si>
  <si>
    <t xml:space="preserve">PC geral </t>
  </si>
  <si>
    <t xml:space="preserve">PC travou e ao reiniciar não ligou</t>
  </si>
  <si>
    <t xml:space="preserve">Não reconhecia o HD e desligava sozinho 
</t>
  </si>
  <si>
    <t xml:space="preserve">Verificado conexões dos cabos e após algumas tentativa o mesmo ligou. Será feita a subsituição do PC no fim de semana</t>
  </si>
  <si>
    <t xml:space="preserve">Robô B2 </t>
  </si>
  <si>
    <t xml:space="preserve">Falha na troca de ferramenta</t>
  </si>
  <si>
    <t xml:space="preserve">Encontrado defeito na micro sinalização de ferramenta substituída e sinal da trava de ferramenta. 
</t>
  </si>
  <si>
    <t xml:space="preserve">Substituida a micro  e reapertado a trava de ferrmenta.</t>
  </si>
  <si>
    <t xml:space="preserve">Robô D2</t>
  </si>
  <si>
    <t xml:space="preserve">Falha na refrigeração da pinça de solda do robô</t>
  </si>
  <si>
    <t xml:space="preserve">Baixa pressão de água na pinça, causada por sujeira metálica causando obstrução na entrada da pinça fixa</t>
  </si>
  <si>
    <t xml:space="preserve">Desmontado a pinça e retirado a sujeira.</t>
  </si>
  <si>
    <t xml:space="preserve">OP20 </t>
  </si>
  <si>
    <t xml:space="preserve">Falha de velocidade da prensa</t>
  </si>
  <si>
    <t xml:space="preserve">Falha no encoder.</t>
  </si>
  <si>
    <t xml:space="preserve">Substituição o encoder (durante a substituição houve quebra de um dos cabos da conexção do encoder, precisando ser refeita a solda). 
</t>
  </si>
  <si>
    <t xml:space="preserve">Enchimento 2  </t>
  </si>
  <si>
    <t xml:space="preserve">Falha na finalização do ciclo.</t>
  </si>
  <si>
    <t xml:space="preserve">Travamento na troca de informação entre PEV e CLP.</t>
  </si>
  <si>
    <t xml:space="preserve">Desabilitado as 3 estações de enchimento, ajustado ciclo, reiniciado o PEV e reabilitado os enchimentos. 
</t>
  </si>
  <si>
    <t xml:space="preserve">Bloco OP150</t>
  </si>
  <si>
    <t xml:space="preserve">
Falha de leitura da tag BALOG </t>
  </si>
  <si>
    <t xml:space="preserve">Programa do robô corrompido</t>
  </si>
  <si>
    <t xml:space="preserve">Feito restore do programa do robô</t>
  </si>
  <si>
    <t xml:space="preserve">Ventilação</t>
  </si>
  <si>
    <t xml:space="preserve">Motor chegava a 500rpm e desligava sozinho sem falha (set point 3500)</t>
  </si>
  <si>
    <t xml:space="preserve">Foi substituído motor para balanceamento do ventilador, ao substituir não rodou mais.</t>
  </si>
  <si>
    <t xml:space="preserve">Foi voltado motor que está em funcionamento e estava sendo retirado para balanceamento.</t>
  </si>
  <si>
    <t xml:space="preserve"> OP110  </t>
  </si>
  <si>
    <t xml:space="preserve">Não realizava o Start do Windows</t>
  </si>
  <si>
    <t xml:space="preserve">HD corrompido</t>
  </si>
  <si>
    <t xml:space="preserve">Copiado imagem e instalado em novo HD.</t>
  </si>
  <si>
    <t xml:space="preserve">Prensa 2</t>
  </si>
  <si>
    <t xml:space="preserve">Não realizava prensagem</t>
  </si>
  <si>
    <t xml:space="preserve">Perda de sequenciamento de prensagem</t>
  </si>
  <si>
    <t xml:space="preserve">Retirado todas as peças das prensas e realizado o sequenciamento de passos corretamente. Corrigido ciclo da máquina</t>
  </si>
  <si>
    <t xml:space="preserve">OP120</t>
  </si>
  <si>
    <t xml:space="preserve">Falha rede profinet</t>
  </si>
  <si>
    <t xml:space="preserve">Repartidor profinet do nó 15 com defeito</t>
  </si>
  <si>
    <t xml:space="preserve">Necessário substituir o repartidor. Não possui em estoque</t>
  </si>
  <si>
    <t xml:space="preserve"> CS80</t>
  </si>
  <si>
    <t xml:space="preserve">Falha na identificação de modelo</t>
  </si>
  <si>
    <t xml:space="preserve">Tag RFID do skid quebrada</t>
  </si>
  <si>
    <t xml:space="preserve">Forçado o modelo a ser feito até o ponto de saida e substituido a tag danificada. </t>
  </si>
  <si>
    <t xml:space="preserve">Mesa 91</t>
  </si>
  <si>
    <t xml:space="preserve">Timeout rolos mesa 93</t>
  </si>
  <si>
    <t xml:space="preserve">Falha no descarregamento da mesa</t>
  </si>
  <si>
    <t xml:space="preserve">Retirado a carroceria da possição incorreta e ajusta a logica de transferência. 
</t>
  </si>
  <si>
    <t xml:space="preserve">Falha de dados incorretos Siptol.</t>
  </si>
  <si>
    <t xml:space="preserve">Após colisão de skid na mesa B0 Fm20, foi forçado erroneamente a evacuação do carro sem escrever na base de dados.</t>
  </si>
  <si>
    <t xml:space="preserve">Escrito carro direto na base de dados e forçado como peça sem trabalho e retirado no final da linha M0 
</t>
  </si>
  <si>
    <t xml:space="preserve">PVD701</t>
  </si>
  <si>
    <t xml:space="preserve">não fazia fechamento do carro CA1</t>
  </si>
  <si>
    <t xml:space="preserve">acumulo de resíduo nas guias lineares </t>
  </si>
  <si>
    <t xml:space="preserve">forçado o movimento na válvula e retirado o excesso de resíduos</t>
  </si>
  <si>
    <t xml:space="preserve">não liga  circuito de bombas</t>
  </si>
  <si>
    <t xml:space="preserve">saída Q8.1 queimada, e relé auxiliar de 24Vcc com mau contato 
</t>
  </si>
  <si>
    <t xml:space="preserve">alterado para saida reserva Q8.4 e substituído relé</t>
  </si>
  <si>
    <t xml:space="preserve"> Robô </t>
  </si>
  <si>
    <t xml:space="preserve">Ficou aguardando EV3 e não dava continuidade na trajetória</t>
  </si>
  <si>
    <t xml:space="preserve">PC exploração</t>
  </si>
  <si>
    <t xml:space="preserve">Tela Azul no PC, não ligava</t>
  </si>
  <si>
    <t xml:space="preserve">HD corrompido na unidade C, as demais unidades D e F funcionais</t>
  </si>
  <si>
    <t xml:space="preserve">Substituído por um PC reserva da carroceria</t>
  </si>
  <si>
    <t xml:space="preserve">Robô colidiu no posto</t>
  </si>
  <si>
    <t xml:space="preserve">Robô não soltou o bloco da garra.</t>
  </si>
  <si>
    <t xml:space="preserve">Ajuste das posições do robô</t>
  </si>
  <si>
    <t xml:space="preserve">Parada na solta de peça </t>
  </si>
  <si>
    <t xml:space="preserve">Falha com a trajetória do robô </t>
  </si>
  <si>
    <t xml:space="preserve">Ajuste a trajetória do robô </t>
  </si>
  <si>
    <t xml:space="preserve">Elevador de laterais</t>
  </si>
  <si>
    <t xml:space="preserve">Elevador não sobe.</t>
  </si>
  <si>
    <t xml:space="preserve">
Condição logica no clp que  impede o elevador de subir quando tem saturação de cabide e acionamento de um sensor de evacuação 
</t>
  </si>
  <si>
    <t xml:space="preserve">Retirada a lógica de saturação.</t>
  </si>
  <si>
    <t xml:space="preserve">PC industrial não inicializa</t>
  </si>
  <si>
    <t xml:space="preserve">Placa mão/processador danificados</t>
  </si>
  <si>
    <t xml:space="preserve">Substituição do computador</t>
  </si>
  <si>
    <t xml:space="preserve">cadeia de segurança</t>
  </si>
  <si>
    <t xml:space="preserve">falha no 24Vcc de segurança</t>
  </si>
  <si>
    <t xml:space="preserve">cartão de segurança PILZ =10-A0.35 com mau contato interno.</t>
  </si>
  <si>
    <t xml:space="preserve">Substituído cartão ok</t>
  </si>
  <si>
    <t xml:space="preserve">Substituição do computador da OP200 - Virabrequim 
</t>
  </si>
  <si>
    <t xml:space="preserve">OP164</t>
  </si>
  <si>
    <t xml:space="preserve">Quebra da correia de transporte</t>
  </si>
  <si>
    <t xml:space="preserve">Parafuso caiu entre os elos, causando a quebra e subsequentemente entortando as guias. 
</t>
  </si>
  <si>
    <t xml:space="preserve">Substituição da correia e ajuste das guias.</t>
  </si>
  <si>
    <t xml:space="preserve">Falha ao fresar eletrodo robô E2, não liga motor da fresa</t>
  </si>
  <si>
    <t xml:space="preserve">Mau contato no cabo de comando (caixa de ligação dentro da ilha)</t>
  </si>
  <si>
    <t xml:space="preserve">Desconectado cabo e conectado novamente (cabo com rosca esquerda na conexão). 
</t>
  </si>
  <si>
    <t xml:space="preserve">Mesa H0 </t>
  </si>
  <si>
    <t xml:space="preserve">Defeito disjuntor SDB1</t>
  </si>
  <si>
    <t xml:space="preserve">Retificador do Freio queimado. Ocorreu a cola de eletrodo, caindo água sobre o motor. 
</t>
  </si>
  <si>
    <t xml:space="preserve">Substituição do retificador do freio</t>
  </si>
  <si>
    <t xml:space="preserve">Virabrequim OP130  </t>
  </si>
  <si>
    <t xml:space="preserve">Erro de medição</t>
  </si>
  <si>
    <t xml:space="preserve">Ainda e análise</t>
  </si>
  <si>
    <t xml:space="preserve">Realizado verificação e inspeções nos MARPOSS </t>
  </si>
  <si>
    <t xml:space="preserve">OP90 </t>
  </si>
  <si>
    <t xml:space="preserve">Falha de rede causou o erro de troca de dados entre BHG e Máquina </t>
  </si>
  <si>
    <t xml:space="preserve">Resistor de terminação da rede desabilitado.</t>
  </si>
  <si>
    <t xml:space="preserve">Religaçaõ do resistor de terminação da rede.</t>
  </si>
  <si>
    <t xml:space="preserve">Virabrequim OP130   </t>
  </si>
  <si>
    <t xml:space="preserve">Erro de medição e circuito de segurança.</t>
  </si>
  <si>
    <t xml:space="preserve">Realizado verificação nas chaves de segurança, gerando erro de I/Os  
</t>
  </si>
  <si>
    <t xml:space="preserve">Máquina Nagel 2  </t>
  </si>
  <si>
    <t xml:space="preserve">Perda de sinal de referência  eixo S5 </t>
  </si>
  <si>
    <t xml:space="preserve">Após erro de encoder e posição no Brunimento da peça</t>
  </si>
  <si>
    <t xml:space="preserve">Zerado o posicionamento para movimentar o eixo e logo após refeito todo o procedimento de calibração e referênciamento da mesma.</t>
  </si>
  <si>
    <t xml:space="preserve">Elevador 21 saida carroceria</t>
  </si>
  <si>
    <t xml:space="preserve">INTRUSÃO BARREIRA SICK MESA 20 </t>
  </si>
  <si>
    <t xml:space="preserve"> Barreira desalinhanda (BBB com porta aberta vindo do retoque colidiu com a barreira entrada elevador) </t>
  </si>
  <si>
    <t xml:space="preserve">Alinhamento da barreira e restabelecimento funcionamento </t>
  </si>
  <si>
    <t xml:space="preserve">Falha na came de segurança </t>
  </si>
  <si>
    <t xml:space="preserve">caiu a rede profinet com robô na zona de interferência com operador</t>
  </si>
  <si>
    <t xml:space="preserve">Retirado robô em manual forçando liberação do freio eixo 1, empurrado robô para posição da came, rearmado a ilha e atualizado os contadores de revolução do robô.</t>
  </si>
  <si>
    <t xml:space="preserve">ISRA Preto Estilo </t>
  </si>
  <si>
    <t xml:space="preserve">Não estava realizando a medição do L52  </t>
  </si>
  <si>
    <t xml:space="preserve">iniciou-se o erro após ima falha durante a passagem do L52 no preto estilo </t>
  </si>
  <si>
    <t xml:space="preserve">Descarregado um backup do dia 21-04-19 para corrigir arquivo de aplicação e medição das cameras.</t>
  </si>
  <si>
    <t xml:space="preserve">CSA150 </t>
  </si>
  <si>
    <t xml:space="preserve">Perda de ciclo de funcionamento da mesa e da EOM200</t>
  </si>
  <si>
    <t xml:space="preserve">Erro na colocação de travessa e transferência manual do veiculo </t>
  </si>
  <si>
    <t xml:space="preserve">Corrigido posição do veículo na mesa e o ciclo de funcionamento, também corrigido ciclo de funcionamento da EOM.</t>
  </si>
  <si>
    <t xml:space="preserve">NC Locator E0NCLOC1</t>
  </si>
  <si>
    <t xml:space="preserve">Z1: E0LOC1 Défaut NC Locator E0NCLOC1 </t>
  </si>
  <si>
    <t xml:space="preserve">Peça trocada, H79 4x2 no lugar do L52 </t>
  </si>
  <si>
    <t xml:space="preserve">Retirada de peça incorreta soldada outra peça pelo operador da preparação e substituida. </t>
  </si>
  <si>
    <t xml:space="preserve">Erro de sequenciamento de carros</t>
  </si>
  <si>
    <t xml:space="preserve">Fifo Retar Renault quantidade de carros incorreta</t>
  </si>
  <si>
    <t xml:space="preserve">Correção da Fifo e ajustado sequenciamento da saida do TristOK</t>
  </si>
  <si>
    <t xml:space="preserve">Não faz leitura Data matrix embreagem </t>
  </si>
  <si>
    <t xml:space="preserve">Peça incorreta no Kit </t>
  </si>
  <si>
    <t xml:space="preserve">Verificação e substituição da peça incorreta </t>
  </si>
  <si>
    <t xml:space="preserve">Não estava realizando a medição do BBB, sem gerar falhas </t>
  </si>
  <si>
    <t xml:space="preserve">Arquivo corrompido do sw Rovis (isra) </t>
  </si>
  <si>
    <t xml:space="preserve">Descarregado um backup do dia 21/04/19 para corrigir arquivo de aplicação e medição das cameras, solicitado apoio do Luã para verificar o PC.</t>
  </si>
  <si>
    <t xml:space="preserve">Cabine Estufa  </t>
  </si>
  <si>
    <t xml:space="preserve">Não estava ligando a Chama do aquecedor</t>
  </si>
  <si>
    <t xml:space="preserve">Falha no controlador Honeywell</t>
  </si>
  <si>
    <t xml:space="preserve">Substituído o controlador por de outro lugar (Estufa Cata). Após isso instalado o que estava com falha  na estufa (Cata) e o mesmo voltou a funcionar, porém está intermitente esta falha.
Não tem a peça no almoxarifado (R100165804)
</t>
  </si>
  <si>
    <t xml:space="preserve">Refrigeração da Injetora de Molde </t>
  </si>
  <si>
    <t xml:space="preserve">não estava inicializando a máquina</t>
  </si>
  <si>
    <t xml:space="preserve">Baixo nível de liquido refrigerante </t>
  </si>
  <si>
    <t xml:space="preserve">Abastecido o reservatório  </t>
  </si>
  <si>
    <t xml:space="preserve">Mesa do forno de molde </t>
  </si>
  <si>
    <t xml:space="preserve">não estava indicando que a mesa estava na posição alta </t>
  </si>
  <si>
    <t xml:space="preserve">Mesa travou no final da elevação</t>
  </si>
  <si>
    <t xml:space="preserve">realizado manualmente o movimento para baixo e depois novamente para cima, com isso a mesa chegou na posição correta</t>
  </si>
  <si>
    <t xml:space="preserve">Banco 1 e 2 </t>
  </si>
  <si>
    <t xml:space="preserve">Motor não iniciava o ciclo de teste</t>
  </si>
  <si>
    <t xml:space="preserve">Pressão de combustível da linha quase "0"</t>
  </si>
  <si>
    <t xml:space="preserve">realizado manobras na válvula de ar para liberação da bomba pneumática</t>
  </si>
  <si>
    <t xml:space="preserve">CCG400</t>
  </si>
  <si>
    <t xml:space="preserve">Z1: A02 Falha Condição Máquina Bloq Lancar A0/B0  </t>
  </si>
  <si>
    <t xml:space="preserve">Quebra conector alimentação Profinet modulo distribuição do posto A0 (Deposito de peça na região do distribuidor de Profinet). </t>
  </si>
  <si>
    <t xml:space="preserve">Posicionado o conector provisoriamente para rodar e realizada a substituição do conector no intervalo.  </t>
  </si>
  <si>
    <t xml:space="preserve">Robô 2 </t>
  </si>
  <si>
    <t xml:space="preserve">Falha de Sistema do Robô</t>
  </si>
  <si>
    <t xml:space="preserve">Desligamento para verificação de jump na placa do Robô. Ao religar, o robô apresentou falha de sistema</t>
  </si>
  <si>
    <t xml:space="preserve">Reinstalação do sistema, calibração dos eixos do Robo, descarregamento do Backup e colocação processo em funcionamento</t>
  </si>
  <si>
    <t xml:space="preserve">OP90</t>
  </si>
  <si>
    <t xml:space="preserve">Falha no servomotor da mesa</t>
  </si>
  <si>
    <t xml:space="preserve">Eixo de acionamento da mesa travado por falta de lubrificação nos rolamentos.</t>
  </si>
  <si>
    <t xml:space="preserve">substituido rolamento </t>
  </si>
  <si>
    <t xml:space="preserve"> todos os painéis de lançamento</t>
  </si>
  <si>
    <t xml:space="preserve">Todos os painéis de lançamento em falha</t>
  </si>
  <si>
    <t xml:space="preserve">falha na LTS</t>
  </si>
  <si>
    <t xml:space="preserve">Alterado para o ponto de rede backup em todos os painéis, alguns foi necessário efetuar um reset geral do painel, corrigido a sequência PJI.</t>
  </si>
  <si>
    <t xml:space="preserve">Enchimento de BV</t>
  </si>
  <si>
    <t xml:space="preserve">Não realizava o enchimento de BV</t>
  </si>
  <si>
    <t xml:space="preserve">Não estava contando os pulsos para enchimento.</t>
  </si>
  <si>
    <t xml:space="preserve">Sensor de medição da vazão estava travado, verificado a tubulação após troca do filtro e mexido no sensor para destravar a leitura</t>
  </si>
  <si>
    <t xml:space="preserve"> OP100 CU2 </t>
  </si>
  <si>
    <t xml:space="preserve">sem imagem na Tela da operação </t>
  </si>
  <si>
    <t xml:space="preserve">Realizado o reset da IHM   </t>
  </si>
  <si>
    <t xml:space="preserve"> OP110</t>
  </si>
  <si>
    <t xml:space="preserve">Falta de iniciar em home position </t>
  </si>
  <si>
    <t xml:space="preserve">Defeito no sinal da porta de saída com sinal de fechando</t>
  </si>
  <si>
    <t xml:space="preserve">Verificado as condições dos sensores e realizado o retorno a origem</t>
  </si>
  <si>
    <t xml:space="preserve">Magazine 2</t>
  </si>
  <si>
    <t xml:space="preserve">colocação em serviço não estava habilitando </t>
  </si>
  <si>
    <t xml:space="preserve">falta do retorno de segurança do portão</t>
  </si>
  <si>
    <t xml:space="preserve">aberto o portão e fechado novamente, após isso voltou a colocação em serviço.</t>
  </si>
  <si>
    <t xml:space="preserve">OP236</t>
  </si>
  <si>
    <t xml:space="preserve">falta de sinais de segurança</t>
  </si>
  <si>
    <t xml:space="preserve">não reconheceu as chaves de segurança das portas de inspeção</t>
  </si>
  <si>
    <t xml:space="preserve">feito o pedido para abertura e realizado o procedimento de abertura e fechamento das portas</t>
  </si>
  <si>
    <t xml:space="preserve"> PRP17 </t>
  </si>
  <si>
    <t xml:space="preserve">Maquina continua até finalizar o ciclo, mesmo sem bi manual pressionada.</t>
  </si>
  <si>
    <t xml:space="preserve">Placa de entradas/saídas da IOB danificada.</t>
  </si>
  <si>
    <t xml:space="preserve">Substituição da placa de entradas e saidas IOB .</t>
  </si>
  <si>
    <t xml:space="preserve">Robô Lunete</t>
  </si>
  <si>
    <t xml:space="preserve">Falha no cilindro da placagem.</t>
  </si>
  <si>
    <t xml:space="preserve">Mau contato no conector do sensor de recuo do cilindro 11</t>
  </si>
  <si>
    <t xml:space="preserve">Efetuado reaperto.</t>
  </si>
  <si>
    <t xml:space="preserve">PSF mesa H0</t>
  </si>
  <si>
    <t xml:space="preserve">Características incorretas PSF mesa H0</t>
  </si>
  <si>
    <t xml:space="preserve">Falha profinet no momento da leitura na mesa G7  </t>
  </si>
  <si>
    <t xml:space="preserve">Forçado seleção de 2 carros no sw (1° H79 e depois X52), e forção ValCal 1 nos 2 carros, 3° que chegou na mesa D3 comunicou em automático
</t>
  </si>
  <si>
    <t xml:space="preserve">OP130.4</t>
  </si>
  <si>
    <t xml:space="preserve">Falha na comunicação do sistema Marposs</t>
  </si>
  <si>
    <t xml:space="preserve">encontramos o sistema Marposs sem comunicar com a máquina, segundo os técnicos da área amanhã será entrato em contato com fornecedor da Marposs de São Paulo, segue parada sem intervenção no 3°turno.</t>
  </si>
  <si>
    <t xml:space="preserve">OP225 + Magazine 130.4 VI08</t>
  </si>
  <si>
    <t xml:space="preserve">Diversas falhas na ilha na distribuição de pallets ferro fundido e alumínio</t>
  </si>
  <si>
    <t xml:space="preserve">Diversas falha módulo controlador eixo posicionamento da mesa </t>
  </si>
  <si>
    <t xml:space="preserve">Realizado reset módulo e troca do encoder </t>
  </si>
  <si>
    <t xml:space="preserve">OP225</t>
  </si>
  <si>
    <t xml:space="preserve">Falha de funcionamento ciclo</t>
  </si>
  <si>
    <t xml:space="preserve">Curto circuito no cartão de I/O (vazamento de agua do ar condicionado em cima dos cartões)</t>
  </si>
  <si>
    <t xml:space="preserve">Substituição dos cartões danificados e secagem dos demais cartões de entrada e saida</t>
  </si>
  <si>
    <t xml:space="preserve">OP232 </t>
  </si>
  <si>
    <t xml:space="preserve">Substituição dos cartões danificados</t>
  </si>
  <si>
    <t xml:space="preserve">OP530-1 </t>
  </si>
  <si>
    <t xml:space="preserve">Falha encoder eixo B (mesa de giro do cabeçote de usinagem)</t>
  </si>
  <si>
    <t xml:space="preserve">Cabo do encoder estrangulado com fita helerman e falta parametros de processo</t>
  </si>
  <si>
    <t xml:space="preserve">Colocação parametros de processo pela produção das 7:10 as 9:20, depois seguimento da Manutenção Abertura do cabeçote e soltado as helermans de amarração 9:20 as 10:50</t>
  </si>
  <si>
    <t xml:space="preserve">Não identificado</t>
  </si>
  <si>
    <t xml:space="preserve">Realizado a restauração de sistema e backup do robô</t>
  </si>
  <si>
    <t xml:space="preserve">HDT</t>
  </si>
  <si>
    <t xml:space="preserve">Perda de comunicação com a rede</t>
  </si>
  <si>
    <t xml:space="preserve">Configuração de rede do HDT incorreta </t>
  </si>
  <si>
    <t xml:space="preserve">Reconfiguração dos parâmetros de rede do HDT</t>
  </si>
  <si>
    <t xml:space="preserve">IHM reiniciando e queda nos módulos da linha</t>
  </si>
  <si>
    <t xml:space="preserve">Cabo de ligação das lâmpadas do posto em curto e derrubando o potencial.</t>
  </si>
  <si>
    <t xml:space="preserve">Reparado o cabo em curto e analisando para modificação do potencial.</t>
  </si>
  <si>
    <t xml:space="preserve">Desacostagem</t>
  </si>
  <si>
    <t xml:space="preserve">Não realizou a desacostagem por completo da base pourtaise</t>
  </si>
  <si>
    <t xml:space="preserve">Travou o index dianteiro esquerdo não soltando a base pourtaise</t>
  </si>
  <si>
    <t xml:space="preserve">Foram solto os parafusos de fixação do index para poder sair a base portese e colocado para inspeção.</t>
  </si>
  <si>
    <t xml:space="preserve">Peça enroscou no cabide na trajetória de saída de deposito</t>
  </si>
  <si>
    <t xml:space="preserve">Folga no gripper</t>
  </si>
  <si>
    <t xml:space="preserve">Substituido a peça danificada, ajustada a trajetoria de deposito. 
Esta progranado a substituição deste gripper no fim de semana, o fornecedor enviou um gripper novo para substituição devido a erros construtivos na ferramenta
</t>
  </si>
  <si>
    <t xml:space="preserve">Travamento entre a comunicação do banco de rolagem e o PEV</t>
  </si>
  <si>
    <t xml:space="preserve">Travou o processamento da placa applicom no teste de validação do projeto B52Ph2 Cross</t>
  </si>
  <si>
    <t xml:space="preserve">Reset do PC do PEV e do Banco de Rolagem</t>
  </si>
  <si>
    <t xml:space="preserve">Falha na inicialização do SMPLOC</t>
  </si>
  <si>
    <t xml:space="preserve">Arquivos da aplicação corrompidos</t>
  </si>
  <si>
    <t xml:space="preserve">Desinstalação da aplicação, exclusão das pastas e arquivos, reinstalação do smploc, descarga de base referência.</t>
  </si>
  <si>
    <t xml:space="preserve"> CCD 600  </t>
  </si>
  <si>
    <t xml:space="preserve">Falha no elevador pneumático</t>
  </si>
  <si>
    <t xml:space="preserve">Rolamento quebrado</t>
  </si>
  <si>
    <t xml:space="preserve">O dispositivo precisou ser removido para reparos. Foi relaizado o by-pass no software equipamento com backup desatualizado </t>
  </si>
  <si>
    <t xml:space="preserve">Mesa M0</t>
  </si>
  <si>
    <t xml:space="preserve">Carro parou na transferência da emsa M0 BM2 para o elevador A0 MN1 </t>
  </si>
  <si>
    <t xml:space="preserve">Falha no variador durante a trasferência (causa análise) </t>
  </si>
  <si>
    <t xml:space="preserve">Tentativa de  movimento em manual via SOP não OK, foi forçado o freio e reposicionado o skid, resetado a barreira do elevador e resetado o relé termico do painel do variador </t>
  </si>
  <si>
    <t xml:space="preserve">OP234</t>
  </si>
  <si>
    <t xml:space="preserve">Falha de leitura data matrix do cabeçote</t>
  </si>
  <si>
    <t xml:space="preserve">Excesso de óleo na região de leitura dos cabeçotes</t>
  </si>
  <si>
    <t xml:space="preserve">Inserido um ponto de injeção para remoção do excesso de óleo</t>
  </si>
  <si>
    <t xml:space="preserve">OP40 OFF - Prensa trox</t>
  </si>
  <si>
    <t xml:space="preserve">Falha na movimentação da prensa </t>
  </si>
  <si>
    <t xml:space="preserve">Contato de acionamento do freio com defeito </t>
  </si>
  <si>
    <t xml:space="preserve">substituido o contador e referenciado a prensa </t>
  </si>
  <si>
    <t xml:space="preserve">Robô Tracker </t>
  </si>
  <si>
    <t xml:space="preserve">Falha no NC Locator </t>
  </si>
  <si>
    <t xml:space="preserve">Cabo do encoder rompido </t>
  </si>
  <si>
    <t xml:space="preserve">Substituido cabo SMB</t>
  </si>
  <si>
    <t xml:space="preserve">  Robô</t>
  </si>
  <si>
    <t xml:space="preserve">Falha no ciclo mesa e colisão robô</t>
  </si>
  <si>
    <t xml:space="preserve">Não realizava parafusamento</t>
  </si>
  <si>
    <t xml:space="preserve">Perda do ciclo</t>
  </si>
  <si>
    <t xml:space="preserve">Realizado REPLI e colocado em ciclo</t>
  </si>
  <si>
    <t xml:space="preserve">Não realizava operação</t>
  </si>
  <si>
    <t xml:space="preserve">Realizado REPLI e reiniciado o ciclo</t>
  </si>
  <si>
    <t xml:space="preserve">Deslocamento braço da pinça  </t>
  </si>
  <si>
    <t xml:space="preserve">Colagem de Eletrodo</t>
  </si>
  <si>
    <t xml:space="preserve">Realinhamento braço da pinça</t>
  </si>
  <si>
    <t xml:space="preserve">Banco a Frio AVL (Projeto)</t>
  </si>
  <si>
    <t xml:space="preserve">Falta passagem dos motores banco a frio </t>
  </si>
  <si>
    <t xml:space="preserve">Startup Projeto faltam sinais do Banco AVL</t>
  </si>
  <si>
    <t xml:space="preserve">Falta colocação do banco em processo de By Pass</t>
  </si>
  <si>
    <t xml:space="preserve">MOP </t>
  </si>
  <si>
    <t xml:space="preserve">Não gera falhas no SMPLOC</t>
  </si>
  <si>
    <t xml:space="preserve">Ausencia configuração de horário na IHMP</t>
  </si>
  <si>
    <t xml:space="preserve">Inserção dos horarios conforme necessida da lógica da FB da Operação 10</t>
  </si>
  <si>
    <t xml:space="preserve">IHMP não respondendo</t>
  </si>
  <si>
    <t xml:space="preserve">Perda de configuração do IE-General</t>
  </si>
  <si>
    <t xml:space="preserve">Inserção do IE-General no Simatic Station e reiniciado MOP</t>
  </si>
  <si>
    <t xml:space="preserve">Elevador portas Zona 5</t>
  </si>
  <si>
    <t xml:space="preserve">Defeito Linha Rele Potencia Variador Elevador</t>
  </si>
  <si>
    <t xml:space="preserve">Falha no circuito do Rele Potencia Variador saída CLP de segurança</t>
  </si>
  <si>
    <t xml:space="preserve">Diminuição area do scanner Sick, verificação travas e chaves de segurança, forçado contator RLV01 e rearmamento da Zona</t>
  </si>
  <si>
    <t xml:space="preserve">robô da mig</t>
  </si>
  <si>
    <t xml:space="preserve">falha de buffer cheio</t>
  </si>
  <si>
    <t xml:space="preserve">arame colou ao final da solda, robô se movimentou com arame colado e puxou arame fora de posição e não atuou mais o micro switch do boomerangue.</t>
  </si>
  <si>
    <t xml:space="preserve">reposicionado arame</t>
  </si>
  <si>
    <t xml:space="preserve"> OP50</t>
  </si>
  <si>
    <t xml:space="preserve">Falha no acionamento dos drives </t>
  </si>
  <si>
    <t xml:space="preserve">fonte danificada</t>
  </si>
  <si>
    <t xml:space="preserve">substituído a fonte</t>
  </si>
  <si>
    <t xml:space="preserve">geral</t>
  </si>
  <si>
    <t xml:space="preserve"> IHM principal da injetora queimou, ao substituir gerou várias falhas</t>
  </si>
  <si>
    <t xml:space="preserve">passado para 3 turno dar continuidade</t>
  </si>
  <si>
    <t xml:space="preserve">IHM principal da injetora queimou, ao substituir gerou várias falhas</t>
  </si>
  <si>
    <t xml:space="preserve">Após substituição da IHM gerou estes erros</t>
  </si>
  <si>
    <t xml:space="preserve">Foi descarregado um backup da máquina do mês 02/19, mesmo com as falha na lubrificação o robô aceitou trabalhar. Feito o Setup da máquina e liberada para produção as 01:30 aprox.</t>
  </si>
  <si>
    <t xml:space="preserve">OP110  Tayo</t>
  </si>
  <si>
    <t xml:space="preserve">Maquina em falha, porém sem descrição na IHM</t>
  </si>
  <si>
    <t xml:space="preserve">Perdeu ponto de referência da posição do servo moto</t>
  </si>
  <si>
    <t xml:space="preserve">Movimentado em manual, colocado em posição e após isso mandado para hme position da máquina  </t>
  </si>
  <si>
    <t xml:space="preserve"> OP140 </t>
  </si>
  <si>
    <t xml:space="preserve">Erro de colisão de junta </t>
  </si>
  <si>
    <t xml:space="preserve">Aperto excessivo de parafuso</t>
  </si>
  <si>
    <t xml:space="preserve">Aberto programa do robô e dado continuidade no ponto seguinte  </t>
  </si>
  <si>
    <t xml:space="preserve">OP200 Robô 2 </t>
  </si>
  <si>
    <t xml:space="preserve">Parou na posição de Repli e não iniciava o ciclo </t>
  </si>
  <si>
    <t xml:space="preserve">Perda do ponteiro no início do ciclo</t>
  </si>
  <si>
    <t xml:space="preserve">Realizado o inicio do ciclo manualmente e após colocado em automático. </t>
  </si>
  <si>
    <t xml:space="preserve">Falha nos rolos da mesa 33 saida da estufa do primer</t>
  </si>
  <si>
    <t xml:space="preserve"> Falha no inversor que foi instalado no fds (rodou 1 turno)</t>
  </si>
  <si>
    <t xml:space="preserve">Substituído inevrsor</t>
  </si>
  <si>
    <t xml:space="preserve">Prensa P51</t>
  </si>
  <si>
    <t xml:space="preserve">Erro Profibus circuito Master Escravo 5 (Encoder)  </t>
  </si>
  <si>
    <t xml:space="preserve">Problema encoder ângulo da prensa (Nó 5 profibus) e ventilador PC do Robo travado</t>
  </si>
  <si>
    <t xml:space="preserve">Desmontagem limpeza e lubrificação do rolamento do ventilador, substituição da tampa de ligação do encoder, e substituição do encoder</t>
  </si>
  <si>
    <t xml:space="preserve">ROBO F1 QUEBRA GRIPPER</t>
  </si>
  <si>
    <t xml:space="preserve">Concepção do griper incorreta para o esforço que sofre 
</t>
  </si>
  <si>
    <t xml:space="preserve">Desmontagem do Griper soldado peças quebradas e ajustes de Geometria. (Problema considerado como projeto concepção incorreta do griper)</t>
  </si>
  <si>
    <t xml:space="preserve">Caiu carro no transelevador</t>
  </si>
  <si>
    <t xml:space="preserve">Retirado carroceria e skid do transelevador. ajustado sensor antidebordo Alveolo 2001</t>
  </si>
  <si>
    <t xml:space="preserve">Mesa 01</t>
  </si>
  <si>
    <t xml:space="preserve">Carros colididos dentro da cabine</t>
  </si>
  <si>
    <t xml:space="preserve">Problemas mesa 22 CLP09 ou Mesa 01 CLP10</t>
  </si>
  <si>
    <t xml:space="preserve">Auxilio na analise do problema </t>
  </si>
  <si>
    <t xml:space="preserve">Robô R12</t>
  </si>
  <si>
    <t xml:space="preserve">robô com falha na aplicação </t>
  </si>
  <si>
    <t xml:space="preserve">módulo A5 danificado</t>
  </si>
  <si>
    <t xml:space="preserve">Substituído módulo A5</t>
  </si>
  <si>
    <t xml:space="preserve">Robô R5</t>
  </si>
  <si>
    <t xml:space="preserve">Robôs pararam em meio ao ciclo de processo</t>
  </si>
  <si>
    <t xml:space="preserve">Quebrou a agulha de limpeza da rebarba so molde no robô R5, com isso parando na área de interferência do R4</t>
  </si>
  <si>
    <t xml:space="preserve">Colocado robô R5 em posição de Repli, após retirar as peças fabricadas, colocado o robô r5 em by pass para que as peças produzidas fossem direto para a esteira</t>
  </si>
  <si>
    <t xml:space="preserve">Robô B0</t>
  </si>
  <si>
    <t xml:space="preserve">Colisão do griper B02 BBB com batente no deposito e perda de sincronismo</t>
  </si>
  <si>
    <t xml:space="preserve">Trojan não retorna contatos fim de curso (possivel empenamento griper BBB)</t>
  </si>
  <si>
    <t xml:space="preserve">Forçado descarregamento e terminio de trajetória em manual algumas vezes, tentativa de ajuste de trajetória mas não foi possivel (Descarregamento do griper sempre ocorria falha), executado ajuste da posição do trojan. (Será realizado Chumbamento da mesa e verificação posterior do griper)</t>
  </si>
  <si>
    <t xml:space="preserve">Griper F11 suporte cilindro da pega da peça BBB empenado</t>
  </si>
  <si>
    <t xml:space="preserve">Colisão do griper com a anaconda (Projeto) </t>
  </si>
  <si>
    <t xml:space="preserve">Tentativa de ajuste de trajetória mas não foi possivel, executado ajuste do comprimento da anaconda (diminuido comprimento) e ajuste posição da raquete girado uns 45° no sentido horário. (necessaria verificação da trajetória de depósito de peças descartadas)
</t>
  </si>
  <si>
    <t xml:space="preserve">Robô S0 Mig</t>
  </si>
  <si>
    <t xml:space="preserve">cordões de solda fora do padrão de qualidade</t>
  </si>
  <si>
    <t xml:space="preserve">não estava corrigindo o TCP, falha BUSEYE não instalado</t>
  </si>
  <si>
    <t xml:space="preserve">Efetuado restore de um backup completo</t>
  </si>
  <si>
    <t xml:space="preserve">Mesa TE42 empilhador skid</t>
  </si>
  <si>
    <t xml:space="preserve">Falha de sobre carga, motor travado e falta de fase.</t>
  </si>
  <si>
    <t xml:space="preserve">cabo da fase L3 do contator de potência com mau contato, terminal estava por fora da posição de aperto </t>
  </si>
  <si>
    <t xml:space="preserve">Reposicionado terminal na posição correta</t>
  </si>
  <si>
    <t xml:space="preserve">não realizava a prensagem do anel no rolamento do tambor da roda</t>
  </si>
  <si>
    <t xml:space="preserve">não realizava o movimento devido a ter quebrado um anel e travar o dispositivo de prensa.</t>
  </si>
  <si>
    <t xml:space="preserve">Desmontado a peça mecanica para reparo e também realizado reparo da mesa base dos anéis que estavam com parafuso quebrado.</t>
  </si>
  <si>
    <t xml:space="preserve">desarme geral dos comandos de 24V da máquina</t>
  </si>
  <si>
    <t xml:space="preserve">queimou fusível de alimentação da fonte 24V. Fonte queimada em curto circuito. </t>
  </si>
  <si>
    <t xml:space="preserve">Substituído os fusíveis que estavam queimados. Também substituído a fonte de 24V 40A, substituído uma fonte Sitop por uma Legrand</t>
  </si>
  <si>
    <t xml:space="preserve"> Injetora 2 </t>
  </si>
  <si>
    <t xml:space="preserve">Injetora gerando falha emergência e desarmando segurança</t>
  </si>
  <si>
    <t xml:space="preserve">Foi diminuído descida do eixo Y do robô na esteira de saída de peça</t>
  </si>
  <si>
    <t xml:space="preserve">Robô E1</t>
  </si>
  <si>
    <t xml:space="preserve">robô com falha de sold</t>
  </si>
  <si>
    <t xml:space="preserve">unipolar danificado</t>
  </si>
  <si>
    <t xml:space="preserve">acionado degradado, retirado robô fora da grade da ilha e substituido o unipolar.</t>
  </si>
  <si>
    <t xml:space="preserve">Buffer skid</t>
  </si>
  <si>
    <t xml:space="preserve">Não carregava skid no elevador de entrada da FM X52</t>
  </si>
  <si>
    <t xml:space="preserve">falha no sw, chegou 2 skids ao mesmo tempo de retorno da linha e do buffer novo implatado junto com a linha HJD</t>
  </si>
  <si>
    <t xml:space="preserve">carregado skid de retorno da linha em manual.</t>
  </si>
  <si>
    <t xml:space="preserve">S0BA2</t>
  </si>
  <si>
    <t xml:space="preserve">Não aceitava validação e não liberava cabide do batente S0BA2</t>
  </si>
  <si>
    <t xml:space="preserve">código carregado da peça no sw estava errado</t>
  </si>
  <si>
    <t xml:space="preserve">corrigido código da peça via sw</t>
  </si>
  <si>
    <t xml:space="preserve">Posto prensagem parado sem feração de falha </t>
  </si>
  <si>
    <t xml:space="preserve">Andon TV</t>
  </si>
  <si>
    <t xml:space="preserve">Imagem na TV Andon da tela produção geral ME5 piscando</t>
  </si>
  <si>
    <t xml:space="preserve">Configurações incorretas (limitação na resolução do conversor) </t>
  </si>
  <si>
    <t xml:space="preserve">Configuração da resolução de tela estabilizando a imagem da televisão</t>
  </si>
  <si>
    <t xml:space="preserve">PC Supervisorio controle da Central</t>
  </si>
  <si>
    <t xml:space="preserve">PC Central de Mastic não liga</t>
  </si>
  <si>
    <t xml:space="preserve">Placa Principal PC capacitores danificados vida util sobrepassada</t>
  </si>
  <si>
    <t xml:space="preserve">Em reparo devido ser modelo muito antigo (IBM). </t>
  </si>
  <si>
    <t xml:space="preserve">Loramendi não retoma ciclo automático de dosagem e mistura de areia </t>
  </si>
  <si>
    <t xml:space="preserve">Falta de aditivo (material empedrado no dosador), gaveta do dosador do aditivo 2 travado, e passo do grafcet parado passo 5 e valores incorretos na programação da receita.</t>
  </si>
  <si>
    <t xml:space="preserve">Limpeza do material empedrado forçada dosagem e reset do passo 5 do grafcet. </t>
  </si>
  <si>
    <t xml:space="preserve">Ponte rolante</t>
  </si>
  <si>
    <t xml:space="preserve">Ponte rolante não fazia elevação</t>
  </si>
  <si>
    <t xml:space="preserve">Queima do inversor do motor de elevação</t>
  </si>
  <si>
    <t xml:space="preserve">Substituído inversor, e desabilitado o controle de feedback via encoder.</t>
  </si>
  <si>
    <t xml:space="preserve">Ilha SPHBB </t>
  </si>
  <si>
    <t xml:space="preserve">perda de ciclo e de fim de trabalho dos robôs B2 e B3</t>
  </si>
  <si>
    <t xml:space="preserve">falha no sensor do piloto A, gerando erro também no Index da mesa</t>
  </si>
  <si>
    <t xml:space="preserve">retornado os robôs para repli, retirado todas as peças dos berços, dado retorno a origem e jumpeado sensor do piloto A para verificação em horário de ceia</t>
  </si>
  <si>
    <t xml:space="preserve">Entrada</t>
  </si>
  <si>
    <t xml:space="preserve">perda de sinal da mesa de entrada desbloqueada</t>
  </si>
  <si>
    <t xml:space="preserve">em análise, possível retardo na execução da rotina</t>
  </si>
  <si>
    <t xml:space="preserve"> realizado o bloqueio das entradas e saída em horário de ceia, e logo em seguida desbloqueadas as mesmas</t>
  </si>
  <si>
    <t xml:space="preserve">Dobradora 4  </t>
  </si>
  <si>
    <t xml:space="preserve">desarmando comando e geral da máquina</t>
  </si>
  <si>
    <t xml:space="preserve">fonte de tensão substituída no sábado de madrugada não suportando funcionamento</t>
  </si>
  <si>
    <t xml:space="preserve">Substituída a fonte por uma outra de 40A</t>
  </si>
  <si>
    <t xml:space="preserve">OP 360 </t>
  </si>
  <si>
    <t xml:space="preserve">perda de comunicação entre a IHM com o MOP</t>
  </si>
  <si>
    <t xml:space="preserve">mal contato na conexão do cabo de rede do painel</t>
  </si>
  <si>
    <t xml:space="preserve">verificado e fixado o cabo de rede na porta do msm</t>
  </si>
  <si>
    <t xml:space="preserve">OP200 R2</t>
  </si>
  <si>
    <t xml:space="preserve">perda de sinal para realizar o parafusa mento da tampa do carter</t>
  </si>
  <si>
    <t xml:space="preserve">perda de sequência na execução da rotina</t>
  </si>
  <si>
    <t xml:space="preserve">retirado o robô da posição onde estava e colocado em repli, após isso finaliado trabalho e colocado tudo em maual</t>
  </si>
  <si>
    <t xml:space="preserve"> OP200A</t>
  </si>
  <si>
    <t xml:space="preserve">falha na entrada de operação</t>
  </si>
  <si>
    <t xml:space="preserve">barreira de segurança ativa direta</t>
  </si>
  <si>
    <t xml:space="preserve">corrigido o alinhamento da barreira</t>
  </si>
  <si>
    <t xml:space="preserve">Dispositivo B0 </t>
  </si>
  <si>
    <t xml:space="preserve">Falha sem condição de máquina e defeito movimento giro </t>
  </si>
  <si>
    <t xml:space="preserve"> Intrusão de área no momento do giro do dispositivo os sensores de aceleração e desaceleração pararam fora de posição</t>
  </si>
  <si>
    <t xml:space="preserve">Forçado condições de segurança (FORCE em todos os sensores de rotação)
para e girado para o dispositivo retornasse a condição normal. 
</t>
  </si>
  <si>
    <t xml:space="preserve">CPU do MOP Pintura</t>
  </si>
  <si>
    <t xml:space="preserve">Panic blink na CPU do PLC do mop de pintur</t>
  </si>
  <si>
    <t xml:space="preserve">em analise, versão de firmware 3.2.14</t>
  </si>
  <si>
    <t xml:space="preserve">Desligado alimetação para reset, religado e corrigido as memórias do processo.</t>
  </si>
  <si>
    <t xml:space="preserve">Montagem</t>
  </si>
  <si>
    <t xml:space="preserve">BANCOS CVU</t>
  </si>
  <si>
    <t xml:space="preserve">stoper do elevador de base</t>
  </si>
  <si>
    <t xml:space="preserve">Falha no acionamento do stoper</t>
  </si>
  <si>
    <t xml:space="preserve">Elevador desceu em cima dos cabos dos sensores e acionamento da válvula do stoper</t>
  </si>
  <si>
    <t xml:space="preserve">Substituído os cabos e melhorado a higienização.</t>
  </si>
  <si>
    <t xml:space="preserve"> Falha limite superior, e acionamento sensor </t>
  </si>
  <si>
    <t xml:space="preserve">Estreitamento conexão saida para o bico </t>
  </si>
  <si>
    <t xml:space="preserve">Desmontagem limpeza de bico, retirada de ar do sistema e calibração do dosador </t>
  </si>
  <si>
    <t xml:space="preserve">Cabide Entrada </t>
  </si>
  <si>
    <t xml:space="preserve">Z1: B0C Intrusão barreira B0C</t>
  </si>
  <si>
    <t xml:space="preserve">Após intrusão involuntária, foram liberados dois cabides no trecho, causando travamento do transportador.</t>
  </si>
  <si>
    <t xml:space="preserve">Reposicionamento manual dos cabides.</t>
  </si>
  <si>
    <t xml:space="preserve">PC ISRA</t>
  </si>
  <si>
    <t xml:space="preserve">Falha na aplicação do preto estilo</t>
  </si>
  <si>
    <t xml:space="preserve">Falha em um dos HDs</t>
  </si>
  <si>
    <t xml:space="preserve">Reiniciado o PC 2 vezes, como voltou foi decidido não trocar o HD em produção. Troca programada para fim de semana.</t>
  </si>
  <si>
    <t xml:space="preserve">Falha de leitura data matrix</t>
  </si>
  <si>
    <t xml:space="preserve">Óleo na peça </t>
  </si>
  <si>
    <t xml:space="preserve">Verificação das imagens no histórico de visão e retirada do óle da peça</t>
  </si>
  <si>
    <t xml:space="preserve">Sistema de cola SCA  (Lunete</t>
  </si>
  <si>
    <t xml:space="preserve">Falha no sistema de cola SCA</t>
  </si>
  <si>
    <t xml:space="preserve">Aparecimento da falha após troca de tambor </t>
  </si>
  <si>
    <t xml:space="preserve">Calibração do dosador e reinicialização do SCA ( Possivel problema no conjunto servo dosador " ruido alto no funcionamento")</t>
  </si>
  <si>
    <t xml:space="preserve">Cabide Entrada</t>
  </si>
  <si>
    <t xml:space="preserve"> Reiniciado o PC 2 vezes, como voltou foi decidido não trocar o HD em produção. Troca programada para fim de semana.</t>
  </si>
  <si>
    <t xml:space="preserve"> OP234</t>
  </si>
  <si>
    <t xml:space="preserve">Falha de leitura data matriz</t>
  </si>
  <si>
    <t xml:space="preserve">Óleo na peça</t>
  </si>
  <si>
    <t xml:space="preserve">Verificação das imagens no histórico de visão e retirada do óleo da peça.</t>
  </si>
  <si>
    <t xml:space="preserve">Sistema de cola SCA  (Lunete)</t>
  </si>
  <si>
    <t xml:space="preserve"> Falha no sistema de cola SCA</t>
  </si>
  <si>
    <t xml:space="preserve">Aparecimento da falha após troca de tambor</t>
  </si>
  <si>
    <t xml:space="preserve">Calibração do dosador e reinicialização do SCA (Possivel problema no conjunto servo dosador "ruido alto no funcionamento")</t>
  </si>
  <si>
    <t xml:space="preserve">Posto 175</t>
  </si>
  <si>
    <t xml:space="preserve">Falha de pressão inicial ATEQ</t>
  </si>
  <si>
    <t xml:space="preserve">Erro interno na leitura do valor de pressão/Sujeira na placa de controle</t>
  </si>
  <si>
    <t xml:space="preserve">Verificação parametros efetuado procedimento de zeramento, limpeza de toda a placa de controle com limpa contato</t>
  </si>
  <si>
    <t xml:space="preserve">Berço F02</t>
  </si>
  <si>
    <t xml:space="preserve">Peça (caderinha) fora de posição na longarina BBB (diagnosticado unit avant do X52)</t>
  </si>
  <si>
    <t xml:space="preserve">Batente de limitação de movimento do carro 2, com 2 parafusos de fixação quebrados</t>
  </si>
  <si>
    <t xml:space="preserve">Unit Avant substituição de peça por peça reserva e passagem da outra como sucata, na ilha da LVG Retirada dos parafusos quebrados da fixação do conjunto do (carro 2 do berço F02) e remontagem (Retirada posterior de carro para medição 3D da posição da peça)</t>
  </si>
  <si>
    <t xml:space="preserve">OP223 (Esteira Brasfer)</t>
  </si>
  <si>
    <t xml:space="preserve">Tag Rfid (trecho 3 da esteira) não faz a leitura da TAG do comando de válvula  </t>
  </si>
  <si>
    <t xml:space="preserve">Travamento software, não executa leitura</t>
  </si>
  <si>
    <t xml:space="preserve">Substituição da antena, inversão das cabeças controladoras, descarregamento do Hardware e descarregamento das DB´s da Antena do trecho 3. 
</t>
  </si>
  <si>
    <t xml:space="preserve"> Robô G3</t>
  </si>
  <si>
    <t xml:space="preserve">Defeito refrigeração e colagem de ponto.</t>
  </si>
  <si>
    <t xml:space="preserve">Fluxo de agua baixo/ Problema no circuito interno de refrigeração.</t>
  </si>
  <si>
    <t xml:space="preserve">Verificação mangueiras e sistema de refrigeração não diagnosticado problema, executado ajuste de parametros de solda como contenção</t>
  </si>
  <si>
    <t xml:space="preserve">mesa 17/19 e balsa</t>
  </si>
  <si>
    <t xml:space="preserve">Carroceria abriu as portas em movimento e colidiu com elevador.</t>
  </si>
  <si>
    <t xml:space="preserve">Grampo da porta mal fixado</t>
  </si>
  <si>
    <t xml:space="preserve">Caregado carro em manual, feito set de destino da bolsa via sw, corrigido condição do elevador e das mesas 17 e 19</t>
  </si>
  <si>
    <t xml:space="preserve">Parafusadeira </t>
  </si>
  <si>
    <t xml:space="preserve">Robô posicionando parafusos fora da furação</t>
  </si>
  <si>
    <t xml:space="preserve">vários desvios mecânicos: palhete, haste, soquete.</t>
  </si>
  <si>
    <t xml:space="preserve">Efetuado ajustes na trajetória para compensar o desvio mecânico</t>
  </si>
  <si>
    <t xml:space="preserve">Estação </t>
  </si>
  <si>
    <t xml:space="preserve">Estação aplicação parada </t>
  </si>
  <si>
    <t xml:space="preserve">Defeito Inversor Mesa 20.</t>
  </si>
  <si>
    <t xml:space="preserve">Reinicialização do inversor e restabelecimento do processo</t>
  </si>
  <si>
    <t xml:space="preserve">TK com 78 passarela com 23 carros e baixando</t>
  </si>
  <si>
    <t xml:space="preserve">TK quase cheio com 78 carros, como as vagas disponíveis estavam longe da mesa 5, aumentou tempo de ciclo</t>
  </si>
  <si>
    <t xml:space="preserve">Para menimizar a situação foi fechado a entrada do TK no horário do café, passarela subiu para 38 carros.</t>
  </si>
  <si>
    <t xml:space="preserve">Troley</t>
  </si>
  <si>
    <t xml:space="preserve">pinça travoou no KBK</t>
  </si>
  <si>
    <t xml:space="preserve">Troley danificado </t>
  </si>
  <si>
    <t xml:space="preserve">substituido troley</t>
  </si>
  <si>
    <t xml:space="preserve">anti-retorno.</t>
  </si>
  <si>
    <t xml:space="preserve">Carro não carrega da balsa para o elevador </t>
  </si>
  <si>
    <t xml:space="preserve">antiretorno trsvou mecanicamente </t>
  </si>
  <si>
    <t xml:space="preserve">retirado antiretorno para manutenção na oficina e efetuado by pass no sw</t>
  </si>
  <si>
    <t xml:space="preserve">Falha de colisão de junta no eixo7</t>
  </si>
  <si>
    <t xml:space="preserve">Verificado que a falha ocorre no momento de aperto, precisa verificar as condições mecânicas de acionamento do eixo7: acoplamento do motor, patins, guia linear, fuso... E cabos do motor, conexões, mas como pessoal estava rodando em degradado não foi possivel fazer as verificações no 2° turno. </t>
  </si>
  <si>
    <t xml:space="preserve"> MAC de rodas</t>
  </si>
  <si>
    <t xml:space="preserve">não estava gerando sequenciamento</t>
  </si>
  <si>
    <t xml:space="preserve">MAC estava travado</t>
  </si>
  <si>
    <t xml:space="preserve"> reset do MAC</t>
  </si>
  <si>
    <t xml:space="preserve"> Recirculo 1 </t>
  </si>
  <si>
    <t xml:space="preserve">Recirculo não estava partindo o sistema de aquecimento</t>
  </si>
  <si>
    <t xml:space="preserve">Sistema não ligava devido ao fluxostato da ventilação estar jumpeado</t>
  </si>
  <si>
    <t xml:space="preserve">Foi aberto o jumper para entrar em funcionamento e depois colocado o jumper de novo. Será substituído o fluxostato
</t>
  </si>
  <si>
    <t xml:space="preserve">sistema de aquecimento </t>
  </si>
  <si>
    <t xml:space="preserve">não estava ligando o sistema de ventilação</t>
  </si>
  <si>
    <t xml:space="preserve">Motor do ventilador desarmado</t>
  </si>
  <si>
    <t xml:space="preserve">rearmado o disjuntor motor</t>
  </si>
  <si>
    <t xml:space="preserve">Masa Pivotante F0</t>
  </si>
  <si>
    <t xml:space="preserve">Z3: F0 Def. inversor pivotante</t>
  </si>
  <si>
    <t xml:space="preserve">Falta 24V mesa de giro "Curto circuito cabo de sensor (projeto ligação HJD)" </t>
  </si>
  <si>
    <t xml:space="preserve">Isolado cabo e restabelecimento disjuntor. </t>
  </si>
  <si>
    <t xml:space="preserve">Robô A2</t>
  </si>
  <si>
    <t xml:space="preserve">Falha de Came de segurança</t>
  </si>
  <si>
    <t xml:space="preserve">Acionamento incorreto do Came</t>
  </si>
  <si>
    <t xml:space="preserve">Desmontagem do mesmo e passado limpa contatos</t>
  </si>
  <si>
    <t xml:space="preserve">FM50 Robô D2</t>
  </si>
  <si>
    <t xml:space="preserve">Robô reiniciando não estabiliza </t>
  </si>
  <si>
    <t xml:space="preserve">Substituição da Flash descarregado Backup e executado calibração pinça para rodar.</t>
  </si>
  <si>
    <t xml:space="preserve">Transportador Aéreo (Unit Central)</t>
  </si>
  <si>
    <t xml:space="preserve">Batente 21 não abriu (Carrinho 28 parado), liberou Batentes anteriores colidindo com vários cabides. </t>
  </si>
  <si>
    <t xml:space="preserve">Em analise (Trecho novo projeto)</t>
  </si>
  <si>
    <t xml:space="preserve">Liberação dos carrinhos e acertado condições para rodar (acompanhamento para identificação da causa)</t>
  </si>
  <si>
    <t xml:space="preserve"> Diferenças mecânicas no conjunto servo do eixo 7 </t>
  </si>
  <si>
    <t xml:space="preserve">Ajustes Mecânico do conjunto, e efetuado sintonia fina pelo fabricante ABB. (Diversas ações efetuadas Seguimento MRHD).</t>
  </si>
  <si>
    <t xml:space="preserve">Estação audit balanceamento </t>
  </si>
  <si>
    <t xml:space="preserve">Desarmou a linha e não rearmava</t>
  </si>
  <si>
    <t xml:space="preserve"> Falha nas barreiras de luz da estação audit</t>
  </si>
  <si>
    <t xml:space="preserve">Efetuado by pass da barreira e isolado a área.</t>
  </si>
  <si>
    <t xml:space="preserve">Transportador Aéreo (Unit Central</t>
  </si>
  <si>
    <t xml:space="preserve">Batente 21 não abriu, e liberou batente anterior, colidindo vários cabides.</t>
  </si>
  <si>
    <t xml:space="preserve">Mau contato na alimentação ET200Eco que controla os sensores dos batentes</t>
  </si>
  <si>
    <t xml:space="preserve">Trocado de porta de alimentação como contenção e no horário da janta foi substituído a ET200ECO.
</t>
  </si>
  <si>
    <t xml:space="preserve">Colisão skids Mesa 17 e 18 Tunel </t>
  </si>
  <si>
    <t xml:space="preserve">Pedido de acesso no elevador não parou mesa 17 colidindo skids no tunel e desarmando variador</t>
  </si>
  <si>
    <t xml:space="preserve"> Reposicionado veiculos no tunel restabelecimento variador e colocação em ciclo. (Passado para Engenharia verificação da lógica devido adequação NR12)</t>
  </si>
  <si>
    <t xml:space="preserve">OP10.3</t>
  </si>
  <si>
    <t xml:space="preserve">Falha na trava do bloco, sinaliza falta de fluxo de óleo</t>
  </si>
  <si>
    <t xml:space="preserve"> em analise</t>
  </si>
  <si>
    <t xml:space="preserve">Queimador</t>
  </si>
  <si>
    <t xml:space="preserve">Falha 8 no controlador, defeito no sensor de chama.</t>
  </si>
  <si>
    <t xml:space="preserve">cabos do sensor ultravioleta oscilando sinal devido a indução eletromagnética</t>
  </si>
  <si>
    <t xml:space="preserve">retirado cabo do sensor de dentro da eletrocalha, onde passava com os cabos de alimentação e cabo do ignitor. </t>
  </si>
  <si>
    <t xml:space="preserve">Mesa 09</t>
  </si>
  <si>
    <t xml:space="preserve">Time out mesa 9</t>
  </si>
  <si>
    <t xml:space="preserve">Leitor SICK em modo manual</t>
  </si>
  <si>
    <t xml:space="preserve">Mudado para modo AUTO o leitor SICK</t>
  </si>
  <si>
    <t xml:space="preserve">Posto Preparação Bloco ABS</t>
  </si>
  <si>
    <t xml:space="preserve">Problema nos postos Picking Preparação Bloco ABS</t>
  </si>
  <si>
    <t xml:space="preserve">Excesso de chuva sobrecarregou as calhas </t>
  </si>
  <si>
    <t xml:space="preserve">Secagem dos postos e troca de parafusadeiras com acionamento intermitente</t>
  </si>
  <si>
    <t xml:space="preserve">Balsa 20</t>
  </si>
  <si>
    <t xml:space="preserve">Balsa parada sem falhas </t>
  </si>
  <si>
    <t xml:space="preserve">Perdeu controle de posição após chamada de carro da sala AVES</t>
  </si>
  <si>
    <t xml:space="preserve">Reposicionado em manual e criado trend para acompanhar.</t>
  </si>
  <si>
    <t xml:space="preserve">Falha na movimentalção do elevador saída SE4</t>
  </si>
  <si>
    <t xml:space="preserve">Fricção 74 não movimentava, falha no dispositivo motorstart</t>
  </si>
  <si>
    <t xml:space="preserve">forçado contator do dispositivo motorstar mecanicamente. Troca no horário da janta.</t>
  </si>
  <si>
    <t xml:space="preserve">Bouclier </t>
  </si>
  <si>
    <t xml:space="preserve">carrinho de transporte</t>
  </si>
  <si>
    <t xml:space="preserve">Colisão de 2 carrinhos na estação 17 e falhou no inversor</t>
  </si>
  <si>
    <t xml:space="preserve">Sensor de avanço do batente com mau contato na conexão do cabo.</t>
  </si>
  <si>
    <t xml:space="preserve">Reposicionado os 70 carrinhos e corrigido a numeração de todos os carrinho </t>
  </si>
  <si>
    <t xml:space="preserve">Não estava liberando a entrada do bloco</t>
  </si>
  <si>
    <t xml:space="preserve">Erro de escrita no Balogh referente a última operação </t>
  </si>
  <si>
    <t xml:space="preserve">Corrigido a escrita do Balogh e forçado o sinal de leitura e leitura Ok</t>
  </si>
  <si>
    <t xml:space="preserve">Defeito característica incorreta (Falha zona da proveniência de veículos)</t>
  </si>
  <si>
    <t xml:space="preserve">Carros incorretos vindo da LTP202 (Devido a falha após queda de tensão)</t>
  </si>
  <si>
    <t xml:space="preserve">Bloqueio descarregamento linhas 1 e 3, e forçado descarregamento virtual da LTP2 Linha 2 </t>
  </si>
  <si>
    <t xml:space="preserve">Elevador Mesa Rolos 31</t>
  </si>
  <si>
    <t xml:space="preserve">Falha de descarregamento da mesa 31</t>
  </si>
  <si>
    <t xml:space="preserve">Freio do motor não abriu </t>
  </si>
  <si>
    <t xml:space="preserve">Pilotagem do freio em manual e verificação na caixa de ligação do motor </t>
  </si>
  <si>
    <t xml:space="preserve">Elevador Mesa Rolos K0</t>
  </si>
  <si>
    <t xml:space="preserve">Falha de ultrapassagem na mesa rolos</t>
  </si>
  <si>
    <t xml:space="preserve">Sensor de parada da mesa fora de posição</t>
  </si>
  <si>
    <t xml:space="preserve">Ajuste do posicionamento do sensor e ajuste da rampa de desaceleração dos rolos</t>
  </si>
  <si>
    <t xml:space="preserve">Erro de indexação do pallet na mesa e acavalamento dos pallets no Stopper do posto</t>
  </si>
  <si>
    <t xml:space="preserve">Liberação incorreta do pallet no posto da Tayo</t>
  </si>
  <si>
    <t xml:space="preserve">Substituição do sensor de posição do Stopper, realinhamento da mesa de trabalho e ajuste da posição de trabalho do pallet (Rodando com condições ruins até o terceiro turno para realização de intervenção de troca da travessa do Stopper)</t>
  </si>
  <si>
    <t xml:space="preserve"> Estação (Bene) Cofre e Assoalho</t>
  </si>
  <si>
    <t xml:space="preserve">Poka Yoke acusou inconsistência entre modelo físico e lógico </t>
  </si>
  <si>
    <t xml:space="preserve">Perda de Fifo de aplicação </t>
  </si>
  <si>
    <t xml:space="preserve">Retirada dos veículos da ilha e recolocação em ciclo</t>
  </si>
  <si>
    <t xml:space="preserve">PDD X52</t>
  </si>
  <si>
    <t xml:space="preserve">Falha na sertissage em trecho da porta</t>
  </si>
  <si>
    <t xml:space="preserve">Em analise, provável problemas nas peças do processo</t>
  </si>
  <si>
    <t xml:space="preserve">Ajustado trajetoria do robo </t>
  </si>
  <si>
    <t xml:space="preserve">R21 BITON</t>
  </si>
  <si>
    <t xml:space="preserve">Falha de HT durante aplicação </t>
  </si>
  <si>
    <t xml:space="preserve">Mangueira de fluxo de produto "tinta" estava rompida, gerando a fuga na corrente da alta tensão </t>
  </si>
  <si>
    <t xml:space="preserve">Substituição da mangueira que estava danificada</t>
  </si>
  <si>
    <t xml:space="preserve">Falha durante execução de trajetória </t>
  </si>
  <si>
    <t xml:space="preserve">Perda de valores calibração ao reiniciar o Robô</t>
  </si>
  <si>
    <t xml:space="preserve">Restauração de Backup e calibração dos eixos para ajuste de referencia </t>
  </si>
  <si>
    <t xml:space="preserve">Má qualidade na sertissage</t>
  </si>
  <si>
    <t xml:space="preserve">Restauração do sistema (pane terceiro turno)</t>
  </si>
  <si>
    <t xml:space="preserve">Ajuste das trajetórias </t>
  </si>
  <si>
    <t xml:space="preserve">Elevador 24</t>
  </si>
  <si>
    <t xml:space="preserve">Carroceria U79 passou sem descarregar carroceria no elevador</t>
  </si>
  <si>
    <t xml:space="preserve">Erro de lógica na programação</t>
  </si>
  <si>
    <t xml:space="preserve">Passagem do balancele sem trabalho na linha </t>
  </si>
  <si>
    <t xml:space="preserve">PO170</t>
  </si>
  <si>
    <t xml:space="preserve">mau contatono conector 2PN6</t>
  </si>
  <si>
    <t xml:space="preserve">Desrosqueado e recolocado conector</t>
  </si>
  <si>
    <t xml:space="preserve">Robô C12 Gripper 121 </t>
  </si>
  <si>
    <t xml:space="preserve">Falha de rede Profinet</t>
  </si>
  <si>
    <t xml:space="preserve">Cabeça de rede da CPX queimou após a substituição da caixa do aplly</t>
  </si>
  <si>
    <t xml:space="preserve">Substituido a cabeça de rede e descarregado parametros do equipamento</t>
  </si>
  <si>
    <t xml:space="preserve">Mesa 07 (elevador da saída de SE2)</t>
  </si>
  <si>
    <t xml:space="preserve">Defeito variador mesa 07</t>
  </si>
  <si>
    <t xml:space="preserve">Elevador entrou em falha após intrusão de barreira</t>
  </si>
  <si>
    <t xml:space="preserve">Reset do inversor e rearme da ilha </t>
  </si>
  <si>
    <t xml:space="preserve">Robô J0</t>
  </si>
  <si>
    <t xml:space="preserve">Robô J0 parado sem falha no deposito da travessa BBB</t>
  </si>
  <si>
    <t xml:space="preserve">Perda de autorização de evolução do robô ( falta de condição de software)</t>
  </si>
  <si>
    <t xml:space="preserve">Depósito da peça e fechamento da garra em manual</t>
  </si>
  <si>
    <t xml:space="preserve">Falha de movimento do cilindro - Falha Intermitente</t>
  </si>
  <si>
    <t xml:space="preserve">Erro na movimentação cilindro do separador de arruela </t>
  </si>
  <si>
    <t xml:space="preserve">Substituição de dois sensores que estavam com problema de fixação e ajuste da haste do cilindro posição intermediaria </t>
  </si>
  <si>
    <t xml:space="preserve">Falta de sinal da retacage acionada</t>
  </si>
  <si>
    <t xml:space="preserve">Soltou a garra da retacage e ela não parava na posição </t>
  </si>
  <si>
    <t xml:space="preserve">Realizado o reaperto nos parafusos de fixação da garra</t>
  </si>
  <si>
    <t xml:space="preserve">Elevador saída</t>
  </si>
  <si>
    <t xml:space="preserve">Defeito presença de peça elevador saida unit central </t>
  </si>
  <si>
    <t xml:space="preserve">Falha no posicionamento da peça no elevador de saída </t>
  </si>
  <si>
    <t xml:space="preserve">Reposicionamento da peça e ocorrencia de erro posterior detector de segurança descida carro B (trava de segurança carrinho descarrilhado no transportador de cordas) posicionada a trava de segurança e restabelecimento do funcionamento do transportador aereo</t>
  </si>
  <si>
    <t xml:space="preserve">Elevador Retorno de Skids </t>
  </si>
  <si>
    <t xml:space="preserve"> Falha na transferência de carros no  elevador</t>
  </si>
  <si>
    <t xml:space="preserve">Skid mal posicionado no elevador</t>
  </si>
  <si>
    <t xml:space="preserve">Posicionamento dos Skids e restabelecimento do funcionamento geral ilha </t>
  </si>
  <si>
    <t xml:space="preserve">Prensa Suporte Pendular </t>
  </si>
  <si>
    <t xml:space="preserve">Falha inversor Edrive e defeito movimento CTBI</t>
  </si>
  <si>
    <t xml:space="preserve">Falha no acionamento do CTBI (parafuso came acionamento sensor cilindro frouxo) </t>
  </si>
  <si>
    <t xml:space="preserve">Referenciamento do eixo e regulagem posterior do parafuso came acionamento do sensor do cilindro </t>
  </si>
  <si>
    <t xml:space="preserve">OP214  </t>
  </si>
  <si>
    <t xml:space="preserve">Falha de movimento do cilindro </t>
  </si>
  <si>
    <t xml:space="preserve">Erro na movimentação cilindro do separador de arruela</t>
  </si>
  <si>
    <t xml:space="preserve">Substituição de dois sensores que estavam com problema de fixação e ajuste da haste do cilindro posição intermediaria</t>
  </si>
  <si>
    <t xml:space="preserve">Robôs 2 e 3</t>
  </si>
  <si>
    <t xml:space="preserve">Erro de vida Robôs 2 e 3</t>
  </si>
  <si>
    <t xml:space="preserve">Condutor rompido no conector de saída da placa de rede do robô 3 para o robô 2</t>
  </si>
  <si>
    <t xml:space="preserve">Feito reparo no condutor do robô 3. Após o turno foram refeitas todas as conexões do cabo</t>
  </si>
  <si>
    <t xml:space="preserve">Garra</t>
  </si>
  <si>
    <t xml:space="preserve">Garra do portal fechou sem peça e gerou falha no transdutor </t>
  </si>
  <si>
    <t xml:space="preserve">Falha profinet na rede no momento de pegar a peça</t>
  </si>
  <si>
    <t xml:space="preserve">Foi inserida uma peça em manual na garra para continuar o ciclo.</t>
  </si>
  <si>
    <t xml:space="preserve">OP380.2</t>
  </si>
  <si>
    <t xml:space="preserve">Perda de sinal de rede profibus </t>
  </si>
  <si>
    <t xml:space="preserve">Ainda em análise, não foi encontrado a origem do problema </t>
  </si>
  <si>
    <t xml:space="preserve">Substituído o módulo CP343, substituído jumper de alimentação do cartão, verificado condições do resistor de terminação da redee profibusa no cabos, verificado conexões.</t>
  </si>
  <si>
    <t xml:space="preserve">CCD20</t>
  </si>
  <si>
    <t xml:space="preserve">Defeito de rede profinet</t>
  </si>
  <si>
    <t xml:space="preserve">Falha na conexão Profinet para remota Distribuidor de sinal BOM1 ( cabo profinet com rompimento interno</t>
  </si>
  <si>
    <t xml:space="preserve">Reparo do cabo danificado (substituição posterior)</t>
  </si>
  <si>
    <t xml:space="preserve">Perda de ciclo dos transportes</t>
  </si>
  <si>
    <t xml:space="preserve">Falha no stopper 13</t>
  </si>
  <si>
    <t xml:space="preserve">Corrigido problema nos sensores do stopper</t>
  </si>
  <si>
    <t xml:space="preserve">Erro de profinet nas réguas transdutora da garra do portal </t>
  </si>
  <si>
    <t xml:space="preserve">Falha no conector de rede (Cabo com conector Phoenix Contact)</t>
  </si>
  <si>
    <t xml:space="preserve">Novo posto automatizado </t>
  </si>
  <si>
    <t xml:space="preserve">Colisão Robô com peça</t>
  </si>
  <si>
    <t xml:space="preserve">Faltam de intertravamentos de segurança (projeto - novo posto)</t>
  </si>
  <si>
    <t xml:space="preserve">Reposicionamento Robo e reiniciado o ciclo na ilha </t>
  </si>
  <si>
    <t xml:space="preserve">T23</t>
  </si>
  <si>
    <t xml:space="preserve">Drive do martelo em falha (F027 - UCE Ph2)</t>
  </si>
  <si>
    <t xml:space="preserve">Drive danificado  (IGBT danificado)</t>
  </si>
  <si>
    <t xml:space="preserve">Substituição do drive</t>
  </si>
  <si>
    <t xml:space="preserve">Transportadores</t>
  </si>
  <si>
    <t xml:space="preserve">Perda de marcha ciclo nas instalações de transporte (balanceles, elevadores)</t>
  </si>
  <si>
    <t xml:space="preserve">Afundamento de tensão (27%)</t>
  </si>
  <si>
    <t xml:space="preserve">Recolocação em ciclo das instalações</t>
  </si>
  <si>
    <t xml:space="preserve">mesa 6  </t>
  </si>
  <si>
    <t xml:space="preserve">Falha RFID na mesa 6.</t>
  </si>
  <si>
    <t xml:space="preserve">Dados incoerentes na Tag (tag escrita no momento do afundamento de tensão) </t>
  </si>
  <si>
    <t xml:space="preserve">Forçado condições para liberar carro da mesa 6, carros da sequência sem problemas.</t>
  </si>
  <si>
    <t xml:space="preserve">OP310-1 Robô 1</t>
  </si>
  <si>
    <t xml:space="preserve">Escorregamento eixo 4</t>
  </si>
  <si>
    <t xml:space="preserve">Freio do motor do eixo 4 avariado</t>
  </si>
  <si>
    <t xml:space="preserve">Substituição do motor (motor emprestado de fornecedor)</t>
  </si>
  <si>
    <t xml:space="preserve">Ilha </t>
  </si>
  <si>
    <t xml:space="preserve">Dispositivo não reconheceu peça (Longarina esquerrda U79 4x2)</t>
  </si>
  <si>
    <t xml:space="preserve">Evolução da peça sem comunicação da fabricação (Alteração da espessura de chapa e reforço).</t>
  </si>
  <si>
    <t xml:space="preserve">Passagem da peça na linha com acompanhante da manutenção, qualidade e fabricação </t>
  </si>
  <si>
    <t xml:space="preserve">OP720</t>
  </si>
  <si>
    <t xml:space="preserve">Robô pega peça, leva para gravador, porém não inicia a gravação.</t>
  </si>
  <si>
    <t xml:space="preserve">Faltava bit rastreabilidade que vem fa IHM</t>
  </si>
  <si>
    <t xml:space="preserve">Reiniciado IHM</t>
  </si>
  <si>
    <t xml:space="preserve">Cabide 31</t>
  </si>
  <si>
    <t xml:space="preserve">Falha de esforço excessivo na corda de tração </t>
  </si>
  <si>
    <t xml:space="preserve">Peça que estava no cabide 31 (novo), colidiu com grade.</t>
  </si>
  <si>
    <t xml:space="preserve">Reposicionado a peça e corrigido a memória de peça nos batentes.</t>
  </si>
  <si>
    <t xml:space="preserve">PTI0196</t>
  </si>
  <si>
    <t xml:space="preserve">Disjuntor principal desarmando por fuga de corrente</t>
  </si>
  <si>
    <t xml:space="preserve">Cabo de potência aberto</t>
  </si>
  <si>
    <t xml:space="preserve">Substituição do cabo de potência</t>
  </si>
  <si>
    <t xml:space="preserve">PAV70 ilha</t>
  </si>
  <si>
    <t xml:space="preserve">Falha de presença de peça</t>
  </si>
  <si>
    <t xml:space="preserve">Desconhecida (Falha posterior intertravamento incorreto grampo FC1)</t>
  </si>
  <si>
    <t xml:space="preserve">Retirada das peças e retorno a origem nos berços, na ativação problema de abertura grampo FC1 Berço 4, impedindo o giro da mesa (movimentos manuais e retorno a origem novamente).</t>
  </si>
  <si>
    <t xml:space="preserve">mesa transporte</t>
  </si>
  <si>
    <t xml:space="preserve">motores enroscando na mesa de transporte ao sair do  posto</t>
  </si>
  <si>
    <t xml:space="preserve">caiu um parafuso de montagem do cabeçote e travou index do stoper</t>
  </si>
  <si>
    <t xml:space="preserve">retirado parafuso e ajustado os sensores do index</t>
  </si>
  <si>
    <t xml:space="preserve">Falta liberação para entrada da roda na infladora </t>
  </si>
  <si>
    <t xml:space="preserve">Fotocélula de detecção de pneu - temporizador desajustado</t>
  </si>
  <si>
    <t xml:space="preserve">Ajuste do temporizador de presença de pneu</t>
  </si>
  <si>
    <t xml:space="preserve">Falha de Rede DeviceNet </t>
  </si>
  <si>
    <t xml:space="preserve">Falha "Buss Off" após intervenção café (medição do resistor de terminação) </t>
  </si>
  <si>
    <t xml:space="preserve">Foi refeita a conexão de rede onde foi realizada a intervenção</t>
  </si>
  <si>
    <t xml:space="preserve"> Falta de condição de partida da máquina</t>
  </si>
  <si>
    <t xml:space="preserve">PC de controle travado (aquecimento do processador "conjunto processador dissipador suporte degradado")</t>
  </si>
  <si>
    <t xml:space="preserve">Limpeza geral do equipamento e montagem do processador com fixação adaptada.</t>
  </si>
  <si>
    <t xml:space="preserve">Robô Base 2</t>
  </si>
  <si>
    <t xml:space="preserve">Falha ao aplicar tinta</t>
  </si>
  <si>
    <t xml:space="preserve">Mangueira pneumática dobrada dentro do robô, em determinada posição acabava estrangulando</t>
  </si>
  <si>
    <t xml:space="preserve">Substituíção da mangueira</t>
  </si>
  <si>
    <t xml:space="preserve">Transportador SB4  </t>
  </si>
  <si>
    <t xml:space="preserve">Transportador desarmado</t>
  </si>
  <si>
    <t xml:space="preserve">Curto-circuito no cabo de alimentação</t>
  </si>
  <si>
    <t xml:space="preserve">Substituição de via que estava fechando curto circuito (dificuldade na identificação, esquema eletrico incompleto) </t>
  </si>
  <si>
    <t xml:space="preserve">Posto 310</t>
  </si>
  <si>
    <t xml:space="preserve">Motor parado no posto ( não faz Decrochagem)</t>
  </si>
  <si>
    <t xml:space="preserve">Problema no rele da válvula de avanço do garfo de giro</t>
  </si>
  <si>
    <t xml:space="preserve">Substituição do Rele e restabelecimento do ciclo  </t>
  </si>
  <si>
    <t xml:space="preserve"> Estação DURR</t>
  </si>
  <si>
    <t xml:space="preserve">Falha geral estação DURR</t>
  </si>
  <si>
    <t xml:space="preserve">Afundamento de tensão -  Travamento Switch de rede painel TDF</t>
  </si>
  <si>
    <t xml:space="preserve">Reinicialização PCs do Robos DURR reinicialização do MOP e reinicialização Switch de rede MOP e painel TDF</t>
  </si>
  <si>
    <t xml:space="preserve">CA2</t>
  </si>
  <si>
    <t xml:space="preserve"> Desarmando colocação em serviço quando carro descarregava da balsa 20 para mesa 21 (elevador)</t>
  </si>
  <si>
    <t xml:space="preserve">Falha no acionamento dos sensores multing e barreira. </t>
  </si>
  <si>
    <t xml:space="preserve">Desabilitado a barreira, será ajustado na ceia do 3° turno</t>
  </si>
  <si>
    <t xml:space="preserve">PCs SMPLOC</t>
  </si>
  <si>
    <t xml:space="preserve">IHM SMP99 apresenta falha comunicação SMPLOC com o servidor </t>
  </si>
  <si>
    <t xml:space="preserve">Travamento de algum serviço de comunicação dos PCs </t>
  </si>
  <si>
    <t xml:space="preserve">Reiniciado os PCs mas ainda apareciam como sem comunicação SMPLOC com a Central (Realizado arret force e restart do aplicativo IHMSMPLOC e retornou status normal)</t>
  </si>
  <si>
    <t xml:space="preserve">Porta POD1</t>
  </si>
  <si>
    <t xml:space="preserve">Faltava comum de segurança zona 3</t>
  </si>
  <si>
    <t xml:space="preserve">falha no sinal do portão intermediário POD1</t>
  </si>
  <si>
    <t xml:space="preserve"> Ao licalizar o portão não encontramos um botão de rearme desse portão novo (HJD), foi preciso acionar a amergência para restabelecer o sinal de rearme do portão</t>
  </si>
  <si>
    <t xml:space="preserve">Robô comau ST200</t>
  </si>
  <si>
    <t xml:space="preserve">Fatal error</t>
  </si>
  <si>
    <t xml:space="preserve">Reset geral do robô 3 vezes, calibração e aguradar o aquecimento da cola.</t>
  </si>
  <si>
    <t xml:space="preserve">Mesa 19</t>
  </si>
  <si>
    <t xml:space="preserve">Falha aplicação carro Projeto para o Biton </t>
  </si>
  <si>
    <t xml:space="preserve">Carro sem informações na Fifo Durr</t>
  </si>
  <si>
    <t xml:space="preserve">Forçado veiculos para passagem na estação (correção posterior tabela de aplicação 333 estava chamando cor 216 corrigido intervalo almoço)</t>
  </si>
  <si>
    <t xml:space="preserve">Elevador EDL02</t>
  </si>
  <si>
    <t xml:space="preserve">EDL02 defeito mesa</t>
  </si>
  <si>
    <t xml:space="preserve">Forçado condições do elevador para reposicionamento</t>
  </si>
  <si>
    <t xml:space="preserve">Robô K2  </t>
  </si>
  <si>
    <t xml:space="preserve">Falha no robô K2</t>
  </si>
  <si>
    <t xml:space="preserve">Após movimento manual do skid na linha, ocorreu a queda do ar por segurança da ilha. Após rearme não voltou as condições e não apareceu status no robô</t>
  </si>
  <si>
    <t xml:space="preserve">Reiniciado o robô sem sucesso. Necessário desligar o painel para retornar as condições.</t>
  </si>
  <si>
    <t xml:space="preserve">CMO-CVP</t>
  </si>
  <si>
    <t xml:space="preserve">OP120-B </t>
  </si>
  <si>
    <t xml:space="preserve">Falha na temperatura do medidor Marposs P7</t>
  </si>
  <si>
    <t xml:space="preserve">Falha no modulo de controle.</t>
  </si>
  <si>
    <t xml:space="preserve">Retirado um modulo de outro equipamento e substituído.</t>
  </si>
  <si>
    <t xml:space="preserve">ET200Eco Módulo 10  </t>
  </si>
  <si>
    <t xml:space="preserve">Baixa tensão nos módulos da rede profinet</t>
  </si>
  <si>
    <t xml:space="preserve">No horário da janta 2° turno foi ajustado a tensão de saída da fonte de 24,1 Vcc para 28,2 Vcc, módulo 10 estava com 18,5 Vcc após alteração ficou com 22,5 Vcc</t>
  </si>
  <si>
    <t xml:space="preserve">modo sem peça para skid</t>
  </si>
  <si>
    <t xml:space="preserve"> Skid vazio chegou na pick up com PJI incompleto, (deveria ter chegado sem PJI),  transferiu modelo para o palete, porém deveria ser sem peça.</t>
  </si>
  <si>
    <t xml:space="preserve">erro de programação (projeto fim de semana)</t>
  </si>
  <si>
    <t xml:space="preserve">forçado as condições para retirar os 5 skid's com problema.</t>
  </si>
  <si>
    <t xml:space="preserve">F1RID</t>
  </si>
  <si>
    <t xml:space="preserve">Robô esperando evento de fim de troca de eletrodo</t>
  </si>
  <si>
    <t xml:space="preserve">Perda da informação de porta de segurança, impedindo o funcionamento do ciclo</t>
  </si>
  <si>
    <t xml:space="preserve">Feito o reset dos parametros de posição da porta e referenciado as posições de abertura e fechamento da porta.</t>
  </si>
  <si>
    <t xml:space="preserve">Robô porta 1  </t>
  </si>
  <si>
    <t xml:space="preserve">Robô colidindo com o bico do jato de alta pressã</t>
  </si>
  <si>
    <t xml:space="preserve">Verificado se houve variação mecânica no conjunto, como não foi encontrado nada, foi alterado o ponto da trajetória</t>
  </si>
  <si>
    <t xml:space="preserve">Robô C12</t>
  </si>
  <si>
    <t xml:space="preserve">Robô em Stop. Falha Profinet </t>
  </si>
  <si>
    <t xml:space="preserve">Possível falha no conector do Apply</t>
  </si>
  <si>
    <t xml:space="preserve">Retirado o cenctor do robô e passado limpa contato.</t>
  </si>
  <si>
    <t xml:space="preserve">Mesa BM30</t>
  </si>
  <si>
    <t xml:space="preserve">Falha de posicionamento da mesa </t>
  </si>
  <si>
    <t xml:space="preserve">falha no encoder 2 de medição da altura da mesa</t>
  </si>
  <si>
    <t xml:space="preserve">Efetuado by pass via software para rodar, substituído encoder no horário de janta, e ajustes na ceia do 3° turno.</t>
  </si>
  <si>
    <t xml:space="preserve">portal OP 330 </t>
  </si>
  <si>
    <t xml:space="preserve">Falha de movimento de eixo Z bloqueado</t>
  </si>
  <si>
    <t xml:space="preserve">Sinais dos sensores da porta de abertura superior oscilando</t>
  </si>
  <si>
    <t xml:space="preserve">Inserido filtro de 50ms como contenção, será verificado sensores no fim de semana.</t>
  </si>
  <si>
    <t xml:space="preserve">Erro de Plausibilidade na Montadora </t>
  </si>
  <si>
    <t xml:space="preserve">Erro de sequenciamento de aro</t>
  </si>
  <si>
    <t xml:space="preserve">Habilitado modo degradado. Refeito o sequenciamento de produção.</t>
  </si>
  <si>
    <t xml:space="preserve">Cortina Luz Mesa F3 (HJD)</t>
  </si>
  <si>
    <t xml:space="preserve">Falha na mesa C0 balsa MN2</t>
  </si>
  <si>
    <t xml:space="preserve">Zona 5 HJD com demanda de skid, o skid que chegava na balsa estava com destino para HJD e X52, também estava desarmando a zona devido a intrusão na barreira</t>
  </si>
  <si>
    <t xml:space="preserve">Retirado cabos da frente da barreira que estavam gerando intrusão, e desabilitado a demanda de skid via IHMP.</t>
  </si>
  <si>
    <t xml:space="preserve">Falha de rede profinet na zona 2 MN2</t>
  </si>
  <si>
    <t xml:space="preserve">Cartão safety em falha (FDO)</t>
  </si>
  <si>
    <t xml:space="preserve">Efetuado reset de falha do cartão e rearmado o circuito</t>
  </si>
  <si>
    <t xml:space="preserve"> transportador</t>
  </si>
  <si>
    <t xml:space="preserve">Sequência de peças errada no transportador de lateral</t>
  </si>
  <si>
    <t xml:space="preserve">Modo operatório, operador pediu peça true e não inseriu na linha quebrando a sequência, acionado a manutenção só depois de 6 peças</t>
  </si>
  <si>
    <t xml:space="preserve">Corrigido a sequência de peças no fisíco e no sw</t>
  </si>
  <si>
    <t xml:space="preserve">Banco de rolagem 1 </t>
  </si>
  <si>
    <t xml:space="preserve">Não ligava o softwarer para testes de rolagem </t>
  </si>
  <si>
    <t xml:space="preserve">Falha na execução do X_Line </t>
  </si>
  <si>
    <t xml:space="preserve">Substituído o PC, Descarregado backup que estava rodando no pc velho.</t>
  </si>
  <si>
    <t xml:space="preserve">RX1</t>
  </si>
  <si>
    <t xml:space="preserve">Não reiniciava Pc do Robô </t>
  </si>
  <si>
    <t xml:space="preserve">Após troca de diversos dispositivos visto que a Placa mãe estava danificada.</t>
  </si>
  <si>
    <t xml:space="preserve">Substituição da placa mãe do PC do robô</t>
  </si>
  <si>
    <t xml:space="preserve">Mesa transbordo 5 </t>
  </si>
  <si>
    <t xml:space="preserve">Falha intermitente no inversor de frequência</t>
  </si>
  <si>
    <t xml:space="preserve">Defeito no inversor de frequência</t>
  </si>
  <si>
    <t xml:space="preserve">Programado com o 4º Turno para verificação e/ou troca do mesmo.</t>
  </si>
  <si>
    <t xml:space="preserve"> Tombador L.E.</t>
  </si>
  <si>
    <t xml:space="preserve"> Não executava a montagem, Falha no tombador BR7</t>
  </si>
  <si>
    <t xml:space="preserve">Falha no drive, falha de sequencia de funcionamento</t>
  </si>
  <si>
    <t xml:space="preserve"> Reset do drive, realizado movimentos manuais nos dispositivos do BR7, BR13, BR14 </t>
  </si>
  <si>
    <t xml:space="preserve">Acostagem </t>
  </si>
  <si>
    <t xml:space="preserve">TB17 Defeito sobrecurso recuo transbordo</t>
  </si>
  <si>
    <t xml:space="preserve">Acionamento indevido do sensor durante a transição.</t>
  </si>
  <si>
    <t xml:space="preserve">Substituído sensor no horário de ceia, retirado um sensor de 40mm para um de 20mm</t>
  </si>
  <si>
    <t xml:space="preserve">FM80 </t>
  </si>
  <si>
    <t xml:space="preserve">Não realizava a pega da peça no Butee</t>
  </si>
  <si>
    <t xml:space="preserve"> Perda de sinais e erro na peça</t>
  </si>
  <si>
    <t xml:space="preserve">Forçado condições para a realização da pega da peça</t>
  </si>
  <si>
    <t xml:space="preserve"> FM70</t>
  </si>
  <si>
    <t xml:space="preserve">Perda de condições de peça.</t>
  </si>
  <si>
    <t xml:space="preserve">Não tinha as memórias de suporte presente e de presença de peça</t>
  </si>
  <si>
    <t xml:space="preserve">Forçado as condições para MPP e MSP para pegar peça</t>
  </si>
  <si>
    <t xml:space="preserve">Mesa C0 no FM1 </t>
  </si>
  <si>
    <t xml:space="preserve">Falhas no Piloto 7,  Falha no Abatan B, falha eixo "Y" do locator</t>
  </si>
  <si>
    <t xml:space="preserve">Piloto 7 não estava reconhecendo posição do multi função, Abatan estava enroscando devido a falha de posição do Locator.</t>
  </si>
  <si>
    <t xml:space="preserve">Piloto 7 realizado o by pass e retirado a mangueira para não movimentar até a verificação, Abatan B foi reposicionado para verificação junto com a posição do Locator.                                      Locator, foi substituído o sensor de posição do avanço, pois estava com mal contato. 
</t>
  </si>
  <si>
    <t xml:space="preserve">OP110 </t>
  </si>
  <si>
    <t xml:space="preserve">Falta lançamento de peça para o Posto 110</t>
  </si>
  <si>
    <t xml:space="preserve">Problema hardware do PC de lançamento</t>
  </si>
  <si>
    <t xml:space="preserve">Substituição do PC e troca do monitor que também estava com problema. </t>
  </si>
  <si>
    <t xml:space="preserve"> Robô 1 </t>
  </si>
  <si>
    <t xml:space="preserve">Erro SMB eixo externo</t>
  </si>
  <si>
    <t xml:space="preserve">Falha na placa SMB</t>
  </si>
  <si>
    <t xml:space="preserve">Reinicialização do Robo duas vezes para reconhecimento da placa e calibração dos eixos.</t>
  </si>
  <si>
    <t xml:space="preserve">Robô ROP </t>
  </si>
  <si>
    <t xml:space="preserve">Falhas intermitentes Eixo externo 1 (curto-circuito de freio)</t>
  </si>
  <si>
    <t xml:space="preserve">Motor eixo externo 1 danificado</t>
  </si>
  <si>
    <t xml:space="preserve">Substituição do Motor</t>
  </si>
  <si>
    <t xml:space="preserve">Elevador MASSL  </t>
  </si>
  <si>
    <t xml:space="preserve">Perdeu ciclo do elevador e mesa 05</t>
  </si>
  <si>
    <t xml:space="preserve">Intrusão do elevador (pessoal da limpeza)</t>
  </si>
  <si>
    <t xml:space="preserve">Rearmado a zona corrigido todas as condições e memórias.</t>
  </si>
  <si>
    <t xml:space="preserve">Robôs E1 e E2</t>
  </si>
  <si>
    <t xml:space="preserve">Robôs pararam na posição preparação para medição, porém sem falhas</t>
  </si>
  <si>
    <t xml:space="preserve">Faltou o EV21, bit demanda de medição</t>
  </si>
  <si>
    <t xml:space="preserve">Foi encontrado na lógica da perceptron um bit negado (M555.5) que atuou e com isso não liberou a função do bloco da perceptron. 
Retirado este bit da lógica, pois o mesmo está sendo usado em uma word em outro lugar como contagem de modelo. Após isso foi realizado testes e liberado a linha normal as 04:10h.
</t>
  </si>
  <si>
    <t xml:space="preserve">Loramendi Robomat</t>
  </si>
  <si>
    <t xml:space="preserve">Erro 08 controlador 1 Robomat após troca de Molde</t>
  </si>
  <si>
    <t xml:space="preserve">Falta pressurização circuito 1 após troca de molde</t>
  </si>
  <si>
    <t xml:space="preserve">Retirada de ar do sistema, deixando rodar com Robomat inclinada funcionamento OK (Programação para troca da Robomat posterior)</t>
  </si>
  <si>
    <t xml:space="preserve">Enchimento</t>
  </si>
  <si>
    <t xml:space="preserve">Falha na posição do cilindro principal </t>
  </si>
  <si>
    <t xml:space="preserve">Falha na válvula de acionamento de recuo do cilindro</t>
  </si>
  <si>
    <t xml:space="preserve">Substituído a válvula de recuo, porém ao testar a máquina passou uma roda 14" com pneu 17" sino colidiu com o centrador, entortou haste do cntrador e quebrou ponta do cilindro do centrador, foi necessário substituir o cilindro e usinar a haste que empenou.</t>
  </si>
  <si>
    <t xml:space="preserve">OP100.2</t>
  </si>
  <si>
    <t xml:space="preserve">Ao  Substituir o equipamento não comunicava </t>
  </si>
  <si>
    <t xml:space="preserve">Endereço diferente do programa </t>
  </si>
  <si>
    <t xml:space="preserve">Corrigido endereço (04)</t>
  </si>
  <si>
    <t xml:space="preserve">Falha controlador de solda (queima fusível proteção controlador)</t>
  </si>
  <si>
    <t xml:space="preserve">Conector do servo na entrada da pinla de solda estava quebrado</t>
  </si>
  <si>
    <t xml:space="preserve">Sustituição do conector e fusivel de proteção</t>
  </si>
  <si>
    <t xml:space="preserve">Dispositivo TU020</t>
  </si>
  <si>
    <t xml:space="preserve">Dispositivo não realizava o sequenciamento para soldar peças</t>
  </si>
  <si>
    <t xml:space="preserve">Defeito no conector "Y" dos sensores da guia linear</t>
  </si>
  <si>
    <t xml:space="preserve">Substituido  o "Y", verificado posiçaõ de ciclo e reiniciado do ponto de retorno a origem da máquina </t>
  </si>
  <si>
    <t xml:space="preserve">Dobradora 1</t>
  </si>
  <si>
    <t xml:space="preserve">Falha de pressão insuficiente (entrada E1.1)</t>
  </si>
  <si>
    <t xml:space="preserve">Válvula com vazamento de ar e pressostato desregulado </t>
  </si>
  <si>
    <t xml:space="preserve">Substituição da Valvula danificada (forçada entrada para rodar e ajuste posterior do pressostato)</t>
  </si>
  <si>
    <t xml:space="preserve">Porta Segurança Albany F1RID</t>
  </si>
  <si>
    <t xml:space="preserve">Overvoltage do DSP (Erros 103 e 104)</t>
  </si>
  <si>
    <t xml:space="preserve">Falta segurança externa (modificação circuito de segurança pela Engenharia Projeto)</t>
  </si>
  <si>
    <t xml:space="preserve">Desligado e religado conexões de segurança retorno ao funcionamento normal.</t>
  </si>
  <si>
    <t xml:space="preserve">Robô F2</t>
  </si>
  <si>
    <t xml:space="preserve">Robô F2 perdeu calibração </t>
  </si>
  <si>
    <t xml:space="preserve">Provável mau contato por sujidade nas conexôes do cabo da placa SMB </t>
  </si>
  <si>
    <t xml:space="preserve">Passado limpa contato nas conexões do cabo e calibrado todos os eixos do robô, porém o eixo 3 foi calibrado fora de posição, quando foi soldar colidiu com a peça, verificado que o eixo 3 estava fora, foi calibrado novamente, foi substituido a peça danificada na gaveta </t>
  </si>
  <si>
    <t xml:space="preserve">OP710 - Robô </t>
  </si>
  <si>
    <t xml:space="preserve">Erro tensão eixo 7 resolver falha 38209</t>
  </si>
  <si>
    <t xml:space="preserve">Falha na leitura do resolver eixo 7</t>
  </si>
  <si>
    <t xml:space="preserve">Realizado sincronização dos eixos e liberado posto para trabalhar </t>
  </si>
  <si>
    <t xml:space="preserve">Queimador da estufa</t>
  </si>
  <si>
    <t xml:space="preserve">Não realizava o ciclo de start do aquecimento </t>
  </si>
  <si>
    <t xml:space="preserve">Falha no cabo de alimentação do conjunto de ignição </t>
  </si>
  <si>
    <t xml:space="preserve">Substituido o cabo da ignição, realizado a regulagem dos cames de posição do servo motor e roset do controlador </t>
  </si>
  <si>
    <t xml:space="preserve">Conjunto C1 de montagem</t>
  </si>
  <si>
    <t xml:space="preserve">Não realizava o carregamento dos dados do RFID e não setava o modelo de diversidade </t>
  </si>
  <si>
    <t xml:space="preserve">Alteração de software para implementação de dispositivo novo;</t>
  </si>
  <si>
    <t xml:space="preserve">Verificado a lógica e em conjunto com o pessoal que trabalhou na alteração, foi inserido memória que estava faltando nos fins de trabalho, habilitação do RFID e mais algumas linhas de programa. Liberado a linha em automático após o Café (04h)</t>
  </si>
  <si>
    <t xml:space="preserve">Não houve a realização de leitura e escrita da TAG pelo elevador,</t>
  </si>
  <si>
    <t xml:space="preserve">Ainda em análise, esta falha e recorrente e já foi realizado algumas inspeções</t>
  </si>
  <si>
    <t xml:space="preserve">Realizado movimentos manuais para o descarregamento do elevador, setado memórias para poder descarregar o carro da mesa T25 e liberado a linha.</t>
  </si>
  <si>
    <t xml:space="preserve">Cabine de pintura</t>
  </si>
  <si>
    <t xml:space="preserve">Não fazia a aplicação da pintura de teto</t>
  </si>
  <si>
    <t xml:space="preserve">Durante final de semana, teve problema com válvula de aplicação do preto. Com isso foi invertido as mangueiras do circuito de pintura entre a cinza e preta para poder fazer a aplicação.</t>
  </si>
  <si>
    <t xml:space="preserve">Realizado a correção da tabela para chamadas de válvulas das cores, para aplicação da mesma</t>
  </si>
  <si>
    <t xml:space="preserve"> Aplicação Preto Estilo</t>
  </si>
  <si>
    <t xml:space="preserve">Não estava atuando sensor para start do bloco de ativação de modelo e aplicação</t>
  </si>
  <si>
    <t xml:space="preserve">Durante final de semana foi substituído o sensor que realiza o carregamento do bloco para o preto estilo, motivo da troca, estava todo molhado o sensor</t>
  </si>
  <si>
    <t xml:space="preserve">Após substituição do sensor, foi configurado os presets de distancia e verificado os sinais de pulso.</t>
  </si>
  <si>
    <t xml:space="preserve">Robô ST300</t>
  </si>
  <si>
    <t xml:space="preserve">Perdeu sinais de segurança e não ativava o motor on</t>
  </si>
  <si>
    <t xml:space="preserve">Possivelmente desarmou por sistema de barreiras e safety,</t>
  </si>
  <si>
    <t xml:space="preserve">Realizado o reset do PLC de segurança, e retorno a origem do robô. Também foi diminuído a velocidade do eixo 7 para (90%) devido a estar gerando erro por condições mecânicas.</t>
  </si>
  <si>
    <t xml:space="preserve"> BM32 Robô Mastic </t>
  </si>
  <si>
    <t xml:space="preserve">Robô apresentou falha de sistema no momento da troca de tambor de mastic</t>
  </si>
  <si>
    <t xml:space="preserve">Módulos do robô carregados manualmente pelo projeto</t>
  </si>
  <si>
    <t xml:space="preserve">Restauração do backup, reconfiguração do promia e correção dos programas </t>
  </si>
  <si>
    <t xml:space="preserve"> Ilha portas B52</t>
  </si>
  <si>
    <t xml:space="preserve">Robô C1 e B2 faltando evento 21 para continuação da sertissagem</t>
  </si>
  <si>
    <t xml:space="preserve">Faltando condições de máquina 2 e movimentos de serragens</t>
  </si>
  <si>
    <t xml:space="preserve">Após os acionamentos das serragens ocorreu perda de ciclo da Ilha, com isso gerou diversas falhas para reiniciar o ciclo. Foi retirado todas as peças que estavam na máquina e depois reset das memórias para retorno do ciclo.  </t>
  </si>
  <si>
    <t xml:space="preserve">CMO-CIA</t>
  </si>
  <si>
    <t xml:space="preserve">Sistema de refrigeração máquina 1 </t>
  </si>
  <si>
    <t xml:space="preserve">Falha na rede profibus e parada de emergência.</t>
  </si>
  <si>
    <t xml:space="preserve">Botão da parada de emergência de portão acionado.</t>
  </si>
  <si>
    <t xml:space="preserve">Retornado o botão de emergência e reset da falha  </t>
  </si>
  <si>
    <t xml:space="preserve"> Elevador de laterais </t>
  </si>
  <si>
    <t xml:space="preserve">Falha na transição das peças laterais</t>
  </si>
  <si>
    <t xml:space="preserve">Foi acionado emergência no AOP2 e com isso perdeu o ciclo na transição da lateral </t>
  </si>
  <si>
    <t xml:space="preserve">Voltado a emergência na posição normal, realizado o realinhamento da sequencia de laterais. </t>
  </si>
  <si>
    <t xml:space="preserve">Compressão Eixo Tras (Colheitadeira) </t>
  </si>
  <si>
    <t xml:space="preserve">Falha no leitor Sick </t>
  </si>
  <si>
    <t xml:space="preserve">Mau contato no cabo do Sick</t>
  </si>
  <si>
    <t xml:space="preserve"> O equipamento foi colocado em bypass. Após a correção do cabo, ao passar um bbb para testes,  o equipamento chegou ao fim de curso e não parou o correntão. O BBB teve que ser retirado com empilhadeira </t>
  </si>
  <si>
    <t xml:space="preserve">Transportador 3 </t>
  </si>
  <si>
    <t xml:space="preserve">Transportador não parte </t>
  </si>
  <si>
    <t xml:space="preserve">Falha 7900 no inversorna partida em automático </t>
  </si>
  <si>
    <t xml:space="preserve">Foi feita a substituição do inversor pelo do outro transportador</t>
  </si>
  <si>
    <t xml:space="preserve">Posto 340</t>
  </si>
  <si>
    <t xml:space="preserve">Posto não realiza operação </t>
  </si>
  <si>
    <t xml:space="preserve">Colocação do posto em degradado</t>
  </si>
  <si>
    <t xml:space="preserve">Posto não realiza operação</t>
  </si>
  <si>
    <t xml:space="preserve">Disjuntor de proteção desarmado </t>
  </si>
  <si>
    <t xml:space="preserve">Restabelecimento de disjuntor e ativado memória M180.1 para funcionamento do posto </t>
  </si>
  <si>
    <t xml:space="preserve">BOUCLIER </t>
  </si>
  <si>
    <t xml:space="preserve">Transportador 3</t>
  </si>
  <si>
    <t xml:space="preserve">Transportador não parte</t>
  </si>
  <si>
    <t xml:space="preserve">Falha 7900 no inversor na partida em automático e em manual </t>
  </si>
  <si>
    <t xml:space="preserve">Efetuada identificação do motor e a ajuste do disjuntor de proteção do circuito regulado aaixo da capacidade do drive</t>
  </si>
  <si>
    <t xml:space="preserve">falha aplicação após teste de cor para o Biton</t>
  </si>
  <si>
    <t xml:space="preserve">Carro sem informações no Fifo Durr</t>
  </si>
  <si>
    <t xml:space="preserve">Forçado veiculos para entrar na estação e forçado aplicação em modo fantasma </t>
  </si>
  <si>
    <t xml:space="preserve">Não envia parafuso para robô 1</t>
  </si>
  <si>
    <t xml:space="preserve">estava enroscando na saída do envio de parafuso para robô</t>
  </si>
  <si>
    <t xml:space="preserve">Desenroscado os parafusos que estavam presos na saída e também realizado repli dos robôs para re sincronizar linha </t>
  </si>
  <si>
    <t xml:space="preserve">Problema de sertissagem nas portas do BBB - Qualidade</t>
  </si>
  <si>
    <t xml:space="preserve">Ajuste de pilotos folga nos roletes</t>
  </si>
  <si>
    <t xml:space="preserve">Substituição os roletes e ajustado a trajetoria, necessario programar trabalho de verificação para final de semana</t>
  </si>
  <si>
    <t xml:space="preserve">OP710</t>
  </si>
  <si>
    <t xml:space="preserve">Perda de sincronismo 7 eixo</t>
  </si>
  <si>
    <t xml:space="preserve">Verificado os cabos de ligação e ajustado cabos que estavam esticados</t>
  </si>
  <si>
    <t xml:space="preserve">Banco Teste</t>
  </si>
  <si>
    <t xml:space="preserve">Não acionamento do ciclo de teste</t>
  </si>
  <si>
    <t xml:space="preserve">Perda de comunicação com as maletas</t>
  </si>
  <si>
    <t xml:space="preserve">Reiniciando o sistema, verificados as conexões do software e ajustado ciclo no CLP</t>
  </si>
  <si>
    <t xml:space="preserve">Linha PAL</t>
  </si>
  <si>
    <t xml:space="preserve">Planadora desalinhando a chapa </t>
  </si>
  <si>
    <t xml:space="preserve">Planadora desalinhada </t>
  </si>
  <si>
    <t xml:space="preserve">Realizado zeramento dos encoders da Planadora</t>
  </si>
  <si>
    <t xml:space="preserve">Falhas nos contadores de encursos</t>
  </si>
  <si>
    <t xml:space="preserve">Modificações de projeto</t>
  </si>
  <si>
    <t xml:space="preserve">Correções do Odil e predisp</t>
  </si>
  <si>
    <t xml:space="preserve">REDE RIO Zona 3</t>
  </si>
  <si>
    <t xml:space="preserve">Falha intermitente de Rese RIO</t>
  </si>
  <si>
    <t xml:space="preserve">Flex IO danificada</t>
  </si>
  <si>
    <t xml:space="preserve">Substituido a cabeça de rede Flex IO</t>
  </si>
  <si>
    <t xml:space="preserve">CMO	</t>
  </si>
  <si>
    <t xml:space="preserve">																						ROBÔ							</t>
  </si>
  <si>
    <t xml:space="preserve">Falha no ciclo de desparafusamento</t>
  </si>
  <si>
    <t xml:space="preserve">Soquete da parafusadeira não encaixa no parafuso</t>
  </si>
  <si>
    <t xml:space="preserve">Operação degradada, retirado soquetes para reparo</t>
  </si>
  <si>
    <t xml:space="preserve">Robô OP 710</t>
  </si>
  <si>
    <t xml:space="preserve">Perda dos contadores de revolução do eixo 7</t>
  </si>
  <si>
    <t xml:space="preserve">Ainda em análise, ao aumentar a velocidade de trabalho perde os dados dos resolver</t>
  </si>
  <si>
    <t xml:space="preserve">Foi realizado a atualização do contador de revolução e realizado o Repli do robô e pedido para rodar com uma velocidade inferior a momento</t>
  </si>
  <si>
    <t xml:space="preserve">OP 080</t>
  </si>
  <si>
    <t xml:space="preserve">Gerando falha durante as etapas do aquecimento e da temperatura </t>
  </si>
  <si>
    <t xml:space="preserve">Ainda em análise da falha </t>
  </si>
  <si>
    <t xml:space="preserve">Análise de software e de processo durante o período do teste de manutenção. </t>
  </si>
  <si>
    <t xml:space="preserve">Evelador de Portas</t>
  </si>
  <si>
    <t xml:space="preserve">Obturador sem movimento</t>
  </si>
  <si>
    <t xml:space="preserve">Conector do motor solto </t>
  </si>
  <si>
    <t xml:space="preserve">Travado conector do motor </t>
  </si>
  <si>
    <t xml:space="preserve">Robô K1</t>
  </si>
  <si>
    <t xml:space="preserve">Deformação na sertissagem passa roda</t>
  </si>
  <si>
    <t xml:space="preserve">Variação na geometria da carroceria X52</t>
  </si>
  <si>
    <t xml:space="preserve">Restauração de backup e correção da trajetória </t>
  </si>
  <si>
    <t xml:space="preserve">Robô A0 Destacker</t>
  </si>
  <si>
    <t xml:space="preserve">Falha na comunicação de rede com remotas no Robô</t>
  </si>
  <si>
    <t xml:space="preserve">Módulo queimado </t>
  </si>
  <si>
    <t xml:space="preserve">Substituído módulo e realizado configuração do Device Name</t>
  </si>
  <si>
    <t xml:space="preserve">Robô K2</t>
  </si>
  <si>
    <t xml:space="preserve">Não retornava sinal da posição de Repli concluída </t>
  </si>
  <si>
    <t xml:space="preserve">Travamento do sistema Promia </t>
  </si>
  <si>
    <t xml:space="preserve">Relizado um restart a quente, também realizado 2 x o B Start, como o sistema não voltou ao normal realizado um P Start e descarregado o backup que haviamos feito durante a intervenção. Com isso o  sistema voltou normal.</t>
  </si>
  <si>
    <t xml:space="preserve">P11</t>
  </si>
  <si>
    <t xml:space="preserve">Falha no modulo do inversor do martelo (F029 - Falha de medições das Fases</t>
  </si>
  <si>
    <t xml:space="preserve">Inversor danificado, será enviado para analise</t>
  </si>
  <si>
    <t xml:space="preserve">Substituido o modulo de potencia do inversor</t>
  </si>
  <si>
    <t xml:space="preserve">Portal Op10</t>
  </si>
  <si>
    <t xml:space="preserve">Desligamento do comando do portal</t>
  </si>
  <si>
    <t xml:space="preserve">CPU em Stop por falha no Hardware na célula de carga da garra Z2_1</t>
  </si>
  <si>
    <t xml:space="preserve">Replica sinal da célula de carga Z2_2 para a Z2_1</t>
  </si>
  <si>
    <t xml:space="preserve">Falha de colisão no LINAX 2</t>
  </si>
  <si>
    <t xml:space="preserve">Patins travando ao movimentar </t>
  </si>
  <si>
    <t xml:space="preserve">Substituição do patins</t>
  </si>
  <si>
    <t xml:space="preserve">Leitor RFID	</t>
  </si>
  <si>
    <t xml:space="preserve">Falha de leitura/escrita na TAG</t>
  </si>
  <si>
    <t xml:space="preserve">Antena travou com erro e foram forçados memórias erradas no sofware</t>
  </si>
  <si>
    <t xml:space="preserve">Reser de antena RFID e correção das memórias de escrita/letitura </t>
  </si>
  <si>
    <t xml:space="preserve">Falha na barreira de saída</t>
  </si>
  <si>
    <t xml:space="preserve">Relé de segurança danificado </t>
  </si>
  <si>
    <t xml:space="preserve">Substituído relé</t>
  </si>
  <si>
    <t xml:space="preserve">Time out. Carro parado na balsa, sem destino</t>
  </si>
  <si>
    <t xml:space="preserve">Carro de projeto entrou na LTP sem avisar a DLI</t>
  </si>
  <si>
    <t xml:space="preserve">Liberação do carro pela DLI</t>
  </si>
  <si>
    <t xml:space="preserve">R13 Base</t>
  </si>
  <si>
    <t xml:space="preserve">Falha de comunicação no CLP com RCP</t>
  </si>
  <si>
    <t xml:space="preserve">Módulo Safety 4 FDO danificado </t>
  </si>
  <si>
    <t xml:space="preserve">Substituído módulo</t>
  </si>
  <si>
    <t xml:space="preserve">Mesa A0 CCG400</t>
  </si>
  <si>
    <t xml:space="preserve">Falha no carregamento da peça</t>
  </si>
  <si>
    <t xml:space="preserve">Erro na detecção do modelo X52, falta do sensor DDP23 e erros nos sensores DDP7 e DDP8</t>
  </si>
  <si>
    <t xml:space="preserve">Verificado sinais dos sensores e corrigido, realizado o retorno a origem e acompanhado retorno</t>
  </si>
  <si>
    <t xml:space="preserve"> Ilha de Vidros Robos ABB</t>
  </si>
  <si>
    <t xml:space="preserve">Defeito Lunette errada no centrador </t>
  </si>
  <si>
    <t xml:space="preserve">Decalagem de veículo na mesa (empurrado carro no Start-up para teste da ilha)   </t>
  </si>
  <si>
    <t xml:space="preserve">Passagem para modo sem PSF e reinicio do PC, colocação em degradado em ajuste posterior de recalagem da ilha.</t>
  </si>
  <si>
    <t xml:space="preserve">Banco de Rolagem 1 </t>
  </si>
  <si>
    <t xml:space="preserve">Banco não realiza o teste (NO NABS DATA) </t>
  </si>
  <si>
    <t xml:space="preserve">Falta compartilhamento de pasta dos demais PC´s do PEV </t>
  </si>
  <si>
    <t xml:space="preserve">Ao Pressionar Enter banco realiza o teste mas gerava erro no final, verificação e forçado compartilhamento de todos os PC´s do PEV (apenas 3 estavam compartilhados "total são 29 PC´s), após compartilhamento rodando normal sem mais falhas até fechamento segundo turno. </t>
  </si>
  <si>
    <t xml:space="preserve">Banco de Teste 3</t>
  </si>
  <si>
    <t xml:space="preserve">Banco nãoo realiza o teste do motor</t>
  </si>
  <si>
    <t xml:space="preserve">Problema na fotocélula da transmissão acoplada</t>
  </si>
  <si>
    <t xml:space="preserve">Substituição do sensor da fotocelula da transmissão e isolado fio do conector da fotocélula que estava decapado, substituição do sensor de centragem do eixo, verificado e ajustado sensor de verificação do eixo acoplado.  </t>
  </si>
  <si>
    <t xml:space="preserve">OP 310-1 Robô 1</t>
  </si>
  <si>
    <t xml:space="preserve">falha movimentação eixo 3</t>
  </si>
  <si>
    <t xml:space="preserve">Tool incorreto e substituição do robô por robô revisado</t>
  </si>
  <si>
    <t xml:space="preserve">Acerto do tool e continuidade de ajustes trajetórias substituição do Robô</t>
  </si>
  <si>
    <t xml:space="preserve">Eom passou da posição de parada na mesa CSA200   </t>
  </si>
  <si>
    <t xml:space="preserve">Cruzeta de liberação de trecho área da CSA200 danificada</t>
  </si>
  <si>
    <t xml:space="preserve">Substituição do sensor de parada que quebrou e substituição da cruzeta liberação de trecho. </t>
  </si>
  <si>
    <t xml:space="preserve">F2 Def. presença pinça Docking - Pinca F21</t>
  </si>
  <si>
    <t xml:space="preserve">Cabo do sensor  de presença DPT2 em curto</t>
  </si>
  <si>
    <t xml:space="preserve">Passagem de cabo por fora para substituir cabo danificado </t>
  </si>
  <si>
    <t xml:space="preserve">OP600</t>
  </si>
  <si>
    <t xml:space="preserve">Posto não realiza operação Falha de sequência nos postos e Robô com programa corrompido </t>
  </si>
  <si>
    <t xml:space="preserve">Falha se sequência nos postos e Robô com programa comrropido (Tache de fond Arrete)</t>
  </si>
  <si>
    <t xml:space="preserve">Esvaziamento e acerto da sequência do posto, e restauração do backup do Robô para colocação em operação</t>
  </si>
  <si>
    <t xml:space="preserve">Prensa Principal</t>
  </si>
  <si>
    <t xml:space="preserve">Falha sobrecarga martelo não libera pressão mínima </t>
  </si>
  <si>
    <t xml:space="preserve">Vazamento interno no circuito dos cilindros da sobrecarga </t>
  </si>
  <si>
    <t xml:space="preserve">Verificação do circuito elétrico da sobrecarga e Dianóstico do circuito hidráulico (possível vazamento em um dos cilindros rodando em by pass da sobrecarga até o domingo para identificação do problema).</t>
  </si>
  <si>
    <t xml:space="preserve">Paralelismo 1 </t>
  </si>
  <si>
    <t xml:space="preserve">Falha na execução de teste</t>
  </si>
  <si>
    <t xml:space="preserve">Erro na calibração tanto de cameras como do nivelômetro</t>
  </si>
  <si>
    <t xml:space="preserve">Realização da calibração dos equipamentos</t>
  </si>
  <si>
    <t xml:space="preserve">CPU CLP da Montadora RO7 em falha </t>
  </si>
  <si>
    <t xml:space="preserve">Foi descarregado backuo inconsistente no equipamento.</t>
  </si>
  <si>
    <t xml:space="preserve">Descarregamento de backup com hardware correto e ajustes do programa</t>
  </si>
  <si>
    <t xml:space="preserve">OP410 Robô Lavadora </t>
  </si>
  <si>
    <t xml:space="preserve">Robô com erro comunicação com a SMB</t>
  </si>
  <si>
    <t xml:space="preserve">SMB com problema</t>
  </si>
  <si>
    <t xml:space="preserve">Substituição da placa SMB e colocação do posto em degradado para sincronizar os eixos após finalização da produção. </t>
  </si>
  <si>
    <t xml:space="preserve">Robô K0 </t>
  </si>
  <si>
    <t xml:space="preserve">Servogun estacionária não solda </t>
  </si>
  <si>
    <t xml:space="preserve">Falha de tensão na servogun</t>
  </si>
  <si>
    <t xml:space="preserve">Inversão dos drives do Track Motion com servogun </t>
  </si>
  <si>
    <t xml:space="preserve">Maquina de Enchimento </t>
  </si>
  <si>
    <t xml:space="preserve">CPU/IHM em STOP e sem comunicação </t>
  </si>
  <si>
    <t xml:space="preserve">CPU entrou em falha após intervenção da engenharia </t>
  </si>
  <si>
    <t xml:space="preserve">Configuração da comunicação e download do backup</t>
  </si>
  <si>
    <t xml:space="preserve">Pensa P20</t>
  </si>
  <si>
    <t xml:space="preserve">Escorregamento da embreagem </t>
  </si>
  <si>
    <t xml:space="preserve">Quebra do conjunto do acoplamento do volante principal</t>
  </si>
  <si>
    <t xml:space="preserve">Ajuste de parametros de rampas do inversor, Soldado chaveta ao eixo para rodar (canal da chaveta degradado).</t>
  </si>
  <si>
    <t xml:space="preserve">Dispositivo F02</t>
  </si>
  <si>
    <t xml:space="preserve">F02 defeito detecção de peça e Robô L0 perda de ponteiro </t>
  </si>
  <si>
    <t xml:space="preserve">Falha na Passagem Carro projeto HJD e procedimento incorreto de abertura de portão.</t>
  </si>
  <si>
    <t xml:space="preserve">Entrada na ilha e posicionamento da peça do F02, gerando perda de ponteiro no Robo L0, descarregamento manual da peça e restabelecimento do ciclo da ilha.</t>
  </si>
  <si>
    <t xml:space="preserve">CMO-USI </t>
  </si>
  <si>
    <t xml:space="preserve">OP230</t>
  </si>
  <si>
    <t xml:space="preserve">Falha nos drives do motor fuso 6 e motor fuso 7 </t>
  </si>
  <si>
    <t xml:space="preserve">Driver danificado - gerando falha F226</t>
  </si>
  <si>
    <t xml:space="preserve">Colocação da máquina para rodar mesmo com falhas para posterior substituição dos drivers.</t>
  </si>
  <si>
    <t xml:space="preserve">Falha no ventilador do driver do eixo da mesa </t>
  </si>
  <si>
    <t xml:space="preserve">Ventilador travado com óleo</t>
  </si>
  <si>
    <t xml:space="preserve">Limpeza do ventilador e reconfiguração do drive</t>
  </si>
  <si>
    <t xml:space="preserve">Ruído anormal</t>
  </si>
  <si>
    <t xml:space="preserve">Ruído e vibração na caixa da castanha na rotação acima de 60 rpm </t>
  </si>
  <si>
    <t xml:space="preserve">Troca do motor</t>
  </si>
  <si>
    <t xml:space="preserve">OP515-3</t>
  </si>
  <si>
    <t xml:space="preserve">Gravação das capas de mancal deslocadas e reprovação da gravação</t>
  </si>
  <si>
    <t xml:space="preserve">Problema na cabeça de gravação, e na identificação das gravações </t>
  </si>
  <si>
    <t xml:space="preserve">Revisão da cabeça de gravação e ajuste da posição das iluminações</t>
  </si>
  <si>
    <t xml:space="preserve">Falha de mesa no elevador</t>
  </si>
  <si>
    <t xml:space="preserve">Perdeu sinal do sensor DCPB (controle de posição balancele no elevador)</t>
  </si>
  <si>
    <t xml:space="preserve">Forçado condição para movimentar em manual e corrição do ciclo.</t>
  </si>
  <si>
    <t xml:space="preserve">Falha no index da plataforma </t>
  </si>
  <si>
    <t xml:space="preserve">Rompeu solda da dobradiça da plataforma</t>
  </si>
  <si>
    <t xml:space="preserve">Efetuado solda e ajustado posicionamento da plataforma </t>
  </si>
  <si>
    <t xml:space="preserve">Falha no dosador</t>
  </si>
  <si>
    <t xml:space="preserve">Fuso do dosador travando </t>
  </si>
  <si>
    <t xml:space="preserve">Desmontagem e substituição do fuso do dosador, calibração do dosador e ajuste do parâmetro de limite inferior de volume </t>
  </si>
  <si>
    <t xml:space="preserve">OP200 Mecalix</t>
  </si>
  <si>
    <t xml:space="preserve">Falha na execução do Software de Medição </t>
  </si>
  <si>
    <t xml:space="preserve">Arquivo de configuração dp programa de medição faltando </t>
  </si>
  <si>
    <t xml:space="preserve">Colocação do arquivo na pasta do programa e verificação do padrão (valores de medição não conforme será verificado pela metrologia os parametros de processo).</t>
  </si>
  <si>
    <t xml:space="preserve">Elevdor 24</t>
  </si>
  <si>
    <t xml:space="preserve">Elevador não movimenta (sem falhas)</t>
  </si>
  <si>
    <t xml:space="preserve">Ao depositar carroceria no skid 1114, a mesma enroscou forçando o balancele nos sensores de posição desalinhando os sensores.</t>
  </si>
  <si>
    <t xml:space="preserve">Forçado os sinais para fazer o moviento manual e ajustado os sensores</t>
  </si>
  <si>
    <t xml:space="preserve">Destacker</t>
  </si>
  <si>
    <t xml:space="preserve">Falha de HW desarmando a linha toda, porém ao efetuar o reset volta a rodar </t>
  </si>
  <si>
    <t xml:space="preserve">Verificado no diagnóstico buffer da CPU que a flaha o ocorre no inversor S120 do nó 12 da rede </t>
  </si>
  <si>
    <t xml:space="preserve">Como houve outro chamado, orientado o técnico a verificar as conexôes de rede nó 12, nó anterior e posterior </t>
  </si>
  <si>
    <t xml:space="preserve">Falha curto circuito do motor eixo 4</t>
  </si>
  <si>
    <t xml:space="preserve">Drive em curto </t>
  </si>
  <si>
    <t xml:space="preserve">Substituído drive, ao desligar robô para medições e diagnósticos, corrompeu o sistema da flash, foi substituído pela memória flash e carregado o backup</t>
  </si>
  <si>
    <t xml:space="preserve">OP270 Estação 4</t>
  </si>
  <si>
    <t xml:space="preserve">Falha no Drive posicionador de braços </t>
  </si>
  <si>
    <t xml:space="preserve">Posicionador 9 fora do range da máquina ( régua 515 valor em 820</t>
  </si>
  <si>
    <t xml:space="preserve">Posicionado o mesmo na referencia e Forçado valor de referencia direto na DB do valor de posição 9.</t>
  </si>
  <si>
    <t xml:space="preserve">OP310-3 Robô 1 </t>
  </si>
  <si>
    <t xml:space="preserve">Falha na chamada de programa </t>
  </si>
  <si>
    <t xml:space="preserve">Arquivo de configuração do programa de medição faltando </t>
  </si>
  <si>
    <t xml:space="preserve">Colocação do arquivo na pasta do programa e verificação do padrão (valores de medição não conforme será verificado pela  metrologia os parâmetros de processo)</t>
  </si>
  <si>
    <t xml:space="preserve">Robô gerando falha de colisão de junta em todos os eixos </t>
  </si>
  <si>
    <t xml:space="preserve">Falha na axis computer</t>
  </si>
  <si>
    <t xml:space="preserve">Substituíção da placa axis computer </t>
  </si>
  <si>
    <t xml:space="preserve">FM30</t>
  </si>
  <si>
    <t xml:space="preserve">Defeito Movimento Locator 6 (Slide eixo Z)</t>
  </si>
  <si>
    <t xml:space="preserve">Sensor do eixo Z fora de posição</t>
  </si>
  <si>
    <t xml:space="preserve"> Ajustado posição do suporte do sensor</t>
  </si>
  <si>
    <t xml:space="preserve">Robô H4 FM100</t>
  </si>
  <si>
    <t xml:space="preserve">Perda de sistema e Falha na localização de eixoa do controlador </t>
  </si>
  <si>
    <t xml:space="preserve">Cabo de potência dos eixos danificados </t>
  </si>
  <si>
    <t xml:space="preserve">Substituíção do cabo de potência dos eixos (Foi substituído também a Axis Compute, Unit, Drive Unit, Unidade de distribuição da fonte e Fonte)</t>
  </si>
  <si>
    <t xml:space="preserve">Def. Características incorretas PSF</t>
  </si>
  <si>
    <t xml:space="preserve">Afundamento de tensão </t>
  </si>
  <si>
    <t xml:space="preserve">Forçado destino de acordp com orientação da DLI</t>
  </si>
  <si>
    <t xml:space="preserve">T2</t>
  </si>
  <si>
    <t xml:space="preserve">Falha no inversor fa T2, Erro de profinet e perda de parâmetros do drive</t>
  </si>
  <si>
    <t xml:space="preserve">Possível falha após queda de tensão. Em analise</t>
  </si>
  <si>
    <t xml:space="preserve">Foi descarregado o backup do drive e reconfigurado a rede dele.</t>
  </si>
  <si>
    <t xml:space="preserve">Elevador de transporte </t>
  </si>
  <si>
    <t xml:space="preserve">Falha na transferência da carroceria para o alveolu</t>
  </si>
  <si>
    <t xml:space="preserve">queda de tensão na fábrica, causando perda dos status.</t>
  </si>
  <si>
    <t xml:space="preserve">colocado em degradado até o ajuste dos parâmetros estarem corretos.</t>
  </si>
  <si>
    <t xml:space="preserve">op20  </t>
  </si>
  <si>
    <t xml:space="preserve">Falhade supervisão de tensão</t>
  </si>
  <si>
    <t xml:space="preserve">Acumulo de sujeira no eixo de movimentação causando o desarme da segurança </t>
  </si>
  <si>
    <t xml:space="preserve">Feito limpeza e lubrificação do eixo</t>
  </si>
  <si>
    <t xml:space="preserve">Saida cabine primer</t>
  </si>
  <si>
    <t xml:space="preserve">Falha na liberação de tensão </t>
  </si>
  <si>
    <t xml:space="preserve">Acumulo de sujeira  no eixo de movimentação causando o desarme da segurança</t>
  </si>
  <si>
    <t xml:space="preserve">Comunicação PEV</t>
  </si>
  <si>
    <t xml:space="preserve">Não inicia o teste ao ler a carta </t>
  </si>
  <si>
    <t xml:space="preserve">Comunicação travada </t>
  </si>
  <si>
    <t xml:space="preserve">Reiniciado pc do paralelismo e rodagem</t>
  </si>
  <si>
    <t xml:space="preserve">Robô de cola da Lunete não pegou peça</t>
  </si>
  <si>
    <t xml:space="preserve">Perda de ciclo após solicitação de carroceria sem montagem</t>
  </si>
  <si>
    <t xml:space="preserve">Retirado o robô para ponto de descarte da peça e forçado as configurações para retomada do ciclo.</t>
  </si>
  <si>
    <t xml:space="preserve">Falha de vida no robô R1</t>
  </si>
  <si>
    <t xml:space="preserve">Falha no segmento de rede.</t>
  </si>
  <si>
    <t xml:space="preserve">Reinicializado o robô e o Sames. Recalibrado o robô.</t>
  </si>
  <si>
    <t xml:space="preserve">Colagem de elétrodos nas carrocerias </t>
  </si>
  <si>
    <t xml:space="preserve">Após substituição do porta eletrodo a mangueira de refrigeração dobrou.</t>
  </si>
  <si>
    <t xml:space="preserve">Foi substituído o porta elétrodo, substituída a mangueira da refrigeração, realizada a calibração de força e de corrente.</t>
  </si>
  <si>
    <t xml:space="preserve">Estação Correção 1</t>
  </si>
  <si>
    <t xml:space="preserve">Falha no pressostato de aperto do pneu </t>
  </si>
  <si>
    <t xml:space="preserve">Porca do castelo do carro de deslocamento solta </t>
  </si>
  <si>
    <t xml:space="preserve">Apertado da porca do castelo e haste do cilindro de acionamento do carro</t>
  </si>
  <si>
    <t xml:space="preserve">MOP Verniz </t>
  </si>
  <si>
    <t xml:space="preserve">Não estava atualizando valores e tela ficava em condições diferentes do que estava no processo</t>
  </si>
  <si>
    <t xml:space="preserve">Sistema EcoSreen e Supepervisório travada as telas de visualização </t>
  </si>
  <si>
    <t xml:space="preserve">Reiniciado o computador e reiniciado tosdos os programas de supervisão e monitoramento .</t>
  </si>
  <si>
    <t xml:space="preserve">Timeout de translação</t>
  </si>
  <si>
    <t xml:space="preserve">Parafuso de porta caiu no trilho e ao movimentar quebrou o sensor de baixa velocidade</t>
  </si>
  <si>
    <t xml:space="preserve">Substituído o sensor e o suporte </t>
  </si>
  <si>
    <t xml:space="preserve">Impressora de etiqueta vidros </t>
  </si>
  <si>
    <t xml:space="preserve">PC de impressão parou de funcionar</t>
  </si>
  <si>
    <t xml:space="preserve">PC sobre responsabilidade de fornecedor 3°. Foi acionado para verificar o problema.</t>
  </si>
  <si>
    <t xml:space="preserve">Piso traseiro - Robô C2</t>
  </si>
  <si>
    <t xml:space="preserve">Robô C2 não solda e não gerou falha </t>
  </si>
  <si>
    <t xml:space="preserve">Encontrado problema com cabo unipolar</t>
  </si>
  <si>
    <t xml:space="preserve">Verificado isolamento dos eletrodos e chapas, efetuado troca de eletrodos, verificado cabo de potência, efetuado a troca do cabo unipolar</t>
  </si>
  <si>
    <t xml:space="preserve">MOP travou</t>
  </si>
  <si>
    <t xml:space="preserve">Travamento do sistema operacional</t>
  </si>
  <si>
    <t xml:space="preserve">Reinicialização do MOP</t>
  </si>
  <si>
    <t xml:space="preserve">CSF 3 robô C4</t>
  </si>
  <si>
    <t xml:space="preserve">Falta de liberação do sistema de segurança e motor on do Robô C4</t>
  </si>
  <si>
    <t xml:space="preserve">Falha no contato auxiliar do contador do motor-on (K2)</t>
  </si>
  <si>
    <t xml:space="preserve">Substituído o contador K2 e os contatos auxiliares da liberação do motr-on</t>
  </si>
  <si>
    <t xml:space="preserve">OP310</t>
  </si>
  <si>
    <t xml:space="preserve">Perda do ciclo. Não inicializa a prensagem das guias</t>
  </si>
  <si>
    <t xml:space="preserve">Encontrado falha no driver de acionamento e falta de comunicação  da kistler. Em análise a causa da perda de sinais da Kistler. </t>
  </si>
  <si>
    <t xml:space="preserve">Retirado a falha do driver, forçado condição para finalização de ciclo e retornado a posição da maquina a condições iniciais. </t>
  </si>
  <si>
    <t xml:space="preserve">Falha 8022 no drive da mesa da estação de montagem de pneus (no movimento de recuo) </t>
  </si>
  <si>
    <t xml:space="preserve"> Inversão dos drives, limpeza dos conectores e cabos do servomotor, ajuste da velocidade de recuo da mesa.  Após algumas movimentações em modo manual a falha não voltou mais. (Colocação da estação em sincronismo com a linha 12:15). </t>
  </si>
  <si>
    <t xml:space="preserve">Posto não fecha e não gera falha</t>
  </si>
  <si>
    <t xml:space="preserve">Pedaleira danificada</t>
  </si>
  <si>
    <t xml:space="preserve">Substituído a pedaleira</t>
  </si>
  <si>
    <t xml:space="preserve">Robô A0 colidiu com a mangueira do freio que estava fora de posição no carrinho</t>
  </si>
  <si>
    <t xml:space="preserve">Operador colocou kit fora de posição</t>
  </si>
  <si>
    <t xml:space="preserve">Retirado robô em manual corrigido as memória, colocado em degradado, voltado a operar com os robôs as 17:30</t>
  </si>
  <si>
    <t xml:space="preserve">Mesa 09 - MIG´s</t>
  </si>
  <si>
    <t xml:space="preserve">Falha EFD 12.1 no alimentador</t>
  </si>
  <si>
    <t xml:space="preserve">Falha no motor do alimetador de arame</t>
  </si>
  <si>
    <t xml:space="preserve">Substituíção do motor do alimentador</t>
  </si>
  <si>
    <t xml:space="preserve">OP60 preparação</t>
  </si>
  <si>
    <t xml:space="preserve">Não retornava para posição inicial e gerava erros de presença</t>
  </si>
  <si>
    <t xml:space="preserve">Nós 12/13/19 da rede profinet em erro </t>
  </si>
  <si>
    <t xml:space="preserve">Verificado os pontos de entroncamento da rede, mal contato no módulo 12 MVP2 </t>
  </si>
  <si>
    <t xml:space="preserve">Robô C0</t>
  </si>
  <si>
    <t xml:space="preserve">Robô não recebia nenhum comando de movimentação gerando erro de segurança  </t>
  </si>
  <si>
    <t xml:space="preserve">Ficou com o sinal de Repli ativo, comando PROMIA travado</t>
  </si>
  <si>
    <t xml:space="preserve">Realizado um Warm Start no robô </t>
  </si>
  <si>
    <t xml:space="preserve">OP60</t>
  </si>
  <si>
    <t xml:space="preserve">Servo apresentando erros 7452 e 7490</t>
  </si>
  <si>
    <t xml:space="preserve">Aceleração servo muito brusca ocorrendo erros</t>
  </si>
  <si>
    <t xml:space="preserve">Ajuste dos parâmetros de aceleração do Servo </t>
  </si>
  <si>
    <t xml:space="preserve">FM10 Robô E1</t>
  </si>
  <si>
    <t xml:space="preserve">Falha no acionamento do Robô </t>
  </si>
  <si>
    <t xml:space="preserve">Mau contato no contator do freio do robô</t>
  </si>
  <si>
    <t xml:space="preserve">Foi refeita a ligação do contator e foi programada a substituição do contator durante intervalo da linha. </t>
  </si>
  <si>
    <t xml:space="preserve">Falha no Drive de movimentação do martelo </t>
  </si>
  <si>
    <t xml:space="preserve">Falha F29 no Drive (Potencia do Drive danificada)</t>
  </si>
  <si>
    <t xml:space="preserve">Substituição da placa de controle e substituição da unidade de potencia.</t>
  </si>
  <si>
    <t xml:space="preserve">BM50 </t>
  </si>
  <si>
    <t xml:space="preserve">F3 parado sem gerar falha (Após falha de tempo excedido de medição na ISRA)  </t>
  </si>
  <si>
    <t xml:space="preserve">Time out no Sistema de medição na ISRA</t>
  </si>
  <si>
    <t xml:space="preserve">Anulação e relançado medição visão ISRA, pulado eventos do Robô F3 até ponto de decisão depois efetuado novo pedido de ciclo. </t>
  </si>
  <si>
    <t xml:space="preserve">CS130 Robô M3</t>
  </si>
  <si>
    <t xml:space="preserve">Falha Robô M3 - Pinça 2 - Perda de calibração</t>
  </si>
  <si>
    <t xml:space="preserve">Problema contatos de potência do trocador de ferramentas</t>
  </si>
  <si>
    <t xml:space="preserve">Descarregado pinça manual no suporte, verificação/substituição dos pinos de Potência macho e femea do trocador que estavam danificados, calibração do eletrodo e ocorrência de falhas de Init das pinças comentado os mesmos para rodar até final do turno. Efetuado verificação posterior (descarregamento de backup e calibração da pinça 2).</t>
  </si>
  <si>
    <t xml:space="preserve">Zona 4</t>
  </si>
  <si>
    <t xml:space="preserve">Falha no cartão 4 FDI M43, cartão passivado</t>
  </si>
  <si>
    <t xml:space="preserve">discrepância no micro switch da came do robô M4</t>
  </si>
  <si>
    <t xml:space="preserve">reposicionado switch e orientado técnico a substituir o mesmo.</t>
  </si>
  <si>
    <t xml:space="preserve">zona 3 sem alimentação 24Vcc </t>
  </si>
  <si>
    <t xml:space="preserve">Curto na chave de acionamento manual do pupitre da zona 3</t>
  </si>
  <si>
    <t xml:space="preserve">Reposicionado a chave e rearmado disjuntor 24Vcc</t>
  </si>
  <si>
    <t xml:space="preserve">Scanner Sick</t>
  </si>
  <si>
    <t xml:space="preserve">Falha na configuração da área</t>
  </si>
  <si>
    <t xml:space="preserve">Assinatura de segurança estava feita com data de 2023</t>
  </si>
  <si>
    <t xml:space="preserve">Ajustado a data do lap top para 2023 e descarregado configuração.</t>
  </si>
  <si>
    <t xml:space="preserve">Aplicação Robô </t>
  </si>
  <si>
    <t xml:space="preserve">Defeito de alta tensão na realização de purga na troca de produto</t>
  </si>
  <si>
    <t xml:space="preserve">Verificado parâmetros da aplicação e alteração do tempo de realização de purga durante a troca de produto </t>
  </si>
  <si>
    <t xml:space="preserve">Robô H1</t>
  </si>
  <si>
    <t xml:space="preserve">Colagem de eletrodos ao soldar peça</t>
  </si>
  <si>
    <t xml:space="preserve">Ainda em análise. (Possível diferença de chapa) </t>
  </si>
  <si>
    <t xml:space="preserve">Realizado todas as verificações de Força e Corrente na calibração de pinça. Verificação de alinhamento entre os porta elétrodos. Alterado paremetros no controlador de solda Bosch (parametros de nivel de corrente e força no programa de solda)  </t>
  </si>
  <si>
    <t xml:space="preserve">Robô não pega peça após verificação da estanqueidade</t>
  </si>
  <si>
    <t xml:space="preserve">Falha de leitura da TAG do pallet</t>
  </si>
  <si>
    <t xml:space="preserve">Retorno do robô a Repli e retirada do pallet, forçado leitura Tag no próximo cabeçoete</t>
  </si>
  <si>
    <t xml:space="preserve">PO05</t>
  </si>
  <si>
    <t xml:space="preserve">falha na prensagem dos pinos</t>
  </si>
  <si>
    <t xml:space="preserve">Intermitência no circuito pneumático</t>
  </si>
  <si>
    <t xml:space="preserve">Efetuada alteração no sofware para rodar provisoriamente </t>
  </si>
  <si>
    <t xml:space="preserve">Servidor SAM </t>
  </si>
  <si>
    <t xml:space="preserve">Telas de visualização travadas</t>
  </si>
  <si>
    <t xml:space="preserve">Servidor fora de comunição</t>
  </si>
  <si>
    <t xml:space="preserve">Pedido para Help Desk realizar o reset do servidor de dados, após isso voltou ao normal</t>
  </si>
  <si>
    <t xml:space="preserve">SAM</t>
  </si>
  <si>
    <t xml:space="preserve">Perda de sincronização com as telas do SAM, sem atualização sinótico</t>
  </si>
  <si>
    <t xml:space="preserve">Falha no servidor de dados </t>
  </si>
  <si>
    <t xml:space="preserve">Pedido para Help Desk realizar o reset do servidor</t>
  </si>
  <si>
    <t xml:space="preserve">Ilha de vidros (MIR)</t>
  </si>
  <si>
    <t xml:space="preserve">Erro nos robôs, não realizaram a aplicação da Cola dnos vidros</t>
  </si>
  <si>
    <t xml:space="preserve">Temperatura da cola não atingiu a ideal para aplicação no Robô E1 Lunete</t>
  </si>
  <si>
    <t xml:space="preserve">Colocado em degrado  a linha até ser atingida a temperatura de trabalho do tambor. Após isso realizado o sequenciamento com a linha.</t>
  </si>
  <si>
    <t xml:space="preserve">PO140</t>
  </si>
  <si>
    <t xml:space="preserve">Sem presença de TAG NO Stop, apóes realizar trabalho do posto</t>
  </si>
  <si>
    <t xml:space="preserve">Antena de leitura de TAG fora de posição </t>
  </si>
  <si>
    <t xml:space="preserve">Efetuado ajuste na posição do suporte na TAG que estava inclinado</t>
  </si>
  <si>
    <t xml:space="preserve">OP100</t>
  </si>
  <si>
    <t xml:space="preserve">Perda de alimentação 24V de metade da instalação </t>
  </si>
  <si>
    <t xml:space="preserve">Calha caiu sobre cab de alimentação rompendo os cabos e fechando curto.</t>
  </si>
  <si>
    <t xml:space="preserve">Separafa a alimentação das linhas para encontrar o ponto em curto. Verificação do ponto de instalação e substituição do cabo.</t>
  </si>
  <si>
    <t xml:space="preserve">Duchas Entanqueidade</t>
  </si>
  <si>
    <t xml:space="preserve">Porta automática entradada ducha funcionemento intermitente</t>
  </si>
  <si>
    <t xml:space="preserve">Placa de controle da porta avariada</t>
  </si>
  <si>
    <t xml:space="preserve">Substituíção do controla</t>
  </si>
  <si>
    <t xml:space="preserve">Móvel TK </t>
  </si>
  <si>
    <t xml:space="preserve">TIMEOUT ROLOS MESA 25</t>
  </si>
  <si>
    <t xml:space="preserve">Ausência condição descarregamento</t>
  </si>
  <si>
    <t xml:space="preserve">Verificação condições mecânicas e setado memória para descarregamento da mesa</t>
  </si>
  <si>
    <t xml:space="preserve">Mesa do Móvel</t>
  </si>
  <si>
    <t xml:space="preserve">Time Out Rolos mesa 25 (mesa do móvel)</t>
  </si>
  <si>
    <t xml:space="preserve">Verificação posicionamento da mesa Forçado condições de descarregamento. Falha PJI duplicado mesa de entrada</t>
  </si>
  <si>
    <t xml:space="preserve">Diversos pontos de passagem Siptol </t>
  </si>
  <si>
    <t xml:space="preserve">Defeito em marriage, de recalage e ponto de passage</t>
  </si>
  <si>
    <t xml:space="preserve">Fora de sincronismos as OF's, estavam adiantadas, atrasadas e cruzadas em relação ao SIPTOL em pontos distintos.                                                           </t>
  </si>
  <si>
    <t xml:space="preserve">Teve de ser acertado manualmente nos pontos de leitura do SIPTOL, adiantada e corrigida as ordens de acordo com a linha.</t>
  </si>
  <si>
    <t xml:space="preserve"> Robô paraou em posição de gravação do bloco, porém não realizou o trabalho sem gerar falhas e sem executar demais passos</t>
  </si>
  <si>
    <t xml:space="preserve">Erro na entrada de pallet na posição de Buttre para fixação de bloco, perda da sequencia nos passos de trabalho</t>
  </si>
  <si>
    <t xml:space="preserve">Após verificar condições da ilha, foi detado a memória fim de gravação pois o mesmo estava como trabalho em andamento porém sem executar. Com isso liberou o bloco e marcado como cartão vermelho devido a não gravação. Na sequência. seguinte o processo voltou ao normal.</t>
  </si>
  <si>
    <t xml:space="preserve">Falha sensor placagem dianteira direita</t>
  </si>
  <si>
    <t xml:space="preserve">Cabo do sensor danificado</t>
  </si>
  <si>
    <t xml:space="preserve">Substituição do cabo</t>
  </si>
  <si>
    <t xml:space="preserve">Para-choque traseiro</t>
  </si>
  <si>
    <t xml:space="preserve">Falha no aquecimento da resistência H16 (pinos termopar e borne da caixa de ligação danificados)</t>
  </si>
  <si>
    <t xml:space="preserve">Foram refeitas as conexões na caixa de ligação </t>
  </si>
  <si>
    <t xml:space="preserve">Transportador 32</t>
  </si>
  <si>
    <t xml:space="preserve">Desarme da instalação ao acionar o motor do transportador</t>
  </si>
  <si>
    <t xml:space="preserve">Cabo do motor danificado</t>
  </si>
  <si>
    <t xml:space="preserve">Substituição do cabo do motor</t>
  </si>
  <si>
    <t xml:space="preserve">Robô apresentatando erro de sistema </t>
  </si>
  <si>
    <t xml:space="preserve">Falha de rede (IHM) </t>
  </si>
  <si>
    <t xml:space="preserve">Feito Warm star no robô</t>
  </si>
  <si>
    <t xml:space="preserve">Assistêncoa de Molas</t>
  </si>
  <si>
    <t xml:space="preserve">Falha ao rodar e modo automático </t>
  </si>
  <si>
    <t xml:space="preserve">Sensor do carro da torre fora de posição </t>
  </si>
  <si>
    <t xml:space="preserve">Ajuste do sensor da torre</t>
  </si>
  <si>
    <t xml:space="preserve">pensa P10</t>
  </si>
  <si>
    <t xml:space="preserve">Falha na pré-carga do link DC</t>
  </si>
  <si>
    <t xml:space="preserve">Reparametrização do inversor </t>
  </si>
  <si>
    <t xml:space="preserve">Perda de sincronização com a SMB</t>
  </si>
  <si>
    <t xml:space="preserve">Falha na comunicação entre a SMB e a Placa interna do painel  Drive Unit </t>
  </si>
  <si>
    <t xml:space="preserve">Substituído a placa SMB, cabo de comunicação e corrigido mal contato no cabo X4 da placa Drive Unit</t>
  </si>
  <si>
    <t xml:space="preserve">Leitor Sick Elevador 77</t>
  </si>
  <si>
    <t xml:space="preserve">Erro na leitura do skid</t>
  </si>
  <si>
    <t xml:space="preserve">Falha no alinhamento dos sensores e espelho do leitor </t>
  </si>
  <si>
    <t xml:space="preserve">substituição do espelho e ajustes nos sensosres.</t>
  </si>
  <si>
    <t xml:space="preserve">Zona 2</t>
  </si>
  <si>
    <t xml:space="preserve">Desarme da instalação ao acionar o motor do transportador 31</t>
  </si>
  <si>
    <t xml:space="preserve">Interferência Rede RIO e Zona 3 e 4</t>
  </si>
  <si>
    <t xml:space="preserve">Reaperto cabos saída inversor mesa 31, by pass condições zonas 3 e 4 no sofware, e isolamento cabo de rede RIO de cabos de potencia </t>
  </si>
  <si>
    <t xml:space="preserve">Falha no ar da cabine do verniz </t>
  </si>
  <si>
    <t xml:space="preserve">Cilindro do Dumper interno  da estava travado com uma fita metálica</t>
  </si>
  <si>
    <t xml:space="preserve">Reposicionado cilindro do dumper </t>
  </si>
  <si>
    <t xml:space="preserve">Falha no ciclo da montadora </t>
  </si>
  <si>
    <t xml:space="preserve">Sensor danificado</t>
  </si>
  <si>
    <t xml:space="preserve">Substituição do sensor</t>
  </si>
  <si>
    <t xml:space="preserve">Robô R14</t>
  </si>
  <si>
    <t xml:space="preserve">Falha na aplicação do preto estilo </t>
  </si>
  <si>
    <t xml:space="preserve">Membrana do regulador da bomba volumétrica danificada</t>
  </si>
  <si>
    <t xml:space="preserve">Substituição da bomba volumétrica </t>
  </si>
  <si>
    <t xml:space="preserve">Mastic - Robô E0</t>
  </si>
  <si>
    <t xml:space="preserve">Erro de pressão do dosador do Mastic </t>
  </si>
  <si>
    <t xml:space="preserve">Cabo do sensor do dosador rompido </t>
  </si>
  <si>
    <t xml:space="preserve">Substituição do cabo e do sensor </t>
  </si>
  <si>
    <t xml:space="preserve">LCAF Mesa 09</t>
  </si>
  <si>
    <t xml:space="preserve">Balsa sem seleção de destino </t>
  </si>
  <si>
    <t xml:space="preserve">Falha no sensor de ultrapassagem da mesa 82</t>
  </si>
  <si>
    <t xml:space="preserve">Feito o posicionamento da balsa em manual e ajuste do sensor da mesa 82</t>
  </si>
  <si>
    <t xml:space="preserve">Falha de rede Piconet do robô R12</t>
  </si>
  <si>
    <t xml:space="preserve">Cabo profibus danificado</t>
  </si>
  <si>
    <t xml:space="preserve">P10 Repuxo </t>
  </si>
  <si>
    <t xml:space="preserve">Falha de baixa pressão no repuxo </t>
  </si>
  <si>
    <t xml:space="preserve">Bomba com baixo rendimento e válvula regulado de pressão travando </t>
  </si>
  <si>
    <t xml:space="preserve">Substituído a bomba e a válvula reguladora.</t>
  </si>
  <si>
    <t xml:space="preserve">Mesa G01 Locator </t>
  </si>
  <si>
    <t xml:space="preserve">Falha no 3º ponto de aplicação de tucker e centralização no deposito da mesa </t>
  </si>
  <si>
    <t xml:space="preserve">Serragem C (SCR) com defeito no cilindro </t>
  </si>
  <si>
    <t xml:space="preserve">Substituição da serragem regulagem para pega da peça </t>
  </si>
  <si>
    <t xml:space="preserve">Montadora de pneu</t>
  </si>
  <si>
    <t xml:space="preserve">a) Falha nos sensores de abertura do cilindro na ensaboadora. b) Falha na elevação de rodas  </t>
  </si>
  <si>
    <t xml:space="preserve">a)"Y" do conector danificado. b) Falha na correção de lógica do sistema de elevação. </t>
  </si>
  <si>
    <t xml:space="preserve">a) Realizado o by pass dos sensores para rodar a linha até a substituição. b) Teve de ser colocado um bypass na lógica (Graph 7 FB920), pois nos passos 52 e 53 necessitava de um sinal de sensores da elevação, porém os mesmos não são utilizados mais. Existe no físico, porém sem efeito no processo.  </t>
  </si>
  <si>
    <t xml:space="preserve">BM55/BM60</t>
  </si>
  <si>
    <t xml:space="preserve">Falta do sinal do sensor de avanço do eixo Y do locator</t>
  </si>
  <si>
    <t xml:space="preserve"> Cabo de sinal do sensor de recuo rompido.</t>
  </si>
  <si>
    <t xml:space="preserve">Substituição do cabo do sensor de recuo.</t>
  </si>
  <si>
    <t xml:space="preserve">Defeito na leitura da TAG RFID</t>
  </si>
  <si>
    <t xml:space="preserve">Skid torto e Erro na leitura de modelo da Carta "BBB" sendo que era um "B52"</t>
  </si>
  <si>
    <t xml:space="preserve">Realizado a escrita da carta via CLP e pedido nova leitura da TAG.</t>
  </si>
  <si>
    <t xml:space="preserve">Correntão 2 SE6 e 3 ME3</t>
  </si>
  <si>
    <t xml:space="preserve">Em análise - Suspeita de curto-circuito 24v em ligação de botoeiras no fim de semana.</t>
  </si>
  <si>
    <t xml:space="preserve">Restabelecimento Inversor esteira Me5, encoder correntão 2 SE6, resincronizado SAO´s e restabelecimento geral da linha.</t>
  </si>
  <si>
    <t xml:space="preserve">Dosador mastic Robô F1</t>
  </si>
  <si>
    <t xml:space="preserve">Não aplicava mastic e não gerava falha, dosador não carregava.</t>
  </si>
  <si>
    <t xml:space="preserve">Mangueira entre a base do robô e o dosador obstruída com mastic seco.</t>
  </si>
  <si>
    <t xml:space="preserve">Substituído a mangueira.</t>
  </si>
  <si>
    <t xml:space="preserve">Gerando falha de pressão mínima nno engate da embreagem. Queda de pressão do circuito hidráulico </t>
  </si>
  <si>
    <t xml:space="preserve">Ainda em diagnóstico </t>
  </si>
  <si>
    <t xml:space="preserve">Gerando falha de pressão mínima no engate da embreagem. Queda de pressão do circuito hidráulico </t>
  </si>
  <si>
    <t xml:space="preserve">Realizado intervenção focada no circuito Embreagem (Sequencia abaixo): 
Isolado bloco 10 para eliminar possibilidade de vazamento no cilindro de engate – teste comprovou vaz. no cicuito anterior à embreagem; 
Substituido bloco 10 - nok; 
Aberto valvulas NG16 e NG 25 para averiguação interna - nok; 
 </t>
  </si>
  <si>
    <t xml:space="preserve">Sames e Robôs </t>
  </si>
  <si>
    <t xml:space="preserve">Falha de comunicação Robô 1, falha de Bombas Robô 2 e 3</t>
  </si>
  <si>
    <t xml:space="preserve">Falha na troca de informações PLC principal Sames e Robos da estação. </t>
  </si>
  <si>
    <t xml:space="preserve">Reset Geral painel principal PLC Sames, Calibração Robô 1, Reinicialização algumas vezes Robô 3, substituição do rele envio pulso de Start para o Robô 2 </t>
  </si>
  <si>
    <t xml:space="preserve">
Gerando falha de pressão mínima no engate da embreagem. Queda de pressão do circuito hidráulico </t>
  </si>
  <si>
    <t xml:space="preserve">Substituído válvulas 51.1 e 51.2 (Direcionais) para eliminar possibilidade de vazamento interno  
nok; 
Substituído bomba de alta - ok; 
Substituído valv. 15 (amortecimento) - nok Substituído val. 14 (direcional) - nok </t>
  </si>
  <si>
    <t xml:space="preserve">Válvula de retorno para tanque após manómetros estava dando passagem </t>
  </si>
  <si>
    <t xml:space="preserve">Realizado a substituição da válvula</t>
  </si>
  <si>
    <t xml:space="preserve">Robôs C4 e C5</t>
  </si>
  <si>
    <t xml:space="preserve">Colisão entre os Robôs</t>
  </si>
  <si>
    <t xml:space="preserve">Ainda em análise, verificação dos intertravamentos entre os robôs C4 e C5 entre colocação do gripper e rodage de eletrodo Substituído a tampa de engrenagens do eixo 5 que quebrou durante a colisão, substituído válvula M3 que quebrou durante a colisão. </t>
  </si>
  <si>
    <t xml:space="preserve">Substituído a tampa de engrenagens do eixo 5 que quebrou durante a colisão, substituído válvula M3 que quebrou durante a colisão. </t>
  </si>
  <si>
    <t xml:space="preserve"> OP5 </t>
  </si>
  <si>
    <t xml:space="preserve">Não realizado a gravação do Bloco</t>
  </si>
  <si>
    <t xml:space="preserve">Perda de posição do palett antes de colocação do bloco.</t>
  </si>
  <si>
    <t xml:space="preserve">Forçado fim de trabalho da gravação.</t>
  </si>
  <si>
    <t xml:space="preserve">Ilha de vidro Robô E1 = Parou devido a erro de tensão na eletrônica, com isso o programa parou no meio do caminho, teve de ser colocado em manual dado continuidade na linha de programa e depois passado para automático; </t>
  </si>
  <si>
    <t xml:space="preserve">PO4 elevador de entrada, SE2 elevador de saída, ST200, todos geraram erro no PLC de segurança sick, teve de ser resetado para retornar funcionamento. </t>
  </si>
  <si>
    <t xml:space="preserve">FSM CPU entrou em Stop e não retorna. Valor em um temporizador de uso indexado fora do range, tivemos que alterar este valor na N7 para 0 e com isso conseguimos resetar; </t>
  </si>
  <si>
    <t xml:space="preserve">Ilha de capo e cofre X52,  perda de posição dos robôs B3 e C2, perda de presenças nas mesas. Teve de ser retirado peças das mesas, colocado os robôs em Repli e resetado as falhas e fim de trabalho. 
  </t>
  </si>
  <si>
    <t xml:space="preserve">Robô 1 Yutaka, perda de sistema, não rodava o PROMIA. Realizado WarmStart, e B Start e mesmo assim não subiu, após verificar, encontrado a placa Axis computer sem ligar. Foi substituído a mesma e retornado à posição do robô para Repli (OK)  </t>
  </si>
  <si>
    <t xml:space="preserve">(Deburings) = Realizado o sincronismo no Robô 1 (INLET) e colocado em Repli. Robô 2 está faltando enviar o sinal de liberação para o robô 1 realizar o deposito da peça na mesa. (Este ainda continua em falha). </t>
  </si>
  <si>
    <t xml:space="preserve">MONVP		</t>
  </si>
  <si>
    <t xml:space="preserve">Saída de carrinhos</t>
  </si>
  <si>
    <t xml:space="preserve">	</t>
  </si>
  <si>
    <t xml:space="preserve">12	</t>
  </si>
  <si>
    <t xml:space="preserve">Correntão de PO4 travado</t>
  </si>
  <si>
    <t xml:space="preserve">Agv colidiu com o carrinho de portas na saída da linha, ficando prensado entre o carrinho e o guarda copo</t>
  </si>
  <si>
    <t xml:space="preserve">Retirado o guarda copo para remoção do AGV</t>
  </si>
  <si>
    <t xml:space="preserve">Transportadores de resíduos CBS1</t>
  </si>
  <si>
    <t xml:space="preserve">Perda de condições de comando e falha BUS nos Motor Starter</t>
  </si>
  <si>
    <t xml:space="preserve">Válvula de acionamento pneumático estava travada mecanicamente, gerando erro na linha </t>
  </si>
  <si>
    <t xml:space="preserve">Destravado a válvula </t>
  </si>
  <si>
    <t xml:space="preserve">Não está sendo realizado o transito automático dos AGVs</t>
  </si>
  <si>
    <t xml:space="preserve">Alteração de final de semana pela engenharia </t>
  </si>
  <si>
    <t xml:space="preserve">Ainda em análise para reparo</t>
  </si>
  <si>
    <t xml:space="preserve">Robô F3</t>
  </si>
  <si>
    <t xml:space="preserve">Perda de sinal da pinça 2</t>
  </si>
  <si>
    <t xml:space="preserve">Estava com borras de solda na parte do apply da pinça, gerando curto e falha </t>
  </si>
  <si>
    <t xml:space="preserve">Retirado estas borras da solda e realizado higienização </t>
  </si>
  <si>
    <t xml:space="preserve">Mesa L0 </t>
  </si>
  <si>
    <t xml:space="preserve">Falha no avanço no freio</t>
  </si>
  <si>
    <t xml:space="preserve">Problema no freio </t>
  </si>
  <si>
    <t xml:space="preserve">Aberto freio mecanicamente para rodar a linha </t>
  </si>
  <si>
    <t xml:space="preserve">Medição incorreta nos valores de alinhamento do veículo</t>
  </si>
  <si>
    <t xml:space="preserve">Sujeira na câmera laser frontal, roda direita, sendor esquerdo.</t>
  </si>
  <si>
    <t xml:space="preserve">Realizada limpeza criteriosa da câmera </t>
  </si>
  <si>
    <t xml:space="preserve">OP160</t>
  </si>
  <si>
    <t xml:space="preserve">Erro de ativação do robô</t>
  </si>
  <si>
    <t xml:space="preserve">Bypass do sistema de correção do work object</t>
  </si>
  <si>
    <t xml:space="preserve">Griper K34 Robô K5</t>
  </si>
  <si>
    <t xml:space="preserve">Defeito movimento PCL</t>
  </si>
  <si>
    <t xml:space="preserve">Travamento bloco de valvulas do Grper K34</t>
  </si>
  <si>
    <t xml:space="preserve">Substitiuição do bloco de valvulas por outro do HJD.</t>
  </si>
  <si>
    <t xml:space="preserve">ST200 - Robô Comau</t>
  </si>
  <si>
    <t xml:space="preserve">Erro de sistema (Fatal error) e erro na cadeia de segurança </t>
  </si>
  <si>
    <t xml:space="preserve">Substituição das placas RBC e SCC, substituição do rele pilz e efetuado turnset dos eixos.</t>
  </si>
  <si>
    <t xml:space="preserve">PLC Estação </t>
  </si>
  <si>
    <t xml:space="preserve">Erro geral da instalação </t>
  </si>
  <si>
    <t xml:space="preserve">Panic Blink CPU</t>
  </si>
  <si>
    <t xml:space="preserve">Retirada alimentação e restabelecido , descarregado Backup (substituição hoje no almoço)</t>
  </si>
  <si>
    <t xml:space="preserve">Ilha não liberava em automático o degradado</t>
  </si>
  <si>
    <t xml:space="preserve">Colisão da garra com o disco de freio</t>
  </si>
  <si>
    <t xml:space="preserve">colocação do robô em repli e liberação da linha.</t>
  </si>
  <si>
    <t xml:space="preserve">FM120 Mesa K0</t>
  </si>
  <si>
    <t xml:space="preserve">Ultrapassagem na mesa K0 - quebra do conjunto limitação ultrapassagem da mesa </t>
  </si>
  <si>
    <t xml:space="preserve">Sensor baixa velocidade na mesa Quebrado </t>
  </si>
  <si>
    <t xml:space="preserve">Forçado avanço da OF no Siptol, posterior falha característica incorreta elevador saída X5,2 e mesa decisão X52 OU X79 entrada CSF1 P1</t>
  </si>
  <si>
    <t xml:space="preserve">Talha entrada Skid</t>
  </si>
  <si>
    <t xml:space="preserve">Desarme geral segurança ilha 2</t>
  </si>
  <si>
    <t xml:space="preserve">Alimentação da talha da entrada em curta-circuito (falta do limitador do trolley)</t>
  </si>
  <si>
    <t xml:space="preserve">Colocação em degradado a retirada de skid e substituição do conjunto trolley de alimentação.</t>
  </si>
  <si>
    <t xml:space="preserve">X - line</t>
  </si>
  <si>
    <t xml:space="preserve">Sistema X-line em falha - não abria o sw</t>
  </si>
  <si>
    <t xml:space="preserve">travou comunicação do pc do Pev com PC do banco de rolagem</t>
  </si>
  <si>
    <t xml:space="preserve">Riniciado os 2 pc's</t>
  </si>
  <si>
    <t xml:space="preserve">presença skid preto estilo</t>
  </si>
  <si>
    <t xml:space="preserve">falha na presença de skid no preto estilo</t>
  </si>
  <si>
    <t xml:space="preserve">falha no espelho do sensor </t>
  </si>
  <si>
    <t xml:space="preserve">substituído espelho e ajustado sensor</t>
  </si>
  <si>
    <t xml:space="preserve">Elevador Portas Direita </t>
  </si>
  <si>
    <t xml:space="preserve">Elevador travado na posição superior </t>
  </si>
  <si>
    <t xml:space="preserve">Obturador entortou e travou (Suporte de sustentação do obturador com parafuso quebrado)</t>
  </si>
  <si>
    <t xml:space="preserve">A haste do obturador e chapa do balancele foram desentortadas</t>
  </si>
  <si>
    <t xml:space="preserve">Desbobinador</t>
  </si>
  <si>
    <t xml:space="preserve">Maquina não faz o desbobinamento (falha banda tensa)  </t>
  </si>
  <si>
    <t xml:space="preserve">Sensor de detecção de chapa no fosso estava acionado por queda de chapa</t>
  </si>
  <si>
    <t xml:space="preserve">Restabelecimento da posição da chapa na entrada da desbobinabora, retirada da chapa acionando indevidamente sensor e finalizado chafab da maquina.     
 </t>
  </si>
  <si>
    <t xml:space="preserve">Robô RX2</t>
  </si>
  <si>
    <t xml:space="preserve">Escorregamento do eixo 3 do Robô</t>
  </si>
  <si>
    <t xml:space="preserve">Motor do Eixo 3 com óleo dentro do conjunto estator/freio</t>
  </si>
  <si>
    <t xml:space="preserve">Substituição do motor</t>
  </si>
  <si>
    <t xml:space="preserve">OP115</t>
  </si>
  <si>
    <t xml:space="preserve">Falha intermitente passagem do passo 5 direto ao passo 7</t>
  </si>
  <si>
    <t xml:space="preserve">Sensores de presença de sincronismo desajustados </t>
  </si>
  <si>
    <t xml:space="preserve">Corrigido erro de lógica e ajuste dos sensores de presença</t>
  </si>
  <si>
    <t xml:space="preserve">BAP 10 Off</t>
  </si>
  <si>
    <t xml:space="preserve">Não realizava a prensagem da mesa 2</t>
  </si>
  <si>
    <t xml:space="preserve">Perdeu toda sequencia de modo automático, não reconhecia peça presente em nenhuma das estações de trabalho</t>
  </si>
  <si>
    <t xml:space="preserve">Realizado verificação de conexão dos sensores da prensa, verificado no software as condições de trabalho no qual estava faltando condição de segurança 3 da máquina. Forçado sinais de presença em todas as estações para realização do trabalho. Acompanhado durante um tempo para validação.  
 </t>
  </si>
  <si>
    <t xml:space="preserve">Posto 174</t>
  </si>
  <si>
    <t xml:space="preserve">Erro C75A1 Erro do codificador de articulação eixo "Pulso 2"</t>
  </si>
  <si>
    <t xml:space="preserve">Erro do encoder do eixo "Pulso 2" </t>
  </si>
  <si>
    <t xml:space="preserve">Desenergizado robo e realizado reset encoder desconectando conector do mesmo direto o eixo. 
 </t>
  </si>
  <si>
    <t xml:space="preserve">transporte </t>
  </si>
  <si>
    <t xml:space="preserve">falha no transporte da esteira na saída da estufa</t>
  </si>
  <si>
    <t xml:space="preserve">sensor de presença do carro atuando indevidamente </t>
  </si>
  <si>
    <t xml:space="preserve">ajustado sensor abaixado em 5mm</t>
  </si>
  <si>
    <t xml:space="preserve">mesa</t>
  </si>
  <si>
    <t xml:space="preserve">duas mesas sem condição de trabalha, nem em manual era possível movimentar </t>
  </si>
  <si>
    <t xml:space="preserve">fora de ciclo </t>
  </si>
  <si>
    <t xml:space="preserve">corrigido ciclo e acompanhado </t>
  </si>
  <si>
    <t xml:space="preserve">Não realizava a transferência de dados da Tabela "IIT" para a mesa G0W</t>
  </si>
  <si>
    <t xml:space="preserve">Dados da Tabela "IIT" corrompidos</t>
  </si>
  <si>
    <t xml:space="preserve">Realizado o download da DB das "IIT" e inserido novamente os dados dos carros que estavam na linha. </t>
  </si>
  <si>
    <t xml:space="preserve">Operações 200A e 200B</t>
  </si>
  <si>
    <t xml:space="preserve">Não realizava o giro do dispositivo para realização das soldas</t>
  </si>
  <si>
    <t xml:space="preserve">Estava com disjuntores de rotações desarmados, porém o do dispositivo 200B não estava rearmando  </t>
  </si>
  <si>
    <t xml:space="preserve">rearmado o disjuntor do dispositivo 200A e substituído o disjuntor do dispositivo 200B </t>
  </si>
  <si>
    <t xml:space="preserve">esteira Transportadora  Taparelas</t>
  </si>
  <si>
    <t xml:space="preserve">falha de taparela alta na saida de MO1</t>
  </si>
  <si>
    <t xml:space="preserve">Falha no sensor de monitoramento do lado esquerdo</t>
  </si>
  <si>
    <t xml:space="preserve">Realizado o by pass do sensor para substituição em horário de ceia</t>
  </si>
  <si>
    <t xml:space="preserve"> Prensa A0</t>
  </si>
  <si>
    <t xml:space="preserve">Não estava realizando a prensagem na gaveta 3, modelo X52</t>
  </si>
  <si>
    <t xml:space="preserve">Anéis tortos dentro da guia de prensagem</t>
  </si>
  <si>
    <t xml:space="preserve">Retirado os anéis que estavam mal colocados e reiniciado o ciclo</t>
  </si>
  <si>
    <t xml:space="preserve">OP 220 R1</t>
  </si>
  <si>
    <t xml:space="preserve">Robô gerou falha no momento de pega do retentor da distribuição</t>
  </si>
  <si>
    <t xml:space="preserve">Enroscou o retentor na gaveta gerando erro e parando o robô </t>
  </si>
  <si>
    <t xml:space="preserve">Realizado o reparo na gaveta de distribuição e recolocado o robô em repli para executar rotina no próximo motor.   </t>
  </si>
  <si>
    <t xml:space="preserve">Robôs da Ilha</t>
  </si>
  <si>
    <t xml:space="preserve">Colisão entre os robôs e carroceria</t>
  </si>
  <si>
    <t xml:space="preserve">Recebimento de código errado na ilhas</t>
  </si>
  <si>
    <t xml:space="preserve">foi corrigido o modelo do carro, realizado a troca de um porta elétrodo, verificado alinhamento e colocado a linha para rodar novamente </t>
  </si>
  <si>
    <t xml:space="preserve">mesa H0</t>
  </si>
  <si>
    <t xml:space="preserve">Falha de características incorretas PSF mesa H0</t>
  </si>
  <si>
    <t xml:space="preserve">Foi forçado o recirculo de Skids vazios pela linha X52</t>
  </si>
  <si>
    <t xml:space="preserve">Forçasdo todos skids vazios para passar no ponto PSF da H0 e acionado modo sem PSF na mesa N0</t>
  </si>
  <si>
    <t xml:space="preserve">sick L4LAS</t>
  </si>
  <si>
    <t xml:space="preserve">Sick profinet com erro E1</t>
  </si>
  <si>
    <t xml:space="preserve">Erro interno no scanner </t>
  </si>
  <si>
    <t xml:space="preserve">Substituído por um scanner da linha HC</t>
  </si>
  <si>
    <t xml:space="preserve">Foi forçado o recirculo de Skids vazios pela linha do X52</t>
  </si>
  <si>
    <t xml:space="preserve">Forçado todos skids vazios para passar no ponto PSF da H0 e acionado modo sem PSF na mesa N0 
 </t>
  </si>
  <si>
    <t xml:space="preserve">Erro interno no scanner</t>
  </si>
  <si>
    <t xml:space="preserve">Banco 1</t>
  </si>
  <si>
    <t xml:space="preserve">PC controle banco teste 1 não liga</t>
  </si>
  <si>
    <t xml:space="preserve">PC com problema </t>
  </si>
  <si>
    <t xml:space="preserve">Substituiçã do PC para diagnóstico posterior do Hardware</t>
  </si>
  <si>
    <t xml:space="preserve">OP 330</t>
  </si>
  <si>
    <t xml:space="preserve">Não realizava o parafusamento dos amortecedores </t>
  </si>
  <si>
    <t xml:space="preserve">Perdeu a leitura de dados do Código de barras da haste </t>
  </si>
  <si>
    <t xml:space="preserve">erro no código de barras e ajuste da camera </t>
  </si>
  <si>
    <t xml:space="preserve">Falha na características incorretas PSF mesa H0</t>
  </si>
  <si>
    <t xml:space="preserve">Forçado todos skid vazios para passar no ponto PSF da H0 e acionado modo sem PSF na mesa N0</t>
  </si>
  <si>
    <t xml:space="preserve">Portas X79</t>
  </si>
  <si>
    <t xml:space="preserve">Z1: A03 Def. movimento CA2</t>
  </si>
  <si>
    <t xml:space="preserve">Mangueira rompida (Quebra da esteira porta cabos)</t>
  </si>
  <si>
    <t xml:space="preserve">Reparo da esteira porta-cabos</t>
  </si>
  <si>
    <t xml:space="preserve"> MOP - PC</t>
  </si>
  <si>
    <t xml:space="preserve">Desarme de disjunto 24V DJPE</t>
  </si>
  <si>
    <t xml:space="preserve">Em análise (sobrecarga no circuito do primeiro módulo PM)</t>
  </si>
  <si>
    <t xml:space="preserve">Foram retirados os cartões PM para isolar a sobrecarga e ao recolocar não houve mais desarme</t>
  </si>
  <si>
    <t xml:space="preserve"> Robô C3</t>
  </si>
  <si>
    <t xml:space="preserve">Perda de sinais para solda do Robô</t>
  </si>
  <si>
    <t xml:space="preserve">Arrebentou o corrugado (Anaconda) e com isso soltou o cabo de potência da pinça de solda.</t>
  </si>
  <si>
    <t xml:space="preserve">Substituíção de todo o feixe de cabos da pinça</t>
  </si>
  <si>
    <t xml:space="preserve">Perda de sinal de posição, falha de bloqueio movimento elevador</t>
  </si>
  <si>
    <t xml:space="preserve">Skid ultrapssou na mesa 1 e interlock não realizava o movimento do elevador,</t>
  </si>
  <si>
    <t xml:space="preserve">Recolocado o skid na posição, setado a falha que havia ficado e rearmado a falha do inversor de frequencia  </t>
  </si>
  <si>
    <t xml:space="preserve">Mesa elevadora 19 da desacostagem</t>
  </si>
  <si>
    <t xml:space="preserve">Base portesse ficou travada no balancele</t>
  </si>
  <si>
    <t xml:space="preserve">Pino da trava não soltou e ficou na posição de travado devido a mola de retorno da trava quebrada</t>
  </si>
  <si>
    <t xml:space="preserve">Realizado movimento manual para poder livrar a trava, e movimenta-la manualmente, após isso realizado os movimentos manuais para descida da base e colocado ela para inspeção.
Na inspeção encontrado a mola de retorno da trava quebrada. 
</t>
  </si>
  <si>
    <t xml:space="preserve">Griper K34</t>
  </si>
  <si>
    <t xml:space="preserve">Falha ultrapassagem de tempo de ciclo </t>
  </si>
  <si>
    <t xml:space="preserve">Griper Suporte da lingueta do fim de curso de segurança trojan torto</t>
  </si>
  <si>
    <t xml:space="preserve">Aberto das serragem da trave e depositado o griper no docking para ajuste do trojan, e feito ajuste do mesmo</t>
  </si>
  <si>
    <t xml:space="preserve">CSF1 Mesa G0</t>
  </si>
  <si>
    <t xml:space="preserve">Falha mesa de elevação G0</t>
  </si>
  <si>
    <t xml:space="preserve">Sensor fora de posição </t>
  </si>
  <si>
    <t xml:space="preserve">Ajuste sensor de posição subida e descida depois falha no descarregamento rolos da mesa retirada função platina forçada descarregamento com partida direta e retornado platina funcionamento normal.  </t>
  </si>
  <si>
    <t xml:space="preserve">Gravador de Chassi </t>
  </si>
  <si>
    <t xml:space="preserve">Não efetuou a gravação</t>
  </si>
  <si>
    <t xml:space="preserve">Cilindro de Posicionamento e software da aplicação travados</t>
  </si>
  <si>
    <t xml:space="preserve">Retornado o cilindro a posição e reiniciado o software.</t>
  </si>
  <si>
    <t xml:space="preserve">Lateral Direita D0 </t>
  </si>
  <si>
    <t xml:space="preserve"> Mesa não efetuava o gira para a troca de modelo.</t>
  </si>
  <si>
    <t xml:space="preserve"> Falha no retificador do motor e no contato auxiliar do acionamento do freio</t>
  </si>
  <si>
    <t xml:space="preserve"> Substituido o retificador do motor, a mesa voltou a funcionar. Após um tempo parou novamente. Verificado a liberação do freio e após analise econtrado problema com o contato auxiliar de acionamento. Substituido o contato auxiliar.</t>
  </si>
  <si>
    <t xml:space="preserve">BM60 - Mesa J0</t>
  </si>
  <si>
    <t xml:space="preserve">Plataforma não fecha </t>
  </si>
  <si>
    <t xml:space="preserve">Porta Albany sem informação de avanço bloqueando movimento plataforma </t>
  </si>
  <si>
    <t xml:space="preserve">Pilotagem da plataforma em manual e verificação da posição da porta</t>
  </si>
  <si>
    <t xml:space="preserve">Operação 160-2</t>
  </si>
  <si>
    <t xml:space="preserve">Falha de Clamp</t>
  </si>
  <si>
    <t xml:space="preserve">Em análise pelo fabricante da máquina Horibe.</t>
  </si>
  <si>
    <t xml:space="preserve">Realizado Pstart no Robo e descarregamento Backup e restabelecimento ilha.</t>
  </si>
  <si>
    <t xml:space="preserve">Operação 10A </t>
  </si>
  <si>
    <t xml:space="preserve">Não realiza o ciclo de balanceamento </t>
  </si>
  <si>
    <t xml:space="preserve">Em analise </t>
  </si>
  <si>
    <t xml:space="preserve">Analise e verificação até 00:30 mas sem condutor para auxilio (continuidade no 1° turno)</t>
  </si>
  <si>
    <t xml:space="preserve">Operação 95 Portal</t>
  </si>
  <si>
    <t xml:space="preserve">Falha na supervisão de movimento Eixo X do Portal</t>
  </si>
  <si>
    <t xml:space="preserve">Modulo de Potência danificado </t>
  </si>
  <si>
    <t xml:space="preserve">Substituido o módulo por um novo após religar erro de comunicação entre I/O, módulo de rede Profibus CP 342 queimado, substituido o modulo mas gerou falha de rede e não subia para Run, substituido o modulo por uma versão mais nova subiu a rede mas com BF, descarregado Hardware do Backup original devido configurações padrões, colocação do Portal em funcionamento.</t>
  </si>
  <si>
    <t xml:space="preserve">Guia linear posição para modelo fora de posição </t>
  </si>
  <si>
    <t xml:space="preserve">Diagnóstico via software sinal de sensor fechamento mordente do mancal não deveria estar acionado após chegada do responsável processo verificou conjunto fora da possição, movimentado para possição correta, selecionado modo correto de medição na IHM e colocação em ciclo </t>
  </si>
  <si>
    <t xml:space="preserve">Falha no fechamento da garra de movimento do casquete</t>
  </si>
  <si>
    <t xml:space="preserve">Garra desajustada, e problema na graxa de lubrificação </t>
  </si>
  <si>
    <t xml:space="preserve">Completado nivel da grava e ajuste mecanico da garra.</t>
  </si>
  <si>
    <t xml:space="preserve">Geral llha</t>
  </si>
  <si>
    <t xml:space="preserve">Falha de ar Ilha não rearma após intrusão</t>
  </si>
  <si>
    <t xml:space="preserve">Falha segurança abertura e fechamento de porta </t>
  </si>
  <si>
    <t xml:space="preserve">Ajuste do pressostato e realização de procedimento de abertura e fechamento de porta para conseguir rearmar a ilha colocação de um Robo em Repli e retorno ao ciclo da ilha.</t>
  </si>
  <si>
    <t xml:space="preserve">SAM </t>
  </si>
  <si>
    <t xml:space="preserve">Maquinas fora de monitoramento no SAM</t>
  </si>
  <si>
    <t xml:space="preserve">PC não conectado </t>
  </si>
  <si>
    <t xml:space="preserve">Efetuado login no PC e colocação em funcionamento aplicação</t>
  </si>
  <si>
    <t xml:space="preserve">Falha no posicionamento do giro do virabrequim </t>
  </si>
  <si>
    <t xml:space="preserve">Função de processo que faz uma abertura e fechamento da castanha ativa.</t>
  </si>
  <si>
    <t xml:space="preserve">Função não é utilizada, foi desativada.</t>
  </si>
  <si>
    <t xml:space="preserve">Disjuntor PP1-PB-T7</t>
  </si>
  <si>
    <t xml:space="preserve">Desarmou disjuntor principal da subestação </t>
  </si>
  <si>
    <t xml:space="preserve">Motor de lodo ETDI com curto interno para carcaça (curto entre fase e terra, registrado 1282A no condutor terra)</t>
  </si>
  <si>
    <t xml:space="preserve">Rearme geral da planta, TTS, cata, retificadores, diluição, estufas, etc.</t>
  </si>
  <si>
    <t xml:space="preserve">LTS M2 Coluna I54</t>
  </si>
  <si>
    <t xml:space="preserve">Falha na rede de informática apontada pelo COA em 7 LTS's</t>
  </si>
  <si>
    <t xml:space="preserve">Mau contato na conexão da tomada de alimentação LTS M2, entre o plug macho e a régua de tomadas dentro do painel da informática.</t>
  </si>
  <si>
    <t xml:space="preserve">Reconectado cabo.</t>
  </si>
  <si>
    <t xml:space="preserve">Não realizava a gravação do bloco após erro do Pallet</t>
  </si>
  <si>
    <t xml:space="preserve">Perda de posição do Pallet e estava em estado de parametrização Sick Maker</t>
  </si>
  <si>
    <t xml:space="preserve">Forçado saída do bloco que não gravou, e reset do sick maker</t>
  </si>
  <si>
    <t xml:space="preserve">Operação 50 Portal </t>
  </si>
  <si>
    <t xml:space="preserve">falha ao descer de inspeção, e ao descer os dois eixos Z maquina permanece parada sem erro </t>
  </si>
  <si>
    <t xml:space="preserve">Erros de programa PLC e CNC</t>
  </si>
  <si>
    <t xml:space="preserve">Alteração de condições no programa ladder de condição abertura de pinça no programa do CNC</t>
  </si>
  <si>
    <t xml:space="preserve">Robô X2</t>
  </si>
  <si>
    <t xml:space="preserve">Robô colidiu com a ferramenta e quebrou o braço do eixo 3</t>
  </si>
  <si>
    <t xml:space="preserve">Substituição do braço danificado </t>
  </si>
  <si>
    <t xml:space="preserve">Preto Estilo </t>
  </si>
  <si>
    <t xml:space="preserve">Falha na aplicação, não enviava produto </t>
  </si>
  <si>
    <t xml:space="preserve">Estava alterada a tabela de aplicação chamnado o produto pela valvula 2 </t>
  </si>
  <si>
    <t xml:space="preserve">Corrigido a tabela de aplicação e retornado para válvula 1</t>
  </si>
  <si>
    <t xml:space="preserve">Estático 2</t>
  </si>
  <si>
    <t xml:space="preserve">Não realizava conexão com a rede Wi Fi</t>
  </si>
  <si>
    <t xml:space="preserve">Ainda em análise, </t>
  </si>
  <si>
    <t xml:space="preserve">Pedido auxílio para a informática e Telecom.                   Atividade em relação a correção de horários no SMPLOC devido a estarem 1 hora adiantados.</t>
  </si>
  <si>
    <t xml:space="preserve"> CCG400</t>
  </si>
  <si>
    <t xml:space="preserve">Defeito Movimento Carro A</t>
  </si>
  <si>
    <t xml:space="preserve">Falha de movimento na mudança de modelo</t>
  </si>
  <si>
    <t xml:space="preserve">Ativação do nó profinet e execução do movimento faltante para colocação dispositivo em Condição de Maquina Recuada</t>
  </si>
  <si>
    <t xml:space="preserve">OP 310-2</t>
  </si>
  <si>
    <t xml:space="preserve">Defeito de transferência da mesa OP310/2</t>
  </si>
  <si>
    <t xml:space="preserve">Sensor de presença acionado indevidamente</t>
  </si>
  <si>
    <t xml:space="preserve"> Substituição do sensor danificado </t>
  </si>
  <si>
    <t xml:space="preserve">Drivebox</t>
  </si>
  <si>
    <t xml:space="preserve">Drive sem falhas, com comando, mas motor parado</t>
  </si>
  <si>
    <t xml:space="preserve">Drivebox travado </t>
  </si>
  <si>
    <t xml:space="preserve">Reinicialização do drivebox</t>
  </si>
  <si>
    <t xml:space="preserve">Mesa transferência 90 / 1A</t>
  </si>
  <si>
    <t xml:space="preserve">Não estava realizando a transferência em modo PSF da mesa 90 para a 1A</t>
  </si>
  <si>
    <t xml:space="preserve">Falta de condição de transferência (verificação via software)</t>
  </si>
  <si>
    <t xml:space="preserve">Foi forçada a autorização da transição da mesa 90 para mesa 1A</t>
  </si>
  <si>
    <t xml:space="preserve">Desbobinadora</t>
  </si>
  <si>
    <t xml:space="preserve">Falha (30005 e 30012) Sinamics controle desbobinadora</t>
  </si>
  <si>
    <t xml:space="preserve">Fonte alimentação do drive com problema </t>
  </si>
  <si>
    <t xml:space="preserve">Substituição da fonte de alimentação do drive</t>
  </si>
  <si>
    <t xml:space="preserve">Esstação 63 PEV</t>
  </si>
  <si>
    <t xml:space="preserve">Sistema operacional corrompido após movimentação do CP</t>
  </si>
  <si>
    <t xml:space="preserve">HD com problemas</t>
  </si>
  <si>
    <t xml:space="preserve">Continua intervenção de restabelecimento da Estação 63</t>
  </si>
  <si>
    <t xml:space="preserve">Operação 214</t>
  </si>
  <si>
    <t xml:space="preserve">Defeitos no separador de arruelas </t>
  </si>
  <si>
    <t xml:space="preserve">Sujeira no sensor de detecção da arruela, na faca e na régua.</t>
  </si>
  <si>
    <t xml:space="preserve">Limpeza da regua de alimentação, separador e sensor. Ajustes no  potênciometro de vibração da regua.</t>
  </si>
  <si>
    <t xml:space="preserve">  Robô B2</t>
  </si>
  <si>
    <t xml:space="preserve">Falha no sistema do Robô, falha de comunicação Devicenet na ilha</t>
  </si>
  <si>
    <t xml:space="preserve">Oxidações na placa de conversão da Flash, Mal contato no cabo de sinais de emergência, Mal contato na conexão Devicente da Mesa giratória.</t>
  </si>
  <si>
    <t xml:space="preserve"> Realizado limpeza das áreas de contatos das conexões de Rede, e da flash. Realizado substituição de peças para verificação de Falha e check nas demais conexões dos cabos.</t>
  </si>
  <si>
    <t xml:space="preserve">Pc X_Line</t>
  </si>
  <si>
    <t xml:space="preserve"> X_Line não estava permanecendo ativo, perda de comunicação com o PEV, erro na placa Apllicom </t>
  </si>
  <si>
    <t xml:space="preserve">Possível problema no PC.</t>
  </si>
  <si>
    <t xml:space="preserve">Substituído  Pc, corrigido porta de comunicação entre o Leitor de codigo de barras e da impressora e reinstalado drive da placa aplicom.</t>
  </si>
  <si>
    <t xml:space="preserve">PO156 </t>
  </si>
  <si>
    <t xml:space="preserve">Robô não inicia o parafusamento </t>
  </si>
  <si>
    <t xml:space="preserve">Máquina fora de ciclo devido a intervenção no fim de semana</t>
  </si>
  <si>
    <t xml:space="preserve">Reset da memória de trabalho no PLC e Pstart do robô</t>
  </si>
  <si>
    <t xml:space="preserve">Posto não inicia a gravação do Bloco </t>
  </si>
  <si>
    <t xml:space="preserve">Perda de sinal de presença de pallet no stoper</t>
  </si>
  <si>
    <t xml:space="preserve">Ajuste do sensor de presença de pallet.</t>
  </si>
  <si>
    <t xml:space="preserve">Falha Rede Ethercat. Desarme geral circuito de emergência </t>
  </si>
  <si>
    <t xml:space="preserve">Mau contato em borne-fusível.</t>
  </si>
  <si>
    <t xml:space="preserve">.</t>
  </si>
  <si>
    <t xml:space="preserve">Geral linha	</t>
  </si>
  <si>
    <t xml:space="preserve">Tempo limite excedido PSF				</t>
  </si>
  <si>
    <t xml:space="preserve">Travamento da LTS VUTL e VUP1	</t>
  </si>
  <si>
    <t xml:space="preserve">Reset da LTS via sistema </t>
  </si>
  <si>
    <t xml:space="preserve">OP205 </t>
  </si>
  <si>
    <t xml:space="preserve">Perda de ciclo da máquina </t>
  </si>
  <si>
    <t xml:space="preserve">Quebra do suporte da anaconda do robô</t>
  </si>
  <si>
    <t xml:space="preserve">Foram amarradas as mangueiras para substituição posterior da anaconda.</t>
  </si>
  <si>
    <t xml:space="preserve">Dados incorretos siptol </t>
  </si>
  <si>
    <t xml:space="preserve">perdeu ciclo entre as mesas BR20 E0 e BR30</t>
  </si>
  <si>
    <t xml:space="preserve">Corrigido ciclo e recalado siptol </t>
  </si>
  <si>
    <t xml:space="preserve"> Esteira Principal</t>
  </si>
  <si>
    <t xml:space="preserve">Esteira MO1 Travada</t>
  </si>
  <si>
    <t xml:space="preserve">Travamento mecânico da esteira com Motor do RGV</t>
  </si>
  <si>
    <t xml:space="preserve">Retirada do motor travado e verificação para troca da taparela da esteira</t>
  </si>
  <si>
    <t xml:space="preserve">Motor X1</t>
  </si>
  <si>
    <t xml:space="preserve">Falha de acionamento eixo X</t>
  </si>
  <si>
    <t xml:space="preserve">Mau contato no cabo do PTC na conexão interna dentro da caixa de ligação do motor (motor X1)</t>
  </si>
  <si>
    <t xml:space="preserve">Efetuado reaperto da conexão </t>
  </si>
  <si>
    <t xml:space="preserve">Robô ST200</t>
  </si>
  <si>
    <t xml:space="preserve">Fatal Error no robô </t>
  </si>
  <si>
    <t xml:space="preserve">Erro no sistema, porém deixava carregar após o CCR devido à falta de memória </t>
  </si>
  <si>
    <t xml:space="preserve">Foi excluído algumas rotinas referente ao HJD para poder carregar todo o sistema </t>
  </si>
  <si>
    <t xml:space="preserve">Elevador 9</t>
  </si>
  <si>
    <t xml:space="preserve">Queda do elevador após carregar base porteuse</t>
  </si>
  <si>
    <t xml:space="preserve">Realizado um Check mecanico no equipamento para validação de condições, foi ajustada a posição do elevador e reiniciado o ciclo.</t>
  </si>
  <si>
    <t xml:space="preserve">Mesa 19 </t>
  </si>
  <si>
    <t xml:space="preserve">Falha de diálogo PSF</t>
  </si>
  <si>
    <t xml:space="preserve">Memória de presença ativa, mesmo sem presença física</t>
  </si>
  <si>
    <t xml:space="preserve">Foi retirada a memória de presença da mesa </t>
  </si>
  <si>
    <t xml:space="preserve">Porta de entrada da Cabine</t>
  </si>
  <si>
    <t xml:space="preserve">Porta do biton não estava realizando o fechamento </t>
  </si>
  <si>
    <t xml:space="preserve">Defeito no encoder </t>
  </si>
  <si>
    <t xml:space="preserve">Foi forçado o sinal do encoder para fechar a porta.</t>
  </si>
  <si>
    <t xml:space="preserve">Perda de posição da carroceria e da base portesse no momento da desacostagem </t>
  </si>
  <si>
    <t xml:space="preserve">Lado esquerdo da base porteuse estava destravado. (Causa em análise)</t>
  </si>
  <si>
    <t xml:space="preserve">A carroceria foi amarrada no balancele e a base porteuse foi retirada</t>
  </si>
  <si>
    <t xml:space="preserve">robô primer    </t>
  </si>
  <si>
    <t xml:space="preserve">Falha na detecção do sino da turbina </t>
  </si>
  <si>
    <t xml:space="preserve"> Vazamento de ar entre o punho e a turbina devido a parafusos espanados</t>
  </si>
  <si>
    <t xml:space="preserve">Subsitutição dos parafusos espanados</t>
  </si>
  <si>
    <t xml:space="preserve"> CSA080</t>
  </si>
  <si>
    <t xml:space="preserve">Falha de I/O no rack do SLC 500</t>
  </si>
  <si>
    <t xml:space="preserve">Carta Ethernet em curto-circuito </t>
  </si>
  <si>
    <t xml:space="preserve">Substituição do Rack e carta ethernet</t>
  </si>
  <si>
    <t xml:space="preserve">Colisão da garra com a peça ao depositar na mesa prensa C01</t>
  </si>
  <si>
    <t xml:space="preserve">Correção da garra (Degradou ao colidir) e ajuste de trajetórias. </t>
  </si>
  <si>
    <t xml:space="preserve">Prensa</t>
  </si>
  <si>
    <t xml:space="preserve">Linha não executa chafab em modo automático.</t>
  </si>
  <si>
    <t xml:space="preserve">Condição no software de chafab sem ferramenta não satisfeitas.</t>
  </si>
  <si>
    <t xml:space="preserve">Realizado o chafab manualmente.</t>
  </si>
  <si>
    <t xml:space="preserve">Talonadora</t>
  </si>
  <si>
    <t xml:space="preserve">CPU em STOP </t>
  </si>
  <si>
    <t xml:space="preserve">Erro durante o processamento da FC103</t>
  </si>
  <si>
    <t xml:space="preserve">Inserido o OB121, o fornecedor irá realizar as correções no FC</t>
  </si>
  <si>
    <t xml:space="preserve">Balancele 53</t>
  </si>
  <si>
    <t xml:space="preserve">Balancele parado andes do elevador de ME3</t>
  </si>
  <si>
    <t xml:space="preserve">Rolamento interno do motor degradado, causando contato do rotor com o estator, fechando curto circuito </t>
  </si>
  <si>
    <t xml:space="preserve">Troca do motor,  LJU, roda motriz e cabo do sensor.</t>
  </si>
  <si>
    <t xml:space="preserve">Mesas </t>
  </si>
  <si>
    <t xml:space="preserve">Defeito de ultrapassagem em várias mesas</t>
  </si>
  <si>
    <t xml:space="preserve">Excesso de óleo nos roletes das mesas de retorno de skid da pintura </t>
  </si>
  <si>
    <t xml:space="preserve">Ajustado sensores e limpado rolos.</t>
  </si>
  <si>
    <t xml:space="preserve">Martelo P12</t>
  </si>
  <si>
    <t xml:space="preserve">Falha na informação de travamento do martelo P12</t>
  </si>
  <si>
    <t xml:space="preserve">Falha no cartão PILZ</t>
  </si>
  <si>
    <t xml:space="preserve">substituido cartão </t>
  </si>
  <si>
    <t xml:space="preserve">Falha de checksum no encoder</t>
  </si>
  <si>
    <t xml:space="preserve">Encoder perdeu a referência </t>
  </si>
  <si>
    <t xml:space="preserve">Referenciamento do encoder e descarragado db</t>
  </si>
  <si>
    <t xml:space="preserve">Falha de segurança </t>
  </si>
  <si>
    <t xml:space="preserve">um dos canais de fechamento do portão não chega no relé Pilz</t>
  </si>
  <si>
    <t xml:space="preserve">Efetuado by pass e travado portão com cadeado </t>
  </si>
  <si>
    <t xml:space="preserve">OP140 </t>
  </si>
  <si>
    <t xml:space="preserve">Robô só movimentava em manual,não recebia autorização de evolução </t>
  </si>
  <si>
    <t xml:space="preserve">Falha de sistema </t>
  </si>
  <si>
    <t xml:space="preserve">Efetuado reboot do robô</t>
  </si>
  <si>
    <t xml:space="preserve">Sensor input FIFO</t>
  </si>
  <si>
    <t xml:space="preserve">Falha no carregamento da FIFO aplicação de verniz</t>
  </si>
  <si>
    <t xml:space="preserve">Sensor de input com mau contato na alimentação 24Vcc dentro do painel</t>
  </si>
  <si>
    <t xml:space="preserve">Melhorado conexão do cabo, porém devido aquecimento vai ser preciso substituir o disjuntor </t>
  </si>
  <si>
    <t xml:space="preserve">OP235</t>
  </si>
  <si>
    <t xml:space="preserve">Robô não inicia ciclo, mensagem permanente de solicitação de reply</t>
  </si>
  <si>
    <t xml:space="preserve"> Erro interno da aplicação Promia</t>
  </si>
  <si>
    <t xml:space="preserve">Restaurado backup do robô</t>
  </si>
  <si>
    <t xml:space="preserve">MIR</t>
  </si>
  <si>
    <t xml:space="preserve">Recusa do sistema de visão, sem liberação de saída da caroceria na mesa T14</t>
  </si>
  <si>
    <t xml:space="preserve">Setado memória MFT para liberar movimentação T14</t>
  </si>
  <si>
    <t xml:space="preserve">SAO</t>
  </si>
  <si>
    <t xml:space="preserve">Falha de comunicação GRET</t>
  </si>
  <si>
    <t xml:space="preserve">Falha de comunicação dos postos SAO com o sistema GRET</t>
  </si>
  <si>
    <t xml:space="preserve">Efetuado reset da comunicação via sistema pela informatica.</t>
  </si>
  <si>
    <t xml:space="preserve">MONVP e MONVU</t>
  </si>
  <si>
    <t xml:space="preserve">Maletas MPS Petit e Grand Plateau </t>
  </si>
  <si>
    <t xml:space="preserve">Maletas sem comunicação Wfindus2</t>
  </si>
  <si>
    <t xml:space="preserve">Falha de comunicação com o servidor </t>
  </si>
  <si>
    <t xml:space="preserve">Efetuado o login em cada umas das maletas</t>
  </si>
  <si>
    <t xml:space="preserve">Mesa Pivotante 05 </t>
  </si>
  <si>
    <t xml:space="preserve">Time out mesa 05</t>
  </si>
  <si>
    <t xml:space="preserve">Falha acionamento sensor baixa valocidade rotação  (Cartão flex I/O queimado)   </t>
  </si>
  <si>
    <t xml:space="preserve">Substituição de sensor e passagem cabo por fora e substituição de cartão Flex I/O queimado </t>
  </si>
  <si>
    <t xml:space="preserve">BR1 mesa D0</t>
  </si>
  <si>
    <t xml:space="preserve">Curto-circuito no cabo do pilotoo PL11, zerou 24 Vcc da CPX</t>
  </si>
  <si>
    <t xml:space="preserve">Desconectado cabo do piloto feito by pass e liberado a linha (substituição do cabo do sensosr do horário da janta)</t>
  </si>
  <si>
    <t xml:space="preserve">Falha de temperatura do motor do eixo 4</t>
  </si>
  <si>
    <t xml:space="preserve">Travamento mecânico no eixo</t>
  </si>
  <si>
    <t xml:space="preserve">Desmontagem dos eixos para poder avaliar e reparar.</t>
  </si>
  <si>
    <t xml:space="preserve">Elevador</t>
  </si>
  <si>
    <t xml:space="preserve">Falha no batente B10</t>
  </si>
  <si>
    <t xml:space="preserve">Sensor solto no suporte</t>
  </si>
  <si>
    <t xml:space="preserve">Ajuste do sensor e correção da fifo</t>
  </si>
  <si>
    <t xml:space="preserve">Substituição conjunto eixos 4-5-6, efetuado sincronização eixos e retorno a aplicação no almoço. </t>
  </si>
  <si>
    <t xml:space="preserve">OP165</t>
  </si>
  <si>
    <t xml:space="preserve">Erro de medição (gerando peça invalida</t>
  </si>
  <si>
    <t xml:space="preserve">Falta de memória PC Marposs e sensor de presença funcionamento incorreto</t>
  </si>
  <si>
    <t xml:space="preserve">Limpeza do HD para liberação de memória e ajuste da posição do sensor de presença</t>
  </si>
  <si>
    <t xml:space="preserve">posto 02</t>
  </si>
  <si>
    <t xml:space="preserve">Desarmando disjuntor A24VA</t>
  </si>
  <si>
    <t xml:space="preserve">Verificação eletrica do painel,  caixas de passagens, botões de emergência e validação </t>
  </si>
  <si>
    <t xml:space="preserve">Verificação eletrica do painel,  caixas de passagens, botões de emergência e validação (porém não foi encontrado o curto circuito, após as verificações voltou a rearmar).  </t>
  </si>
  <si>
    <t xml:space="preserve">Ensaboamento de rodas</t>
  </si>
  <si>
    <t xml:space="preserve">Não realiza o set de presença virtual da máquina</t>
  </si>
  <si>
    <t xml:space="preserve">Ainda em analise de causa</t>
  </si>
  <si>
    <t xml:space="preserve">Ajustado sensor de presença da mesa de ensaboamento, verificação lógica para realizar análise do problema. </t>
  </si>
  <si>
    <t xml:space="preserve">BRA032</t>
  </si>
  <si>
    <t xml:space="preserve">Defeito Device-Net Nó 21 (FlexIO Device-Net)</t>
  </si>
  <si>
    <t xml:space="preserve">Mau contato interno bornes de alimentação da cabeça de rede</t>
  </si>
  <si>
    <t xml:space="preserve">Verificado e ajuste para rodar para substituição da mesma durante intervalo  </t>
  </si>
  <si>
    <t xml:space="preserve">SMPLoc</t>
  </si>
  <si>
    <t xml:space="preserve">Pc não ligava </t>
  </si>
  <si>
    <t xml:space="preserve">HD danificado </t>
  </si>
  <si>
    <t xml:space="preserve">Restabelecimento PC, mas SMP Loc entrou em falha e não subia Corrigido a base de dados, inserido uma base virgem, corrigido detalhamento da tabela no GecLoc</t>
  </si>
  <si>
    <t xml:space="preserve">Elevador de lateral D0 </t>
  </si>
  <si>
    <t xml:space="preserve">Elevador perdendo posição nível 1 (em cima)</t>
  </si>
  <si>
    <t xml:space="preserve">Eixo de 1 dos 2 motores quebrado</t>
  </si>
  <si>
    <t xml:space="preserve">Foi tentado rodar com apenas um motor fazendo ajuste nos sensores, velocidade e tempo de rampa, sem sucesso, então foi soldado eixo do motor danificado </t>
  </si>
  <si>
    <t xml:space="preserve">OP410 </t>
  </si>
  <si>
    <t xml:space="preserve">Falha de sistema e linearidade de eixos X e Y</t>
  </si>
  <si>
    <t xml:space="preserve">Será substituído a placa SMB durante o dia</t>
  </si>
  <si>
    <t xml:space="preserve">Mesa 20</t>
  </si>
  <si>
    <t xml:space="preserve">Desarme do disjuntor da elevação da mesa </t>
  </si>
  <si>
    <t xml:space="preserve">Cabo solto nos bornes de interligação da mesa </t>
  </si>
  <si>
    <t xml:space="preserve">Reapertado o borne </t>
  </si>
  <si>
    <t xml:space="preserve">Máquina perde sequencia de ciclo</t>
  </si>
  <si>
    <t xml:space="preserve">Ainda em análise </t>
  </si>
  <si>
    <t xml:space="preserve">Falta transferência de aro entre as estações </t>
  </si>
  <si>
    <t xml:space="preserve">Perda do sinal de posição baixa da mesa de elevação.</t>
  </si>
  <si>
    <t xml:space="preserve">Foi efetuado um bypass para realizar a transferência de memória da mesa de medição para a mesa de montagem.</t>
  </si>
  <si>
    <t xml:space="preserve">Transbordo 34</t>
  </si>
  <si>
    <t xml:space="preserve">Falha translação da mesa de transbordo </t>
  </si>
  <si>
    <t xml:space="preserve">Quebra do eixo de uma das rodas de tração</t>
  </si>
  <si>
    <t xml:space="preserve">Instalação do degradado e substituição do eixo no horàrio do almoço.</t>
  </si>
  <si>
    <t xml:space="preserve">Posto 200 Robô 2</t>
  </si>
  <si>
    <t xml:space="preserve">Perda de calibração eixo 4</t>
  </si>
  <si>
    <t xml:space="preserve">Motor do eixo 4 danificado </t>
  </si>
  <si>
    <t xml:space="preserve">Substituição do cabo e placa SMP e substituição do motor do eixo 4.</t>
  </si>
  <si>
    <t xml:space="preserve">mesa T124</t>
  </si>
  <si>
    <t xml:space="preserve">Elevador não desceu no skid e não gerou falha</t>
  </si>
  <si>
    <t xml:space="preserve">Ao fechar a retacagem no skid 1664 (skid novo) tirou o skid do sensor de parada e não gerou falha</t>
  </si>
  <si>
    <t xml:space="preserve">Forçado sinal no sensor nesse ciclo, criado alarme na IHMP e SMP</t>
  </si>
  <si>
    <t xml:space="preserve">Mesa Transbordo L0</t>
  </si>
  <si>
    <t xml:space="preserve">Falta movimento da mesa</t>
  </si>
  <si>
    <t xml:space="preserve">Motor com eixo do acoplamento quebrado </t>
  </si>
  <si>
    <t xml:space="preserve">Substituição do conjunto motorredutor e acomplamento </t>
  </si>
  <si>
    <t xml:space="preserve">Robô Lavadora Posto 410 </t>
  </si>
  <si>
    <t xml:space="preserve">Falha de comunicação placa SMB</t>
  </si>
  <si>
    <t xml:space="preserve">Placa SMB do Robô, e trava euchner portão superior compartimento do Robô com problemas  </t>
  </si>
  <si>
    <t xml:space="preserve">Substituição da placa SMB e efetuado calibração dos eixos, diagnosticado problema trava euchner programação de intervenção posterior para reparo. (Faltou verificação da trajetória para liberação do Robo para trabalho posto permaneceu rodando degradado sem o Robo) </t>
  </si>
  <si>
    <t xml:space="preserve">Mesa 73 giratória </t>
  </si>
  <si>
    <t xml:space="preserve">Falha na rotação da mesa </t>
  </si>
  <si>
    <t xml:space="preserve">Roda de tração danificado o revestimento, estava enroscando a mesa </t>
  </si>
  <si>
    <t xml:space="preserve">Substituído a Roda de tração e também substituído o acomplamento conico que estava desgastado.</t>
  </si>
  <si>
    <t xml:space="preserve">Falha no lançamento do siptol</t>
  </si>
  <si>
    <t xml:space="preserve"> Foi feito o lançado de peça especifica no ponto de lançamento (a peça deveria ter sido lançada no ponto de recalage)</t>
  </si>
  <si>
    <t xml:space="preserve">Unit Avant</t>
  </si>
  <si>
    <t xml:space="preserve">Robô de recorte de peça</t>
  </si>
  <si>
    <t xml:space="preserve">Fornecedor ao substituir cabo da garra fechou curto, Fio invertido no cabo de ligação das válvulas. Mal contato no conector fêmea que vem do Robô</t>
  </si>
  <si>
    <t xml:space="preserve">Substituição dos fusíveis; Acertado posição do cabo na ligação do mesmo
Aberto o conector e realizado reparo no pino que estava fora de posição.
</t>
  </si>
  <si>
    <t xml:space="preserve"> Injetoras 1 e 2</t>
  </si>
  <si>
    <t xml:space="preserve">Injetoras não funcionam </t>
  </si>
  <si>
    <t xml:space="preserve">Injetoras fora de ciclo (falha vacuo injetora XX)</t>
  </si>
  <si>
    <t xml:space="preserve">Restabelecimento ciclo injetoras (Falha de vacuo restabelecido pela area)</t>
  </si>
  <si>
    <t xml:space="preserve">Desempilhador</t>
  </si>
  <si>
    <t xml:space="preserve">Falha segurança porta desempilhador mesa direita</t>
  </si>
  <si>
    <t xml:space="preserve">Sensor porta quebrado</t>
  </si>
  <si>
    <t xml:space="preserve">Adaptação para rodar sem peça para troca (Substituição do mesmo por outro modelo no terceiro turno do dia 30 para 31/10)</t>
  </si>
  <si>
    <t xml:space="preserve">Falha na placa Profinet CP1616 (Erro 71445)</t>
  </si>
  <si>
    <t xml:space="preserve">Problema na alimentação externa da placa CP</t>
  </si>
  <si>
    <t xml:space="preserve">Retirado alimentação externa.</t>
  </si>
  <si>
    <t xml:space="preserve">PC - SMPLOC11 CV-MTSC </t>
  </si>
  <si>
    <t xml:space="preserve">SMPLOC não funciona</t>
  </si>
  <si>
    <t xml:space="preserve">PC com falha de HD</t>
  </si>
  <si>
    <t xml:space="preserve">Mop P50</t>
  </si>
  <si>
    <t xml:space="preserve">Mop não comunica com CLP</t>
  </si>
  <si>
    <t xml:space="preserve">Configuração da placa de rede errada</t>
  </si>
  <si>
    <t xml:space="preserve">Reiniciado mop como administrador e configurado placa de rede </t>
  </si>
  <si>
    <t xml:space="preserve"> Talha motores</t>
  </si>
  <si>
    <t xml:space="preserve">Falha no acionamento do motor de acionamento de translação</t>
  </si>
  <si>
    <t xml:space="preserve">Acoplamento entre eixo e chaveta danificado. </t>
  </si>
  <si>
    <t xml:space="preserve">Substituição do moto-redutor </t>
  </si>
  <si>
    <t xml:space="preserve">Zona 5 </t>
  </si>
  <si>
    <t xml:space="preserve">Zona 5 não entra em marcha ciclo</t>
  </si>
  <si>
    <t xml:space="preserve">Foram forçadas as condições de marcha no siftware </t>
  </si>
  <si>
    <t xml:space="preserve">Perda de ciclo da ilha </t>
  </si>
  <si>
    <t xml:space="preserve">Falha em sensores de posicionamento dos retentores </t>
  </si>
  <si>
    <t xml:space="preserve">Recolocado a máquina em posição inicial e restart da linha. OBS: Após isso notado que após alterações mecânicas no deposito dos retentores, tinham falhas que estavam sendo geradas, porém não eram reais e  isso atrapalhava o diagnóstico. Verificado via software e eliminado essas mensagens.   
                                                                          </t>
  </si>
  <si>
    <t xml:space="preserve">Não ligava o motor </t>
  </si>
  <si>
    <t xml:space="preserve">Mau contato no modulo de ignição</t>
  </si>
  <si>
    <t xml:space="preserve">Refeito conector </t>
  </si>
  <si>
    <t xml:space="preserve">Mesa 03</t>
  </si>
  <si>
    <t xml:space="preserve">Carro caiu ao descarregar da mesa 02 para 03</t>
  </si>
  <si>
    <t xml:space="preserve">Skid 1670(skid novo)</t>
  </si>
  <si>
    <t xml:space="preserve">Acionado by pass para recolocar skid na mesa. Retorno as 23:45h.</t>
  </si>
  <si>
    <t xml:space="preserve">Mesa M0 Siptol</t>
  </si>
  <si>
    <t xml:space="preserve">Perda de recalagem na mesa M0</t>
  </si>
  <si>
    <t xml:space="preserve">Após peça torta na mesa anterior, foi descartada a peça, porém ao avançar a OF gerou erro na recalagem</t>
  </si>
  <si>
    <t xml:space="preserve">Forçado saída de peça posterior a da pane e depois corrigido as peças para serem trabalhadas forçando condições no Siptol. Após isso corrigido as posições para reposição de peça na P0.</t>
  </si>
  <si>
    <t xml:space="preserve">Balsa 20 </t>
  </si>
  <si>
    <t xml:space="preserve">Carro passou de posição na mesa 20 (balsa)</t>
  </si>
  <si>
    <t xml:space="preserve">Acúmulo de água no palet devido a colagem do robô C8 CSF3 </t>
  </si>
  <si>
    <t xml:space="preserve">Correção do ciclo (presença, tag e dialógo com PSF)</t>
  </si>
  <si>
    <t xml:space="preserve">Robô Q0</t>
  </si>
  <si>
    <t xml:space="preserve">Robô parado sem realizar tomada de decisão.</t>
  </si>
  <si>
    <t xml:space="preserve">Após pedido de peça de retoque, foi reinserido peça, porém não finalizou a validação.</t>
  </si>
  <si>
    <t xml:space="preserve">Realizado verificação das condições, realizado movimentos manuais a´te o depósito da peça no transporte U1</t>
  </si>
  <si>
    <t xml:space="preserve">Robô C8 </t>
  </si>
  <si>
    <t xml:space="preserve">Colagem de elétrodo, após isso TP ficou travado</t>
  </si>
  <si>
    <t xml:space="preserve">Verificação de parâmetros pois a colagem esta ocorrendo nos programas (227, 232, 233, 234), PROMIA  travado</t>
  </si>
  <si>
    <t xml:space="preserve">Foi abaixado o valor de corrente nestes pontos, Realizado o "P_Start" do Robô</t>
  </si>
  <si>
    <t xml:space="preserve">OP510.2 -</t>
  </si>
  <si>
    <t xml:space="preserve">Falha no gravador de bloco, causando falha na validação da imagem e impedindo a liberação.</t>
  </si>
  <si>
    <t xml:space="preserve">Falha no sensor de fim de curso do gravador. </t>
  </si>
  <si>
    <t xml:space="preserve">Foi ajustado e recolocado em funcionamento.</t>
  </si>
  <si>
    <t xml:space="preserve">Painel principal</t>
  </si>
  <si>
    <t xml:space="preserve">Desarme disjuntor 01 e queimou fusível E1</t>
  </si>
  <si>
    <t xml:space="preserve">Sensor de pulso do lubrificador automático (sistema desativado) em degradado devido a contato com a esteira</t>
  </si>
  <si>
    <t xml:space="preserve">Retirado sensor</t>
  </si>
  <si>
    <t xml:space="preserve">Gripper K34</t>
  </si>
  <si>
    <t xml:space="preserve">Falha no piloto C do gripper </t>
  </si>
  <si>
    <t xml:space="preserve">Enroscou o piloto, pórem ocorreu a perda de memórias das presenças da peça</t>
  </si>
  <si>
    <t xml:space="preserve">Desrenroscado o piloto e realizado force em algumas condições para poder retornar em automático devido a perda das memórias.</t>
  </si>
  <si>
    <t xml:space="preserve">Mesa 18 para mesa 1</t>
  </si>
  <si>
    <t xml:space="preserve">Não realizou  o descarregamento da mesa</t>
  </si>
  <si>
    <t xml:space="preserve">Sensor de autorização de descarregamento estava atuado por uma peça de metal </t>
  </si>
  <si>
    <t xml:space="preserve">Retirada a peça de meetal que estava próximo ao sensor, corrigido falha que gerou no leitor Sick.</t>
  </si>
  <si>
    <t xml:space="preserve">Retificadores </t>
  </si>
  <si>
    <t xml:space="preserve">Falha nos dados entre API01 e API03</t>
  </si>
  <si>
    <t xml:space="preserve">Messagem de envio de dados com erro </t>
  </si>
  <si>
    <t xml:space="preserve">Feito o reset da menssage, verificado os parâmetros de envio e recebimento entre postos e retirado pontos de travamento no sofware.</t>
  </si>
  <si>
    <t xml:space="preserve">OP350.2</t>
  </si>
  <si>
    <t xml:space="preserve">Falha de supervisão do eixo x</t>
  </si>
  <si>
    <t xml:space="preserve">Falha no modulo de controle do eixo </t>
  </si>
  <si>
    <t xml:space="preserve">substituição do modulo e testes na linha </t>
  </si>
  <si>
    <t xml:space="preserve">Balsa não descarrega</t>
  </si>
  <si>
    <t xml:space="preserve">Falta 24V alimentação sensores </t>
  </si>
  <si>
    <t xml:space="preserve">Substituição dos bornes fusíveis e desligamento novos sensores que estavam em teste.</t>
  </si>
  <si>
    <t xml:space="preserve">Robô F0</t>
  </si>
  <si>
    <t xml:space="preserve">Falha profinet griper e falha Sinais da Pinça de solda</t>
  </si>
  <si>
    <t xml:space="preserve">Curto circuito no painel, conector interno do cabo Wpince fechado curto </t>
  </si>
  <si>
    <t xml:space="preserve">Substitição do fusível de proteção e substituição do cabo interno do painel.</t>
  </si>
  <si>
    <t xml:space="preserve">Falha sinal Encoder P22</t>
  </si>
  <si>
    <t xml:space="preserve">Sinal de came do encoder incorreto </t>
  </si>
  <si>
    <t xml:space="preserve">Troca de encoder e tampa de conexão e By pass sinal que estava ligado direto</t>
  </si>
  <si>
    <t xml:space="preserve">OP550-3</t>
  </si>
  <si>
    <t xml:space="preserve">Falta liberação modelo k após leitura da etiqueta </t>
  </si>
  <si>
    <t xml:space="preserve">Não diagnosticado análise posterior com linha parada </t>
  </si>
  <si>
    <t xml:space="preserve">Forçado liberação modelo k que estavam na linha para analise posterior </t>
  </si>
  <si>
    <t xml:space="preserve">Elevador não movimenta </t>
  </si>
  <si>
    <t xml:space="preserve">Quebra interna conjunto motorredutor </t>
  </si>
  <si>
    <t xml:space="preserve">Substituição pra conjunto reserva e troca da bobina do freio do mesmo </t>
  </si>
  <si>
    <t xml:space="preserve">Perda de calibração dos eixos 2 e 4 do Robô</t>
  </si>
  <si>
    <t xml:space="preserve">Placa SMB com defeito </t>
  </si>
  <si>
    <t xml:space="preserve">Substituído a placa SMB e refeita a calibração de todos os eixos</t>
  </si>
  <si>
    <t xml:space="preserve">MOP geral</t>
  </si>
  <si>
    <t xml:space="preserve">Não realizava o rearme da zona bem como o fechamento dos RVLs de drives</t>
  </si>
  <si>
    <t xml:space="preserve">Após trabalhos realizados pela engenharia, ocorreu erro no fechamento do ciclo das zonas, não estava recebendo o feedback do 6 pouces</t>
  </si>
  <si>
    <t xml:space="preserve">Foi verificado condições lógicas de funcionamento, retornado o backup anterior a modificação da engenharia e rearme das zonas no 6 pouces</t>
  </si>
  <si>
    <t xml:space="preserve">Falta rearmamento Z4 SC5TMD, e posterior problema linha SC5 com estoque Base Porteuse </t>
  </si>
  <si>
    <t xml:space="preserve">Disfunção rearme entre SC5 e 6-pouces, e posterior sincronização estoque Base porteuse e esteira SC5 </t>
  </si>
  <si>
    <t xml:space="preserve">Efetuado restabelecimento das funções variadores e rearmento das instalações SC5 e 6-pouces, verificação das base porteuse e passagem da Esteira SC5 com uma posição vazia. </t>
  </si>
  <si>
    <t xml:space="preserve">Erro 33 Placa Apllicom no XLine</t>
  </si>
  <si>
    <t xml:space="preserve">Falha de comuicação com o PEV</t>
  </si>
  <si>
    <t xml:space="preserve">Substituição por PC reserva e intervenção Engenharia no PC da estação 71 PC do PEV do Banco de Rolagem 2.</t>
  </si>
  <si>
    <t xml:space="preserve">Posto 10 </t>
  </si>
  <si>
    <t xml:space="preserve">Cabeçote de Usinagem não faz a Fixação da Peça</t>
  </si>
  <si>
    <t xml:space="preserve">Presença de ar no sistema de fixação do Bloco  k</t>
  </si>
  <si>
    <t xml:space="preserve">Efetuado procedimento de circulação do óleo do circuito para eliminação do ar interno.</t>
  </si>
  <si>
    <t xml:space="preserve">Elevador </t>
  </si>
  <si>
    <t xml:space="preserve">Elevador com balancele danificado</t>
  </si>
  <si>
    <t xml:space="preserve">Colisão desconhecida no balancele </t>
  </si>
  <si>
    <t xml:space="preserve">Retirado o balancele danificado e realizado ajuste via Mop para corrigir a falha no (B-13) e ajustar as sequências das peças</t>
  </si>
  <si>
    <t xml:space="preserve">Mesas N0 e L0</t>
  </si>
  <si>
    <t xml:space="preserve">Persa de condições para ciclo automático </t>
  </si>
  <si>
    <t xml:space="preserve">Devido a um curto circuito no sábado que desarmou o barramento. Com isso teve perde de memórias de carros que já estavam na linha </t>
  </si>
  <si>
    <t xml:space="preserve"> Realizado a verificação e a correção das mesas para que retornasse em seu estado de origem e liberado a linha </t>
  </si>
  <si>
    <t xml:space="preserve">Dispositivos da Tampa combustível</t>
  </si>
  <si>
    <t xml:space="preserve">Não tinha alimentação nos painéis dos dispositivos</t>
  </si>
  <si>
    <t xml:space="preserve">Durante final de semana foram retiradas máquinas próximas e com isso possivelmente ficou com disjuntores desligado. </t>
  </si>
  <si>
    <t xml:space="preserve">Feito ligação provisória para os equipamentos e após encontrarmos o disjuntor de alimentação dos dispositivos, voltado ao normal</t>
  </si>
  <si>
    <t xml:space="preserve">Não realizava a colocação da lunete. Vidros eram descartados na mesa </t>
  </si>
  <si>
    <t xml:space="preserve">Cabo da camera um pouco danificado e camera fora da posição de referencia. </t>
  </si>
  <si>
    <t xml:space="preserve">Substituído o cabo do camera e após isso realizado ajustes e calibração da camera 2 na posição de referência. </t>
  </si>
  <si>
    <t xml:space="preserve">Locator robô D0</t>
  </si>
  <si>
    <t xml:space="preserve">Falha de posicionamento </t>
  </si>
  <si>
    <t xml:space="preserve">travameto mecânico </t>
  </si>
  <si>
    <t xml:space="preserve">foi forçado algumas modelos em manual. até que voltou a rodar em automático </t>
  </si>
  <si>
    <t xml:space="preserve">Ilha ACL2</t>
  </si>
  <si>
    <t xml:space="preserve">Falha de emergência </t>
  </si>
  <si>
    <t xml:space="preserve">sinal do pressostato da ilha travado.</t>
  </si>
  <si>
    <t xml:space="preserve">forçado sinal a zero e rearmado a ilha.</t>
  </si>
  <si>
    <t xml:space="preserve">Elevador E0 MN1</t>
  </si>
  <si>
    <t xml:space="preserve">Falha ao descarregar carro do elevador para MN1 </t>
  </si>
  <si>
    <t xml:space="preserve">Foi liberado carro da linha HC (HJD) e carregou os dois carros ao mesmo tempo um em cada balsa, e travou o ciclo de descarregamento para MN1 </t>
  </si>
  <si>
    <t xml:space="preserve">Feito movimento manual e corrigido ciclo no sw</t>
  </si>
  <si>
    <t xml:space="preserve">OP380.3  </t>
  </si>
  <si>
    <t xml:space="preserve">Falha no fechamento da pinça do eletrofuso</t>
  </si>
  <si>
    <t xml:space="preserve"> passado para 3 turno ( Retirado folga na rótula do cilindro que estava fazendo com que o sensor de pega da peça falhasse) </t>
  </si>
  <si>
    <t xml:space="preserve">Não realizava inicio e fim de ciclo, não desacoplava motor e não esvaziava os líquidos </t>
  </si>
  <si>
    <t xml:space="preserve">Bloqueado no Passo 27, porém sem ter executado nenhum passo anterior </t>
  </si>
  <si>
    <t xml:space="preserve">Verificado condições de ciclo, foi encontrado a falta do sensor de trava do carrinho de motor, colocado um by pass para podermos finalizar o motor. Após finalizar o teste pendente, foi desacoplado o motor e encontrado o sensor fora de posição. Realizado o ajuste do mesmo e feito testes.  </t>
  </si>
  <si>
    <t xml:space="preserve">Transporte de piso central</t>
  </si>
  <si>
    <t xml:space="preserve">Perda de sinais e erro de leitura da tag</t>
  </si>
  <si>
    <t xml:space="preserve">Enroscou o cabide no batente não o liberando e gerando o erro nas memórias</t>
  </si>
  <si>
    <t xml:space="preserve"> Desenroscado o cabide do batente e acertado as memórias </t>
  </si>
  <si>
    <t xml:space="preserve">Eixo 03 robô não movimenta</t>
  </si>
  <si>
    <t xml:space="preserve">Curto servo motor eixo 03</t>
  </si>
  <si>
    <t xml:space="preserve">Substituído motor por peça reserva (emprestado da CVU) e sincronização do eixo </t>
  </si>
  <si>
    <t xml:space="preserve">PC Samis</t>
  </si>
  <si>
    <t xml:space="preserve">PC  não inia sistema operacional</t>
  </si>
  <si>
    <t xml:space="preserve">Substituído HD com imagem do backup do servidor </t>
  </si>
  <si>
    <t xml:space="preserve">Fator de serviço excedido eixo 3 escorregamento do eixo </t>
  </si>
  <si>
    <t xml:space="preserve">placa de controle do freio com problema e sistema travando </t>
  </si>
  <si>
    <t xml:space="preserve">Substituição da placa do controle do freio e inversão do servo do eixo 3 com servo do Robô  RX3. Atualização contador de revoluções e ajustes eixo para rodar</t>
  </si>
  <si>
    <t xml:space="preserve"> Robô RX3</t>
  </si>
  <si>
    <t xml:space="preserve">Ao manipular o TP do robô ele entrava em falha (ficava reiniciando sozinho)</t>
  </si>
  <si>
    <t xml:space="preserve">Falha na memória flash</t>
  </si>
  <si>
    <t xml:space="preserve">substituído a flash, carregado backup, não ocorreu mais falha.</t>
  </si>
  <si>
    <t xml:space="preserve">Prensa P11</t>
  </si>
  <si>
    <t xml:space="preserve">Erro de pressão baixa xonjunto freio/ embreagem </t>
  </si>
  <si>
    <t xml:space="preserve">Válvulas de controle PSV dando passagem direto a tanque</t>
  </si>
  <si>
    <t xml:space="preserve">Desenvolvimento do MRHD e seguimento, substituição das duas válvulas de controle PSV.</t>
  </si>
  <si>
    <t xml:space="preserve">FM20</t>
  </si>
  <si>
    <t xml:space="preserve">Falha de fechamento de dispositivo</t>
  </si>
  <si>
    <t xml:space="preserve">Montagem de modelo errado da longarina. 3 carros afetados</t>
  </si>
  <si>
    <t xml:space="preserve">Retiraso as 3 carrocerias com problema e ajustado o ciclo.</t>
  </si>
  <si>
    <t xml:space="preserve">Defeito gerador pino (goujon)</t>
  </si>
  <si>
    <t xml:space="preserve">Pino travando no receptor de cavilha </t>
  </si>
  <si>
    <t xml:space="preserve">Substituição da pistola</t>
  </si>
  <si>
    <t xml:space="preserve">Falha F02 Drive principal do martelo </t>
  </si>
  <si>
    <t xml:space="preserve">Falha interna drive </t>
  </si>
  <si>
    <t xml:space="preserve">Banco de Parelelismo</t>
  </si>
  <si>
    <t xml:space="preserve">Nivelometro não funciona </t>
  </si>
  <si>
    <t xml:space="preserve">Conector do cabo de ligação do nivelometro (queda do nivelometro) </t>
  </si>
  <si>
    <t xml:space="preserve">Sem cabo ou conector para substituição (conectado o mesmo e amarrado com fita até providenciar novo conector  para reparo)</t>
  </si>
  <si>
    <t xml:space="preserve">Falha geral, sem marcha AUTO </t>
  </si>
  <si>
    <t xml:space="preserve"> Afundamento de tensão, fase R-21%,  S-19%, T-11%, duração 90ms.</t>
  </si>
  <si>
    <t xml:space="preserve">Restabelecimento operacional de todas as zonas</t>
  </si>
  <si>
    <t xml:space="preserve">Luminoscopio LET</t>
  </si>
  <si>
    <t xml:space="preserve">Luminoscopio não inicia ciclo do farol</t>
  </si>
  <si>
    <t xml:space="preserve">Seleção de Ajuste do Farol desabilitado no XLINE (PC de controe do Banco)</t>
  </si>
  <si>
    <t xml:space="preserve">Ativada seleção de ajuste no XLINE</t>
  </si>
  <si>
    <t xml:space="preserve">Balsa Kitting</t>
  </si>
  <si>
    <t xml:space="preserve">Inversor perdeu os parâmetros </t>
  </si>
  <si>
    <t xml:space="preserve">Erro na intervenção para ajuste de velocidade feito no terceiro turno </t>
  </si>
  <si>
    <t xml:space="preserve">Foi descarregado o backup no inversor.</t>
  </si>
  <si>
    <t xml:space="preserve">Transportador não roda</t>
  </si>
  <si>
    <t xml:space="preserve">Falta de sinal de "chave desativada - zona dos robôs"  e "corda de segurança"</t>
  </si>
  <si>
    <t xml:space="preserve">Os sinais foram forçados no software</t>
  </si>
  <si>
    <t xml:space="preserve"> Transelevador</t>
  </si>
  <si>
    <t xml:space="preserve">Defeito de movimento do traselevador </t>
  </si>
  <si>
    <t xml:space="preserve">Scanner SICK perdeu os pârametros </t>
  </si>
  <si>
    <t xml:space="preserve">Substituição do scanner SICK</t>
  </si>
  <si>
    <t xml:space="preserve">Flash OFF</t>
  </si>
  <si>
    <t xml:space="preserve">Desarme do processo FlashOff e falha na rede DH+ Rack 05</t>
  </si>
  <si>
    <t xml:space="preserve">Perda de alimentação dos módulos de saída </t>
  </si>
  <si>
    <t xml:space="preserve">Reaoperto do circuito da fonte</t>
  </si>
  <si>
    <t xml:space="preserve">n/a</t>
  </si>
  <si>
    <t xml:space="preserve">40% de queda de tensão por 130ms</t>
  </si>
  <si>
    <t xml:space="preserve">Rearme das instalações</t>
  </si>
  <si>
    <t xml:space="preserve">Elevador 01D</t>
  </si>
  <si>
    <t xml:space="preserve">Intrusão da barreira de segurança</t>
  </si>
  <si>
    <t xml:space="preserve">Barreira de segurança desalinhada</t>
  </si>
  <si>
    <t xml:space="preserve">Ajuste da posição da barreira de segurança</t>
  </si>
  <si>
    <t xml:space="preserve">Esteira</t>
  </si>
  <si>
    <t xml:space="preserve">Inversor apresentando falha no DC Link</t>
  </si>
  <si>
    <t xml:space="preserve">Ajuste dos parâmetros P1240 e P1280</t>
  </si>
  <si>
    <t xml:space="preserve">SMPLOC </t>
  </si>
  <si>
    <t xml:space="preserve">Falha de comunicação do SMPLOC</t>
  </si>
  <si>
    <t xml:space="preserve">Intervenção do fornecedor feita no fim de seman</t>
  </si>
  <si>
    <t xml:space="preserve">Correção da planilha de pré-disposição e sincronização com o servidor</t>
  </si>
  <si>
    <t xml:space="preserve">MIR - SMPLOC </t>
  </si>
  <si>
    <t xml:space="preserve">Erro na aplicação SMPLOC</t>
  </si>
  <si>
    <t xml:space="preserve"> Desinstalado SMPLOC e reinstalado uma versão antiga e depois atualizado para versão atual.</t>
  </si>
  <si>
    <t xml:space="preserve">Perda de calibração da pinça de solda</t>
  </si>
  <si>
    <t xml:space="preserve">Em verificação e análise </t>
  </si>
  <si>
    <t xml:space="preserve">Foi realizado a substituição do cabo do resolver da pinça, como a falha ainda gerou novamente, foi alterado o ponto de solda, pois na primeira solda já gerava erro.</t>
  </si>
  <si>
    <t xml:space="preserve">Locator eixo Z</t>
  </si>
  <si>
    <t xml:space="preserve">Cilindro 1 locator não mudava posição</t>
  </si>
  <si>
    <t xml:space="preserve">Cilindro travado</t>
  </si>
  <si>
    <t xml:space="preserve"> Substituição do cilindro</t>
  </si>
  <si>
    <t xml:space="preserve">Leitura de Tag </t>
  </si>
  <si>
    <t xml:space="preserve"> 1º - Suporte da Tag RFID, solto. 2º - Erro de recalagem no robô N0</t>
  </si>
  <si>
    <t xml:space="preserve">1º - Fora de posição a tag no cabide 29, 2º - Foram forçados laterais para o transportador, porém estava travada na última OF que passou.</t>
  </si>
  <si>
    <t xml:space="preserve"> 1º - Colocado a tag na posição para releitura e pedido retirada do balancele para verificação. 2º Realizado o re-sincronismo do SIPTOL com o ponto de recalagem da linha. </t>
  </si>
  <si>
    <t xml:space="preserve">MOP_SMPLock </t>
  </si>
  <si>
    <t xml:space="preserve">SMPLOC em modo mudo</t>
  </si>
  <si>
    <t xml:space="preserve">Após descarregar uma alteração do odil, realizado fase 3, porém não carregado predis das dobradoras e também está com inconsistência na base alvo</t>
  </si>
  <si>
    <t xml:space="preserve"> Correção da tabela de pré-disposição - ainda em falha</t>
  </si>
  <si>
    <t xml:space="preserve">Sistema PSF</t>
  </si>
  <si>
    <t xml:space="preserve">PSF não estava comunicando nos postos da linha final, também nas saídas das cabines e mastic</t>
  </si>
  <si>
    <t xml:space="preserve"> Falha nos racks das LTS's. (Tratado pela Utilidades)</t>
  </si>
  <si>
    <t xml:space="preserve">Realizado a verificação junto ao COA e rearme de disjuntor das LTS's  da pintura</t>
  </si>
  <si>
    <t xml:space="preserve">Arrebentou a corrente de tração do carrinho de abastecimento dos balanceles </t>
  </si>
  <si>
    <t xml:space="preserve">Desgaste da Emenda da corrente</t>
  </si>
  <si>
    <t xml:space="preserve">Realizado o ciclo de esgotamento da linha para poder realizar a intervenção, após isso substituído a emenda da corrente e liberado para operação </t>
  </si>
  <si>
    <t xml:space="preserve">Banco 3 </t>
  </si>
  <si>
    <t xml:space="preserve">Falha no ciclo de testes do Banco.Não realiza ciclo de enchimento líquidos </t>
  </si>
  <si>
    <t xml:space="preserve">Houve vazamento de combustível e contaminação no circuito pneumático dos acionamentos </t>
  </si>
  <si>
    <t xml:space="preserve">realizado limpeza e verificação dos pontos pneumáticos, porém ainda está em intervenção em válvulas de acionamento.</t>
  </si>
  <si>
    <t xml:space="preserve">Elevador de laterais </t>
  </si>
  <si>
    <t xml:space="preserve">Falha de movimento do elevador</t>
  </si>
  <si>
    <t xml:space="preserve">Cabide posterior não parou no stopper de entrada do elevador (em análise pelo integrador)</t>
  </si>
  <si>
    <t xml:space="preserve">Retorno do cabide e restabelecimento </t>
  </si>
  <si>
    <t xml:space="preserve">Falta movimento do Satélite do elevador </t>
  </si>
  <si>
    <t xml:space="preserve">Desarme movimento do Satélite (Lógica da trava 23 impedindo movimento do Satélite) </t>
  </si>
  <si>
    <t xml:space="preserve">Correção da lógica de funcinamento da trava 23.</t>
  </si>
  <si>
    <t xml:space="preserve">Geral Ilha </t>
  </si>
  <si>
    <t xml:space="preserve">Falha de Intrusão de barreira na entrada da Ilha </t>
  </si>
  <si>
    <t xml:space="preserve">Escapamento HHA acionando a barreira antes do acionamento dos sensores de mutting </t>
  </si>
  <si>
    <t xml:space="preserve">Ajuste da posição dos sensores de mutting</t>
  </si>
  <si>
    <t xml:space="preserve">Empilhador de Skid</t>
  </si>
  <si>
    <t xml:space="preserve">Defeito Anti-Intrusão </t>
  </si>
  <si>
    <t xml:space="preserve">Fotocélula anti-intrusão entre mesa 104 e 42 desalinhados</t>
  </si>
  <si>
    <t xml:space="preserve">Efetuado alinhamento e ajuste das fotocélulas.</t>
  </si>
  <si>
    <t xml:space="preserve"> PC Sames</t>
  </si>
  <si>
    <t xml:space="preserve">Pc não iniciava </t>
  </si>
  <si>
    <t xml:space="preserve">HD em falha</t>
  </si>
  <si>
    <t xml:space="preserve">Substituição do HD com imagem backup</t>
  </si>
  <si>
    <t xml:space="preserve">Mesa S2</t>
  </si>
  <si>
    <t xml:space="preserve">Falta de pedido de diálogo PSF</t>
  </si>
  <si>
    <t xml:space="preserve">Em análise - INtervenção da engenharia</t>
  </si>
  <si>
    <t xml:space="preserve">Foram forçado os sinais  #code_ok e "IIP".S_code_S2.Normal </t>
  </si>
  <si>
    <t xml:space="preserve">MOP e Robô Aplicação teto</t>
  </si>
  <si>
    <t xml:space="preserve">Não realizava o carregamento das tabelas para aplicação e também não reiniciava a aplicação do Keba </t>
  </si>
  <si>
    <t xml:space="preserve">Travou o sistema e gerou erro nos arquivos da tabela</t>
  </si>
  <si>
    <t xml:space="preserve">Realizado o reset do PC do Keba e após isso teve de ser descarregadp todas as tabelas de aplicação do processo.</t>
  </si>
  <si>
    <t xml:space="preserve">Pupitre Enchimento Retoque Linha </t>
  </si>
  <si>
    <t xml:space="preserve">Erro comunicação da máquina 2: Erro JBUS PEV (Estação 09 com Pupitre)</t>
  </si>
  <si>
    <t xml:space="preserve">Configuração da placa Aplicom incorreta</t>
  </si>
  <si>
    <t xml:space="preserve">Efetuado a copia do arquivo de configuração da estação 08 e restaurada a configuração da estação 09</t>
  </si>
  <si>
    <t xml:space="preserve">Estação não finaliza o ciclo </t>
  </si>
  <si>
    <t xml:space="preserve">Robô parado na retirada da peça presa no molde</t>
  </si>
  <si>
    <t xml:space="preserve">Retirada do Robô e colocação em Repli para restabelecimento do ciclo.</t>
  </si>
  <si>
    <t xml:space="preserve">Erro no fechamento de garra do Robô com ferramenta Pallet</t>
  </si>
  <si>
    <t xml:space="preserve">Ausência de sinal de garra fechada (sujeira nos contatos do trocador de ferramentas)</t>
  </si>
  <si>
    <t xml:space="preserve">Limpeza dos contatos do trocador de ferramentas</t>
  </si>
  <si>
    <t xml:space="preserve">Elevador Retorno skid</t>
  </si>
  <si>
    <t xml:space="preserve">Desarmando djusntor eletrônico ao movimentar o elevador </t>
  </si>
  <si>
    <t xml:space="preserve">Fim de curso danificado monitoramento tensão de correia em curto </t>
  </si>
  <si>
    <t xml:space="preserve">Substituição do sensor de fim de curso </t>
  </si>
  <si>
    <t xml:space="preserve">CLP</t>
  </si>
  <si>
    <t xml:space="preserve">Parou toda ilha </t>
  </si>
  <si>
    <t xml:space="preserve">Panic blink na cpu do mop ( 3 vezes entre as 15h e 18h)</t>
  </si>
  <si>
    <t xml:space="preserve">Substituído a cpu (retirada do lab da carroceria)</t>
  </si>
  <si>
    <t xml:space="preserve">Perda de calibração da pinça de solda para modelo X52</t>
  </si>
  <si>
    <t xml:space="preserve">Em análise causa raiz </t>
  </si>
  <si>
    <t xml:space="preserve">Substituição do Servo da pinça (erro ocorreu novamente)</t>
  </si>
  <si>
    <t xml:space="preserve">Falha na estação balanceadora </t>
  </si>
  <si>
    <t xml:space="preserve">IHM travada, e falha no pressostato</t>
  </si>
  <si>
    <t xml:space="preserve">Forçado sinal do pressostato</t>
  </si>
  <si>
    <t xml:space="preserve">Lasatron TE</t>
  </si>
  <si>
    <t xml:space="preserve">Instabilidade no valor de Medição robô traseiro esquerdo </t>
  </si>
  <si>
    <t xml:space="preserve">Em análise. Provável mau contato </t>
  </si>
  <si>
    <t xml:space="preserve">Abertura e revisão geral do Robô conectores e passagem de limpa contaqtos (Realizado calibrações gerais e testes de repetibilidade).</t>
  </si>
  <si>
    <t xml:space="preserve">Robô OP05</t>
  </si>
  <si>
    <t xml:space="preserve">Falta sinal externo SS1 e SS2</t>
  </si>
  <si>
    <t xml:space="preserve">Feito by pass para teste rodou, então foi retirado by pass e será acionado o fabricante (AUSI), pois falta esquema elétrico no posto e não tem como verificar de inde vem o sinal, segue rodando em degradado sem o robô </t>
  </si>
  <si>
    <t xml:space="preserve">Iluminação LCAF</t>
  </si>
  <si>
    <t xml:space="preserve">Falta de iluminação na linha LCAF Desarme barramento afetando parte Mastic Aéreo</t>
  </si>
  <si>
    <t xml:space="preserve">Curto circuito no cofre</t>
  </si>
  <si>
    <t xml:space="preserve">OP40 OFF</t>
  </si>
  <si>
    <t xml:space="preserve">Não realizava teste de vácuo do bico injetor</t>
  </si>
  <si>
    <t xml:space="preserve">Perda de vácuo não testava</t>
  </si>
  <si>
    <t xml:space="preserve">Verificação de vazamentos reaperto conexões e ajuste mpressão de vácuo </t>
  </si>
  <si>
    <t xml:space="preserve">Falha na conexão MDA e não realiza o teste PEV</t>
  </si>
  <si>
    <t xml:space="preserve">Configuração PEV Enchimento Incorreto </t>
  </si>
  <si>
    <t xml:space="preserve">Alteração da configuração do MDA desativando a opção (Boot Macro (VIM Assignment)) e na estação de enchimento.</t>
  </si>
  <si>
    <t xml:space="preserve">Meio Compressão Eixo Traseiro (Colheitadeira)</t>
  </si>
  <si>
    <t xml:space="preserve">Falha no movimento Principal (A0VAR DEFEITO DRIVE VAR1)</t>
  </si>
  <si>
    <t xml:space="preserve">Mau contato tomada harting de ligação do Motor </t>
  </si>
  <si>
    <t xml:space="preserve">Reaperto e ajuste dos conectores da tomada Harting</t>
  </si>
  <si>
    <t xml:space="preserve">Colisão da garra do robô no depósito de parafuso </t>
  </si>
  <si>
    <t xml:space="preserve">Depósito fora de posição </t>
  </si>
  <si>
    <t xml:space="preserve">Ajuste da posição de depósito e alteração do ponto de depósito no robô.</t>
  </si>
  <si>
    <t xml:space="preserve">OP20-3</t>
  </si>
  <si>
    <t xml:space="preserve">Falha movimentação Eixo X1</t>
  </si>
  <si>
    <t xml:space="preserve">Problema sistema de medição da régua linear</t>
  </si>
  <si>
    <t xml:space="preserve">Continuação MRHD de reparo equipamento permanece em intervenção.</t>
  </si>
  <si>
    <t xml:space="preserve">Colisão Garra com Cabeçote </t>
  </si>
  <si>
    <t xml:space="preserve">Parafusos de fixação da garra frouxos</t>
  </si>
  <si>
    <t xml:space="preserve">Executado aperto dos parafusos de fixação da garra e alteração de ponto no Robô</t>
  </si>
  <si>
    <t xml:space="preserve">Serragem A</t>
  </si>
  <si>
    <t xml:space="preserve">Falha no recuo da Serragem A (SRA)</t>
  </si>
  <si>
    <t xml:space="preserve">Curto-circuito na CPX (Ao realizar a furação do suporte do módulo caiu um cavado de alumínio dentro da capa do módulo de sáida gerando curto-circuito)</t>
  </si>
  <si>
    <t xml:space="preserve">Substituição do módulo CPX</t>
  </si>
  <si>
    <t xml:space="preserve">Def.caracteristica incorretas PSF</t>
  </si>
  <si>
    <t xml:space="preserve">Carro entrou no TK com zona de proveniência incorreta </t>
  </si>
  <si>
    <t xml:space="preserve">Ajuste da zona de proveniência de veículo </t>
  </si>
  <si>
    <t xml:space="preserve">Prensa SMO2 Suporte Pendular </t>
  </si>
  <si>
    <t xml:space="preserve">Tensão baixa DC Bus</t>
  </si>
  <si>
    <t xml:space="preserve">Baixa tensão na entrada</t>
  </si>
  <si>
    <t xml:space="preserve">Reset do drive e referenciamento do mesmo (queima "IHM do MOP dificultando a colocação em funcionamento da prensa)</t>
  </si>
  <si>
    <t xml:space="preserve">Falta de pressão de combustível para ignição e testes do motor </t>
  </si>
  <si>
    <t xml:space="preserve">Bomba de alimentação de combustível falhando </t>
  </si>
  <si>
    <t xml:space="preserve">Realizado a substituição da bomba, como não encontrado a reserva no 3° Turno, foi pego a do banco de testes2, pois a mesma não está rodando no 3°. Deixado a ruim retirada do Banco 3 e colocado aviso de que a mesma está danificada.</t>
  </si>
  <si>
    <t xml:space="preserve">OP200 Robô</t>
  </si>
  <si>
    <t xml:space="preserve">Falta variável programa ROBO </t>
  </si>
  <si>
    <t xml:space="preserve">Chamada par Execução rotina não utilizada chamou variável inexistente </t>
  </si>
  <si>
    <t xml:space="preserve">Execução Backup e restaurado, e restabelecimento ciclo.</t>
  </si>
  <si>
    <t xml:space="preserve">Painel Alimentação SAO's e Parafusadeiras</t>
  </si>
  <si>
    <t xml:space="preserve">Travamento comunicação GRET SAO's M01, ME5, SE4</t>
  </si>
  <si>
    <t xml:space="preserve">Travamento comunicação com servidor GRET no desarme disjuntor geral SAO's</t>
  </si>
  <si>
    <t xml:space="preserve">Recalagem comunicação com todos os SAO's que apresentaram travalmento comunicação.</t>
  </si>
  <si>
    <t xml:space="preserve">AGX79 CSA80</t>
  </si>
  <si>
    <t xml:space="preserve">Falha no monitoramento do cabo de aço da asa lado direito</t>
  </si>
  <si>
    <t xml:space="preserve">Colidiu asa com a pinça no momento da troca (cruzeta não garante posicionamento)</t>
  </si>
  <si>
    <t xml:space="preserve">Feito movimento manual, orientado supervisor para providenciar o ajuste das cruzetas</t>
  </si>
  <si>
    <t xml:space="preserve">ME1 Colheitadeira </t>
  </si>
  <si>
    <t xml:space="preserve">Peda referencia Locator 1 e depois Locator 6</t>
  </si>
  <si>
    <t xml:space="preserve">Queda de mola dentro da area dos locators, perdeu referencia Locator 1 e depois Locator 6 </t>
  </si>
  <si>
    <t xml:space="preserve">Locator 1 (efetuado referneciamento), e depois Locator 6 ajuste sensor A0DRPLOC6 e (efetuado referenciamento).</t>
  </si>
  <si>
    <t xml:space="preserve">MM13 OP70				</t>
  </si>
  <si>
    <t xml:space="preserve">Falha na leitura da tag				
</t>
  </si>
  <si>
    <t xml:space="preserve">Cabo do rede profinet solto com mau contato</t>
  </si>
  <si>
    <t xml:space="preserve">Verificado no hardware que não encontrava o modulo RFID, os led's de comunicação estavam apagados, porém ao efetuar o ping o módulo respondia, foi substituído o modulo, ao ligar o módulo novo, os led's de comunicação acenderam, mas não era possível localizar o mac address pelo edit ethernet node, então foi verificado a instalação e encontrado o cabo profinet solto no ponto anterior ao módulo, reapertado conexão o voltado o módulo original do posto.				
</t>
  </si>
  <si>
    <t xml:space="preserve">Robô R23 Verniz				</t>
  </si>
  <si>
    <t xml:space="preserve">Falha no Robô 23 de aplicação do verniz, com erro no ar de Leque				
</t>
  </si>
  <si>
    <t xml:space="preserve">Colocar do Robô R23 em degradado e diminuir a velocidade da linha para produção				
</t>
  </si>
  <si>
    <t xml:space="preserve">Ao degradar o robô o pessoal abaixou a velocidade da mesa 09 entrada do verniz, consequentemente o contador de pulsos não chegou no valor necessário, parando a linha sem alarme, foi forçado o carro no sw e voltado a velocidade original da mesa.				
</t>
  </si>
  <si>
    <t xml:space="preserve">Falha no Robô 23 de aplicação do verniz, com erro no ar de Leque</t>
  </si>
  <si>
    <t xml:space="preserve">Defeito na válvula proporcional de liberação do Ar de Leque para aplicação de verniz				
</t>
  </si>
  <si>
    <t xml:space="preserve">Substituída a válvula proporcional				
</t>
  </si>
  <si>
    <t xml:space="preserve">Falha no controle da exaustão da saída do escapamento</t>
  </si>
  <si>
    <t xml:space="preserve">Desarme do inversor de frequencia da exaustão, sensor de fluxo gerando erro </t>
  </si>
  <si>
    <t xml:space="preserve">Reset do inversor de frequencia; Limpeza do sensor de monitoramento de fluxo de ar combustão</t>
  </si>
  <si>
    <t xml:space="preserve">Queimador </t>
  </si>
  <si>
    <t xml:space="preserve">Queimador não iniciava ciclo de purga</t>
  </si>
  <si>
    <t xml:space="preserve">Intertravamento de segurança de alta temperatura</t>
  </si>
  <si>
    <t xml:space="preserve">Elininado condição falsa de alta temperatura</t>
  </si>
  <si>
    <t xml:space="preserve">Defeito no movimento de elevação do transportador de entrada de pneu</t>
  </si>
  <si>
    <t xml:space="preserve">Desacoplamento mecânico da rotula do conjunto de elevação </t>
  </si>
  <si>
    <t xml:space="preserve">Acoplado acionamento</t>
  </si>
  <si>
    <t xml:space="preserve">Mesa dosadora </t>
  </si>
  <si>
    <t xml:space="preserve">Mesas dosadoras não carregam/descarregam carrocerias</t>
  </si>
  <si>
    <t xml:space="preserve">Habilitação do bit de bloqueio de todas nas mesas dosadoras no CLP</t>
  </si>
  <si>
    <t xml:space="preserve">Retirado bit de bloqueio </t>
  </si>
  <si>
    <t xml:space="preserve">Mop</t>
  </si>
  <si>
    <t xml:space="preserve">Gerando várias falhas de intrusão na entrada de Kitting</t>
  </si>
  <si>
    <t xml:space="preserve">Sensor de muting desajustado</t>
  </si>
  <si>
    <t xml:space="preserve">ajustado sensor de entrada antes da barreira</t>
  </si>
  <si>
    <t xml:space="preserve">Flash off</t>
  </si>
  <si>
    <t xml:space="preserve">Falha intermitente do flash off</t>
  </si>
  <si>
    <t xml:space="preserve">Analise dos sinais do flash off utilizando osciloscópio, verificação da fonte e contactores.</t>
  </si>
  <si>
    <t xml:space="preserve">Falha NC Locator F01 LOC</t>
  </si>
  <si>
    <t xml:space="preserve">Colisão do robô F0 com o robô G4</t>
  </si>
  <si>
    <t xml:space="preserve">Retirado os robos do ponto de colisão e ajuste da lógica. na sequência ocorreu falha no locator fo G0 e falha de mariage. Ajustado os ciclos.</t>
  </si>
  <si>
    <t xml:space="preserve">Falha intermitente de Profinet Robô&lt;&gt;CLP</t>
  </si>
  <si>
    <t xml:space="preserve">em análise, erros nos serviços internos da cpu</t>
  </si>
  <si>
    <t xml:space="preserve">Substituído cabo, alterado porta de comunicação, restauração de backup, reinstalação do sistema</t>
  </si>
  <si>
    <t xml:space="preserve">Falha no sinal de posicionamento de castanha do trocador de ferramentas</t>
  </si>
  <si>
    <t xml:space="preserve">Caixa do aplied lado robô em falha, faltava sinal de recuo.</t>
  </si>
  <si>
    <t xml:space="preserve">Substituído caixa do aplied.</t>
  </si>
  <si>
    <t xml:space="preserve">Carro E</t>
  </si>
  <si>
    <t xml:space="preserve">Carro E não acionava sensor de avanço </t>
  </si>
  <si>
    <t xml:space="preserve">Não chegava no final da posição. O batente mecânico estava com pino guia e parafusos quebrados </t>
  </si>
  <si>
    <t xml:space="preserve">Substituído parafusos e pino do batente</t>
  </si>
  <si>
    <t xml:space="preserve">Posto MAC </t>
  </si>
  <si>
    <t xml:space="preserve">Falha no sequenciamento de PJI</t>
  </si>
  <si>
    <t xml:space="preserve">Travamento no ponto de validação do PJI</t>
  </si>
  <si>
    <t xml:space="preserve">Necessário fazer o reset de memoria da CPU</t>
  </si>
  <si>
    <t xml:space="preserve">Falha de start de programa</t>
  </si>
  <si>
    <t xml:space="preserve">Ponteiro de Programa fora da rotina Principal</t>
  </si>
  <si>
    <t xml:space="preserve">Reposicionado ponteiro para rotina principal</t>
  </si>
  <si>
    <t xml:space="preserve">Falha intermitentede Profinet Robô &lt;&gt;CLP</t>
  </si>
  <si>
    <t xml:space="preserve">Em análise, aguardando autorização para substituição da CPU</t>
  </si>
  <si>
    <t xml:space="preserve">Substituído cabo, alterado porta de comunicação, restauração de backup, reistalação do sistema</t>
  </si>
  <si>
    <t xml:space="preserve">Mesa T110</t>
  </si>
  <si>
    <t xml:space="preserve">Falha de profinet mesa T110</t>
  </si>
  <si>
    <t xml:space="preserve">Módulo ET200Pro Motor Starter em falha </t>
  </si>
  <si>
    <t xml:space="preserve">Substituído módulo </t>
  </si>
  <si>
    <t xml:space="preserve">Máquina de enchimento </t>
  </si>
  <si>
    <t xml:space="preserve">No início do 2 turno as 2 máquinas estavam paradas</t>
  </si>
  <si>
    <t xml:space="preserve">Defeito Jbus nas 2 máquinas de enchimento </t>
  </si>
  <si>
    <t xml:space="preserve">Máquina 2 continua em falha, foi conseguido restabelecer a máquina 1, revisado conexões do cabo Moxa, reisado sofware e reiniciado todos os programas e a aplicom. </t>
  </si>
  <si>
    <t xml:space="preserve">BM10</t>
  </si>
  <si>
    <t xml:space="preserve">Z2: C2 defeito ed movimento B21</t>
  </si>
  <si>
    <t xml:space="preserve">Corrente do transportador enroscou nos cabos e mangueiras do batente, rompendo todos os cabos.</t>
  </si>
  <si>
    <t xml:space="preserve">Efetuado a substituição dos cabos danificados.</t>
  </si>
  <si>
    <t xml:space="preserve">CSF5</t>
  </si>
  <si>
    <t xml:space="preserve">Perda marcha automática da zona</t>
  </si>
  <si>
    <t xml:space="preserve">Botão de emergência de operador acionado </t>
  </si>
  <si>
    <t xml:space="preserve">Localização do botão de emergência acionado e restauração do ciclo de linha.</t>
  </si>
  <si>
    <t xml:space="preserve">Falha no muting de barreira </t>
  </si>
  <si>
    <t xml:space="preserve">Encontrado Logica bloqueando o muting </t>
  </si>
  <si>
    <t xml:space="preserve">Ajustado a logica para funcionamento correto</t>
  </si>
  <si>
    <t xml:space="preserve">Falha na pega do cabeçote</t>
  </si>
  <si>
    <t xml:space="preserve">Falha na calibração dos eixos do robô </t>
  </si>
  <si>
    <t xml:space="preserve">Refeito a calibração, restaurado o backup robô e testado a trajetória.</t>
  </si>
  <si>
    <t xml:space="preserve">Desarme do disjuntor eletrônico </t>
  </si>
  <si>
    <t xml:space="preserve">Curto circuito no cabo do sensor de tensionamento de correia</t>
  </si>
  <si>
    <t xml:space="preserve">Desligado cabo e feito bypass sersor de tensionamento</t>
  </si>
  <si>
    <t xml:space="preserve">Injetora  2</t>
  </si>
  <si>
    <t xml:space="preserve">Falha de segurança hidráulica do sistema </t>
  </si>
  <si>
    <t xml:space="preserve">Calço hidráulico no molde </t>
  </si>
  <si>
    <t xml:space="preserve">Liberação da pressão interna dos moldes, reset geral da máquina</t>
  </si>
  <si>
    <t xml:space="preserve">retorno de pallets</t>
  </si>
  <si>
    <t xml:space="preserve">Bloqueio do retorno de pallets</t>
  </si>
  <si>
    <t xml:space="preserve">Sensor de parada desalinhado </t>
  </si>
  <si>
    <t xml:space="preserve">Ajuste do sensor </t>
  </si>
  <si>
    <t xml:space="preserve">Falha de posição da mesa elevatória.</t>
  </si>
  <si>
    <t xml:space="preserve">Falha do sensor e perda da segurança de movimento </t>
  </si>
  <si>
    <t xml:space="preserve">Forçado sensor para posicionar a mesa em posição conhecida.</t>
  </si>
  <si>
    <t xml:space="preserve">Lasafix</t>
  </si>
  <si>
    <t xml:space="preserve">Após ajuste carro fica com volante torto em 2,6°</t>
  </si>
  <si>
    <t xml:space="preserve">Em análise - provável configuração de gama incorreta</t>
  </si>
  <si>
    <t xml:space="preserve">Retorno backup da configuração de gama</t>
  </si>
  <si>
    <t xml:space="preserve">PEV PC Estação 163</t>
  </si>
  <si>
    <t xml:space="preserve">PC PEV com problema</t>
  </si>
  <si>
    <t xml:space="preserve">Sistema operacional corrompido</t>
  </si>
  <si>
    <t xml:space="preserve">Restauração do backup </t>
  </si>
  <si>
    <t xml:space="preserve">Falha movimentação dos eixos </t>
  </si>
  <si>
    <t xml:space="preserve">Cabeça de gravação com problema</t>
  </si>
  <si>
    <t xml:space="preserve">Substituição da cabeça de gravação e conjunto estilete</t>
  </si>
  <si>
    <t xml:space="preserve"> Robô C10</t>
  </si>
  <si>
    <t xml:space="preserve">Peda de calibração da pinça e alarme de bateria baixa</t>
  </si>
  <si>
    <t xml:space="preserve">Feixe de cabos da pinça defeituoso</t>
  </si>
  <si>
    <t xml:space="preserve">Desabilitado piça de solda1. Reparo no cabo da bateria</t>
  </si>
  <si>
    <t xml:space="preserve">FM1</t>
  </si>
  <si>
    <t xml:space="preserve">OFs decaladas, trajetórias de descarte não funcionais, retorno a origem bloqueado</t>
  </si>
  <si>
    <t xml:space="preserve">OFs avançadas para produzir enquanto BM30 estava em pane </t>
  </si>
  <si>
    <t xml:space="preserve">Alinhamente do Fluxo, correção de trajetórias, retorno dos NC LOC manualmente.</t>
  </si>
  <si>
    <t xml:space="preserve">Geral Siptol</t>
  </si>
  <si>
    <t xml:space="preserve">Discordância de peças para montagem (Bavolet, Laterais, Jupe, Teto)</t>
  </si>
  <si>
    <t xml:space="preserve">Discordância de OF´s Siptol</t>
  </si>
  <si>
    <t xml:space="preserve">Ajuste geral dos filmes de Fabriçação Siptol</t>
  </si>
  <si>
    <t xml:space="preserve"> Robô F0</t>
  </si>
  <si>
    <t xml:space="preserve">Falha tensão de ligação DC muito alta</t>
  </si>
  <si>
    <t xml:space="preserve">Servo motor danificado</t>
  </si>
  <si>
    <t xml:space="preserve">Substituição so servomotor</t>
  </si>
  <si>
    <t xml:space="preserve">Robô H0</t>
  </si>
  <si>
    <t xml:space="preserve">Robô  H0 colidiu com a peça e danificou acoplamento magnético</t>
  </si>
  <si>
    <t xml:space="preserve">peça deformada</t>
  </si>
  <si>
    <t xml:space="preserve">substituído refrência e acoplamento magnético</t>
  </si>
  <si>
    <t xml:space="preserve">Lateral estava fora de posição nos 2 suportes de nylon (cabide 21)</t>
  </si>
  <si>
    <t xml:space="preserve">em analise, possívle desalinhamento no trilho do transportador de lateral próximo ao elevador de carroceria ASL</t>
  </si>
  <si>
    <t xml:space="preserve">baixado velocidade e pego lateral com robô em manual.</t>
  </si>
  <si>
    <t xml:space="preserve">Robôs Solda 2</t>
  </si>
  <si>
    <t xml:space="preserve">T_Rob2 ARCV3 Defeito Gerador (Sistema Fronius)</t>
  </si>
  <si>
    <t xml:space="preserve">Colisão da tocha com a peça</t>
  </si>
  <si>
    <t xml:space="preserve">Restabelecimento da tocha e reinicialização do sistema Fronius </t>
  </si>
  <si>
    <t xml:space="preserve">Falha de rede profibus</t>
  </si>
  <si>
    <t xml:space="preserve">Cartão de entrada da IM nó 50 com entrada I108.6 em curto</t>
  </si>
  <si>
    <t xml:space="preserve">Substituído cartão IM.</t>
  </si>
  <si>
    <t xml:space="preserve">carroceria parou entre mesa A0 e B0, B0 com rolos ligados </t>
  </si>
  <si>
    <t xml:space="preserve">skid bateu no sensor de luge</t>
  </si>
  <si>
    <t xml:space="preserve">feito movimento manual ajustado sensor e corrigido memórias </t>
  </si>
  <si>
    <t xml:space="preserve">Falha na marriage lateral NBS</t>
  </si>
  <si>
    <t xml:space="preserve">foi forçado o avanço de uma OF</t>
  </si>
  <si>
    <t xml:space="preserve">inserido uma peça no fluxo</t>
  </si>
  <si>
    <t xml:space="preserve">BM50 parada sem falha no MOP</t>
  </si>
  <si>
    <t xml:space="preserve">falha no sistema ISRA, apresenta o bit de defeito ativo e travou comunicação com CLP.</t>
  </si>
  <si>
    <t xml:space="preserve">Efetuado deposito em manual retirado robôs em manual zerado memória e iniciado um novo ciclo.</t>
  </si>
  <si>
    <t xml:space="preserve">CBSR Z1</t>
  </si>
  <si>
    <t xml:space="preserve">Ciclo da maquina travado </t>
  </si>
  <si>
    <t xml:space="preserve">Locators não entram na posição Home </t>
  </si>
  <si>
    <t xml:space="preserve">Movimentação manual e setado Home Position de todos o locators via TP.</t>
  </si>
  <si>
    <t xml:space="preserve">Transporte Aéreo Laterais HJD</t>
  </si>
  <si>
    <t xml:space="preserve">Cabide travado no percurso</t>
  </si>
  <si>
    <t xml:space="preserve">Cabide enroscado na trava de anti run</t>
  </si>
  <si>
    <t xml:space="preserve">Desenroscado cabide e acertado posição manual.</t>
  </si>
  <si>
    <t xml:space="preserve">Ilha parada não sinalizada falha </t>
  </si>
  <si>
    <t xml:space="preserve">Robô E1 fora de segurança traseira </t>
  </si>
  <si>
    <t xml:space="preserve">Movimentado Robo E1 para Home e reinicializado o ciclo</t>
  </si>
  <si>
    <t xml:space="preserve">CBSR</t>
  </si>
  <si>
    <t xml:space="preserve">Sequência de peça Doublore HJD incorreta na entrada da ilha CBSR</t>
  </si>
  <si>
    <t xml:space="preserve">Lançamento incorreto de peças no Siptol</t>
  </si>
  <si>
    <t xml:space="preserve">Ajuste do sequênciamento das peças</t>
  </si>
  <si>
    <t xml:space="preserve"> Robô J0 </t>
  </si>
  <si>
    <t xml:space="preserve">Falha no griper do robô J0</t>
  </si>
  <si>
    <t xml:space="preserve">Foram forçadas as válvulas do griper </t>
  </si>
  <si>
    <t xml:space="preserve">esteira transporte Bavolet</t>
  </si>
  <si>
    <t xml:space="preserve">Falha na pega, colisão do robô com peça</t>
  </si>
  <si>
    <t xml:space="preserve">folga mecânica na esteira de transporte </t>
  </si>
  <si>
    <t xml:space="preserve">forçado pega em manual e passada para 3° efetuar ajuste mecânico na ceia</t>
  </si>
  <si>
    <t xml:space="preserve">Robô C10</t>
  </si>
  <si>
    <t xml:space="preserve">Robô pegou pinça errada e colidiu com a carroceria (HHA0 </t>
  </si>
  <si>
    <t xml:space="preserve">em análise </t>
  </si>
  <si>
    <t xml:space="preserve">Foi feita a troca da pinça em manual</t>
  </si>
  <si>
    <t xml:space="preserve">Bomba mastic</t>
  </si>
  <si>
    <t xml:space="preserve">Robô colidiu com carroceria (estava com modelo errado)</t>
  </si>
  <si>
    <t xml:space="preserve">corrigido memórias, retirado robô e efetuado reparo na carroceria</t>
  </si>
  <si>
    <t xml:space="preserve">Falha na pega, colisão do robô  com peça</t>
  </si>
  <si>
    <t xml:space="preserve">Problema no batente da peça(estava faltando uma parte e com isso não fazia sua função)</t>
  </si>
  <si>
    <t xml:space="preserve">Foi tensionada a esteira, colocando um parafuso para fazer a função na trava do batente e ajustado o suporte 6 na pega do Robô</t>
  </si>
  <si>
    <t xml:space="preserve">Ponte Rolante</t>
  </si>
  <si>
    <t xml:space="preserve">Ponte rolante com falhas acionamentos de segurança</t>
  </si>
  <si>
    <t xml:space="preserve">Mau contato circuito da célula de carga</t>
  </si>
  <si>
    <t xml:space="preserve">Diagnóstico e reaperto dos contatos do circuito da celula de carga.</t>
  </si>
  <si>
    <t xml:space="preserve">BM110 Robô P3</t>
  </si>
  <si>
    <t xml:space="preserve">Parada sem falha na IHMP</t>
  </si>
  <si>
    <t xml:space="preserve">CPX do griper do robô P31 entrou em falha ("Undervoltage").</t>
  </si>
  <si>
    <t xml:space="preserve">Efetuado reset da CPX</t>
  </si>
  <si>
    <t xml:space="preserve">Falha de espessura </t>
  </si>
  <si>
    <t xml:space="preserve">em analise provavalmente calibrado fora de posição </t>
  </si>
  <si>
    <t xml:space="preserve">Foi refeita a calibração do robô E1.</t>
  </si>
  <si>
    <t xml:space="preserve">transporte de doblure</t>
  </si>
  <si>
    <t xml:space="preserve">cabide 7 passou de posição </t>
  </si>
  <si>
    <t xml:space="preserve">sensor mau ajustado</t>
  </si>
  <si>
    <t xml:space="preserve">efetuado ajuste do sensor</t>
  </si>
  <si>
    <t xml:space="preserve">Elevador não desce após entrada do balancele de lateral </t>
  </si>
  <si>
    <t xml:space="preserve"> Ausência de sinal de acionamento do sensor da trava  </t>
  </si>
  <si>
    <t xml:space="preserve">Ajuste e posicionamento do sensor (dificuldade devido acesso para verificação e ajuste do sensor).</t>
  </si>
  <si>
    <t xml:space="preserve">FM40  Pavillon</t>
  </si>
  <si>
    <t xml:space="preserve">Posto de entrada da linha parado pelo Siptol</t>
  </si>
  <si>
    <t xml:space="preserve">AGV avançou com peças sem a validação final e escrita da TAG no AGV pelo Siptol </t>
  </si>
  <si>
    <t xml:space="preserve"> Verificação condições faltantes e tratativa do alarme de PGF no Siptol e ajuste da OF de preparação   </t>
  </si>
  <si>
    <t xml:space="preserve">BM110</t>
  </si>
  <si>
    <t xml:space="preserve">Falha na presença de peça da mesa</t>
  </si>
  <si>
    <t xml:space="preserve">Sensor havia sido substituído por modelo com maior sensibilidade</t>
  </si>
  <si>
    <t xml:space="preserve">Subsituição do sensor</t>
  </si>
  <si>
    <t xml:space="preserve">BFM100</t>
  </si>
  <si>
    <t xml:space="preserve">Falha na presença de peça </t>
  </si>
  <si>
    <t xml:space="preserve">Lateral mal encaixada acabou soltando na pega </t>
  </si>
  <si>
    <t xml:space="preserve">Recolocada a peça na posição e realizado movimentos manuais para acertar a posição nas mesas</t>
  </si>
  <si>
    <t xml:space="preserve">mesa B0/C0  FM20</t>
  </si>
  <si>
    <t xml:space="preserve">Perda de posição na transição entre mesas</t>
  </si>
  <si>
    <t xml:space="preserve"> Movimentada manualmente as mesas e acertado as posições das peças</t>
  </si>
  <si>
    <t xml:space="preserve">Robô B0 pinça estacionária</t>
  </si>
  <si>
    <t xml:space="preserve">Falha na pinça estacionária, erro ao fazer o init </t>
  </si>
  <si>
    <t xml:space="preserve">Mal contato no cabo de alimentação do Servomotor </t>
  </si>
  <si>
    <t xml:space="preserve"> Reconectado o cabo de alimentação do Servo, verificado conexões na IM e refeita a calibração da pinça.</t>
  </si>
  <si>
    <t xml:space="preserve">Porta 4 da Zona</t>
  </si>
  <si>
    <t xml:space="preserve"> Falha no fechamento da porta</t>
  </si>
  <si>
    <t xml:space="preserve">Chave de validação danificada</t>
  </si>
  <si>
    <t xml:space="preserve">Substituído a parte de comando da chave de liberação da zona</t>
  </si>
  <si>
    <t xml:space="preserve">Posto Cola</t>
  </si>
  <si>
    <t xml:space="preserve"> Falha na aplicação de mastic</t>
  </si>
  <si>
    <t xml:space="preserve">Válvula travada</t>
  </si>
  <si>
    <t xml:space="preserve"> Substituição da valvula  </t>
  </si>
  <si>
    <t xml:space="preserve">Falha Profinet na troca griper C31 X52 </t>
  </si>
  <si>
    <t xml:space="preserve"> Mau contato nos pinos do Apli e depois travamento PLA</t>
  </si>
  <si>
    <t xml:space="preserve">Limpeza contatos Apli. Depois ocorreu travamento PLA e foi forçado movimento (troca do piloto no intervalo do almoço).</t>
  </si>
  <si>
    <t xml:space="preserve">LRD080</t>
  </si>
  <si>
    <t xml:space="preserve"> Contatos dos botões de validação acionam mas não continua sequência do dispositivo </t>
  </si>
  <si>
    <t xml:space="preserve">Botões de validação danificados</t>
  </si>
  <si>
    <t xml:space="preserve">Substituição dos contatos dos botões de validação</t>
  </si>
  <si>
    <t xml:space="preserve"> Transportador Laterais TACDC  </t>
  </si>
  <si>
    <t xml:space="preserve">Travamento transportador </t>
  </si>
  <si>
    <t xml:space="preserve">Balanceles travando transportador (trecho após batente B6)</t>
  </si>
  <si>
    <t xml:space="preserve">Destravado os balanceles, travando a corrente. </t>
  </si>
  <si>
    <t xml:space="preserve">Mesas Giratórias NC Locator</t>
  </si>
  <si>
    <t xml:space="preserve">Não realizava o index dos pilotos em alguns modelos</t>
  </si>
  <si>
    <t xml:space="preserve">NC Locators parando fora de posição nas Carrocerias </t>
  </si>
  <si>
    <t xml:space="preserve">Teve de ser realizado ajustes de posição mos modelos, BBB, HHA e X52. </t>
  </si>
  <si>
    <t xml:space="preserve">Mesa K0 e Robô Fo </t>
  </si>
  <si>
    <t xml:space="preserve"> Erro de marriage na Zona</t>
  </si>
  <si>
    <t xml:space="preserve">Foram retirados 3 conjuntos de peças, causando os erro (1 HJD e  2 HHA)  </t>
  </si>
  <si>
    <t xml:space="preserve">Após verificação das peças que estavam foi Recuado 3 OF's devido ao problema de retirada da peça  </t>
  </si>
  <si>
    <t xml:space="preserve">Transportador Laterais TACDC </t>
  </si>
  <si>
    <t xml:space="preserve">Não avançava balancele no primeiro elevador (Lateral Esquerda)</t>
  </si>
  <si>
    <t xml:space="preserve"> Estava sem informação de posição do batente 14</t>
  </si>
  <si>
    <t xml:space="preserve">Ajuste na posição dos sensores de batente. </t>
  </si>
  <si>
    <t xml:space="preserve">Não realizava o enchimento do pneu</t>
  </si>
  <si>
    <t xml:space="preserve">Problema com válvulas de liberação, ainda em análise</t>
  </si>
  <si>
    <t xml:space="preserve">Forçado condição para rodar, será analisado durante o dia </t>
  </si>
  <si>
    <t xml:space="preserve">Posicionamento do index dos pilotos fora de posição</t>
  </si>
  <si>
    <t xml:space="preserve">Realizado ajustes de Geometria, e ajustes de posição dos locators para todos os modelos.</t>
  </si>
  <si>
    <t xml:space="preserve">Válvulas de escape rápido com problema</t>
  </si>
  <si>
    <t xml:space="preserve">Efetuado by pass nas valvulas de escape rapido de Subita e Descida do Sino.</t>
  </si>
  <si>
    <t xml:space="preserve">Robô V1</t>
  </si>
  <si>
    <t xml:space="preserve">Erro de sistema </t>
  </si>
  <si>
    <t xml:space="preserve">Realização de backup causou erro de sistema</t>
  </si>
  <si>
    <t xml:space="preserve">Geração de sistema novo, criação do programa do EPS e descarregamento do backup</t>
  </si>
  <si>
    <t xml:space="preserve">Modificação da sequência de funcionamento do posto sem a comunicação da fabricação 3º turno</t>
  </si>
  <si>
    <t xml:space="preserve">Verificação sequencia e passado aos operadores condições faltantes.</t>
  </si>
  <si>
    <t xml:space="preserve">Robô Griper R0</t>
  </si>
  <si>
    <t xml:space="preserve">Lateral esquerda HJD caiu no elevador 2</t>
  </si>
  <si>
    <t xml:space="preserve">Substituição da lateral</t>
  </si>
  <si>
    <t xml:space="preserve">Mesa E0</t>
  </si>
  <si>
    <t xml:space="preserve">E0S Def. movimento CAG</t>
  </si>
  <si>
    <t xml:space="preserve">Sensor de avanço com cabo danificado</t>
  </si>
  <si>
    <t xml:space="preserve">Substituição so sensor de avanço </t>
  </si>
  <si>
    <t xml:space="preserve">Transportador Aéreo LVD Unit Avant</t>
  </si>
  <si>
    <t xml:space="preserve">DEF. CONTROLADOR DE SOLDA</t>
  </si>
  <si>
    <t xml:space="preserve">Queda de peça do griper do Robô A5</t>
  </si>
  <si>
    <t xml:space="preserve">Troca do porta eletrodo da pinça estacionaria e Ajustes de fechamento das serragens do Griper</t>
  </si>
  <si>
    <t xml:space="preserve">Transportador Aéreo LVD para Unit Avant  </t>
  </si>
  <si>
    <t xml:space="preserve">Z3: U1D Defeito Evacuação BA3</t>
  </si>
  <si>
    <t xml:space="preserve">Sensor de transito em curto sempre a 1</t>
  </si>
  <si>
    <t xml:space="preserve">Criada lógica paleativa para rodar até uma pausa pra substituir o sensor</t>
  </si>
  <si>
    <t xml:space="preserve">Mesa A01 </t>
  </si>
  <si>
    <t xml:space="preserve">Falha na troca da mesa de solda</t>
  </si>
  <si>
    <t xml:space="preserve">Curto circuito cabo da esteira porta cabos e pino 24V frouxo dentro da tomada Harting</t>
  </si>
  <si>
    <t xml:space="preserve">Isolado vias do cabo fechando curto, posicionado pinos que estavam frouxos</t>
  </si>
  <si>
    <t xml:space="preserve">Driver box CH03VAR</t>
  </si>
  <si>
    <t xml:space="preserve">Falha de rede profinet TMD</t>
  </si>
  <si>
    <t xml:space="preserve">Cabo do terra solto da conexão com 0V no painel Z1CB01, tensão do painel do drive box em 15,6Vcc</t>
  </si>
  <si>
    <t xml:space="preserve">reconectado cabo terra</t>
  </si>
  <si>
    <t xml:space="preserve">Falha no encoder Beckhoff P20</t>
  </si>
  <si>
    <t xml:space="preserve">Cartão de leitura do encoder.</t>
  </si>
  <si>
    <t xml:space="preserve">Substituído cartão de entrada do encoder.</t>
  </si>
  <si>
    <t xml:space="preserve">Lateral esquerda HJD CAIU no elevador 2</t>
  </si>
  <si>
    <t xml:space="preserve">Preparação cabeçote</t>
  </si>
  <si>
    <t xml:space="preserve">Não realizava leitura do data matrix</t>
  </si>
  <si>
    <t xml:space="preserve">Quebrou a lente da câmera Keyence</t>
  </si>
  <si>
    <t xml:space="preserve">foram retirados os pedaços que estavam quebrados para livrar a leitura, após isso voltou a ler novamente</t>
  </si>
  <si>
    <t xml:space="preserve">Robô A6</t>
  </si>
  <si>
    <t xml:space="preserve">Robô após troca de eletrodo não relizava a solda </t>
  </si>
  <si>
    <t xml:space="preserve">Erro no controlador de solda </t>
  </si>
  <si>
    <t xml:space="preserve">Relizado o reset do controlador de solda do Robô</t>
  </si>
  <si>
    <t xml:space="preserve">Conjunto de solda K9CL1 </t>
  </si>
  <si>
    <t xml:space="preserve">Não realizava a aplicação de mastique na peça </t>
  </si>
  <si>
    <t xml:space="preserve">Falhas nos tambores de mastique, estavam vazios as 2 bombas e com ar </t>
  </si>
  <si>
    <t xml:space="preserve">Foram substituídos os tambores e realizada a purga pra pressurização na aplicação </t>
  </si>
  <si>
    <t xml:space="preserve">Prensa P20</t>
  </si>
  <si>
    <t xml:space="preserve">PARADA IMEDIATA BECKHOFF PARA REPUXO</t>
  </si>
  <si>
    <t xml:space="preserve">Cartão de Remota do Beckoff com mau contato</t>
  </si>
  <si>
    <t xml:space="preserve">Desmontagem dos cartões ajuste parafuso fixação do trilho e restabelecimento.</t>
  </si>
  <si>
    <t xml:space="preserve">Robô RX4</t>
  </si>
  <si>
    <t xml:space="preserve">Robô não realiza movimentos em manual</t>
  </si>
  <si>
    <t xml:space="preserve">Falha da placa de segurança do robô</t>
  </si>
  <si>
    <t xml:space="preserve">Substituição da fonte e da placa de segurança do Robo</t>
  </si>
  <si>
    <t xml:space="preserve">Mesa A01</t>
  </si>
  <si>
    <t xml:space="preserve">Sem liberação para funcionamento da mesa</t>
  </si>
  <si>
    <t xml:space="preserve">Sensor em curto-circuito ligado na chabata E06</t>
  </si>
  <si>
    <t xml:space="preserve">Substituído o sensor danificado</t>
  </si>
  <si>
    <t xml:space="preserve">MOP Geral </t>
  </si>
  <si>
    <t xml:space="preserve">Perda de comunicação profinet</t>
  </si>
  <si>
    <t xml:space="preserve">Aquecimento no borne de alimentação do Scalance (switch)</t>
  </si>
  <si>
    <t xml:space="preserve">Teve de ser substituída o Scalance e depois reconfigurado. Após isso feita a recalagem das peças para produção </t>
  </si>
  <si>
    <t xml:space="preserve">Mesas F1 e G1</t>
  </si>
  <si>
    <t xml:space="preserve">Falha de descarregamento da mesa K0</t>
  </si>
  <si>
    <t xml:space="preserve">Feita a movimentação em manual das mesas K0 até a F1</t>
  </si>
  <si>
    <t xml:space="preserve"> Bretele HJD</t>
  </si>
  <si>
    <t xml:space="preserve">Falta de corte e dobra da aba do teto</t>
  </si>
  <si>
    <t xml:space="preserve">Suporte da matriz de dobra torta e matriz danificada</t>
  </si>
  <si>
    <t xml:space="preserve">Substituição do cilindro da dobra da aba do teto que estava danificado.</t>
  </si>
  <si>
    <t xml:space="preserve">FM40 - Mesa E0</t>
  </si>
  <si>
    <t xml:space="preserve">Z4: E0 Defeito detector de presença de gripper E4</t>
  </si>
  <si>
    <t xml:space="preserve">Sensor de detecção do Griper na mesa fora de posição</t>
  </si>
  <si>
    <t xml:space="preserve">Forçado condição para rodar e ajuste da posição do sensor</t>
  </si>
  <si>
    <t xml:space="preserve">Máq enchimento 3</t>
  </si>
  <si>
    <t xml:space="preserve">Não chamava posto 3</t>
  </si>
  <si>
    <t xml:space="preserve">Falha de pressão residual</t>
  </si>
  <si>
    <t xml:space="preserve">Feito reset geral 3 vezes.</t>
  </si>
  <si>
    <t xml:space="preserve">Mesa R0</t>
  </si>
  <si>
    <t xml:space="preserve">Não liberou a memória de Peça a Trabalhar da AFM2</t>
  </si>
  <si>
    <t xml:space="preserve">Ainda em análise, foi encontrado o Bit de peça "CRAPI.B8" ativo na mesa R0</t>
  </si>
  <si>
    <t xml:space="preserve">Foi verificado a dorma de escrita deste bit, forçado a 0 para liberar linha.</t>
  </si>
  <si>
    <t xml:space="preserve">estava desarmando na partida</t>
  </si>
  <si>
    <t xml:space="preserve">Foi deixado uma bolha grande na Sexta à noite, com isso toda vez que partia desarmava por sobretensão da corrente nos limites de tração do esticador.</t>
  </si>
  <si>
    <t xml:space="preserve">Teve de ajustar o tensionador e fins de curso para poder partir, logo após estabilizado foi voltado ao normal </t>
  </si>
  <si>
    <t xml:space="preserve">Ilha de portas X52</t>
  </si>
  <si>
    <t xml:space="preserve">Falha de segurança na mesa giratória</t>
  </si>
  <si>
    <t xml:space="preserve">Mensagem errada devido a não estar comunicando a IHM com o PLC, com isso não realizava comando manuais e também não atualizava as mensagens </t>
  </si>
  <si>
    <t xml:space="preserve">Verificado mal contato no cabo de rede entre o PLC e uma Switch. </t>
  </si>
  <si>
    <t xml:space="preserve">SOP</t>
  </si>
  <si>
    <t xml:space="preserve">Não estava fazendo a liberação dos postos</t>
  </si>
  <si>
    <t xml:space="preserve">Sem sincronia com PSF e também alterações de final de semana</t>
  </si>
  <si>
    <t xml:space="preserve">Sincronizado PSF e verificado condições de funcionamento. Ficou somente o X52Cross, gerando erro no by ligth na preparação do Kitting. </t>
  </si>
  <si>
    <t xml:space="preserve">Falha na transferência mesa 15&gt;16</t>
  </si>
  <si>
    <t xml:space="preserve">Caiu um parafuso no sensor no momento da transferência e acionou sensor.</t>
  </si>
  <si>
    <t xml:space="preserve">Foram reposicionadas as carrocerias em manual e foram corrigidas as memórias.</t>
  </si>
  <si>
    <t xml:space="preserve">Máq. enchimento 3</t>
  </si>
  <si>
    <t xml:space="preserve">Falha de pressão residual do ar condicionado - circuito do sistema de vácuo não estava despressurizando.</t>
  </si>
  <si>
    <t xml:space="preserve">Válvula YD330, que faz o controle do vácuo do circuito, danificado</t>
  </si>
  <si>
    <t xml:space="preserve">Substituição da válvula YD330.</t>
  </si>
  <si>
    <t xml:space="preserve">mesa 42</t>
  </si>
  <si>
    <t xml:space="preserve">falha nos sincronismo do empilhador de skid</t>
  </si>
  <si>
    <t xml:space="preserve">Manipulação manual de skid</t>
  </si>
  <si>
    <t xml:space="preserve">Movimentado em manual e corrigido memórias</t>
  </si>
  <si>
    <t xml:space="preserve">Perdeu comunicação da IHM Wincc flexible, e comunicação com CPU PLC ficava oscilando </t>
  </si>
  <si>
    <t xml:space="preserve">falha no PC/HD do mop</t>
  </si>
  <si>
    <t xml:space="preserve">Substituído pc e HD do mop</t>
  </si>
  <si>
    <t xml:space="preserve">Sertissage HJD</t>
  </si>
  <si>
    <t xml:space="preserve"> Peça descia fora de posição na mesa de sertissag</t>
  </si>
  <si>
    <t xml:space="preserve"> Desgaste das guias</t>
  </si>
  <si>
    <t xml:space="preserve">Ajuste das guias</t>
  </si>
  <si>
    <t xml:space="preserve">Assistencia Cokpit</t>
  </si>
  <si>
    <t xml:space="preserve">Não realizava movimentação </t>
  </si>
  <si>
    <t xml:space="preserve">Quebra da conexão pneumática "16" e rompimento da mangueira "PU"</t>
  </si>
  <si>
    <t xml:space="preserve">Teve de ser substituído a conexão, (Não em estoque o tamanho 16), conseguido com outra área e feito o reparo, também teve de ser tirado um pedaço da mangueira que estava rompida.</t>
  </si>
  <si>
    <t xml:space="preserve">R1</t>
  </si>
  <si>
    <t xml:space="preserve">Falha de segurança geral</t>
  </si>
  <si>
    <t xml:space="preserve">Ainda em análise, possível mal contato ou falha na comunicação ethercat bechkoff</t>
  </si>
  <si>
    <t xml:space="preserve">Realizado diversos resets na máquina, após um tempo ela voltou a funcionar</t>
  </si>
  <si>
    <t xml:space="preserve">Programa Xline fechando sozinho</t>
  </si>
  <si>
    <t xml:space="preserve">Falha PEV forçando fechamento do programa Xline</t>
  </si>
  <si>
    <t xml:space="preserve">Tentativas de restabelecimento do Xline fechava sozinho, reiniciado on PEV e depois Xline funcionamento normal.</t>
  </si>
  <si>
    <t xml:space="preserve">Mesa Giro A011</t>
  </si>
  <si>
    <t xml:space="preserve">Falha presença de peça e falha Profinet</t>
  </si>
  <si>
    <t xml:space="preserve">Cabo profinet danificado no dispositivo e problema cabo profinet na esteira porta cabo</t>
  </si>
  <si>
    <t xml:space="preserve">Substituição do cabo danificado e reparo conexões porfinet mesa A011 esteira porta cabo.</t>
  </si>
  <si>
    <t xml:space="preserve">Mesa P7</t>
  </si>
  <si>
    <t xml:space="preserve">Falha na mesa P7, e pega do robô </t>
  </si>
  <si>
    <t xml:space="preserve">mesa fora de referência </t>
  </si>
  <si>
    <t xml:space="preserve">Foi calibrado posição da mesa (mesa Sopap)</t>
  </si>
  <si>
    <t xml:space="preserve">  Robô L2</t>
  </si>
  <si>
    <t xml:space="preserve">Falha na solda/colisão</t>
  </si>
  <si>
    <t xml:space="preserve">Listel da jupe deformada, ocasionado colisão no robô L2 durante trajetória de solda </t>
  </si>
  <si>
    <t xml:space="preserve">Retirado robô em manual retrabalhado a peça e efetuado solda em manual</t>
  </si>
  <si>
    <t xml:space="preserve">Robô fora de home e não repli</t>
  </si>
  <si>
    <t xml:space="preserve">Falha no promi</t>
  </si>
  <si>
    <t xml:space="preserve">Efetuado P-start</t>
  </si>
  <si>
    <t xml:space="preserve">Falha de rede profinet </t>
  </si>
  <si>
    <t xml:space="preserve">Cabo Profinet da IM griper F11 danificado</t>
  </si>
  <si>
    <t xml:space="preserve">Substituído cabo da base do robô até a IM</t>
  </si>
  <si>
    <t xml:space="preserve">Griper P31</t>
  </si>
  <si>
    <t xml:space="preserve">Griper não fecha na peça</t>
  </si>
  <si>
    <t xml:space="preserve">lateral esquerda degradada</t>
  </si>
  <si>
    <t xml:space="preserve">retirado robô em manual, retrabalhado a peça e fechado todos os grampos e pilotos em manual </t>
  </si>
  <si>
    <t xml:space="preserve">Falha de segurança nas zonas </t>
  </si>
  <si>
    <t xml:space="preserve">curto circuito em cabo frouxo no painel, desarmou disjuntor F5 no MOP</t>
  </si>
  <si>
    <t xml:space="preserve">Realizado a religação do cabo que estava frouxo e rearme do disjuntor </t>
  </si>
  <si>
    <t xml:space="preserve">Transportador TADC das laterais </t>
  </si>
  <si>
    <t xml:space="preserve">Travou cabide na posição do batente 11 </t>
  </si>
  <si>
    <t xml:space="preserve">Não realizou a abertura, e com isso gerou erro na confirmação do SIPTOL e travou o balancele 12.</t>
  </si>
  <si>
    <t xml:space="preserve">Forçado condição para correção da ordem de 
Fluxo, forçado condições do Batente 12 para poder liberar o transportador </t>
  </si>
  <si>
    <t xml:space="preserve">Não realizava o teste de paralelismo e nem a preparação do modelo</t>
  </si>
  <si>
    <t xml:space="preserve">Curto circuito em um cabo debaixo da estrutura do paralelismo</t>
  </si>
  <si>
    <t xml:space="preserve">Isolado cabo que estava em curto com estrutura.</t>
  </si>
  <si>
    <t xml:space="preserve">Paraou Robôs E3 e E4 sem descarregar o Gripper</t>
  </si>
  <si>
    <t xml:space="preserve">Erro no momento de desacoplar a castanha </t>
  </si>
  <si>
    <t xml:space="preserve">Retirados os robôs e gripper manualmente e logo após realizado as correções para retorno do ciclo da linha.</t>
  </si>
  <si>
    <t xml:space="preserve">Parada de emergência acionada na operação de preparação para linha </t>
  </si>
  <si>
    <t xml:space="preserve">Acionado involuntariamente </t>
  </si>
  <si>
    <t xml:space="preserve">realizado o retorno da emergência e condições para descarregar do batente 15, porém teve de forçar condição para liberação do batente 12 na entrada do elevador L2, pois não retornou após esta parada.</t>
  </si>
  <si>
    <t xml:space="preserve">Mesa E0 e conjuntos</t>
  </si>
  <si>
    <t xml:space="preserve">Não realizava o teste de paralelismo e nem preparação do modelo</t>
  </si>
  <si>
    <t xml:space="preserve">Isolado cabo que estava em curto com a esrutura.</t>
  </si>
  <si>
    <t xml:space="preserve">Plataforma </t>
  </si>
  <si>
    <t xml:space="preserve">Falha na plataforma </t>
  </si>
  <si>
    <t xml:space="preserve">sensor de recuo da plataforma não atuou </t>
  </si>
  <si>
    <t xml:space="preserve">ajustado posição do sensor</t>
  </si>
  <si>
    <t xml:space="preserve">Elevador Portas 6 (Direita) </t>
  </si>
  <si>
    <t xml:space="preserve">Elevador movimentando somente em baixa velocidade</t>
  </si>
  <si>
    <t xml:space="preserve">Possível problema sensor de baixa velocidade</t>
  </si>
  <si>
    <t xml:space="preserve">Durante verificação do possivel problema retorno ao funcionamento correto.</t>
  </si>
  <si>
    <t xml:space="preserve">Mesa 09 Transbordo</t>
  </si>
  <si>
    <t xml:space="preserve">Falha descarregamento mesa</t>
  </si>
  <si>
    <t xml:space="preserve">Skid travou na saída da mesa</t>
  </si>
  <si>
    <t xml:space="preserve">Posicionamento do mesmo em manual, mas gerou outra falha ajuste das memorias e restabelecimento do ciclo normal.</t>
  </si>
  <si>
    <t xml:space="preserve">Buhler 1</t>
  </si>
  <si>
    <t xml:space="preserve">Falha de Emergência </t>
  </si>
  <si>
    <t xml:space="preserve">Emergência na carregamento de alumínio acionada acidentalmente</t>
  </si>
  <si>
    <t xml:space="preserve">Verificação da cadeia de segurança e isolamento de circuitos até chegar ao circuito especifico (verficação e diagnosticado botão de emergencia acionado dentro da area da maquina), desacionada emergencia e efetuado religamento geral.  
</t>
  </si>
  <si>
    <t xml:space="preserve">Bomba de Mastic 3</t>
  </si>
  <si>
    <t xml:space="preserve">Falha na aplicação na carroceria</t>
  </si>
  <si>
    <t xml:space="preserve">sujeira na parte interna do bico </t>
  </si>
  <si>
    <t xml:space="preserve">desmontando bico e efetuado limpeza</t>
  </si>
  <si>
    <t xml:space="preserve">Transportado lateral</t>
  </si>
  <si>
    <t xml:space="preserve">Falha no Batente B14</t>
  </si>
  <si>
    <t xml:space="preserve">sem sinal de avanço do batente</t>
  </si>
  <si>
    <t xml:space="preserve">ajuste do sensor e lubrificação do sistema </t>
  </si>
  <si>
    <t xml:space="preserve">travou mecanicamente </t>
  </si>
  <si>
    <t xml:space="preserve">destravado ajustado </t>
  </si>
  <si>
    <t xml:space="preserve">robô C3</t>
  </si>
  <si>
    <t xml:space="preserve">Eletrodo fixo com desgaste diferente do eletrodo móvel</t>
  </si>
  <si>
    <t xml:space="preserve">substituído eletrodo e efetuado calibração</t>
  </si>
  <si>
    <t xml:space="preserve">Transportador TADC das laterais</t>
  </si>
  <si>
    <t xml:space="preserve">Travou corrente na C1 Zona 1</t>
  </si>
  <si>
    <t xml:space="preserve">Solto roldana da corrente e travou no conunto de tração </t>
  </si>
  <si>
    <t xml:space="preserve">Retirado as roldanas que estavam travando e substituídas de onde soltaram</t>
  </si>
  <si>
    <t xml:space="preserve">Defeito inversor mesa D0 após reset scanner da mesa </t>
  </si>
  <si>
    <t xml:space="preserve">Scanner com lente suja </t>
  </si>
  <si>
    <t xml:space="preserve">DEsmontagem e limpeza da lente</t>
  </si>
  <si>
    <t xml:space="preserve">Robô L2</t>
  </si>
  <si>
    <t xml:space="preserve">Robô soldou 1 ponto sem eletrodo, danificou porta eletrodo </t>
  </si>
  <si>
    <t xml:space="preserve">substituído porta eletrodo </t>
  </si>
  <si>
    <t xml:space="preserve">Tucker Robô J0</t>
  </si>
  <si>
    <t xml:space="preserve">Falha na alimentação de pino tucker massa </t>
  </si>
  <si>
    <t xml:space="preserve">pino de carga travando</t>
  </si>
  <si>
    <t xml:space="preserve">Substituido a pistola e mangueira de alimentação de tucker</t>
  </si>
  <si>
    <t xml:space="preserve">PC do Gestor de Fluxo</t>
  </si>
  <si>
    <t xml:space="preserve">Supervisório não abre</t>
  </si>
  <si>
    <t xml:space="preserve">Falha de licença do FTView</t>
  </si>
  <si>
    <t xml:space="preserve">Substituição do HD, para funcionamento do Supervisório FTView</t>
  </si>
  <si>
    <t xml:space="preserve">colocou eletrodo após fresa e não efetuava reset da falha de água </t>
  </si>
  <si>
    <t xml:space="preserve">Forçado fechamento e abertura da válvula via TP</t>
  </si>
  <si>
    <t xml:space="preserve">Cabide travou na transferência do P1D para o P0C</t>
  </si>
  <si>
    <t xml:space="preserve">Acionado emergência na CAFM1</t>
  </si>
  <si>
    <t xml:space="preserve">Destravado cabide no desvio </t>
  </si>
  <si>
    <t xml:space="preserve">robô M0</t>
  </si>
  <si>
    <t xml:space="preserve">Lateral caiu do Frame no gripper do robô M0</t>
  </si>
  <si>
    <t xml:space="preserve">Abertura errada do portão </t>
  </si>
  <si>
    <t xml:space="preserve">Retirado robô em manual retirado a peça e corrigido as memórias.</t>
  </si>
  <si>
    <t xml:space="preserve">Robô L1</t>
  </si>
  <si>
    <t xml:space="preserve">Perdendo os dados do contador de revoluções do Robô (Perda de Calibração)</t>
  </si>
  <si>
    <t xml:space="preserve"> Interferência eletromagnética em cabo de rede (Profinet), as duas vezes que perdeu os valores, no mesmo momento gerou falha de rede </t>
  </si>
  <si>
    <t xml:space="preserve">Realizado a calibração de todos os eixos e Substituído o cabo de rede entre a CPX do gripper até painel do robô</t>
  </si>
  <si>
    <t xml:space="preserve">Robô J0 (Pino goujon do J0)</t>
  </si>
  <si>
    <t xml:space="preserve">Não realizava a colocação de Turker, não chegava no aplicador </t>
  </si>
  <si>
    <t xml:space="preserve">Mangueira de envio dos Pinos estava entupida e danificada</t>
  </si>
  <si>
    <t xml:space="preserve">Substituída a mangueira de envio dos pinos e realizado tetes.</t>
  </si>
  <si>
    <t xml:space="preserve">Falha de elevador da mesa C0</t>
  </si>
  <si>
    <t xml:space="preserve">Falha no contator do freio </t>
  </si>
  <si>
    <t xml:space="preserve">Acionado contator várias vezes em manual, voltou a fechar o contato, requisitado contator novo para substituir na ceia</t>
  </si>
  <si>
    <t xml:space="preserve">Transportador de lateral</t>
  </si>
  <si>
    <t xml:space="preserve">Falha no esticador da corrente da zona 1</t>
  </si>
  <si>
    <t xml:space="preserve">Falha na instalação, danificou o atuador da chave fim de curso</t>
  </si>
  <si>
    <t xml:space="preserve">Substituído fim de curso</t>
  </si>
  <si>
    <t xml:space="preserve">MOP   </t>
  </si>
  <si>
    <t xml:space="preserve">caiu colocação em serviço e não funcionava em manual </t>
  </si>
  <si>
    <t xml:space="preserve">chave geral do portão foi aberta por engano</t>
  </si>
  <si>
    <t xml:space="preserve">fechado a chave e acionado degradado, pois a linha estava sem peça</t>
  </si>
  <si>
    <t xml:space="preserve">Carro não entra no Tristock em automático (Mensagem entrada interditada (DLI)) </t>
  </si>
  <si>
    <t xml:space="preserve">Mesa de entrada não abriu dialogo corretamente </t>
  </si>
  <si>
    <t xml:space="preserve"> Reset do PLC API1 MP e forçada a entrada do carro da mesa 03 sem sistema de pilotagem. </t>
  </si>
  <si>
    <t xml:space="preserve"> Falha na mesa A0</t>
  </si>
  <si>
    <t xml:space="preserve">Queimou bobina do freio do motor mesa A0</t>
  </si>
  <si>
    <t xml:space="preserve">Aberto freio e liberado a linha, será substituído o freio em um momento de pausa</t>
  </si>
  <si>
    <t xml:space="preserve">Colisão do Robô na rotina de Bus Ey</t>
  </si>
  <si>
    <t xml:space="preserve">Problema no posicionamento da tocha </t>
  </si>
  <si>
    <t xml:space="preserve"> Ajuste de tocha que estava fora de posição</t>
  </si>
  <si>
    <t xml:space="preserve">Falha na alimentação </t>
  </si>
  <si>
    <t xml:space="preserve">Arame travado</t>
  </si>
  <si>
    <t xml:space="preserve"> Substituição do cabo danificado e reparo conexões profinet mesa A011 esteira porta cabo.</t>
  </si>
  <si>
    <t xml:space="preserve">Defeito na carta de segurança </t>
  </si>
  <si>
    <t xml:space="preserve">Após correção da pinça de solda (Calibração), perdeu condições de sincronismo com a EPS</t>
  </si>
  <si>
    <t xml:space="preserve">mesa F0</t>
  </si>
  <si>
    <t xml:space="preserve"> Mesa não estava parando na posição </t>
  </si>
  <si>
    <t xml:space="preserve">Quebra da corrente de tração da elevação</t>
  </si>
  <si>
    <t xml:space="preserve"> Feito a emenda da corrente no ponto de quebra. </t>
  </si>
  <si>
    <t xml:space="preserve">Robô V2</t>
  </si>
  <si>
    <t xml:space="preserve"> Não realizava o Repli e nem fim do último trabalho</t>
  </si>
  <si>
    <t xml:space="preserve">Erro de sistema e ao reiniciar gerou erro de sincronismo em todos os eixo e também erro de comunicação com a EPS</t>
  </si>
  <si>
    <t xml:space="preserve">Realizado a calibração de todos os eixo e depois realizado o sincronismo com a EPS </t>
  </si>
  <si>
    <t xml:space="preserve">Circuito de AGV´s</t>
  </si>
  <si>
    <t xml:space="preserve"> AGV´s saindo da Fita guia</t>
  </si>
  <si>
    <t xml:space="preserve">Fita guia desmagnetizada por Imã grudado em baixo de um AGV ME1 Lado esquerdo  </t>
  </si>
  <si>
    <t xml:space="preserve"> Retirada de Imã grudado em baixo do AGV e substituição de trechos da fita guia desmagnetizada.  </t>
  </si>
  <si>
    <t xml:space="preserve"> MN2Z2</t>
  </si>
  <si>
    <t xml:space="preserve">Falha de safety MN2 Zone</t>
  </si>
  <si>
    <t xml:space="preserve">Cartão de segurança M7 danificado</t>
  </si>
  <si>
    <t xml:space="preserve">Substiyuído cartão</t>
  </si>
  <si>
    <t xml:space="preserve">SOP Z1 (V3)</t>
  </si>
  <si>
    <t xml:space="preserve">SOP (V3) não comunica, erro de rede</t>
  </si>
  <si>
    <t xml:space="preserve">Conflito de sistema, não reconhecia o servidor de telas </t>
  </si>
  <si>
    <t xml:space="preserve">Voltou após reiniciar o MOP  </t>
  </si>
  <si>
    <t xml:space="preserve">Locator M01 do grupo 3 </t>
  </si>
  <si>
    <t xml:space="preserve">Locator desarmando e em falha </t>
  </si>
  <si>
    <t xml:space="preserve">Estava travando o movimento em um pino solto na base, sem lubrifcação dos patins e rolamentos</t>
  </si>
  <si>
    <t xml:space="preserve">Batido o pino na chapa para ficar posicionado abaixo do patins, realizado lubrificação dos componentes do locator </t>
  </si>
  <si>
    <t xml:space="preserve">Robôs A2 e A4  </t>
  </si>
  <si>
    <t xml:space="preserve">Robôs não realizaram movimento para ponto de troca de eletrodos </t>
  </si>
  <si>
    <t xml:space="preserve">Concepção de lógica. Não setou o fim de troca de eletrodo do pedido anterior, com isso não liberou na próxima troca.</t>
  </si>
  <si>
    <t xml:space="preserve">olocado um "BA0" para setar a ultima troca, com isso chamou para posição de troca. Após posicionarem retirado o bit e voltado a condição.
Obs: Necessário realizar modificação na lógica para realizar o set da memória. (Trabalho a ser realizado)
</t>
  </si>
  <si>
    <t xml:space="preserve">Falha de supervisão de arco </t>
  </si>
  <si>
    <t xml:space="preserve">Retirado todo o arame e passado um novo, da barrica até o bico da tocha</t>
  </si>
  <si>
    <t xml:space="preserve">Falha na supervisão do arco </t>
  </si>
  <si>
    <t xml:space="preserve">Acúmulo de resíduo no bocal, devido ao líquido anti respinfgo estar errado </t>
  </si>
  <si>
    <t xml:space="preserve">Esgotado e substituído pelo liquido correto.</t>
  </si>
  <si>
    <t xml:space="preserve"> Falha recuo PL1 </t>
  </si>
  <si>
    <t xml:space="preserve">Travou piloto multifunção (posição avançado)</t>
  </si>
  <si>
    <t xml:space="preserve">Subsituição do piloto no horário da ceia</t>
  </si>
  <si>
    <t xml:space="preserve">Robô P3 </t>
  </si>
  <si>
    <t xml:space="preserve">Falha Piloto PLE2 e SRG. </t>
  </si>
  <si>
    <t xml:space="preserve"> Peça mal posicionada. Causa da colisão foi que sensores de presença de peca da mesa DPP5 e DPP6 estão com alcance muito grande, mesmo a peca fora de posição o sensor fica atuado.</t>
  </si>
  <si>
    <t xml:space="preserve"> Foi Reposicionada a peçaa e avançado piloto e serragem manualmente</t>
  </si>
  <si>
    <t xml:space="preserve"> Transição entre mesas</t>
  </si>
  <si>
    <t xml:space="preserve">Perda de posição das mesas</t>
  </si>
  <si>
    <t xml:space="preserve"> Skids pararam em posição erradas e derrubou sinal da presença de peça na mesa</t>
  </si>
  <si>
    <t xml:space="preserve">Realizado movimentos manuais nas mesas para corrigir posição.
Obs: Ocorre várias vezes este tipo de falha.
</t>
  </si>
  <si>
    <t xml:space="preserve">Robô C9</t>
  </si>
  <si>
    <t xml:space="preserve">Parou Robôs sem falha.</t>
  </si>
  <si>
    <t xml:space="preserve">Pinça de solda 2 do robo C9 com demanda de fresagem, porém não executou a rotina, vindo a travar os demais robô.</t>
  </si>
  <si>
    <t xml:space="preserve">Forcado o reset da demanda de fresa, voltamos manualmente o robô para posição de HOME, colocamos a saída SDO81 do para robô para zero</t>
  </si>
  <si>
    <t xml:space="preserve">Corrente Zona 2</t>
  </si>
  <si>
    <t xml:space="preserve">Transportador parou sem falhas após descarregamento da lateral</t>
  </si>
  <si>
    <t xml:space="preserve"> Transportador parado nos batentes 21 e 23, porém sem gerar falhas. Não religava motor do transporte</t>
  </si>
  <si>
    <t xml:space="preserve"> Verificado os batentes, aberto batente 21 e aliviado os demais cabides para partida do motor.</t>
  </si>
  <si>
    <t xml:space="preserve"> Parou no descarregamento da peça no elevador L2 no batente 11</t>
  </si>
  <si>
    <t xml:space="preserve">Não setou a presença no batente e sem leitura de RFID</t>
  </si>
  <si>
    <t xml:space="preserve">Recolocado balancele na posição para leitura da tag, Teve de ser avançado uma OF, pois haviam forçado uma condição antes do problema.</t>
  </si>
  <si>
    <t xml:space="preserve">Parou sem posicionar o Locator M2</t>
  </si>
  <si>
    <t xml:space="preserve">Perda de marcha da zona </t>
  </si>
  <si>
    <t xml:space="preserve">Recolocado todos os locator na posição Home, devido a não reconhecer novamente o passo de trabalho.</t>
  </si>
  <si>
    <t xml:space="preserve">Falha NC Locator </t>
  </si>
  <si>
    <t xml:space="preserve">Transporte de lateral com uma lateral de cada modelo</t>
  </si>
  <si>
    <t xml:space="preserve">Falha fechamento e falta pega da lateral HJD no carrinho na ilha NBSL, e defeito discordância recalagem</t>
  </si>
  <si>
    <t xml:space="preserve">Retirada de lateral incorreta e correção dos demais transportadores de lateral, envio de transportador vazio e envio de lateral de fora para correção filme NBSL</t>
  </si>
  <si>
    <t xml:space="preserve">Mesa H0</t>
  </si>
  <si>
    <t xml:space="preserve">Falha de mesa</t>
  </si>
  <si>
    <t xml:space="preserve">sensor de ultrapassagem (DDPA) oscilando no momento de descarregamento </t>
  </si>
  <si>
    <t xml:space="preserve">substituído sensor e deixado diziscope monitorando </t>
  </si>
  <si>
    <t xml:space="preserve">Tucker mesa A0</t>
  </si>
  <si>
    <t xml:space="preserve">Falha na alimentação do pino tucker</t>
  </si>
  <si>
    <t xml:space="preserve">pino travado próximo a pinça</t>
  </si>
  <si>
    <t xml:space="preserve">Desmontado a frente da pistola para retirar os pinos que estavam travando</t>
  </si>
  <si>
    <t xml:space="preserve"> Perda de comunicação Profinet no Gripper do Robô</t>
  </si>
  <si>
    <t xml:space="preserve">Soltou a rótula na raquete e com isso enrolou o cabo no eixo 6 arrebentando o cabo profinet e também danificando o cabo de alimentação da CPX.  </t>
  </si>
  <si>
    <t xml:space="preserve"> Substituído o cabo de rede e refeita a conexão do cabo da CPX, após isso no horário da ceia foi realizado um ajuste na raquete para minimizar o movimento na rótula.</t>
  </si>
  <si>
    <t xml:space="preserve">Robô J0 (Aplicação do Gourjon)</t>
  </si>
  <si>
    <t xml:space="preserve">Erro na aplicação do Gourjon</t>
  </si>
  <si>
    <t xml:space="preserve">Erro na linha de medição devido estar arrebentado o cabo no Gripper</t>
  </si>
  <si>
    <t xml:space="preserve">Refeita a conexão da linha de medição no gripper </t>
  </si>
  <si>
    <t xml:space="preserve">Robô C3 </t>
  </si>
  <si>
    <t xml:space="preserve">Falha na pega do gripper de dispositivo C32 após termino de solda </t>
  </si>
  <si>
    <t xml:space="preserve">Falha no fechamento da castanha do gripper </t>
  </si>
  <si>
    <t xml:space="preserve">Forçada condição para fechar a castanha </t>
  </si>
  <si>
    <t xml:space="preserve">BM30 Mesa C0</t>
  </si>
  <si>
    <t xml:space="preserve">Mesa não retorna após almoço</t>
  </si>
  <si>
    <t xml:space="preserve">Retirada da mesa do modo deverminagem</t>
  </si>
  <si>
    <t xml:space="preserve">Forçado abertura de retacagem, verificação e forçagem para retorno  as condições de origem.</t>
  </si>
  <si>
    <t xml:space="preserve">cabo danificado, após a pane de ontem o cabo de rede foi passado por fora do corrugado, mas devido a alta movientação desse robô o cabo estava degradando </t>
  </si>
  <si>
    <t xml:space="preserve">substituído cabo e passado por dentro do corrugado </t>
  </si>
  <si>
    <t xml:space="preserve">robô J2</t>
  </si>
  <si>
    <t xml:space="preserve">robô J2 colando eletrodo (chave a levantar carroceria do skid)</t>
  </si>
  <si>
    <t xml:space="preserve">3 pontos de borda próximo a doublure</t>
  </si>
  <si>
    <t xml:space="preserve">Corrigido a trajetória</t>
  </si>
  <si>
    <t xml:space="preserve">torre 01 mesa E0</t>
  </si>
  <si>
    <t xml:space="preserve">Locator travado da torre M01</t>
  </si>
  <si>
    <t xml:space="preserve">rolamento do mancal do fuso travados, rolametos sem blindagem </t>
  </si>
  <si>
    <t xml:space="preserve">retirado a torre, pois é do projeto XJF</t>
  </si>
  <si>
    <t xml:space="preserve">Defeito deteccção de peça - NC locator em posição incorreta </t>
  </si>
  <si>
    <t xml:space="preserve">Má geometria de peça (piso traseiro)</t>
  </si>
  <si>
    <t xml:space="preserve">Substituição da peça e reinicio de ciclo</t>
  </si>
  <si>
    <t xml:space="preserve">Robôs e mesa Conjunto F</t>
  </si>
  <si>
    <t xml:space="preserve">Erro nos pontos de todos os Robôs </t>
  </si>
  <si>
    <t xml:space="preserve">Alteração de posição da mesa F0 após reparo da mesma </t>
  </si>
  <si>
    <t xml:space="preserve">Teve de ser refeito as trajetórias dos Robôs (F1, F2, F3, F4, F5, F6) e de todas a deversidas</t>
  </si>
  <si>
    <t xml:space="preserve">Mesa    </t>
  </si>
  <si>
    <t xml:space="preserve">Desarme do disjuntor de freio do motor dos rolos</t>
  </si>
  <si>
    <t xml:space="preserve">Problema na bobina de freio motor </t>
  </si>
  <si>
    <t xml:space="preserve">Realizado o rearme do disjuntor e aberto o freio para o motor rodar livre.</t>
  </si>
  <si>
    <t xml:space="preserve">Geral segurança </t>
  </si>
  <si>
    <t xml:space="preserve">Não realiza o fechamento da zona </t>
  </si>
  <si>
    <t xml:space="preserve">Após limpeza e 5s na ilha pela produção, esta gerando falha na porta de segurança da prensa C01</t>
  </si>
  <si>
    <t xml:space="preserve">Ainda em manutenção </t>
  </si>
  <si>
    <t xml:space="preserve">04012021</t>
  </si>
  <si>
    <t xml:space="preserve">Biele</t>
  </si>
  <si>
    <t xml:space="preserve">Sem comunicação com a linha de empilhadeiras Biele
</t>
  </si>
  <si>
    <t xml:space="preserve">CPU apresentou sintoma de travamento
</t>
  </si>
  <si>
    <t xml:space="preserve">Substituído a CPU por uma nova. A nova CPU é de modelo diferente e precisou ser feito o download de hardware.  Ajustado a linha para teste
</t>
  </si>
  <si>
    <t xml:space="preserve">05012021</t>
  </si>
  <si>
    <t xml:space="preserve">Estampador Biele</t>
  </si>
  <si>
    <t xml:space="preserve"> Sem informação de empilhador OK para prensa.</t>
  </si>
  <si>
    <t xml:space="preserve">Mapeamento do I/O do drive Simotion no hardware STEP7 diferente do endereço I/O no software</t>
  </si>
  <si>
    <t xml:space="preserve"> Alterado endereço no bloco de comunicação com o drive</t>
  </si>
  <si>
    <t xml:space="preserve">Robô R3</t>
  </si>
  <si>
    <t xml:space="preserve">Falha de comunicação com o clp</t>
  </si>
  <si>
    <t xml:space="preserve">Travamento do sistema controlador do robô</t>
  </si>
  <si>
    <t xml:space="preserve">Reinicializado controlador retornando com sistema corrompido. Reinstalação do sistema  por 2x devido a erros de arquivo (disquete). Restauração do backup sem as associações de código do modelo X79. Realização das associações do X79 manualmente. Corrigido valores do WorkObject do modelo X79 não restaurado com o backup</t>
  </si>
  <si>
    <t xml:space="preserve">07012021</t>
  </si>
  <si>
    <t xml:space="preserve">Falha drive </t>
  </si>
  <si>
    <t xml:space="preserve">Unidade de potencia do drive avariada</t>
  </si>
  <si>
    <t xml:space="preserve">(permanece para verificação sem peça para substituir) </t>
  </si>
  <si>
    <t xml:space="preserve">11012021</t>
  </si>
  <si>
    <t xml:space="preserve">Falha de acionamento no drive da mesa giratória</t>
  </si>
  <si>
    <t xml:space="preserve">Sistema de freio danificado</t>
  </si>
  <si>
    <t xml:space="preserve">Liberado freio manualmente, programado para 3°turno verificar o bloco retificador e parte mecânica do freio</t>
  </si>
  <si>
    <t xml:space="preserve"> Falha da garra do martelo e pega da chapa </t>
  </si>
  <si>
    <t xml:space="preserve">Erro no posicionamento de pega da chapa  </t>
  </si>
  <si>
    <t xml:space="preserve">Ajustado pega da chapa e realizado chafab </t>
  </si>
  <si>
    <t xml:space="preserve">12012021</t>
  </si>
  <si>
    <t xml:space="preserve">Esteira   </t>
  </si>
  <si>
    <t xml:space="preserve">Esteira da montadora sem movimento </t>
  </si>
  <si>
    <t xml:space="preserve">Defeito  no acionamento do freio pelo Starter  </t>
  </si>
  <si>
    <t xml:space="preserve">Alterado ligações no motor para acionamento do freio pelo módulo retificador do motor </t>
  </si>
  <si>
    <t xml:space="preserve">Robô C1 BM30 </t>
  </si>
  <si>
    <t xml:space="preserve"> Robô colidindo com a fresa e carroceria, após a troca de eletrodo. </t>
  </si>
  <si>
    <t xml:space="preserve">Falha na programação, após intervenção na parada para instalação do software equalize</t>
  </si>
  <si>
    <t xml:space="preserve">Foi corrigido a referência do tool ref pince1, (tool carregado automáticamente, após a troca de eletrodo, esse referência é para eletrodos novos, porém na alteração da parada, por algum motivo ficou com os valores antigos), foi necessário fazer ajuste do braço da pinça e eletrodos após a colisão, também foi efetuado reparo no cabo Xpince q degradou a isolação na colisão. </t>
  </si>
  <si>
    <t xml:space="preserve">13012021</t>
  </si>
  <si>
    <t xml:space="preserve"> Robô E1</t>
  </si>
  <si>
    <t xml:space="preserve">Falha no sinal de vácuo durante pega do vidro BBB</t>
  </si>
  <si>
    <t xml:space="preserve">Ventosas mal posicionadas na curvatura do vidro  </t>
  </si>
  <si>
    <t xml:space="preserve">Aproximado posição de pega em 1mm. </t>
  </si>
  <si>
    <t xml:space="preserve">14012021</t>
  </si>
  <si>
    <t xml:space="preserve"> Mesa Móvel P10</t>
  </si>
  <si>
    <t xml:space="preserve"> Falha de sobrevelocidade durante a entrada da mesa direita</t>
  </si>
  <si>
    <t xml:space="preserve">Parametrização do limite máx. de velocidade =  setpoint de velocidade.</t>
  </si>
  <si>
    <t xml:space="preserve"> Alteração do limite máx. de velocidade para + - 10% acima do setpoint máximo.</t>
  </si>
  <si>
    <t xml:space="preserve">15012021</t>
  </si>
  <si>
    <t xml:space="preserve"> PC SMPLOC 2</t>
  </si>
  <si>
    <t xml:space="preserve">Falha na inicialização do PC. </t>
  </si>
  <si>
    <t xml:space="preserve">HD com windows corrompido</t>
  </si>
  <si>
    <t xml:space="preserve">Restauração da imagem, continua em reparo </t>
  </si>
  <si>
    <t xml:space="preserve">PC Gravimetria   </t>
  </si>
  <si>
    <t xml:space="preserve">Usinagem</t>
  </si>
  <si>
    <t xml:space="preserve"> Software corrompido</t>
  </si>
  <si>
    <t xml:space="preserve">HD com arquivos corrompidos</t>
  </si>
  <si>
    <t xml:space="preserve">Reinstalação do software sem sucesso. Solicitado suporte do fornecedor. </t>
  </si>
  <si>
    <t xml:space="preserve">18012021</t>
  </si>
  <si>
    <t xml:space="preserve">PC SMPLOC1</t>
  </si>
  <si>
    <t xml:space="preserve"> HD com Windows corrompido</t>
  </si>
  <si>
    <t xml:space="preserve">Substituído fonte e HD, restaurado a imagem. </t>
  </si>
  <si>
    <t xml:space="preserve">19012021</t>
  </si>
  <si>
    <t xml:space="preserve">Falha na inicialização do sistema. </t>
  </si>
  <si>
    <t xml:space="preserve">Erro na rede profisafe e disjuntores dos drives desligados.</t>
  </si>
  <si>
    <t xml:space="preserve">Religado disjuntores e reinicializado sistema. </t>
  </si>
  <si>
    <t xml:space="preserve">Transportador Montadora </t>
  </si>
  <si>
    <t xml:space="preserve">Perda de ciclo na sequência de entrada na esteira montadora</t>
  </si>
  <si>
    <t xml:space="preserve">Acionamento intermitente do sensor do aparador entrada de pneus.</t>
  </si>
  <si>
    <t xml:space="preserve">Substituido sensor indutivo</t>
  </si>
  <si>
    <t xml:space="preserve">Robô F1 </t>
  </si>
  <si>
    <t xml:space="preserve">Falha geral na alimentação 24V do painel Z1ZB. </t>
  </si>
  <si>
    <t xml:space="preserve">Fonte 24V queimada após infiltração de água durante a troca de eletrodos.</t>
  </si>
  <si>
    <t xml:space="preserve">Substituido fonte e recolocado em ciclo a ilha.</t>
  </si>
  <si>
    <t xml:space="preserve">20012021</t>
  </si>
  <si>
    <t xml:space="preserve"> Elevador de portas </t>
  </si>
  <si>
    <t xml:space="preserve"> Sem falhas na IHM, contator RLV não liga. </t>
  </si>
  <si>
    <t xml:space="preserve">Falta da feedback do contator auxiliar RLV2 .</t>
  </si>
  <si>
    <t xml:space="preserve">Substituição do contator</t>
  </si>
  <si>
    <t xml:space="preserve"> OP290</t>
  </si>
  <si>
    <t xml:space="preserve">Falha 270 no sequenciador FC103. Sem condições para retornar a posição inicial. Pc de rastreabilidade sem comunicação, WinCC com licença corrompida. </t>
  </si>
  <si>
    <t xml:space="preserve">Perda de memórias não retentivas de tipo produzido. Step7 - Bloco de gestão do Balog travado. (Oscilação tensão)</t>
  </si>
  <si>
    <t xml:space="preserve">Setado tipo Exportação manualmente, reset do bloco de gestão do balog, corrigido sensor do aparador 6 recuado. Inserido licença do WinCC. </t>
  </si>
  <si>
    <t xml:space="preserve">Travamento do martelo e quebra das guias laterais </t>
  </si>
  <si>
    <t xml:space="preserve">Quebra dos parafusos do cardam </t>
  </si>
  <si>
    <t xml:space="preserve">Substituição das guias e alinhamento do martelo </t>
  </si>
  <si>
    <t xml:space="preserve">21012021</t>
  </si>
  <si>
    <t xml:space="preserve">Geral </t>
  </si>
  <si>
    <t xml:space="preserve"> Falha Profinet em todas as operações da linha</t>
  </si>
  <si>
    <t xml:space="preserve"> Em análise, fluxo alto de dados e pacotes perdidos resultantes da configuração da rede em redundância Anel</t>
  </si>
  <si>
    <t xml:space="preserve">Isolado Switch Scalance da rede Anel da operação UET2</t>
  </si>
  <si>
    <t xml:space="preserve">Robô M5 </t>
  </si>
  <si>
    <t xml:space="preserve">Robô M5 sem solda ativa durante trajetória</t>
  </si>
  <si>
    <t xml:space="preserve"> Erro de calibração da servogun</t>
  </si>
  <si>
    <t xml:space="preserve">Reinicializado robô e recalibrado servo gun</t>
  </si>
  <si>
    <t xml:space="preserve">22012021</t>
  </si>
  <si>
    <t xml:space="preserve">op80 </t>
  </si>
  <si>
    <t xml:space="preserve">Falha no motor do eixo X</t>
  </si>
  <si>
    <t xml:space="preserve">Servo motor queimado</t>
  </si>
  <si>
    <t xml:space="preserve">Substituição do servo motor por outro com caracteristicas similares.</t>
  </si>
  <si>
    <t xml:space="preserve">Martelo</t>
  </si>
  <si>
    <t xml:space="preserve">Encoder de posição do Martelo para repuxo sem retorno. </t>
  </si>
  <si>
    <t xml:space="preserve"> Encoder danificado</t>
  </si>
  <si>
    <t xml:space="preserve">Substituição do encoder</t>
  </si>
  <si>
    <t xml:space="preserve">Elevador M01 </t>
  </si>
  <si>
    <t xml:space="preserve">Elevador parou na posição do fim de curso do limite superior </t>
  </si>
  <si>
    <t xml:space="preserve">Entrou em segurança no Safety do Drive, isso ocorreu após alteração de velocidade nos parâmetros, porém não era para estar ativo esta condição de safety</t>
  </si>
  <si>
    <t xml:space="preserve"> Realizado a correção do programa do drive, desabilitando a função safety e realizado o reset do drivebox</t>
  </si>
  <si>
    <t xml:space="preserve"> Robô R0 </t>
  </si>
  <si>
    <t xml:space="preserve"> Falha de sistema,  Perda de calibração da Servo gun. </t>
  </si>
  <si>
    <t xml:space="preserve"> Mau contato no cabo de interligação  do controlador com a SMB. </t>
  </si>
  <si>
    <t xml:space="preserve">Substituição do cabo SMB. </t>
  </si>
  <si>
    <t xml:space="preserve"> Mesa 20/rolos 21 </t>
  </si>
  <si>
    <t xml:space="preserve">Mesa 20 parada</t>
  </si>
  <si>
    <t xml:space="preserve">Problema no freio do motor de  translação</t>
  </si>
  <si>
    <t xml:space="preserve">Ajuste do freio e recolocação em ciclo </t>
  </si>
  <si>
    <t xml:space="preserve"> Robô J3 </t>
  </si>
  <si>
    <t xml:space="preserve">Def. Comunicação com placa SMB UAR_RF2_RBJ3. </t>
  </si>
  <si>
    <t xml:space="preserve">Realizado limpeza dos cabos e conexão em ambas as pontas e realizado a calibração da servo gun e do eixo 6 (Atualização de posição), após isso verificado na referência e acompanhado o processo. </t>
  </si>
  <si>
    <t xml:space="preserve">27012021</t>
  </si>
  <si>
    <t xml:space="preserve"> Prensa de suporte pendular </t>
  </si>
  <si>
    <t xml:space="preserve"> Gerando erro no drive e perda de comunicação </t>
  </si>
  <si>
    <t xml:space="preserve">tensão de comando estava com 20,3V </t>
  </si>
  <si>
    <t xml:space="preserve"> ajustado a tensão da fonte em 25V </t>
  </si>
  <si>
    <t xml:space="preserve">28012021</t>
  </si>
  <si>
    <t xml:space="preserve"> Elevador</t>
  </si>
  <si>
    <t xml:space="preserve"> Sem liberação da cadeia de segurança</t>
  </si>
  <si>
    <t xml:space="preserve">em análise.</t>
  </si>
  <si>
    <t xml:space="preserve"> descarregado backup do clp sick </t>
  </si>
  <si>
    <t xml:space="preserve">UAV - Zona 4 </t>
  </si>
  <si>
    <t xml:space="preserve">Falha na cadeia de segurança. Cartão de FDO com falha</t>
  </si>
  <si>
    <t xml:space="preserve">Curto no cabo de alimentação do contator. Havia sido modificado o ponto de alimentação, anteriormente saia do MDB e foi modificado para o SDB.  </t>
  </si>
  <si>
    <t xml:space="preserve"> Substituido o cartão FDO que queimou. Substituido o contator e passado cabo de alimentação e troca de sinais por fora do painel para verificação. </t>
  </si>
  <si>
    <t xml:space="preserve"> Falha de comunicação com o PSF.</t>
  </si>
  <si>
    <t xml:space="preserve">Travamento do ponto de comunicação PSF.  </t>
  </si>
  <si>
    <t xml:space="preserve">Reiniciado o serviço do PSF.</t>
  </si>
  <si>
    <t xml:space="preserve">01022021</t>
  </si>
  <si>
    <t xml:space="preserve">Montadora  </t>
  </si>
  <si>
    <t xml:space="preserve">Falha fonte de alimentação dos drives</t>
  </si>
  <si>
    <t xml:space="preserve">Ainda em análise </t>
  </si>
  <si>
    <t xml:space="preserve">Permanece intervenção</t>
  </si>
  <si>
    <t xml:space="preserve">Portal OP28</t>
  </si>
  <si>
    <t xml:space="preserve">Falta sinal presença de virabrequim, e falha de sinal freio eixo Z  </t>
  </si>
  <si>
    <t xml:space="preserve">Y derivação de sinal incorreto (substituição preventiva em toda linha) </t>
  </si>
  <si>
    <t xml:space="preserve">Substituição do Y derivação de sinal, e ajuste sensor freio do eixo Z  </t>
  </si>
  <si>
    <t xml:space="preserve">OP550 Robo</t>
  </si>
  <si>
    <t xml:space="preserve">Programa inexistente</t>
  </si>
  <si>
    <t xml:space="preserve"> Inexistência da Rotina no Robô e chamada da mesma pelo PLC  </t>
  </si>
  <si>
    <t xml:space="preserve"> Verificação e cancelamento da chamada da rotina pelo PLC</t>
  </si>
  <si>
    <t xml:space="preserve">OP120 </t>
  </si>
  <si>
    <t xml:space="preserve">Erro de posicionamento da cabeça de gravação Sick </t>
  </si>
  <si>
    <t xml:space="preserve">posição incorreta do gravador </t>
  </si>
  <si>
    <t xml:space="preserve">efetuado posicionamento do Mesmo  </t>
  </si>
  <si>
    <t xml:space="preserve">Banco a Frio AVL </t>
  </si>
  <si>
    <t xml:space="preserve">Erro de comunicação do PC AVL com o PC Banco de Dados (Ambra) </t>
  </si>
  <si>
    <t xml:space="preserve">Falha no HD do disco RAID</t>
  </si>
  <si>
    <t xml:space="preserve">Retirada do mesmo e restart do PC</t>
  </si>
  <si>
    <t xml:space="preserve">Falha fonte de alimentação dos drives / Problema no drive de giro na montadora </t>
  </si>
  <si>
    <t xml:space="preserve">Curto circuito no barramento BUS do drive </t>
  </si>
  <si>
    <t xml:space="preserve">Realizado reparo da fonte  e substituído o módulo (emprestado da CMO) 
Liberado a máquina em automático e recalado com PSF as 19:40, foi acompanhado até as 21h</t>
  </si>
  <si>
    <t xml:space="preserve">03022021</t>
  </si>
  <si>
    <t xml:space="preserve">OP232.1 Nagel</t>
  </si>
  <si>
    <t xml:space="preserve">Maquina não inicia aplicação IHM e não libera comando </t>
  </si>
  <si>
    <t xml:space="preserve">Arquivos de configuração TWINCAT corrompidos  </t>
  </si>
  <si>
    <t xml:space="preserve">Descarregamento de configurações do TWINCAT via gerenciador  pelo proprio fabricante da maquina </t>
  </si>
  <si>
    <t xml:space="preserve">OP120 Mecalix Robô</t>
  </si>
  <si>
    <t xml:space="preserve">Posição de gravação incorreta para Garra 1</t>
  </si>
  <si>
    <t xml:space="preserve">Robô parando em posição incorreta </t>
  </si>
  <si>
    <t xml:space="preserve"> Correção do ponto de gravação da garra 1 </t>
  </si>
  <si>
    <t xml:space="preserve">(Balanceles de laterais)</t>
  </si>
  <si>
    <t xml:space="preserve">Frame do transportador aéreo ultrapassando a posição </t>
  </si>
  <si>
    <t xml:space="preserve">Batente 15 abrindo antes do descarregamento do batente 14 - Bit de bloqueio na memória de reset de trânsito</t>
  </si>
  <si>
    <t xml:space="preserve"> Correção da lógica de reset de trânsito </t>
  </si>
  <si>
    <t xml:space="preserve">ILHA CROSS CARBIN  </t>
  </si>
  <si>
    <t xml:space="preserve">Não estava entrando em ciclo automático</t>
  </si>
  <si>
    <t xml:space="preserve"> Curto circuito em sensor na máquina </t>
  </si>
  <si>
    <t xml:space="preserve">Realizado a substituição do sensor AO21DPP13 </t>
  </si>
  <si>
    <t xml:space="preserve">  Potal da OP10</t>
  </si>
  <si>
    <t xml:space="preserve">Perda de posicionamento do portal em relação as máquinas </t>
  </si>
  <si>
    <t xml:space="preserve">Ocorreu erro no eixo Z22 e após isso foi realizado reset geral (que ocasionou perda de referência) </t>
  </si>
  <si>
    <t xml:space="preserve">Verificado posição "0" do eixo Z22, perdeu o referenciamento. Foi realizado o Zeramento da posição do eixo</t>
  </si>
  <si>
    <t xml:space="preserve">04022021</t>
  </si>
  <si>
    <t xml:space="preserve">Esteira principal</t>
  </si>
  <si>
    <t xml:space="preserve">CPU em System Fault</t>
  </si>
  <si>
    <t xml:space="preserve"> Cartão de entrada em curto-circuito </t>
  </si>
  <si>
    <t xml:space="preserve"> Substiuição do cartão DI </t>
  </si>
  <si>
    <t xml:space="preserve">05022021</t>
  </si>
  <si>
    <t xml:space="preserve"> PEV (Estático 1 e 2)</t>
  </si>
  <si>
    <t xml:space="preserve">  Falha na comunicação HDT´s com as estações   </t>
  </si>
  <si>
    <t xml:space="preserve"> Travamento comunicação com sistema ECOS </t>
  </si>
  <si>
    <t xml:space="preserve">Reinicialização estações "Estático 1"  e "Estático 2"  </t>
  </si>
  <si>
    <t xml:space="preserve">Prensa P53</t>
  </si>
  <si>
    <t xml:space="preserve"> Falta 24V alimentação</t>
  </si>
  <si>
    <t xml:space="preserve">  Garra 1 do martelo em curto</t>
  </si>
  <si>
    <t xml:space="preserve"> Isolação do curto circuito e troca da garra no intervalo do café. </t>
  </si>
  <si>
    <t xml:space="preserve">08022021</t>
  </si>
  <si>
    <t xml:space="preserve">Dobradora de Tubos 1  </t>
  </si>
  <si>
    <t xml:space="preserve">Falha externa drive eixo 0 </t>
  </si>
  <si>
    <t xml:space="preserve"> Drive de controle do eixo avariado  - Possível sujeira/humidade na placa da CU (após limpeza com limpa contatos, drive funcionou corretamente na dobradora 2) </t>
  </si>
  <si>
    <t xml:space="preserve"> Utilização do drive da dobradora 2 </t>
  </si>
  <si>
    <t xml:space="preserve">09022021</t>
  </si>
  <si>
    <t xml:space="preserve">Não finaliza o teste Falha Whatch 308 </t>
  </si>
  <si>
    <t xml:space="preserve">Em analise - aguardando acesso remoto do fornecedor</t>
  </si>
  <si>
    <t xml:space="preserve">17022021</t>
  </si>
  <si>
    <t xml:space="preserve">Operação 310 </t>
  </si>
  <si>
    <t xml:space="preserve">Alimentador Sede admissão não inicia (Alarme posicionador 2) </t>
  </si>
  <si>
    <t xml:space="preserve"> Mau contato conector dos sensor I20.4 cilindro posicionador 2 Recuado </t>
  </si>
  <si>
    <t xml:space="preserve">Seguimento MRHD, Desmontagem e remontagem conector do sensor do cilindro</t>
  </si>
  <si>
    <t xml:space="preserve">Operação 15</t>
  </si>
  <si>
    <t xml:space="preserve">Maquina não Starta falta liberação da trava Euchner da Lavadora</t>
  </si>
  <si>
    <t xml:space="preserve">Falha circuito da trava - Defeito de componente </t>
  </si>
  <si>
    <t xml:space="preserve">Substituição e codificação da nova trava    </t>
  </si>
  <si>
    <t xml:space="preserve">Gestor de Fluxo</t>
  </si>
  <si>
    <t xml:space="preserve">Descarregou X62 na Linha do U79 </t>
  </si>
  <si>
    <t xml:space="preserve">Filme antigo com mesmo PJI presente na base - Periodicidade da rotina de limpeza do banco de dados inadequada </t>
  </si>
  <si>
    <t xml:space="preserve">Feita a limpeza do banco de dados, carregamento manual dos filmes, restrições, mapa do móvel e bloqueios</t>
  </si>
  <si>
    <t xml:space="preserve">A0</t>
  </si>
  <si>
    <t xml:space="preserve">Não realizou a finalização do movimento do abatan durante a fresagem de eletrodo </t>
  </si>
  <si>
    <t xml:space="preserve">Falha no sensor de posição, porém após isso gerou erro também em trajetórias, não deixando realizar movimento automático e sim manual passo a passo </t>
  </si>
  <si>
    <t xml:space="preserve">Foi ajustado o sensor do abatan; 
 Realizado um B-Start no robo; 
 Realizado reset do controlador bosch, devido não estar chegando sinal do Init </t>
  </si>
  <si>
    <t xml:space="preserve">18022021</t>
  </si>
  <si>
    <t xml:space="preserve">OP220 CC1</t>
  </si>
  <si>
    <t xml:space="preserve">Falha de supervisão de movimento eixo 5   </t>
  </si>
  <si>
    <t xml:space="preserve"> Falta de oleo lubrificante na caixa de engrenagens do eixo 5 </t>
  </si>
  <si>
    <t xml:space="preserve"> Preenchido a caixa redutora com óleo  </t>
  </si>
  <si>
    <t xml:space="preserve">TUCA</t>
  </si>
  <si>
    <t xml:space="preserve"> Perda de sinal para posição de subida após o descarregamento da peça, depois gerou perda de sinal para descida no descarregamento da peça </t>
  </si>
  <si>
    <t xml:space="preserve">Ainda em análise. Foi iniciado as verificações de possíveis erros nas trocas de sinais do sistema de  wi-fi e troca de informações, verificação e monitoramento da tensão 24V de segurança. </t>
  </si>
  <si>
    <t xml:space="preserve"> Realizado movimentações manuais, realizado o reset da remota; 
Colocado o degradado para funcionar, porém na curva danificou o troller e abriu o barramento, (corrigido em horário de janta). </t>
  </si>
  <si>
    <t xml:space="preserve"> Elevador de Portas Direito  </t>
  </si>
  <si>
    <t xml:space="preserve">Elevador só funciona em baixa velocidade  </t>
  </si>
  <si>
    <t xml:space="preserve">Falta acionamento do contator de alta (problema no contator) - Componente eletrônico em fim de vida útil  </t>
  </si>
  <si>
    <t xml:space="preserve">Subsituição do contactor  </t>
  </si>
  <si>
    <t xml:space="preserve">Elevador de Saída PO4 </t>
  </si>
  <si>
    <t xml:space="preserve">Parada de comando do balancele no transito  de entrada no Elevador ( e avanço balancele posterior com balancele ainda em transito) </t>
  </si>
  <si>
    <t xml:space="preserve"> Perda de comando no Trecho (cabo rompido), e empurrado balancele de trás retirando do sensor de parada esteira PO4 - Cabo mau higienizado </t>
  </si>
  <si>
    <t xml:space="preserve">Posicionamento proximo balancele que passou da posição e reparo do cabo de comando do trecho. </t>
  </si>
  <si>
    <t xml:space="preserve">22022021</t>
  </si>
  <si>
    <t xml:space="preserve">AGV´s Kit preparação Cock pit</t>
  </si>
  <si>
    <t xml:space="preserve">start</t>
  </si>
  <si>
    <t xml:space="preserve">AGVs com baterias descarregadas </t>
  </si>
  <si>
    <t xml:space="preserve">AGV´s não foram desligados no fim da produção de sabado</t>
  </si>
  <si>
    <t xml:space="preserve">Posiocionamento dos carrinhos e AGVs manualmente  </t>
  </si>
  <si>
    <t xml:space="preserve">Elevador de enrada  </t>
  </si>
  <si>
    <t xml:space="preserve">perda de sinald e rede profinet  </t>
  </si>
  <si>
    <t xml:space="preserve">problema de conexão no drivebox e cabos com problema. -  Adaptador RJ45-M12 do drivebox quebrado. Encontrado cabos de sensores esmagados causando curto e perda do 24V</t>
  </si>
  <si>
    <t xml:space="preserve">Subsituição do conector e dos cabos.</t>
  </si>
  <si>
    <t xml:space="preserve">Pinça PTM0023</t>
  </si>
  <si>
    <t xml:space="preserve">Fuga de corrente pelo braço da pinça. - fuga de corrente na buça da pinça com o eletrodo. </t>
  </si>
  <si>
    <t xml:space="preserve">Substituição do sistema de refrigeração da pinça para teste. Rodando em degradado. </t>
  </si>
  <si>
    <t xml:space="preserve">23022021</t>
  </si>
  <si>
    <t xml:space="preserve">Pinça PTM0023 </t>
  </si>
  <si>
    <t xml:space="preserve">Falha de solda </t>
  </si>
  <si>
    <t xml:space="preserve">Fuga de corrente pelo braço da pinça. - fuga de corrente entre braço e bucha de fixação do porta eletrodo. </t>
  </si>
  <si>
    <t xml:space="preserve">Adaptação de prolongador e retorno do degradado no intervalo do almoço. </t>
  </si>
  <si>
    <t xml:space="preserve">Mesa 32/ Mesa 05</t>
  </si>
  <si>
    <t xml:space="preserve">Defeito resposta PSF </t>
  </si>
  <si>
    <t xml:space="preserve">Comunicação travada mesa 31  -  Travamento do processo de comunicação do PSF </t>
  </si>
  <si>
    <t xml:space="preserve">Reset dos processos PSF pela informática </t>
  </si>
  <si>
    <t xml:space="preserve">OP 60</t>
  </si>
  <si>
    <t xml:space="preserve">Falha no transporte </t>
  </si>
  <si>
    <t xml:space="preserve">sem comunicação com os módulos  - Cartão CP com defeito </t>
  </si>
  <si>
    <t xml:space="preserve">Substituição do cartão CP. Após a lubstituição foi descarregado uma configuração de hardware incompatvel, foi necessário fazer um download de uma versão anterior com os parametros de configuração corretos</t>
  </si>
  <si>
    <t xml:space="preserve">MESA 2</t>
  </si>
  <si>
    <t xml:space="preserve">  Falha no inversor de frequencia da mesa (SCF) </t>
  </si>
  <si>
    <t xml:space="preserve">Curto circuito no cabo que vai da caixa de distribuição até o motor da mesa </t>
  </si>
  <si>
    <t xml:space="preserve">Será programado no 3º turno a substituição deste trecho do cabo da mesa elevatória. </t>
  </si>
  <si>
    <t xml:space="preserve">24022021</t>
  </si>
  <si>
    <t xml:space="preserve">Posto 110 Lavadora</t>
  </si>
  <si>
    <t xml:space="preserve"> Maquina não liga</t>
  </si>
  <si>
    <t xml:space="preserve"> Disjuntor proteção bomba de reciclo de desarmado - Possível sobrecarga na bomba (em acompanhamento) </t>
  </si>
  <si>
    <t xml:space="preserve"> Ilha de robôs de fusão</t>
  </si>
  <si>
    <t xml:space="preserve">Ilha parada, sem alarmes e sem possibilidade de Reset </t>
  </si>
  <si>
    <t xml:space="preserve">Travamento da CPU </t>
  </si>
  <si>
    <t xml:space="preserve">Realizado reset da CPU</t>
  </si>
  <si>
    <t xml:space="preserve">01032021</t>
  </si>
  <si>
    <t xml:space="preserve">Talha Tuca  </t>
  </si>
  <si>
    <t xml:space="preserve">Falta descida da talha para carregamento da peça  </t>
  </si>
  <si>
    <t xml:space="preserve"> SKID entrou na linha em modo devervinagem  - Trabalhos de final de semana engenharia </t>
  </si>
  <si>
    <t xml:space="preserve">Copiado informações do outro piso para seguimento da sequencia.    </t>
  </si>
  <si>
    <t xml:space="preserve">Tipo incorreto roda</t>
  </si>
  <si>
    <t xml:space="preserve">Modelo de roda incorreta após recalagem - Memória não zerada </t>
  </si>
  <si>
    <t xml:space="preserve"> Retirada da roda e zeramento das memórias e resincronismo</t>
  </si>
  <si>
    <t xml:space="preserve">Falha comunicação Ethernet com PSF, problema no retorno comunicação  </t>
  </si>
  <si>
    <t xml:space="preserve"> Demora retorno resposta comunicação, lógica incorreta dificultando retorno comunicação - Demora retorno comunicação PSF   </t>
  </si>
  <si>
    <t xml:space="preserve">Colocação do posto em degradado e rodado todo dia 01/03 (02/03 modificação bloco controle comunicação OP1 FB111 linhas 12, 17 e 18 </t>
  </si>
  <si>
    <t xml:space="preserve">Robô K4  </t>
  </si>
  <si>
    <t xml:space="preserve">Falha profinet nos robôs K4 e K5  </t>
  </si>
  <si>
    <t xml:space="preserve">Mau contato ou travamento nos pinos do trocador com gripper K31  - Degradação dos pinos do trocador referente a comunicação profinet </t>
  </si>
  <si>
    <t xml:space="preserve">Desacoplado trocador e realizado limpeza nos pinos profinet. </t>
  </si>
  <si>
    <t xml:space="preserve">Mesa E0 </t>
  </si>
  <si>
    <t xml:space="preserve">Desarme intermitente disjuntor CP10391</t>
  </si>
  <si>
    <t xml:space="preserve"> Defeito de alimentação 24V (baixa tensão) - Cabo de alimentação do freio do plateu em curto    </t>
  </si>
  <si>
    <t xml:space="preserve"> Desligado o cabo do plateu (Não esta sendo utilizado, projetos futuros). Será trocado o cabo. </t>
  </si>
  <si>
    <t xml:space="preserve">03032021</t>
  </si>
  <si>
    <t xml:space="preserve"> Talha </t>
  </si>
  <si>
    <t xml:space="preserve">Talha UAV não comprou peça  </t>
  </si>
  <si>
    <t xml:space="preserve"> Falha na detecção do batente </t>
  </si>
  <si>
    <t xml:space="preserve">Feito movimentação em manual da esteira UAV. Após liberação faltou condição de zona (Confirmação de envio de peça fabricação). Foi liberado skid para operação mesmo sem memoria, causando uma divergencia com o psf. Foi reajustado os dados psf e as codições de liberação de trabalho automatico. </t>
  </si>
  <si>
    <t xml:space="preserve">04032021</t>
  </si>
  <si>
    <t xml:space="preserve">OP310-2 Robo </t>
  </si>
  <si>
    <t xml:space="preserve">Perda de calibração dos eixos e Robo não libera movimento </t>
  </si>
  <si>
    <t xml:space="preserve"> Bateria de backup ruim, e Falhas na ilha impedem movimento -  Bateria de backup vida util atingida </t>
  </si>
  <si>
    <t xml:space="preserve">Atualização dos contadores de revolução dos eixos e restabelecimento da celula, fixação feixe de cabos do robo que estava solto no suporte.  </t>
  </si>
  <si>
    <t xml:space="preserve">Mesa T08</t>
  </si>
  <si>
    <t xml:space="preserve">T05 Rolos - Tempo de descarga excedido </t>
  </si>
  <si>
    <t xml:space="preserve">Mesa T08 com falsa presença de skid - Sensor de presença da mesa T08 com limalha de ferro, causando falso acionamento da presença </t>
  </si>
  <si>
    <t xml:space="preserve"> Efetuado a limpeza do sensor e ajustado a sequência da linha. </t>
  </si>
  <si>
    <t xml:space="preserve">05032021</t>
  </si>
  <si>
    <t xml:space="preserve">Acostagem / Circuito Aéreo</t>
  </si>
  <si>
    <t xml:space="preserve"> Falha na acostagem e liberação do balancele sem realização da acostagem </t>
  </si>
  <si>
    <t xml:space="preserve"> Interferencia mecanica carro com a base portese e fim de trabalho sem condições. 
Causa Raiz:  Interferencia mecanica carro com a base portese e falha de lógica liberação  </t>
  </si>
  <si>
    <t xml:space="preserve">Posicionamento manual da base portese, mas houve liberação do balancele sem travar a base na carroceria (inserido condições na lógica para impedir a liberação sem a acostagem finalizada).  </t>
  </si>
  <si>
    <t xml:space="preserve"> Mesa Kitting </t>
  </si>
  <si>
    <t xml:space="preserve">Falha na parada da balsa</t>
  </si>
  <si>
    <t xml:space="preserve"> Falha 30002 DC link voltage overvoltage. - Tempo da rampa de desaceleração muito baixa   </t>
  </si>
  <si>
    <t xml:space="preserve"> Verificação da instalação e aumentado rampa de desaceleração e 1 para 1,5s.  </t>
  </si>
  <si>
    <t xml:space="preserve">Mesa A0 - Locator 07</t>
  </si>
  <si>
    <t xml:space="preserve">A0 def. PMiA1 Falha Geral loc  </t>
  </si>
  <si>
    <t xml:space="preserve"> falha na liberação de freio do locator 07 - Cabo de acionamento do freio estava rompido.  </t>
  </si>
  <si>
    <t xml:space="preserve"> Verificado cabo de comunicação com encoder; verificado travamento mecânico ; verificação dos relês de acionamento de freio; substituido servo motor; efetuado a troca de cabos entre o locator 06 e 07, verificado que a falha migrou , foi verificado todos os cabos de conexão do locator 07; Reparado o cabo do lcoator, foi necessário fazer a calibração dos eixos e colocar a celula em funcionamento.  </t>
  </si>
  <si>
    <t xml:space="preserve"> CTA saída de Ar Estufas</t>
  </si>
  <si>
    <t xml:space="preserve">Não ligava o aquecedor, falha gerando (erro 28)  </t>
  </si>
  <si>
    <t xml:space="preserve"> Problemas na ignição das chamas na partida do queimador 
Causa Raiz:   Vela de ignição danificada, não gerando chama de partida </t>
  </si>
  <si>
    <t xml:space="preserve"> Substituída a vela de ignição</t>
  </si>
  <si>
    <t xml:space="preserve">09032021</t>
  </si>
  <si>
    <t xml:space="preserve">Prensa PTAV </t>
  </si>
  <si>
    <t xml:space="preserve">Prensa não rearma</t>
  </si>
  <si>
    <t xml:space="preserve">Falta sinal gaveta para liberação de posicionamento do Drive - Prescionado emergencia em outro posto   </t>
  </si>
  <si>
    <t xml:space="preserve">Acionamento do sensor e recolocação da operação em ciclo</t>
  </si>
  <si>
    <t xml:space="preserve">Posto 15 Bavolet </t>
  </si>
  <si>
    <t xml:space="preserve">  Queda plataforma de trabalho elevatória Bavolet </t>
  </si>
  <si>
    <t xml:space="preserve">Quebra do eixo transmissão movimento para as correias - Eixo muito frágil (concepção incorreta)  </t>
  </si>
  <si>
    <t xml:space="preserve"> Desmontagem e substituição do eixo quebrado</t>
  </si>
  <si>
    <t xml:space="preserve">10032021</t>
  </si>
  <si>
    <t xml:space="preserve">Robo RX3</t>
  </si>
  <si>
    <t xml:space="preserve">Faltam condiçoes para rodar a linha </t>
  </si>
  <si>
    <t xml:space="preserve"> Robo RX3 não liga KPC queimada - Solda de molde na prensa P13 ocasionando a queima do KPC e perda de configurações modulos profinet.</t>
  </si>
  <si>
    <t xml:space="preserve">Reconfigurado modulos Profinet escravos do Robo e Substituição do KPC do Robo.   </t>
  </si>
  <si>
    <t xml:space="preserve">Cabine Verniz</t>
  </si>
  <si>
    <t xml:space="preserve">Carroceria incorretas na Fifo</t>
  </si>
  <si>
    <t xml:space="preserve">Diferença entre carros na fifo e carrocerias no acumulo - Quebra de sequencia Fifo base segundo turno 09/03 </t>
  </si>
  <si>
    <t xml:space="preserve"> Bloqueio de descarregamento da fifo para o ajuste da sequencia correta.   </t>
  </si>
  <si>
    <t xml:space="preserve">Robo Bavolet Dir  </t>
  </si>
  <si>
    <t xml:space="preserve">Falha no movimento do Robo para aplicação </t>
  </si>
  <si>
    <t xml:space="preserve"> Falha de seguimento eixo 4 robo - Realização MRHD para seguimento problema </t>
  </si>
  <si>
    <t xml:space="preserve">Verificação dos cabos e substituição da placa loop de corrente da SAU2.   </t>
  </si>
  <si>
    <t xml:space="preserve">12032021</t>
  </si>
  <si>
    <t xml:space="preserve">plc tabela FIFO</t>
  </si>
  <si>
    <t xml:space="preserve">Defeito FIFO mesa 03  </t>
  </si>
  <si>
    <t xml:space="preserve">falha na sequência da fifo - Zipado 3 carrocerias na mesa 03 </t>
  </si>
  <si>
    <t xml:space="preserve">Zerado as fifos da cabine preparação, base e verniz</t>
  </si>
  <si>
    <t xml:space="preserve"> Prensa de rolamentos A0 </t>
  </si>
  <si>
    <t xml:space="preserve">Travou o eixo na inserção do rolamento do XBBB </t>
  </si>
  <si>
    <t xml:space="preserve"> Desgaste na trava que fixa posição do eixo na prensagem - Bucha de bronze na fixação da trava estava desalinhada com o canal do eixo </t>
  </si>
  <si>
    <t xml:space="preserve">está sendo verificada e vendo a possibilidade de ajustar a bucha ao eixo. </t>
  </si>
  <si>
    <t xml:space="preserve"> Robô R1</t>
  </si>
  <si>
    <t xml:space="preserve">Faha intermitente "run chain"</t>
  </si>
  <si>
    <t xml:space="preserve"> Sobre carga no robô</t>
  </si>
  <si>
    <t xml:space="preserve">Verificado que a proteção de limpeza do robô estava muito tensionada. Removido a proteção e acompanhado a o funcionamento da linha. </t>
  </si>
  <si>
    <t xml:space="preserve"> Lavadora 310 </t>
  </si>
  <si>
    <t xml:space="preserve">Mesa de giro parou fora de posição </t>
  </si>
  <si>
    <t xml:space="preserve">Falha no sinais de entrada da maquina - Distribuidor de sinais sem nenhum status e falha no contator motor do carro da mesa  </t>
  </si>
  <si>
    <t xml:space="preserve">Verificado que o distribuidor estava com os sinais travadaos, efetuado um deligamento/religamento do distribuidor. Encontrado contator em curto circuito em uma das alimentações, substituido o contator</t>
  </si>
  <si>
    <t xml:space="preserve">Falha no sistema do robô - Sistema corrompido </t>
  </si>
  <si>
    <t xml:space="preserve"> Apagado sistema do robô e criado sistema novo. </t>
  </si>
  <si>
    <t xml:space="preserve">cabo profinet, alimentação e sinais da camera rompidos. </t>
  </si>
  <si>
    <t xml:space="preserve">cabos e mangueiras mal higienizadas com sobra, enroscou na carroceria - feito trabalho no horário do café</t>
  </si>
  <si>
    <t xml:space="preserve">Efetuado emenda dos cabos de alimentação e dados, profinet NOK, foi deixado rodando em automático sem correção do offset, até o terceiro turno, validado com a fabricação. </t>
  </si>
  <si>
    <t xml:space="preserve">TANQUE ZONA 7</t>
  </si>
  <si>
    <t xml:space="preserve">Carroceria sem destino no tanque zona 7 </t>
  </si>
  <si>
    <t xml:space="preserve">Navete passou direto para a zona 8, perdeu o ciclo de funcionamento e ficou dessincronizada com ciclo do processo da zona 7 para trás -  Sensor de posição do navete queimou </t>
  </si>
  <si>
    <t xml:space="preserve"> Substituído o sensor. Durante a substituição foi feito manobra em manual causando a perda de sequencia. Ajustado o ciclo de funcionamento   </t>
  </si>
  <si>
    <t xml:space="preserve">P12</t>
  </si>
  <si>
    <t xml:space="preserve"> Falha no sistema de segurança PILZ</t>
  </si>
  <si>
    <t xml:space="preserve">Mau contato no primeiro módulo após a CPU, derrubava a rede de segurança - Vibração no painel </t>
  </si>
  <si>
    <t xml:space="preserve"> Desconectado módulo e conectado novamente. </t>
  </si>
  <si>
    <t xml:space="preserve">PC72</t>
  </si>
  <si>
    <t xml:space="preserve">Falha na comunicação com PEV</t>
  </si>
  <si>
    <t xml:space="preserve">PSF OFFline - Firewall habilitado</t>
  </si>
  <si>
    <t xml:space="preserve">Desabilitado firewall do PC.</t>
  </si>
  <si>
    <t xml:space="preserve">Falha no sistema de segurança PILZ </t>
  </si>
  <si>
    <t xml:space="preserve">Mau contato no primeiro módulo após a CPU, derrubava a rede de segurança - Vibração no painel</t>
  </si>
  <si>
    <t xml:space="preserve">Desconectado módulo e conectado novamente. </t>
  </si>
  <si>
    <t xml:space="preserve">17032021</t>
  </si>
  <si>
    <t xml:space="preserve">Paralelismo 2 </t>
  </si>
  <si>
    <t xml:space="preserve"> Falha no nivelometro</t>
  </si>
  <si>
    <t xml:space="preserve">nivelometro com defeito </t>
  </si>
  <si>
    <t xml:space="preserve"> substituido o nivelometro, feito as calibrações e relançado o sistema </t>
  </si>
  <si>
    <t xml:space="preserve">MOP de controle </t>
  </si>
  <si>
    <t xml:space="preserve">ROBO FORA PROD. (Pane geral na CPU do MOP) </t>
  </si>
  <si>
    <t xml:space="preserve">defeito de hardware -  Falha de PANIC BLINK na CPU SIEMENS  DO MOP que controla toda a ilha UAV. </t>
  </si>
  <si>
    <t xml:space="preserve">Tentado reiniciar a CPU. Substituido o cartão da cpu mas sem sucesso. Desligado todo o sistema e retornado ao cartão original, com isso a CPU retornou a funcionar mas perdeu todas as memorias do processo. Ajustado todas as memorias da celula.  </t>
  </si>
  <si>
    <t xml:space="preserve">18032021</t>
  </si>
  <si>
    <t xml:space="preserve">OP00</t>
  </si>
  <si>
    <t xml:space="preserve">Robô não foi buscar a peça na esteira </t>
  </si>
  <si>
    <t xml:space="preserve">falha na geração de presença de peça -  Db de troca de dados entre esteira e aplicação geral estava escrevendo dados na db do SMP por engano. </t>
  </si>
  <si>
    <t xml:space="preserve">Realocado a db de troca da esteira. </t>
  </si>
  <si>
    <t xml:space="preserve">19032021</t>
  </si>
  <si>
    <t xml:space="preserve">Destacker Visão Lado direito   </t>
  </si>
  <si>
    <t xml:space="preserve">Falha reconhecimento Gama 68 sistema de visão destacker lado direito </t>
  </si>
  <si>
    <t xml:space="preserve">Pontos de regulagem incorreto </t>
  </si>
  <si>
    <t xml:space="preserve">Tentativa de regulagem dos pontos mas não foi suficiente retirada da Gama para bater a mesma na TGSE2</t>
  </si>
  <si>
    <t xml:space="preserve">19032022</t>
  </si>
  <si>
    <t xml:space="preserve">Quebra do ponteiro indicação de posição de regulagem do Basculamento da planadora</t>
  </si>
  <si>
    <t xml:space="preserve">Fim de curso no limite máximo -  Perda de referência do encoder </t>
  </si>
  <si>
    <t xml:space="preserve">Solda da ponteira e trocado atuador do micro, ajustado posição do encoder para valores proximo de entrada e saida e correção offset.  </t>
  </si>
  <si>
    <t xml:space="preserve">22032021</t>
  </si>
  <si>
    <t xml:space="preserve"> P23</t>
  </si>
  <si>
    <t xml:space="preserve">Falha Rotação regulagem ajuste altura do martelo</t>
  </si>
  <si>
    <t xml:space="preserve">Falha na abertura do freio - Parafuso de ajuste do freio quebrado</t>
  </si>
  <si>
    <t xml:space="preserve">Aberto o freio mecanicamente e ajuste normal (substituição do conjunto do freio e ajustes no intervalo do almoço)</t>
  </si>
  <si>
    <t xml:space="preserve">Z2: F1 Def. presença pinça Docking - Pinca F11</t>
  </si>
  <si>
    <t xml:space="preserve">Vazamento de agua e posterior Falha de solda - Conexão de agua danificada</t>
  </si>
  <si>
    <t xml:space="preserve">Reparo da conexão e após troca de pinça ocorrencia falha de solda Troca da caixa Eletrica do Apli do lado do Robo que estava cheia de agua.</t>
  </si>
  <si>
    <t xml:space="preserve">24032021</t>
  </si>
  <si>
    <t xml:space="preserve">saida da linha</t>
  </si>
  <si>
    <t xml:space="preserve">Falha na liberação da caroceria para balsa no final da linha</t>
  </si>
  <si>
    <t xml:space="preserve">Leitor de codigo Sick não estava efetuando a leitura do codigo no skid - Painel de controle do leitor sick com problema</t>
  </si>
  <si>
    <t xml:space="preserve">Efetuado a substituição do painel do sick. Reiniciado a placa de comunicação Basic. Reorganizado as memorias no CLP.</t>
  </si>
  <si>
    <t xml:space="preserve">Falha comunicação PSF PEV</t>
  </si>
  <si>
    <t xml:space="preserve">Windows defender e firewall ativo, e placas de rede N1 e N2 com mesmo endereço IP</t>
  </si>
  <si>
    <t xml:space="preserve">Desativado Windows defender e firewall, e alterado endereço IP da placa de rede N1 e colocação do login para usuario "SIDIS" modo correto de trabalho do PC</t>
  </si>
  <si>
    <t xml:space="preserve">23032021</t>
  </si>
  <si>
    <t xml:space="preserve">Robô de solda</t>
  </si>
  <si>
    <t xml:space="preserve">Falha na solda</t>
  </si>
  <si>
    <t xml:space="preserve">guia do arrame de solda quebrada - Em análise. Possivel causa é a sujeira metalica que vai sendo arrastada pelo fio de cobre</t>
  </si>
  <si>
    <t xml:space="preserve">A guia de plastico foi substituida. A guia metalica não possui peça reserva então foi necessário fazer um ajuste para reutiliza-lá. Na sequencia não estava circulando a refrigeração da fronius e foi verificado um ponto de mau contato na tocha.</t>
  </si>
  <si>
    <t xml:space="preserve">25032021</t>
  </si>
  <si>
    <t xml:space="preserve">Lançamento N0</t>
  </si>
  <si>
    <t xml:space="preserve">Não faz a chamada da peça</t>
  </si>
  <si>
    <t xml:space="preserve">não lançou o ponto e pulou a sequência em 2 carros - Forçada comunicação PSF</t>
  </si>
  <si>
    <t xml:space="preserve">Realizada recalagem</t>
  </si>
  <si>
    <t xml:space="preserve">26032021</t>
  </si>
  <si>
    <t xml:space="preserve"> Ilha - Zona 6</t>
  </si>
  <si>
    <t xml:space="preserve">Falta fechamento da zona</t>
  </si>
  <si>
    <t xml:space="preserve">falha na cadeia de segurança de fechamento de zona - Chave de colocação em serviço com contato danificado</t>
  </si>
  <si>
    <t xml:space="preserve">Substituído o bloco de contato.</t>
  </si>
  <si>
    <t xml:space="preserve">05042021</t>
  </si>
  <si>
    <t xml:space="preserve">Falha de comunicação do KPC com o KCP </t>
  </si>
  <si>
    <t xml:space="preserve">Placa mãe do KPC danificada - Diagnostico da causa será realizado pela KUKA  </t>
  </si>
  <si>
    <t xml:space="preserve">Substituição da Placa mãe do KPC (Placa mãe usada trazida por técnico da KUKA) </t>
  </si>
  <si>
    <t xml:space="preserve">06042021</t>
  </si>
  <si>
    <t xml:space="preserve">JDIP traseiro </t>
  </si>
  <si>
    <t xml:space="preserve">Desarmando drive por sobrecorrente</t>
  </si>
  <si>
    <t xml:space="preserve">Travando o elevador JDIP na subida - Quebrou e entortou para dentro da coluna a chapa guia do elevador, vindo a enroscar as roldanas na subida</t>
  </si>
  <si>
    <t xml:space="preserve">Realizado a retirada deste pedaço de chapa para liberar o elevador. Será refeito a guia em 3º turno </t>
  </si>
  <si>
    <t xml:space="preserve">07042021</t>
  </si>
  <si>
    <t xml:space="preserve">Robô R11</t>
  </si>
  <si>
    <t xml:space="preserve">Falha na rede SERCOS</t>
  </si>
  <si>
    <t xml:space="preserve">Drive Indramat danificado -  Drive será enviado para o fornecedor para análise </t>
  </si>
  <si>
    <t xml:space="preserve">Continua em degradado - Drive em reposição </t>
  </si>
  <si>
    <t xml:space="preserve">09042021</t>
  </si>
  <si>
    <t xml:space="preserve">Entrada Linha</t>
  </si>
  <si>
    <t xml:space="preserve">Falta descarregamento do Balancele Elevador para entrada da linha</t>
  </si>
  <si>
    <t xml:space="preserve">Falta reset Transito da entrada da linha - Sensor DLZC36 muito distante não resetou transito. Possivelmente estava mal fixado no suporte e se soltou com vibração</t>
  </si>
  <si>
    <t xml:space="preserve">Forçado condiçoes para o descarregamento e na passagem balancele que ocorreu a falha ajustado o sensor 4 mm mais proximo do atuador do balancele</t>
  </si>
  <si>
    <t xml:space="preserve">Posto Móvel 3</t>
  </si>
  <si>
    <t xml:space="preserve">Falha pressão alta bomba de vácuo do ar condicionado</t>
  </si>
  <si>
    <t xml:space="preserve">Falha no descarregamento da pressão após o enchimento - Filtro de escape da bomba de freio impedindo descarregamento da pressão</t>
  </si>
  <si>
    <t xml:space="preserve">Forçado valvula e no intervalo do café substituido o filtro de escape da bomba de vácuo</t>
  </si>
  <si>
    <t xml:space="preserve">OP 130.3</t>
  </si>
  <si>
    <t xml:space="preserve">Falha movimento cilindro movimento braço medição Marposs </t>
  </si>
  <si>
    <t xml:space="preserve"> Acionamento indevido sinal de sensor de posição - Cabo do Sensor posição recuada curto interno</t>
  </si>
  <si>
    <t xml:space="preserve">Substituição do cabo do sensor </t>
  </si>
  <si>
    <t xml:space="preserve">OP 720</t>
  </si>
  <si>
    <t xml:space="preserve"> Maquina não efetua o ciclo</t>
  </si>
  <si>
    <t xml:space="preserve">Falha no sequenciamento e execução do ciclo</t>
  </si>
  <si>
    <t xml:space="preserve">Retirada das peças e memórias e reinicializaçao do ciclo da maquina</t>
  </si>
  <si>
    <t xml:space="preserve">14042021</t>
  </si>
  <si>
    <t xml:space="preserve"> Elevador de Portas</t>
  </si>
  <si>
    <t xml:space="preserve">Perda da segurança da zona</t>
  </si>
  <si>
    <t xml:space="preserve">Intrusão na área do scanner de segurança -  Área do Scanner muito próxima a grade causando falso acionamento </t>
  </si>
  <si>
    <t xml:space="preserve">Ajutao a área de monitoramento do scanner </t>
  </si>
  <si>
    <t xml:space="preserve">15042021</t>
  </si>
  <si>
    <t xml:space="preserve">Não estava lendo PJI</t>
  </si>
  <si>
    <t xml:space="preserve">Computador estava travado - perda de dados de comunicação  </t>
  </si>
  <si>
    <t xml:space="preserve">Reiniciado o PC, e reajustado os dados de sequência PJI </t>
  </si>
  <si>
    <t xml:space="preserve"> Perda de marcha automática da zona </t>
  </si>
  <si>
    <t xml:space="preserve">Vias rompidas no cabo de gripper do robô M0, causando curto circuito </t>
  </si>
  <si>
    <t xml:space="preserve">Substituido o cabo e refeito as ligações</t>
  </si>
  <si>
    <t xml:space="preserve">Sem comunicação com SMP e IHM </t>
  </si>
  <si>
    <t xml:space="preserve">Perda de configuração do IE General - Falha no PC Mop causando erro de configuração do IE General  </t>
  </si>
  <si>
    <t xml:space="preserve">Configurado a comunicação do IE General </t>
  </si>
  <si>
    <t xml:space="preserve">12042021</t>
  </si>
  <si>
    <t xml:space="preserve">Comum Zona 6 </t>
  </si>
  <si>
    <t xml:space="preserve">Defeito na liberação do ar Zona 6</t>
  </si>
  <si>
    <t xml:space="preserve">Abertura incorreta do portão causa o travamento do rele de colocação em serviço - Rele  de colocação em serviço estava com defeito</t>
  </si>
  <si>
    <t xml:space="preserve">O clp apresentou falha no ar mesmo com a cadeia de segurança ok. Foi verificado todo o sequênciamento de segurança e encontrado um rele com problema. O rele estava visualmente ok, mas não estava fechando o contato totalmente. Forçado o funcionamente e estão verificando a troca do rele por um  modelo mais novo</t>
  </si>
  <si>
    <t xml:space="preserve">13042021</t>
  </si>
  <si>
    <t xml:space="preserve">Prensa de tambor</t>
  </si>
  <si>
    <t xml:space="preserve"> Falha na movimentação do berço</t>
  </si>
  <si>
    <t xml:space="preserve">Problema no cilindro de avanço e recuo. Quebrou a haste do cilindro </t>
  </si>
  <si>
    <t xml:space="preserve">Realizado a substituição do cilindro pneumático</t>
  </si>
  <si>
    <t xml:space="preserve">Falha no sinal de posição da mesa montadora em cima</t>
  </si>
  <si>
    <t xml:space="preserve">Tensão de alimentação dos sensores sem referencial negativo - Borne Barramento no painel sem continuidade na distribuição do referencial negativo</t>
  </si>
  <si>
    <t xml:space="preserve">Inserido borne faltante para continuidade do barramento de alimentação</t>
  </si>
  <si>
    <t xml:space="preserve">MM13</t>
  </si>
  <si>
    <t xml:space="preserve">Falha no circuito de segurança de giro da mesa de testes</t>
  </si>
  <si>
    <t xml:space="preserve"> Queimou  o sinal de saída do rele de segurança PILZ - Cabo cortou dois fios na estrutura e possivelmente ocasionou a queima da saída</t>
  </si>
  <si>
    <t xml:space="preserve"> Realizado a substituição do relé de segurança e isolado o cabo que estava danificado</t>
  </si>
  <si>
    <t xml:space="preserve">22042021</t>
  </si>
  <si>
    <t xml:space="preserve">Robô F4</t>
  </si>
  <si>
    <t xml:space="preserve">Falha profinet robô F4</t>
  </si>
  <si>
    <t xml:space="preserve">Curto circuito no cabo SMB, mal higienizado na eletrocalha - Na troca de eléctrodo do robô F4 ao passar por cima do eletrocalha, gerou curto no cabo que estava mal higienizado</t>
  </si>
  <si>
    <t xml:space="preserve">Retirado o cabo da condição de degradação e a falha saiu. Será aberto OT para troca do cabo SMB </t>
  </si>
  <si>
    <t xml:space="preserve"> BM50</t>
  </si>
  <si>
    <t xml:space="preserve">Perda do vetor X do roô G5 colocação de teto modelo HJD</t>
  </si>
  <si>
    <t xml:space="preserve">Erro no limite de valor de posição para o robô, ISRA com limite de 10 e Robô limite de 5 tanto para +/- - Ainda em análise, possivel erro em Skid, Index, Carroceria, em acompanhamento e avaliação posterior pela área e qualidade</t>
  </si>
  <si>
    <t xml:space="preserve"> Realizado force na condição para deposito EV16, para aplicação do teto em 3 modelos, após isso retirado e acompanhado, não gerou mais falha. Os que geraram erro estavam aprovados pelo ISRA, porém com valor superior a 6, o que não liberou o robô</t>
  </si>
  <si>
    <t xml:space="preserve">23042021</t>
  </si>
  <si>
    <t xml:space="preserve">Robô B0 </t>
  </si>
  <si>
    <t xml:space="preserve">Falha no funcionamento da ilha</t>
  </si>
  <si>
    <t xml:space="preserve"> Falta condição de segurança na ilha após passagem de carro de projeto - Acionamento indevido do pino de segurança cortando o RLV da mesa, derrubada do pino na retirada de peça de colisão locators da mesa</t>
  </si>
  <si>
    <t xml:space="preserve">Analise e verificação da ausencia do RLV, posicionamento do pino e restabelecimento do funcionamento (Demora devido aparecimento da mensagem somente em alarme)</t>
  </si>
  <si>
    <t xml:space="preserve">Perda do vetor X do robô G5 colocação de teto modelo HJD</t>
  </si>
  <si>
    <t xml:space="preserve">Erro no limite de valor de posição X+ para o robô, ISRA com limite de 10 aceitando o valor e transmitindo, mais para o Robô o valor estava fora do limite de 5 mm não aceitando - Valor de aquisição do vetor X+ maior que a tolerância no "Robô 5 mm mas dentro da tolerância para o sistema "Isra 10 mm" o valor</t>
  </si>
  <si>
    <t xml:space="preserve"> Executado alteração dos valores para X+: Para o alarme para 6.5 mm e para a tolerância colocação de teto para o valor de 7 mm para os dois sistemas tanto para o Robo quanto para o Sistema de medição ISRA</t>
  </si>
  <si>
    <t xml:space="preserve"> Maquinas de Enchimento</t>
  </si>
  <si>
    <t xml:space="preserve">Falha pequena e grande fuga na realização de vácuo sistema de Arrefecimento nas três maquinas </t>
  </si>
  <si>
    <t xml:space="preserve"> Falha de pequena fuga - Diagnosticado vedação incorreta (diâmetro externo com 1 mm menor ) </t>
  </si>
  <si>
    <t xml:space="preserve">Substituição da vedação no intervalo do almoço da maquina 1 e das maquinas 2 e 3 no segundo turno</t>
  </si>
  <si>
    <t xml:space="preserve"> Banco de Rolagem 2 </t>
  </si>
  <si>
    <t xml:space="preserve">Banco de Rolagem não realiza o teste</t>
  </si>
  <si>
    <t xml:space="preserve">Falta do PJI para realização do teste - Falta de leitura do código de barras  (leitor de código de barras travado)</t>
  </si>
  <si>
    <t xml:space="preserve">Reinicialização do leitor do codigo de barras e restart do sistema do banco no MOP </t>
  </si>
  <si>
    <t xml:space="preserve">26042021</t>
  </si>
  <si>
    <t xml:space="preserve">Robô Travado no ciclo de limpeza de tocha</t>
  </si>
  <si>
    <t xml:space="preserve">Robô travado na linha 10 na chamada da rotina initprod</t>
  </si>
  <si>
    <t xml:space="preserve">Colocação do Robo em Repli e reinicialização do painel do Robo  </t>
  </si>
  <si>
    <t xml:space="preserve">27042021</t>
  </si>
  <si>
    <t xml:space="preserve">Reinicialização do MOP entrou em restauração do Windows</t>
  </si>
  <si>
    <t xml:space="preserve">OP225 Magazine 3</t>
  </si>
  <si>
    <t xml:space="preserve">Eixo Z - falha no movimento</t>
  </si>
  <si>
    <t xml:space="preserve">Falta de abertura do freio - Retificador de freio danificado </t>
  </si>
  <si>
    <t xml:space="preserve">Substituição do retificador do eixo Z, descarregamento do Backup dos drives dos eixos X e Z do elevador de entrada e referenciamento dos mesmos.  </t>
  </si>
  <si>
    <t xml:space="preserve">28042021</t>
  </si>
  <si>
    <t xml:space="preserve">OP190 Robô de Cola</t>
  </si>
  <si>
    <t xml:space="preserve">Robô entrando em baixa velocidade em parte da trajetória modelo HS </t>
  </si>
  <si>
    <t xml:space="preserve">Alterações realizadas para correção da aplicação possível erro processamento e pontos trajetória dificultando a interpolação dos eixos do Robô</t>
  </si>
  <si>
    <t xml:space="preserve">Descarregamento de Backup ( velocidade retornou ao normal mas ainda necessita ajuste devido a problema de qualidade da aplicação (agendado para sexta 30/04) ). </t>
  </si>
  <si>
    <t xml:space="preserve">06052021</t>
  </si>
  <si>
    <t xml:space="preserve">MOP Furação parachoque HJD</t>
  </si>
  <si>
    <t xml:space="preserve">Perda de comunicação SOPs de controle dos Postos</t>
  </si>
  <si>
    <t xml:space="preserve">Falha de comunicação TAGs do MOP - Trabalho de (Alteração do nomes Windows do PC devido conflito rede)</t>
  </si>
  <si>
    <t xml:space="preserve">Tentativa de configuração do Simatic Net mas não aceita retorno nome antigo (Renault_PC) e reconfigurado TAGs</t>
  </si>
  <si>
    <t xml:space="preserve">04052021</t>
  </si>
  <si>
    <t xml:space="preserve">MPS 133</t>
  </si>
  <si>
    <t xml:space="preserve">Maleta não realiza o teste</t>
  </si>
  <si>
    <t xml:space="preserve">Maleta perdendo conexão "PSF Ofline" - Falta autenticação usuario na rede (possivel problema de bateria fraca</t>
  </si>
  <si>
    <t xml:space="preserve">Ajuste da hora da maleta e Reconfigurada login e senha nos usuarios administrador e exploração e solicitado a manutenção (substituição da bateria da bios e da bateria principal da MPS133)</t>
  </si>
  <si>
    <t xml:space="preserve">03052021</t>
  </si>
  <si>
    <t xml:space="preserve">Prensa Suporte Pendular SMO2</t>
  </si>
  <si>
    <t xml:space="preserve">Maquina não conclui a troca de berço e não inicia ciclo</t>
  </si>
  <si>
    <t xml:space="preserve">Ausencia sinal sensor presença inferior -  Cabo sinal sensor desconectado no conector de divisão de sinal</t>
  </si>
  <si>
    <t xml:space="preserve">Reconexão via 2 de retorno do sinal do sensor</t>
  </si>
  <si>
    <t xml:space="preserve">Maleta perdendo conexão "PSF Ofline" - Em analise (Reconfigurada a maleta mas perdeu as configurações novamente) </t>
  </si>
  <si>
    <t xml:space="preserve">Seguimento tratativa 04/05</t>
  </si>
  <si>
    <t xml:space="preserve">07052021</t>
  </si>
  <si>
    <t xml:space="preserve">Posto 15 Bavolet</t>
  </si>
  <si>
    <t xml:space="preserve">Queda da mesa com carroceria em cima</t>
  </si>
  <si>
    <t xml:space="preserve">Quebra do eixo principal da mesa</t>
  </si>
  <si>
    <t xml:space="preserve">Retirada Carrocecia soldado eixo e rodado degradado</t>
  </si>
  <si>
    <t xml:space="preserve">SMPLOC01 E 02  </t>
  </si>
  <si>
    <t xml:space="preserve">PCs SMPLOC não geram a predisposição</t>
  </si>
  <si>
    <t xml:space="preserve"> Configuração incorreta de parametros - Utilização de lista de defeitos Robos inexistentes no SMP99  </t>
  </si>
  <si>
    <t xml:space="preserve">Suporte e auxilio na correção das predisposições dos PCs 01 e 02</t>
  </si>
  <si>
    <t xml:space="preserve">SMPLOC LOPs  </t>
  </si>
  <si>
    <t xml:space="preserve"> Configuração incorreta de parametros - Utilização de lista de defeitos Robos inexisteSuporte e auxilio na correção da predisposição do SMPLOC dos LOPs nte no SMP99 e nome de instalação duplicada</t>
  </si>
  <si>
    <t xml:space="preserve">Suporte e auxilio na correção da predisposição do SMPLOC dos LOPs</t>
  </si>
  <si>
    <t xml:space="preserve">10052021</t>
  </si>
  <si>
    <t xml:space="preserve">Robo D0</t>
  </si>
  <si>
    <t xml:space="preserve">Colagem de ponto de solda e desarme disjuntor solda</t>
  </si>
  <si>
    <t xml:space="preserve">Erro na leitura da toroide da pinça - Verificação Terceiro turno (Mau contato e Sensibilidade incorreta)</t>
  </si>
  <si>
    <t xml:space="preserve">Mudança da medição da pinça do secundário para o primário para verificação posterior</t>
  </si>
  <si>
    <t xml:space="preserve">Prensa não entra em ciclo</t>
  </si>
  <si>
    <t xml:space="preserve">Falha de segurança - Cortina de luz da porta da prensa obstruída</t>
  </si>
  <si>
    <t xml:space="preserve">Substituição do cartão de segurança limpeza da barreira e referenciamento do drive.</t>
  </si>
  <si>
    <t xml:space="preserve">14052021</t>
  </si>
  <si>
    <t xml:space="preserve">Robos Visão</t>
  </si>
  <si>
    <t xml:space="preserve">Colisão do Robo com a Base porteuse  </t>
  </si>
  <si>
    <t xml:space="preserve">Retirada do tanque reinicialização do Robo e colocação da ilha em ciclo.     </t>
  </si>
  <si>
    <t xml:space="preserve">13052021</t>
  </si>
  <si>
    <t xml:space="preserve">Robô parando na rotina de init e Travamento da tela do Robô</t>
  </si>
  <si>
    <t xml:space="preserve">(Suporte e auxilio para verificação do problema) Sem causa definida em analise</t>
  </si>
  <si>
    <t xml:space="preserve">Reinicialização do Robo e colocação novamente em ciclo</t>
  </si>
  <si>
    <t xml:space="preserve">11052021</t>
  </si>
  <si>
    <t xml:space="preserve">Erro leitura Resolver da Pinça de solda  </t>
  </si>
  <si>
    <t xml:space="preserve">Mau contato pinos conexões eletricas do Apl - Desgaste conexões pinos da caixa do Apli do Robo</t>
  </si>
  <si>
    <t xml:space="preserve">Substituição da caixa do Apli do lado do Robo</t>
  </si>
  <si>
    <t xml:space="preserve">Robos M2</t>
  </si>
  <si>
    <t xml:space="preserve">Defeito Tensão motor Pinça 2 de solda </t>
  </si>
  <si>
    <t xml:space="preserve">Erro na medição sinais da pinça - Velocidade do ponto muito alta</t>
  </si>
  <si>
    <t xml:space="preserve">Verificação parte mecânica da pinça 1, substituição da caixa eletrica do Aplied da pinça 2 efetuado calibração das duas pinças e isolação cabo de alimentação servo da pinça que estava com a isolação rompida. (Após colocação do posto em funcionamento diminuido velocidade no ponto onde ocorria o erro) </t>
  </si>
  <si>
    <t xml:space="preserve">12052021</t>
  </si>
  <si>
    <t xml:space="preserve">Arrastador SR18</t>
  </si>
  <si>
    <t xml:space="preserve">Balancele não avançou no arrastador causando saturação ( Gerada bolha na entrada da linha lenta após SR18)</t>
  </si>
  <si>
    <t xml:space="preserve">Ausencia de fechamento da boca do DOG não sendo arrastado pela corrente - Parafuso do rolamento guia horizontal do balancele desprendeu e caiu dentro da boca do DOG.</t>
  </si>
  <si>
    <t xml:space="preserve">Reposicionamento do balancele e avanço da linha (levado balancele até desvialo para zona de manutenção)</t>
  </si>
  <si>
    <t xml:space="preserve">17052021</t>
  </si>
  <si>
    <t xml:space="preserve">Mesa 02 e Mesa 32</t>
  </si>
  <si>
    <t xml:space="preserve">Falha nos leitores de Skid QB90 das mesas 02 e 32</t>
  </si>
  <si>
    <t xml:space="preserve">Leitura incorreta de codigo -  Leitura incorreta codigo e IHM com problema  </t>
  </si>
  <si>
    <t xml:space="preserve">Substituição da IHM por ihm reserva destravado leitura incorreta depois mudado IHM para outra mesa e destravado leitura incorreta também (Falta substituição de uma IHM ainda)   </t>
  </si>
  <si>
    <t xml:space="preserve">Bene</t>
  </si>
  <si>
    <t xml:space="preserve">Defeito no funcionamento da ilha</t>
  </si>
  <si>
    <t xml:space="preserve">Falha profinet no Switch Scalance do MOP - Cabo profinet "Robo 3 projeto que ainda não está rodando" com problema    </t>
  </si>
  <si>
    <t xml:space="preserve">Rodado tempo degradado, corrigido malha do calha e liberação da linha novamente automático. (Necessário refazer a conexão) </t>
  </si>
  <si>
    <t xml:space="preserve">MPS não realiza o teste</t>
  </si>
  <si>
    <t xml:space="preserve">Maleta perdendo conexão "PSF Ofline" - Falta autenticação usuário na rede (possível problema de bateria fraca  </t>
  </si>
  <si>
    <t xml:space="preserve">Substituição da Bateria da maleta e da bateria da BIOS ajuste da hora da maleta e Reconfigurada login e senha nos usuarios administrador e exploração. </t>
  </si>
  <si>
    <t xml:space="preserve">18052021</t>
  </si>
  <si>
    <t xml:space="preserve"> Estação Balanceamento </t>
  </si>
  <si>
    <t xml:space="preserve">Falha de segurança estação de marcação de pneu  </t>
  </si>
  <si>
    <t xml:space="preserve">Caneta marcação inferior fora do repouso  - Quebra parafuso de fixação do suporte da caneta   </t>
  </si>
  <si>
    <t xml:space="preserve">Colocação em degradado verificação das condições e retirada da caneta e resincronizado linha   </t>
  </si>
  <si>
    <t xml:space="preserve">PVG 300</t>
  </si>
  <si>
    <t xml:space="preserve">Falha no camando do Bi-manual</t>
  </si>
  <si>
    <t xml:space="preserve">Mal contato nos botões de validação - Contatos Abertos e Fechados não estavam respondendo o acionamento; </t>
  </si>
  <si>
    <t xml:space="preserve">Substituído os contatos de comando do botão. </t>
  </si>
  <si>
    <t xml:space="preserve">20052021</t>
  </si>
  <si>
    <t xml:space="preserve">Portão de segurança</t>
  </si>
  <si>
    <t xml:space="preserve">Ilha não rearma em modo automatico.  </t>
  </si>
  <si>
    <t xml:space="preserve">Defeito no procedimento de abertura da porta 1 - Falha no sensor de verificao da porta 1 fechada (Z1SPA1CF2)</t>
  </si>
  <si>
    <t xml:space="preserve">Isolação portão by pass provisorio compilado safety na PG e descarregado (Compilação não foi possivel no MOP ocorrendo erros) </t>
  </si>
  <si>
    <t xml:space="preserve">Desarme do disjuntor 24 V</t>
  </si>
  <si>
    <t xml:space="preserve">Falha nos sinais do botão de validação e chamada ao posto - Ao realizado trabalho  na chamada ao posto gerou esta falha </t>
  </si>
  <si>
    <t xml:space="preserve">Desligado a chamado ao posto e deixado somente os sinais de parada de linha e validação </t>
  </si>
  <si>
    <t xml:space="preserve">Transp Q1</t>
  </si>
  <si>
    <t xml:space="preserve">Transportador parado mesmo com acionamento</t>
  </si>
  <si>
    <t xml:space="preserve">Enroscou-se na engrenagem do lado acoplado do transportador (esticador) - Travamento da engrenagem do esticador da corrente</t>
  </si>
  <si>
    <t xml:space="preserve">Foi solta a engrenagem e deixado livre para rodar. Será verificado em 3º Turno </t>
  </si>
  <si>
    <t xml:space="preserve">20052201</t>
  </si>
  <si>
    <t xml:space="preserve">PTI</t>
  </si>
  <si>
    <t xml:space="preserve">Pinça não funciona</t>
  </si>
  <si>
    <t xml:space="preserve">Falha circuito de potencia - Problema disjuntor geral do painel e controlador de solda  </t>
  </si>
  <si>
    <t xml:space="preserve">Substituição Disjuntor geral painel, e controlador de solda </t>
  </si>
  <si>
    <t xml:space="preserve">24052021</t>
  </si>
  <si>
    <t xml:space="preserve">PC SMPLOC</t>
  </si>
  <si>
    <t xml:space="preserve">Falha Computador SMPLOC</t>
  </si>
  <si>
    <t xml:space="preserve">Problemas no PC - Hardware do PC com Problema</t>
  </si>
  <si>
    <t xml:space="preserve">Reiniciado varias vezes quando ocorria erro, e Substituição por outro PC de mesmo modelo após intervalo almoço, e está sendo preparado PC Advantech para substituição.</t>
  </si>
  <si>
    <t xml:space="preserve">25052021</t>
  </si>
  <si>
    <t xml:space="preserve">SE6 - Z4</t>
  </si>
  <si>
    <t xml:space="preserve">Desarme funcionamento Correntão</t>
  </si>
  <si>
    <t xml:space="preserve">Falha Profinet Zona 4 nós (5, 76, 252, 247) - Em analise MRHD e MBR</t>
  </si>
  <si>
    <t xml:space="preserve">Verificação dos nós da rede e trecho da ocorrência defeito parou de ocorrer por volta das 10:00  </t>
  </si>
  <si>
    <t xml:space="preserve"> Falha drive principal da prensa </t>
  </si>
  <si>
    <t xml:space="preserve">Falha interna do drive - Placa de controle e potencia com problema </t>
  </si>
  <si>
    <t xml:space="preserve">Substituição completa do drive.</t>
  </si>
  <si>
    <t xml:space="preserve">26052021</t>
  </si>
  <si>
    <t xml:space="preserve">Cofre solda</t>
  </si>
  <si>
    <t xml:space="preserve">Falta alimentação Dispositivos de solda</t>
  </si>
  <si>
    <t xml:space="preserve">Abertura fusivel de proteção alimentação no cofre do barramento principal - Curto circuito entre fase do barramento secundário e isolador e cofre do barramento secundário </t>
  </si>
  <si>
    <t xml:space="preserve">Substituição dos fusíveis e do cofre da janela do secundário   </t>
  </si>
  <si>
    <t xml:space="preserve">28052021</t>
  </si>
  <si>
    <t xml:space="preserve">Desarme Barramento Alimentação Carroceria</t>
  </si>
  <si>
    <t xml:space="preserve">Curto Circuito Barramento Alimentação Parte Carroceria - Baixa isolação (Isolador do barramento ) </t>
  </si>
  <si>
    <t xml:space="preserve">Isolação de parte do Barramento Danificado (Sabado Utilidades mediu circuito com problema e diagnosticado baixa isolação em um isolador do barramento) </t>
  </si>
  <si>
    <t xml:space="preserve">Farmann</t>
  </si>
  <si>
    <t xml:space="preserve">Dispositivo não roda </t>
  </si>
  <si>
    <t xml:space="preserve">Falta de segurança - Ausencia sinal sensor Stopper 1 para o stopper 2 (Sensor stopper fora de posição)  </t>
  </si>
  <si>
    <t xml:space="preserve">Diagnostico e efetuado ajuste do posicionamento do sensor do Stopper</t>
  </si>
  <si>
    <t xml:space="preserve">Mesa T6</t>
  </si>
  <si>
    <t xml:space="preserve">Mesa rolos não girava</t>
  </si>
  <si>
    <t xml:space="preserve">Falha no dispositivo motor start - Ainda em análise, mal contato no dispositivo </t>
  </si>
  <si>
    <t xml:space="preserve">Devido a estar gerando um sinal erróneo no Software, levou a uma análise falha no início, após identificado o correto problema, foi desmontado o dispositivo do motor start e reconectado novamente, após isso voltou ao normal. </t>
  </si>
  <si>
    <t xml:space="preserve">CPU_PLC5 </t>
  </si>
  <si>
    <t xml:space="preserve">Desarme ilha não retorna</t>
  </si>
  <si>
    <t xml:space="preserve">CPU PLC5 perdeu programa - Possivel oscilação de tensão e perda de programa pela CPU </t>
  </si>
  <si>
    <t xml:space="preserve">Efetuado o descarregamento do backup para a CPU </t>
  </si>
  <si>
    <t xml:space="preserve">Robo C4 </t>
  </si>
  <si>
    <t xml:space="preserve">Defeito Robo C4</t>
  </si>
  <si>
    <t xml:space="preserve">Falha de sistema - Possivel oscilação de tensão e perda de calibração do robo (bateria backup baixa) </t>
  </si>
  <si>
    <t xml:space="preserve">Remasterizado o Robo e colocação da ilha em ciclo</t>
  </si>
  <si>
    <t xml:space="preserve">Robô de Spray </t>
  </si>
  <si>
    <t xml:space="preserve">Robô não retorna em Repli, ficou em Loop </t>
  </si>
  <si>
    <t xml:space="preserve">Erro de sistema - Falha no sistema Promia  </t>
  </si>
  <si>
    <t xml:space="preserve">Realizado o B Start, porém retornou com falha, Realizado o P Start, e faltou carregar o rápid e o Promia não subiu, Foi então realizado um reestore pelo backup e voltou ao normal. </t>
  </si>
  <si>
    <t xml:space="preserve">31052021</t>
  </si>
  <si>
    <t xml:space="preserve">Estação PEV 162</t>
  </si>
  <si>
    <t xml:space="preserve">Falha na execução das gamas e posto muito lento </t>
  </si>
  <si>
    <t xml:space="preserve">Posto não aciona o SDA ao fazer teste do BBB algumas vezes - Problema na Gama do BBB que pulava verificação do MDA conectado ao carro, e posto muito carregado </t>
  </si>
  <si>
    <t xml:space="preserve">Remasterizado o posto com imagem zerada do PEV e ajuste de gama pela Engenharia</t>
  </si>
  <si>
    <t xml:space="preserve">Estação PEV 163 </t>
  </si>
  <si>
    <t xml:space="preserve">Falha na execução de algumas gamas</t>
  </si>
  <si>
    <t xml:space="preserve">Posto não aciona o SDA ao fazer teste do BBB algumas vezes - Problema na Gama do BBB que pulava verificação do MDA conectado ao carro</t>
  </si>
  <si>
    <t xml:space="preserve">Diagnostico e Ajuste de problema de gama pela engenharia</t>
  </si>
  <si>
    <t xml:space="preserve">Abertura fusivel de proteção alimentação no cofre do barramento principal - Problemas em 2 cofres de alimentação do barramento secundário </t>
  </si>
  <si>
    <t xml:space="preserve">Substituição dos fusiveis e do cofre do barramento principal e substituição de dois cofres do barramento secundário da janela do secundário  </t>
  </si>
  <si>
    <t xml:space="preserve">Lazatron não finaliza verificação</t>
  </si>
  <si>
    <t xml:space="preserve">Time out 11 Erro de divisão por zero - Falha interna aplicação Lazatron</t>
  </si>
  <si>
    <t xml:space="preserve">Tentativa calibrações mas e troca pasta aplicação por backup interno mas erro permanecia substituição do PC e colocação dos valores de backup do PC que estava rodando</t>
  </si>
  <si>
    <t xml:space="preserve">API2 -Zona 6</t>
  </si>
  <si>
    <t xml:space="preserve">Falha na transferencia da Mesa H1 para P1 </t>
  </si>
  <si>
    <t xml:space="preserve">Falta alimentação 24 V para cartões de saida - Base do Rele RPE danificada contato de uma das vias alimentação 6ES </t>
  </si>
  <si>
    <t xml:space="preserve">Diagnostico e substituição da base do Rele RPE</t>
  </si>
  <si>
    <t xml:space="preserve">03062021</t>
  </si>
  <si>
    <t xml:space="preserve">Lateral Esquerda U79</t>
  </si>
  <si>
    <t xml:space="preserve">Dispositivo Jig Box em falha de sequência CC </t>
  </si>
  <si>
    <t xml:space="preserve">Ausencia sinal Abatant chegando na CPX - Cabo de sinal de sensor do Abatant com problema</t>
  </si>
  <si>
    <t xml:space="preserve">Ligado cabo por fora e funcionamento correto (será acomodado cabo na calha posteriormente)</t>
  </si>
  <si>
    <t xml:space="preserve">07062021</t>
  </si>
  <si>
    <t xml:space="preserve">Repuxo</t>
  </si>
  <si>
    <t xml:space="preserve">TGSE1 </t>
  </si>
  <si>
    <t xml:space="preserve">Erro de posicionamento da altura do repuxo</t>
  </si>
  <si>
    <t xml:space="preserve">Valor de offset de calibração do encoder do repuxo errado</t>
  </si>
  <si>
    <t xml:space="preserve">Reposicionamento e calibração do offset do encoder do repuxo</t>
  </si>
  <si>
    <t xml:space="preserve">Porta Dianteira PVD</t>
  </si>
  <si>
    <t xml:space="preserve">Rompimento do batente mecânico e da correia de giro da mesa</t>
  </si>
  <si>
    <t xml:space="preserve">Sobrecurso da mesa- Possível erro de referenciamento, em análise</t>
  </si>
  <si>
    <t xml:space="preserve">Confecção e substituição do tensionador de correia, referenciamento do eixo</t>
  </si>
  <si>
    <t xml:space="preserve">08062021</t>
  </si>
  <si>
    <t xml:space="preserve"> Ensaboadora</t>
  </si>
  <si>
    <t xml:space="preserve">Movimento de elevação da mesa não atingido</t>
  </si>
  <si>
    <t xml:space="preserve">Travamento mecânico das articulações - Oxidação das articulações devido à contaminação pelo produto ensaboador</t>
  </si>
  <si>
    <t xml:space="preserve">Estação em degradado</t>
  </si>
  <si>
    <t xml:space="preserve">Lubrificação de todos os mancais e articulaçãoes da mesa no inicio do 2° turno</t>
  </si>
  <si>
    <t xml:space="preserve">PC </t>
  </si>
  <si>
    <t xml:space="preserve">Nivelômetro sem comunicação com o supervisório</t>
  </si>
  <si>
    <t xml:space="preserve">Arquivos corrompidos no PC - Instabilidade na alimentação, degradação do HD</t>
  </si>
  <si>
    <t xml:space="preserve">Substituido HD com nova imagem</t>
  </si>
  <si>
    <t xml:space="preserve">Pinça Robo C5</t>
  </si>
  <si>
    <t xml:space="preserve">Fim de curso no eixo externo 1 (servogun) quando parado na posição Home</t>
  </si>
  <si>
    <t xml:space="preserve">Irregularidade de posicionamento do servo, escorregamento - Servogun ou modulo  PM1 danificado</t>
  </si>
  <si>
    <t xml:space="preserve">Substituido servo gun, programado a troca da potência PM1 no 3°turno</t>
  </si>
  <si>
    <t xml:space="preserve">12062021</t>
  </si>
  <si>
    <t xml:space="preserve"> Scanner de Segurança</t>
  </si>
  <si>
    <t xml:space="preserve">dispositivo de lateral direita do X62</t>
  </si>
  <si>
    <t xml:space="preserve">Falha na segurança do Dispositivo </t>
  </si>
  <si>
    <t xml:space="preserve"> Problema com o Scanner B0LAS - Scanner danificou e perdeu os parametros de segurança, não deixava realizar downloads de paramentos</t>
  </si>
  <si>
    <t xml:space="preserve"> Realizado a substituição do Scanner, como não tínhamos o programa de áreas, foi realizado uma cópia do outro Scanner e reconfigurado a área de atuação</t>
  </si>
  <si>
    <t xml:space="preserve">PC supervisório</t>
  </si>
  <si>
    <t xml:space="preserve">Fonte de alimentação danificada - Tempo de vida útil do equipamento atingido</t>
  </si>
  <si>
    <t xml:space="preserve">Substituido fonte</t>
  </si>
  <si>
    <t xml:space="preserve">Central de Mastic em falha</t>
  </si>
  <si>
    <t xml:space="preserve">Linha Mastic</t>
  </si>
  <si>
    <t xml:space="preserve"> Desarme geral da central de Mastic </t>
  </si>
  <si>
    <t xml:space="preserve"> Curto circuito em sensores - Ao realizar manutenção em um transdutor de pressão, rompeu-se um fio interno dele e com isso gerou o curto </t>
  </si>
  <si>
    <t xml:space="preserve">  Isolado o circuito que estava em curto, e religado o sistema forçado manualmente. Após final de turno seria trocado tanto o transdutor como a fonte devido ela não estar suportando a carga </t>
  </si>
  <si>
    <t xml:space="preserve">14062021</t>
  </si>
  <si>
    <t xml:space="preserve">Elevador eixo X</t>
  </si>
  <si>
    <t xml:space="preserve"> Não realizava movimentação para descarregar no Alvéolo</t>
  </si>
  <si>
    <t xml:space="preserve">Falha no Scanner lado esquerdo -  Ainda em análise do Scanner</t>
  </si>
  <si>
    <t xml:space="preserve"> Substituído o Scanner </t>
  </si>
  <si>
    <t xml:space="preserve">PLC Linha</t>
  </si>
  <si>
    <t xml:space="preserve">LFM</t>
  </si>
  <si>
    <t xml:space="preserve">Falta rearme FSM</t>
  </si>
  <si>
    <t xml:space="preserve">Falta de condições de rearme e ciclo - Procedimento start-up incorreto</t>
  </si>
  <si>
    <t xml:space="preserve">Sick segurança elevador com cartão em falha reinicializado, forçado condições de rearme, executado movimentações manuais e ajuste do ciclo</t>
  </si>
  <si>
    <t xml:space="preserve">Robo B3</t>
  </si>
  <si>
    <t xml:space="preserve">ACL2 Ilha Capo e Cofre</t>
  </si>
  <si>
    <t xml:space="preserve">Falha Controle de pressão CPA </t>
  </si>
  <si>
    <t xml:space="preserve">Oscilação sinal controle de pressão - Possivel problema cabo sinal interno Bazuca e conector do aplied do robo quebrado </t>
  </si>
  <si>
    <t xml:space="preserve">Substituição do Aplied no robo e no griper do L52  (programado substituição do cabo)</t>
  </si>
  <si>
    <t xml:space="preserve"> Mesa E0</t>
  </si>
  <si>
    <t xml:space="preserve">Falta descarregamento carro para Mesa E0</t>
  </si>
  <si>
    <t xml:space="preserve">Falta condições de segurança para movimentação - Falta retorno variador OK para liberação de ciclo</t>
  </si>
  <si>
    <t xml:space="preserve">Verificação condições faltantes, desligamento dos variadores rolos e translação da mesa E0 e restabelecimento</t>
  </si>
  <si>
    <t xml:space="preserve">Falha pressão de ar repuxo</t>
  </si>
  <si>
    <t xml:space="preserve">Valvula YQ305.4 dando passagem - Travamento da valvula YQ305.4 (Desgaste interno da valvula vida util atingida) </t>
  </si>
  <si>
    <t xml:space="preserve">Substituição da valvula de pilotagem e destravamento mecanico valvula (será programado para o proximo mês a substituição da valvula) </t>
  </si>
  <si>
    <t xml:space="preserve">Robo 01</t>
  </si>
  <si>
    <t xml:space="preserve">Primer</t>
  </si>
  <si>
    <t xml:space="preserve">Falha de segurança no start do Robo (Bacplane enable) </t>
  </si>
  <si>
    <t xml:space="preserve">Indicio problema placa MCOB - Possivel problema placa MCOB ou arquivo corrompido</t>
  </si>
  <si>
    <t xml:space="preserve">Descarregamento do backup pastas TRAJ TACHE e IPS</t>
  </si>
  <si>
    <t xml:space="preserve">17062021</t>
  </si>
  <si>
    <t xml:space="preserve">Picking ME1 U79</t>
  </si>
  <si>
    <t xml:space="preserve">Prensa não retorna a origem após erro prensagem</t>
  </si>
  <si>
    <t xml:space="preserve">Falha no drive na prensagem </t>
  </si>
  <si>
    <t xml:space="preserve">Modo de operação incorreta prensagem sem rolamento</t>
  </si>
  <si>
    <t xml:space="preserve">Conexão do notebook verificação de condições e forçado cilindro index manual e colocaçao do posto em ciclo</t>
  </si>
  <si>
    <t xml:space="preserve">21062021</t>
  </si>
  <si>
    <t xml:space="preserve"> Elevador Tunel </t>
  </si>
  <si>
    <t xml:space="preserve">  Tunel</t>
  </si>
  <si>
    <t xml:space="preserve">DEF. EXTRACURSO ELEVAR ELEV 21</t>
  </si>
  <si>
    <t xml:space="preserve">Escorregamento na posição </t>
  </si>
  <si>
    <t xml:space="preserve"> Freio do Elevador desregulado </t>
  </si>
  <si>
    <t xml:space="preserve">Executado ajuste do Freio que estava desregulado</t>
  </si>
  <si>
    <t xml:space="preserve">22062021</t>
  </si>
  <si>
    <t xml:space="preserve">Prensa não roda</t>
  </si>
  <si>
    <t xml:space="preserve">Falha CPU, cartão de memória e fonte da CPU e CPU com problema </t>
  </si>
  <si>
    <t xml:space="preserve">Problema na fonte causando problema nos demais componentes </t>
  </si>
  <si>
    <t xml:space="preserve">Substituição da fonte, da CPU, do cartão de memória da mesma, e cartão CP ethernet, descarregamento de Backup e restart linha</t>
  </si>
  <si>
    <t xml:space="preserve">23062021</t>
  </si>
  <si>
    <t xml:space="preserve">Elevador 04 Entrada Pintura</t>
  </si>
  <si>
    <t xml:space="preserve">TTS  </t>
  </si>
  <si>
    <t xml:space="preserve">MESA 04 : DEF. DETECTOR ELEVAR (Perda de posicionamento e queda elevador 04 entrada) </t>
  </si>
  <si>
    <t xml:space="preserve">Falha conjunto motor principal do Elevador </t>
  </si>
  <si>
    <t xml:space="preserve">(Possivel Problema Freio do motor)</t>
  </si>
  <si>
    <t xml:space="preserve">Substituição para o motor reserva e colocação em funcionamento (Verificação do conjunto motorredutor posteriormente)  </t>
  </si>
  <si>
    <t xml:space="preserve">Robo 2 </t>
  </si>
  <si>
    <t xml:space="preserve"> Robo com problema de movimentação</t>
  </si>
  <si>
    <t xml:space="preserve">Problema no conjunto do eixo 2</t>
  </si>
  <si>
    <t xml:space="preserve">Colocação do Robo e aplicação em degradado verificação posterior no terceiro turno</t>
  </si>
  <si>
    <t xml:space="preserve">28062021</t>
  </si>
  <si>
    <t xml:space="preserve">PMiA1 BM30</t>
  </si>
  <si>
    <t xml:space="preserve">ASL </t>
  </si>
  <si>
    <t xml:space="preserve">Perda de condições e posição do locator</t>
  </si>
  <si>
    <t xml:space="preserve">Falha no controlador,, gerando erro de posição </t>
  </si>
  <si>
    <t xml:space="preserve">Em análise, não foi encontrado o que gerou o erro </t>
  </si>
  <si>
    <t xml:space="preserve"> Realizado reset do controlador e reposicionado os locators em home</t>
  </si>
  <si>
    <t xml:space="preserve">SE2/SE4</t>
  </si>
  <si>
    <t xml:space="preserve">Desarmou toda a segurança da SE4</t>
  </si>
  <si>
    <t xml:space="preserve">Ainda em análise, falta de segurança nos rack 11 módulos 2,3 e 4</t>
  </si>
  <si>
    <t xml:space="preserve"> Realizado o reset de todas as zonas, retirado o carro que estava na frente da barreira para poder rearmar a ilha.</t>
  </si>
  <si>
    <t xml:space="preserve">29062021</t>
  </si>
  <si>
    <t xml:space="preserve">Painel PLC</t>
  </si>
  <si>
    <t xml:space="preserve">Circuito Aéreo de Portas</t>
  </si>
  <si>
    <t xml:space="preserve">Falha Balancele Portas na Zona 7, e falta de rearme no restabelecimento</t>
  </si>
  <si>
    <t xml:space="preserve"> Balancele XX em falha e falta condições rearme emergência</t>
  </si>
  <si>
    <t xml:space="preserve">Restabelecimento da falha do balancele e bloqueio parcial linha que impedia rearme (Arrumado lógica posteriormente ao restabelecimento) </t>
  </si>
  <si>
    <t xml:space="preserve">Painel PLC </t>
  </si>
  <si>
    <t xml:space="preserve"> Falha Diversos Balanceles de Portas no circuito aereo</t>
  </si>
  <si>
    <t xml:space="preserve"> Diversos balanceles ocorrendo erro "- 1 -" falha no circuito saída caixa LJU</t>
  </si>
  <si>
    <t xml:space="preserve">Restabelecimento da falha do balancele e bloqueio parcial linha que impedia rearme (Arrumado lógica posteriormente ao restabelecimento)   </t>
  </si>
  <si>
    <t xml:space="preserve">30062021</t>
  </si>
  <si>
    <t xml:space="preserve">Ilha Geral</t>
  </si>
  <si>
    <t xml:space="preserve">FM</t>
  </si>
  <si>
    <t xml:space="preserve"> Ilha não realizava os trabalhos</t>
  </si>
  <si>
    <t xml:space="preserve">Perdeu dados dos carros que estavam na linha </t>
  </si>
  <si>
    <t xml:space="preserve">De acordo com dados no programa houve alteração na DB96 ITT</t>
  </si>
  <si>
    <t xml:space="preserve">Realizado o esvaziamento da linha, inserido Skid no elevador e acertado condições de programa com o PSF para realizar a fabricação</t>
  </si>
  <si>
    <t xml:space="preserve">05072021</t>
  </si>
  <si>
    <t xml:space="preserve">Ilha 2 Zona 6</t>
  </si>
  <si>
    <t xml:space="preserve">Base Rolante X62</t>
  </si>
  <si>
    <t xml:space="preserve">Falta Rearme Zona 6 (Z6: DEF. AR 7 BAR e Z6: DEF. RELE COLOC. SERVICO) </t>
  </si>
  <si>
    <t xml:space="preserve">Chave geral pupitre intervenção Z6GIC danificada girando livre </t>
  </si>
  <si>
    <t xml:space="preserve">Vida util chave atingida</t>
  </si>
  <si>
    <t xml:space="preserve">Forçado condições de rearme e diagnostico do problema pelo circuito eletrico (programado troca da chave geral do pupitre Z6GIC)</t>
  </si>
  <si>
    <t xml:space="preserve">Pupitre de Exploração</t>
  </si>
  <si>
    <t xml:space="preserve">Obturadores Cera P3 </t>
  </si>
  <si>
    <t xml:space="preserve">SMPLOC falta comunicação com a Central (Aguarda Autorização)</t>
  </si>
  <si>
    <t xml:space="preserve">Ausencia de comunicação placa de rede Nivel 2 </t>
  </si>
  <si>
    <t xml:space="preserve">Placa de rede inoperante</t>
  </si>
  <si>
    <t xml:space="preserve">Configuraçao da placa de rede reserva com IP placa de rede nivel 2 (10.187.6.181)</t>
  </si>
  <si>
    <t xml:space="preserve"> BM30 </t>
  </si>
  <si>
    <t xml:space="preserve">Z3: C12 Def. Robo em colisão</t>
  </si>
  <si>
    <t xml:space="preserve"> Robo C4 Bm30 Gripper 41 HHA  lado direito colidiu com a lateral na hora da aproximacao </t>
  </si>
  <si>
    <t xml:space="preserve">Lateral caiu na transferência da mesa B0 BM20 para mesa C0BM30</t>
  </si>
  <si>
    <t xml:space="preserve">Retirada dos Robos e lateral danificada, Substituição da lateral e reiniciado ciclo do posto</t>
  </si>
  <si>
    <t xml:space="preserve">06072021</t>
  </si>
  <si>
    <t xml:space="preserve">Lateral X62</t>
  </si>
  <si>
    <t xml:space="preserve">Controlador de solda em avaria </t>
  </si>
  <si>
    <t xml:space="preserve">Erro interno no controlador</t>
  </si>
  <si>
    <t xml:space="preserve">07072021</t>
  </si>
  <si>
    <t xml:space="preserve">Robo F0</t>
  </si>
  <si>
    <t xml:space="preserve">NBS D</t>
  </si>
  <si>
    <t xml:space="preserve">ROBO F0 - DEFEITO SISTEMA DE COMANDO (Colisão Robôs F0 e G0)</t>
  </si>
  <si>
    <t xml:space="preserve"> (Colisão Robos F0 e G0) </t>
  </si>
  <si>
    <t xml:space="preserve">Analise MBR (Colisão Robos F0 e G0) - Modificação Realizada para copa custos</t>
  </si>
  <si>
    <t xml:space="preserve"> Emendado vias do cabo do servo do eixo 4, efetuado calibrações de todos os eixos e correções de trajetória. </t>
  </si>
  <si>
    <t xml:space="preserve">Robo XX</t>
  </si>
  <si>
    <t xml:space="preserve">Monof</t>
  </si>
  <si>
    <t xml:space="preserve">Falha liquido Refrigerante na fronius.ERRO 17582, e defeito presença de arco 6188</t>
  </si>
  <si>
    <t xml:space="preserve"> Falha na circulação de liquido e arame pesado do bumerangue até a tocha </t>
  </si>
  <si>
    <t xml:space="preserve"> Modo de funcionamento do refrigerante incorreto (Estava "Auto" passado para "Ligado") </t>
  </si>
  <si>
    <t xml:space="preserve">Limpeza das mangueiras do circuito de refrigeração, e sincronização da velocidade dos motores</t>
  </si>
  <si>
    <t xml:space="preserve">09072021</t>
  </si>
  <si>
    <t xml:space="preserve"> BM110 Mesa  </t>
  </si>
  <si>
    <t xml:space="preserve">ASL B</t>
  </si>
  <si>
    <t xml:space="preserve"> Z3: P7 Def. Mesa e Def. inversor</t>
  </si>
  <si>
    <t xml:space="preserve">Falha no posionamento da mesa problema encoder</t>
  </si>
  <si>
    <t xml:space="preserve">Fixação do acoplamento do encoder instável </t>
  </si>
  <si>
    <t xml:space="preserve">Substituido encoder </t>
  </si>
  <si>
    <t xml:space="preserve">Circuito Aéreo</t>
  </si>
  <si>
    <t xml:space="preserve">Transportador Lateral NBS</t>
  </si>
  <si>
    <t xml:space="preserve">Sobre corrente Inversor transportador Circuito Aéreo </t>
  </si>
  <si>
    <t xml:space="preserve">Engavetamento de balancelle após batente 16 no drop baixo, travando a corrente</t>
  </si>
  <si>
    <t xml:space="preserve">Falha do sistema de transito balancelle - sistema não garante posicionamento físico apenas contagem virtual </t>
  </si>
  <si>
    <t xml:space="preserve">Destravado o balancele e liberada a corrente</t>
  </si>
  <si>
    <t xml:space="preserve">12072021</t>
  </si>
  <si>
    <t xml:space="preserve">  CCB CrossCarbeam</t>
  </si>
  <si>
    <t xml:space="preserve"> Falha de colisão de tocha</t>
  </si>
  <si>
    <t xml:space="preserve"> Falha intermitente no sinal de colisão de tocha com o robô na posição home</t>
  </si>
  <si>
    <t xml:space="preserve"> Erro interno na aplicação Promia, incoerência na atualização do status de I/O</t>
  </si>
  <si>
    <t xml:space="preserve"> Restauração do backup para reparação do sistema</t>
  </si>
  <si>
    <t xml:space="preserve">13072021</t>
  </si>
  <si>
    <t xml:space="preserve">Prensa P11  </t>
  </si>
  <si>
    <t xml:space="preserve">T1</t>
  </si>
  <si>
    <t xml:space="preserve">Não liberava o engae da embreagem da prensa </t>
  </si>
  <si>
    <t xml:space="preserve">Transdutor com valor travado em máxima</t>
  </si>
  <si>
    <t xml:space="preserve">Transdutor danificado</t>
  </si>
  <si>
    <t xml:space="preserve"> Substituído o transdutor</t>
  </si>
  <si>
    <t xml:space="preserve">14072021</t>
  </si>
  <si>
    <t xml:space="preserve">TGSE2 </t>
  </si>
  <si>
    <t xml:space="preserve">Falha de posicionamento do repuxo</t>
  </si>
  <si>
    <t xml:space="preserve"> Válvula do cilindro Traseiro esquerdo travando</t>
  </si>
  <si>
    <t xml:space="preserve">Válvula danificada</t>
  </si>
  <si>
    <t xml:space="preserve">Substituída válvula, pendende ajustes na calibração. Será conectado remotamante com a Roten</t>
  </si>
  <si>
    <t xml:space="preserve"> Maquina Zona 2</t>
  </si>
  <si>
    <t xml:space="preserve"> Estampa de Parachoque</t>
  </si>
  <si>
    <t xml:space="preserve">Falha no fechamento de Zona da Máquina</t>
  </si>
  <si>
    <t xml:space="preserve">Defeito no sistema antiesmagamento de borracha do lado esquerdo porta de colocação de peça</t>
  </si>
  <si>
    <t xml:space="preserve">Ainda em Análise, sistema defeituoso, possível rompimento de ligações do dispositivo </t>
  </si>
  <si>
    <t xml:space="preserve">Desativado o rele do sistema lado esquerdo e realizado as ligações necessárias deixando ativo o direito para poder liberar a linha. </t>
  </si>
  <si>
    <t xml:space="preserve">Mesa V0</t>
  </si>
  <si>
    <t xml:space="preserve">Perda de sinal da peça e erro na câmera por comparação</t>
  </si>
  <si>
    <t xml:space="preserve"> Erro no sinal de sensor </t>
  </si>
  <si>
    <t xml:space="preserve">Erro operacional, inserção de peça errada </t>
  </si>
  <si>
    <t xml:space="preserve">Retirado a peça, ajustado e verificado sensores, e reinserida a peça</t>
  </si>
  <si>
    <t xml:space="preserve">16072021</t>
  </si>
  <si>
    <t xml:space="preserve"> MCET colhetadeira </t>
  </si>
  <si>
    <t xml:space="preserve">Falha de posicionamento do Piloto PBL1 (Drive Festo 2)</t>
  </si>
  <si>
    <t xml:space="preserve">Falta de condições de máquina para avanço do PBL1 </t>
  </si>
  <si>
    <t xml:space="preserve">Mau contato no sensor laser de presença posicionamento de balance</t>
  </si>
  <si>
    <t xml:space="preserve"> Reaperto da conexão do sensor e referenciamento do PBL1 e 2</t>
  </si>
  <si>
    <t xml:space="preserve">20072021</t>
  </si>
  <si>
    <t xml:space="preserve">Falha no start de sincronismo da aplicação</t>
  </si>
  <si>
    <t xml:space="preserve">Falta de parte das trajetórias na memória do robô.</t>
  </si>
  <si>
    <t xml:space="preserve">Carregamento parcial das trajetórias após processo de P-Start, instabilidade funcional nas memórias da Main Computer</t>
  </si>
  <si>
    <t xml:space="preserve">Carregamento manual das trajetórias faltantes.</t>
  </si>
  <si>
    <t xml:space="preserve">LTS</t>
  </si>
  <si>
    <t xml:space="preserve">Monofluxo</t>
  </si>
  <si>
    <t xml:space="preserve">LTS T2 sem alimentação</t>
  </si>
  <si>
    <t xml:space="preserve">Disjuntor do circuito da LTS T2 desligado</t>
  </si>
  <si>
    <t xml:space="preserve">Localizado e religado alimentação da LTS</t>
  </si>
  <si>
    <t xml:space="preserve">21072021</t>
  </si>
  <si>
    <t xml:space="preserve"> OP600.1</t>
  </si>
  <si>
    <t xml:space="preserve">Comando para posição Repli sem movimento no robô</t>
  </si>
  <si>
    <t xml:space="preserve"> Erro interno na tela de colocação em Repli. </t>
  </si>
  <si>
    <t xml:space="preserve">Rotinas da aplicação corrompidas</t>
  </si>
  <si>
    <t xml:space="preserve">Carregamento do backup.</t>
  </si>
  <si>
    <t xml:space="preserve">22072021</t>
  </si>
  <si>
    <t xml:space="preserve"> Robô 3 </t>
  </si>
  <si>
    <t xml:space="preserve">Erro 50056 - Torque excessivo no eixo 5</t>
  </si>
  <si>
    <t xml:space="preserve"> Servo motor do eixo 5 danificado</t>
  </si>
  <si>
    <t xml:space="preserve"> Tempo de vida útil do servo motor atingido</t>
  </si>
  <si>
    <t xml:space="preserve">Desmontagem do punho e substituição do servo motor do eixo 5</t>
  </si>
  <si>
    <t xml:space="preserve">26072021</t>
  </si>
  <si>
    <t xml:space="preserve">Falha temperatura Drive principal martelo</t>
  </si>
  <si>
    <t xml:space="preserve">Falta de refrigeração do drive ventilador não ligou</t>
  </si>
  <si>
    <t xml:space="preserve"> Erro de ligação na substituição do drive por revisado para teste do mesmo</t>
  </si>
  <si>
    <t xml:space="preserve">Ligação do borne alimentação ventilador no terminal correto</t>
  </si>
  <si>
    <t xml:space="preserve">27072021</t>
  </si>
  <si>
    <t xml:space="preserve">Mesa C0  </t>
  </si>
  <si>
    <t xml:space="preserve">ASL - FM30</t>
  </si>
  <si>
    <t xml:space="preserve">Mesa C0 Falha: PMiA1 CNC NC Locator</t>
  </si>
  <si>
    <t xml:space="preserve">Falha de Bateria </t>
  </si>
  <si>
    <t xml:space="preserve">Falha de Bateria Controlador 1 Drive M3 (Falha interna Drive Amplificador) </t>
  </si>
  <si>
    <t xml:space="preserve">Substituição do Drive M3 e referenciamento, movimentações manuais todos locators e recolocação em ciclo</t>
  </si>
  <si>
    <t xml:space="preserve">29072021</t>
  </si>
  <si>
    <t xml:space="preserve">Piso</t>
  </si>
  <si>
    <t xml:space="preserve">Z4ZB: Def. carta de segurança  </t>
  </si>
  <si>
    <t xml:space="preserve">Erro de acionamento</t>
  </si>
  <si>
    <t xml:space="preserve">Cartão de saída modulo CPX em erro  </t>
  </si>
  <si>
    <t xml:space="preserve"> Substituição de avariado e restabelecimento do cicl</t>
  </si>
  <si>
    <t xml:space="preserve">09082021</t>
  </si>
  <si>
    <t xml:space="preserve">Robo 2</t>
  </si>
  <si>
    <t xml:space="preserve">Cross Carbeam</t>
  </si>
  <si>
    <t xml:space="preserve">Falha de solda (Buffer vazio) na aplicação do cordãox</t>
  </si>
  <si>
    <t xml:space="preserve">Retração do arame devido fuga interna no alimentador de arame</t>
  </si>
  <si>
    <t xml:space="preserve">Curto entre arame de solda e terra do dispositivo de solda A021 com o alimentador de arame</t>
  </si>
  <si>
    <t xml:space="preserve">Executado aterramento e isolação do alimentador</t>
  </si>
  <si>
    <t xml:space="preserve">Desarme Rele parada de emergencia na subida do Elevador </t>
  </si>
  <si>
    <t xml:space="preserve">Abertura da cadeia de segurança</t>
  </si>
  <si>
    <t xml:space="preserve">Fotocelula de segurança de entrada de skid no elevador oscilando sinal</t>
  </si>
  <si>
    <t xml:space="preserve">Executado limpeza e alinhamento da fotocelula</t>
  </si>
  <si>
    <t xml:space="preserve">16082021</t>
  </si>
  <si>
    <t xml:space="preserve">MOP Zona 3</t>
  </si>
  <si>
    <t xml:space="preserve">Linha Comum AG´s CSF3</t>
  </si>
  <si>
    <t xml:space="preserve">Zona degradado não 88,33+rearma </t>
  </si>
  <si>
    <t xml:space="preserve">Tensão de Alimentação baixa</t>
  </si>
  <si>
    <t xml:space="preserve">Problema alimentação cofre janela 159   </t>
  </si>
  <si>
    <t xml:space="preserve">Diagnóstico, será efetuado desligamento do barramento para reparo do cofre pela Utilidades 17/08 </t>
  </si>
  <si>
    <t xml:space="preserve">17082021</t>
  </si>
  <si>
    <t xml:space="preserve">TGSE 2</t>
  </si>
  <si>
    <t xml:space="preserve">45 min</t>
  </si>
  <si>
    <t xml:space="preserve">Perda do sistema rapid do stamp_ware</t>
  </si>
  <si>
    <t xml:space="preserve">Aconteceu este erro durante o chafab</t>
  </si>
  <si>
    <t xml:space="preserve">Realizado o P-Start do sistema para recompor o rapid </t>
  </si>
  <si>
    <t xml:space="preserve"> Balancele 3 ME1</t>
  </si>
  <si>
    <t xml:space="preserve">Balanceles ME1</t>
  </si>
  <si>
    <t xml:space="preserve">30 min</t>
  </si>
  <si>
    <t xml:space="preserve">Balancele parou no momento da elevação</t>
  </si>
  <si>
    <t xml:space="preserve">Análise será feita em 3º Turno, balancele removido para zona de manutenção</t>
  </si>
  <si>
    <t xml:space="preserve">Realizado movimentações manuais para chegar a posição.</t>
  </si>
  <si>
    <t xml:space="preserve">23082021</t>
  </si>
  <si>
    <t xml:space="preserve">Robô RX3</t>
  </si>
  <si>
    <t xml:space="preserve"> Robô não entra em funcionamento</t>
  </si>
  <si>
    <t xml:space="preserve">PC  controlador do Robô em erro</t>
  </si>
  <si>
    <t xml:space="preserve">Erro interno PC do Robô </t>
  </si>
  <si>
    <t xml:space="preserve">Substituição do PC do Robo e Remasterização </t>
  </si>
  <si>
    <t xml:space="preserve">OP310.2 Robô 2</t>
  </si>
  <si>
    <t xml:space="preserve">CU5</t>
  </si>
  <si>
    <t xml:space="preserve">Robô não realizava movimentos, não retornava para Repli</t>
  </si>
  <si>
    <t xml:space="preserve"> Problema no sistema, não chamava rotina gerando erro de "Tach non Arret"</t>
  </si>
  <si>
    <t xml:space="preserve"> Erro no sistema  </t>
  </si>
  <si>
    <t xml:space="preserve">Realizado o Backup do programa atual e descarregado uma versão anterior do programa completo</t>
  </si>
  <si>
    <t xml:space="preserve">02092021</t>
  </si>
  <si>
    <t xml:space="preserve">Prensa P12</t>
  </si>
  <si>
    <t xml:space="preserve">Falta ligação comando </t>
  </si>
  <si>
    <t xml:space="preserve"> Falha de Rede Profibus</t>
  </si>
  <si>
    <t xml:space="preserve">Mau contato conector Profibus no inversor Masterdrive</t>
  </si>
  <si>
    <t xml:space="preserve">Diagnóstico e substituição de conector Profibus do Master Drive </t>
  </si>
  <si>
    <t xml:space="preserve"> Robo D2  </t>
  </si>
  <si>
    <t xml:space="preserve">CSF1</t>
  </si>
  <si>
    <t xml:space="preserve">Robo não entra em operação</t>
  </si>
  <si>
    <t xml:space="preserve">Falha em telas de processo do Robo</t>
  </si>
  <si>
    <t xml:space="preserve">Problema interno Terminal de Programação do Robo </t>
  </si>
  <si>
    <t xml:space="preserve"> Substituição do TP e forçado reinstalação telas processo do TP </t>
  </si>
  <si>
    <t xml:space="preserve">03092021</t>
  </si>
  <si>
    <t xml:space="preserve">BR100</t>
  </si>
  <si>
    <t xml:space="preserve">Preliminar U79</t>
  </si>
  <si>
    <t xml:space="preserve">Zona fora de serviço </t>
  </si>
  <si>
    <t xml:space="preserve">Falha de rede</t>
  </si>
  <si>
    <t xml:space="preserve">Queda de tensão IMs 14/15 Curto circuito</t>
  </si>
  <si>
    <t xml:space="preserve">Passagem de cabo por fora derivado 24V do Stage Box para alimentação de IM, e abertura de OT para verificação do problema</t>
  </si>
  <si>
    <t xml:space="preserve">08092021</t>
  </si>
  <si>
    <t xml:space="preserve">Obturadores Cera P3</t>
  </si>
  <si>
    <t xml:space="preserve">Falha Módulos Rfid e defeito vida PLC</t>
  </si>
  <si>
    <t xml:space="preserve">Erro na leitura RFID</t>
  </si>
  <si>
    <t xml:space="preserve"> Defeito comunicação de rede, travando</t>
  </si>
  <si>
    <t xml:space="preserve">Instalado Notebook para acesso ao programa de CLP e Reinicialização a partir de manual PLATEC para inicialização dos modulos e antenas RFID</t>
  </si>
  <si>
    <t xml:space="preserve">09092021</t>
  </si>
  <si>
    <t xml:space="preserve">Falha no PC de exploração da linha</t>
  </si>
  <si>
    <t xml:space="preserve">Corrompeu o HD</t>
  </si>
  <si>
    <t xml:space="preserve">Reinstalado um PC backup e refeito as conexões de clp, ihm e SMP</t>
  </si>
  <si>
    <t xml:space="preserve">Mesa de giro</t>
  </si>
  <si>
    <t xml:space="preserve">Cross Carbin</t>
  </si>
  <si>
    <t xml:space="preserve">Falha no giro da mesa </t>
  </si>
  <si>
    <t xml:space="preserve">Parafuso da esteira porta cabos soltou e caiu</t>
  </si>
  <si>
    <t xml:space="preserve">Espanou a rosca do parafuso e com isso teve de parar a linha para correção</t>
  </si>
  <si>
    <t xml:space="preserve">Realizado a substituição do parafuso de fixação por outro com porca para travar</t>
  </si>
  <si>
    <t xml:space="preserve">Capo/Cofre PAR070</t>
  </si>
  <si>
    <t xml:space="preserve">Erro na rede DeviceNet</t>
  </si>
  <si>
    <t xml:space="preserve">Falha na placa de comunicação do Robô R2</t>
  </si>
  <si>
    <t xml:space="preserve"> Travou a comunicação entre robô e PLC</t>
  </si>
  <si>
    <t xml:space="preserve">Realizado a verificação e diagnosticado no nó 7 (Robô R2) após isso realizado reset do robô para inicialização. Corrigiu com isso a interface de comunicação</t>
  </si>
  <si>
    <t xml:space="preserve">10092021</t>
  </si>
  <si>
    <t xml:space="preserve"> Robô R8</t>
  </si>
  <si>
    <t xml:space="preserve">AFM1 - FM60</t>
  </si>
  <si>
    <t xml:space="preserve">TP do Robô com tela escura</t>
  </si>
  <si>
    <t xml:space="preserve">Falha no módulo Main do Robô fanuc</t>
  </si>
  <si>
    <t xml:space="preserve">Defeito no sistema da placa</t>
  </si>
  <si>
    <t xml:space="preserve">Substituída a placa, reinstalado o sistema do robô e refeita a calibração dos eixos</t>
  </si>
  <si>
    <t xml:space="preserve"> Ilha MIR</t>
  </si>
  <si>
    <t xml:space="preserve">Não realizava a aplicação de mastic no vidro</t>
  </si>
  <si>
    <t xml:space="preserve">Travou a válvula de liberação de mastic para o dosador </t>
  </si>
  <si>
    <t xml:space="preserve"> Embolo da válvula travado com mastic seco</t>
  </si>
  <si>
    <t xml:space="preserve"> Realizado a desmontagem da válvula e limpeza interna de seus componente</t>
  </si>
  <si>
    <t xml:space="preserve">13092021</t>
  </si>
  <si>
    <t xml:space="preserve">PC Supervisório e SMPLOC</t>
  </si>
  <si>
    <t xml:space="preserve"> Supervisório e SMPLOC fora de operação</t>
  </si>
  <si>
    <t xml:space="preserve">PC com falha na inicialização erro arquivo "notskrnl.exe"</t>
  </si>
  <si>
    <t xml:space="preserve">Arquivo corrompido HD com problema</t>
  </si>
  <si>
    <t xml:space="preserve">Descarregamento da imagem em outro HD e colocação dos arquivos de Backup</t>
  </si>
  <si>
    <t xml:space="preserve"> Ponte Rolante</t>
  </si>
  <si>
    <t xml:space="preserve">Ponte rolante não movimenta</t>
  </si>
  <si>
    <t xml:space="preserve">Falta comando para movimentação da ponte</t>
  </si>
  <si>
    <t xml:space="preserve">Cabo preso na estrutura faltando comando para movimentação </t>
  </si>
  <si>
    <t xml:space="preserve"> Diagnóstico e Reparo do cabo danificado</t>
  </si>
  <si>
    <t xml:space="preserve">15092021</t>
  </si>
  <si>
    <t xml:space="preserve">PC Visão</t>
  </si>
  <si>
    <t xml:space="preserve">Defeito Camera e defeito controle se visão ilha (Faha do sistema de visão)</t>
  </si>
  <si>
    <t xml:space="preserve">Tempo excedido na verificaçao do sistema de visão, erro ao salvar as imagens no PC do sistema de visão</t>
  </si>
  <si>
    <t xml:space="preserve">Drive "hDd" de armazenamento das imagens cheio sem espaço</t>
  </si>
  <si>
    <t xml:space="preserve">Sistema colocado em by pass, passado a engenharia, verificação junto a manutenção e qualidade definição para exclusão de arquivos mais antigos. (Aguardando definição engenharia, manutenção e qualidade tratativa do problema HD cheio)</t>
  </si>
  <si>
    <t xml:space="preserve">17092021</t>
  </si>
  <si>
    <r>
      <rPr>
        <b val="true"/>
        <sz val="11"/>
        <rFont val="Calibri"/>
        <family val="2"/>
        <charset val="1"/>
      </rPr>
      <t xml:space="preserve"> </t>
    </r>
    <r>
      <rPr>
        <sz val="11"/>
        <rFont val="Calibri"/>
        <family val="2"/>
        <charset val="1"/>
      </rPr>
      <t xml:space="preserve">Banco de teste 3   </t>
    </r>
  </si>
  <si>
    <t xml:space="preserve">Erro na realização do teste</t>
  </si>
  <si>
    <t xml:space="preserve">Controle de velocidade do motor principal em erro</t>
  </si>
  <si>
    <t xml:space="preserve">Encoder do Spindle com problema  </t>
  </si>
  <si>
    <t xml:space="preserve">Diagnóstico problema no encoder e desmontagem do motor para substituição do encoder (necessaria confecção de dispositivo para sacar encoder para substituição).</t>
  </si>
  <si>
    <t xml:space="preserve">20092021</t>
  </si>
  <si>
    <t xml:space="preserve">CS20</t>
  </si>
  <si>
    <t xml:space="preserve">AG X62</t>
  </si>
  <si>
    <t xml:space="preserve"> Mesa B1 CS20, Defeito PokaYoke Modelo Vitre/Tole </t>
  </si>
  <si>
    <t xml:space="preserve">Erro de diversidade no posto carro físico diferente do modelo na lógica</t>
  </si>
  <si>
    <t xml:space="preserve"> Inserção de veículo no buffer </t>
  </si>
  <si>
    <t xml:space="preserve">Ajuste das diversidades nos postos AG do X62, colocação Robos CS120 em Home e colocação postos em ciclo. </t>
  </si>
  <si>
    <t xml:space="preserve">22092021</t>
  </si>
  <si>
    <t xml:space="preserve">MOP PLC</t>
  </si>
  <si>
    <t xml:space="preserve">Ilha RF1</t>
  </si>
  <si>
    <t xml:space="preserve">Falha na comunicação com Siptol defeito resposta do calculador</t>
  </si>
  <si>
    <t xml:space="preserve"> Falha na comunicação com o Siptol</t>
  </si>
  <si>
    <t xml:space="preserve">Erro na rede Ethernet na comunicação com o SIPTOL </t>
  </si>
  <si>
    <t xml:space="preserve">Realizado inversão dos pontos de rede de comunicação com o Siptol e reset da comunicação API dos pontos em falha no servidor SIPTOL. </t>
  </si>
  <si>
    <t xml:space="preserve">Prensa jundiaí1</t>
  </si>
  <si>
    <t xml:space="preserve">MP</t>
  </si>
  <si>
    <t xml:space="preserve">Falha na aplicação do golpe da prensa</t>
  </si>
  <si>
    <t xml:space="preserve">Pressão insuficiente para engate da máquina </t>
  </si>
  <si>
    <t xml:space="preserve">Erro durante golpe e erros lubrificação de almofada ativo </t>
  </si>
  <si>
    <t xml:space="preserve">realizado o reset das falhas ativas no software e ajustes pela operação para rodar a maquina. memory card e o download de todo o programa da CPU do PLC, após isso realizado os ajustes necessário para liberação da prensa</t>
  </si>
  <si>
    <t xml:space="preserve">Prensa jundiaí 2 </t>
  </si>
  <si>
    <t xml:space="preserve">Não realizava a leitura do CLP</t>
  </si>
  <si>
    <t xml:space="preserve"> Perdeu programa e configurações do PLC, cartão de memória corrompido </t>
  </si>
  <si>
    <r>
      <rPr>
        <b val="true"/>
        <sz val="11"/>
        <rFont val="Calibri"/>
        <family val="2"/>
        <charset val="1"/>
      </rPr>
      <t xml:space="preserve"> </t>
    </r>
    <r>
      <rPr>
        <sz val="11"/>
        <rFont val="Calibri"/>
        <family val="2"/>
        <charset val="1"/>
      </rPr>
      <t xml:space="preserve"> Arquivos corrompidos no programa  </t>
    </r>
  </si>
  <si>
    <t xml:space="preserve">Realizado o reset do memory card e o download de todo o programa da CPU do PLC, após isso realizado os ajustes necessário para liberação da prensa. </t>
  </si>
  <si>
    <t xml:space="preserve">23092021</t>
  </si>
  <si>
    <t xml:space="preserve">Sistema de repuxo</t>
  </si>
  <si>
    <t xml:space="preserve">TGSE 1</t>
  </si>
  <si>
    <t xml:space="preserve">Não realizava o reposicionamento do repuxo após o golpe da prensa </t>
  </si>
  <si>
    <t xml:space="preserve"> Sinal de prensa pronta mas não gera falha na IHM e para o golpe </t>
  </si>
  <si>
    <t xml:space="preserve">Em diagnóstico junto a Schuler</t>
  </si>
  <si>
    <t xml:space="preserve">Transportador e controle transporte</t>
  </si>
  <si>
    <t xml:space="preserve">Estação Base</t>
  </si>
  <si>
    <t xml:space="preserve">TRANSP ST20 - Detect. Fechamen Stop (Erro na abertura de trava do carrinho da Base 1)</t>
  </si>
  <si>
    <t xml:space="preserve">Erro na abertura de trava do carrinho da Base 1 </t>
  </si>
  <si>
    <t xml:space="preserve">Em analise (inicio do problema após inserção de cartões de segurança pela engenharia);</t>
  </si>
  <si>
    <t xml:space="preserve">posicionamento dos carrinhos e colocação da Estação em ciclo</t>
  </si>
  <si>
    <t xml:space="preserve">Goujon do J4 pinça 1 </t>
  </si>
  <si>
    <t xml:space="preserve"> Não realizava a soldagem do pino goujon</t>
  </si>
  <si>
    <t xml:space="preserve">Estava em curto um pino dentro do tubo do alimentador </t>
  </si>
  <si>
    <t xml:space="preserve">Fundiu pino dentro do tubo do alimentador gerando curto na pistola e não deixando passagem livre para a aplicação</t>
  </si>
  <si>
    <t xml:space="preserve">Substituído o tubo do alimentador por um reserva</t>
  </si>
  <si>
    <t xml:space="preserve">Não realizava o reposicionamento do repuxo após o golpe da prensa</t>
  </si>
  <si>
    <t xml:space="preserve">Sem resposta dos sinais de posição, apesar de no software estar prensa pronta</t>
  </si>
  <si>
    <t xml:space="preserve">Travou as  leituras no cartão FM da prensa;</t>
  </si>
  <si>
    <t xml:space="preserve">Realizado o reset dos módulos do PLC </t>
  </si>
  <si>
    <t xml:space="preserve">27092021</t>
  </si>
  <si>
    <t xml:space="preserve">PC Sistema visão</t>
  </si>
  <si>
    <t xml:space="preserve">SE4 Ilha de Vidros</t>
  </si>
  <si>
    <t xml:space="preserve">Descarte do vidro Erro sistema de visão</t>
  </si>
  <si>
    <t xml:space="preserve">Falta de condições sistema de visão  </t>
  </si>
  <si>
    <t xml:space="preserve">Software no modo programação</t>
  </si>
  <si>
    <t xml:space="preserve">Passagem dos carros sem vidro para colagem posterior Reinicio do computador e colocação do software no modo medição  </t>
  </si>
  <si>
    <t xml:space="preserve">PLC </t>
  </si>
  <si>
    <t xml:space="preserve">Linha Final</t>
  </si>
  <si>
    <t xml:space="preserve">DF bom funcionamento CLP</t>
  </si>
  <si>
    <t xml:space="preserve">Falha de rede RIO</t>
  </si>
  <si>
    <t xml:space="preserve">Mau contato conexões de rede cabo muito esticado dentro da calha</t>
  </si>
  <si>
    <t xml:space="preserve">Verificação e colocação de nós que não estavam sendo monitorados na lógica do PLC e reconexão de cabos com mau contato</t>
  </si>
  <si>
    <t xml:space="preserve">PSF </t>
  </si>
  <si>
    <t xml:space="preserve">PSF</t>
  </si>
  <si>
    <t xml:space="preserve">Erro PJI dos carros</t>
  </si>
  <si>
    <t xml:space="preserve">PJI Expirados</t>
  </si>
  <si>
    <t xml:space="preserve">Carros muito tempo parados PJI expiraram no PSF </t>
  </si>
  <si>
    <t xml:space="preserve">01102021</t>
  </si>
  <si>
    <t xml:space="preserve">Ilha PTAV</t>
  </si>
  <si>
    <t xml:space="preserve">PTAV-R</t>
  </si>
  <si>
    <t xml:space="preserve">Ilha roda até a prensagem fica parada e não continua ciclo</t>
  </si>
  <si>
    <t xml:space="preserve">Lógica incorreta resetando memórias de trabalho indevidamente</t>
  </si>
  <si>
    <t xml:space="preserve">Modificação lógica CLP devido inserção PDM (Plado de monitoramento) na ilha</t>
  </si>
  <si>
    <t xml:space="preserve">Diagnóstico e colocação dos robôs em repli e bloqueio na lógica do ponto de reset indevido para passagem a engenhario o problema e correção da lógica</t>
  </si>
  <si>
    <t xml:space="preserve">MOX</t>
  </si>
  <si>
    <t xml:space="preserve">Preparação Motor e Caixa</t>
  </si>
  <si>
    <t xml:space="preserve">Falta movimentação da talha</t>
  </si>
  <si>
    <t xml:space="preserve">Ausencia de comando</t>
  </si>
  <si>
    <t xml:space="preserve">Problema no controle wireless</t>
  </si>
  <si>
    <t xml:space="preserve">Substituido o controle por um terceiro controle reversa nao</t>
  </si>
  <si>
    <t xml:space="preserve">04102021</t>
  </si>
  <si>
    <t xml:space="preserve">LRD071</t>
  </si>
  <si>
    <t xml:space="preserve">Preparação Unit Arriere</t>
  </si>
  <si>
    <t xml:space="preserve">Dispositivo não fecha, falha de ciclo</t>
  </si>
  <si>
    <t xml:space="preserve">Perda de sequencia ou ausencia de sinal</t>
  </si>
  <si>
    <t xml:space="preserve">Desligamento painel houve perda do programa, descarregado backup e colocação do dispositivo em ciclo</t>
  </si>
  <si>
    <t xml:space="preserve">Laterla Esq X62</t>
  </si>
  <si>
    <t xml:space="preserve">Erro de chamada de programa erro de solda no controlador, pinça não solda</t>
  </si>
  <si>
    <t xml:space="preserve">Em diagnostico continuação no segundo turno</t>
  </si>
  <si>
    <t xml:space="preserve">Tritante</t>
  </si>
  <si>
    <t xml:space="preserve">Tritante cheio e parado aguardando carro</t>
  </si>
  <si>
    <t xml:space="preserve">Bloqueio de filme e carrocerias pelo DLI</t>
  </si>
  <si>
    <t xml:space="preserve">Restrição de filme devido saída de operadores</t>
  </si>
  <si>
    <t xml:space="preserve">Envio de carrocerias em manual para pintura, para abertura de vaga em mesas de ajuste de sequencia filme</t>
  </si>
  <si>
    <t xml:space="preserve">Gerando alarme no controlador da pinça, não soldava</t>
  </si>
  <si>
    <t xml:space="preserve">Falha no jumper da segunda pinça, como não usa o jumper serve para não gerar as falhas referente a pinça que não está sendo usada, visto que o painel é para aplicação de 2 pinças</t>
  </si>
  <si>
    <t xml:space="preserve">Fios do conector de jumper rompidos na ligação do conector de by pass</t>
  </si>
  <si>
    <t xml:space="preserve">Substituído o conector de by pass da pinça</t>
  </si>
  <si>
    <t xml:space="preserve">Banco paralelismos</t>
  </si>
  <si>
    <t xml:space="preserve">Não realizava a leitura do leitor de códigos de barras da carta, não liberava setup do modelo</t>
  </si>
  <si>
    <t xml:space="preserve">Erro no leitor de códigos</t>
  </si>
  <si>
    <t xml:space="preserve">Perda de configuração do leitor</t>
  </si>
  <si>
    <t xml:space="preserve">Realizado o reset e a reconfiguração do leitor para os códigos específicos</t>
  </si>
  <si>
    <t xml:space="preserve">05102021</t>
  </si>
  <si>
    <t xml:space="preserve">LVD101</t>
  </si>
  <si>
    <t xml:space="preserve">Preparação Longarina</t>
  </si>
  <si>
    <t xml:space="preserve">Erro na colocação em serviço Z1</t>
  </si>
  <si>
    <t xml:space="preserve">Discrepância leitura retorno contator</t>
  </si>
  <si>
    <t xml:space="preserve">Demora na queda feedback sinal cartão M9</t>
  </si>
  <si>
    <t xml:space="preserve">Diagnóstico, retirada e reinserido cartão safety e restart da instalação</t>
  </si>
  <si>
    <t xml:space="preserve">LRD 0071</t>
  </si>
  <si>
    <t xml:space="preserve">Preparação UAR</t>
  </si>
  <si>
    <t xml:space="preserve">CPU entrando em falha várias vezes ao dia</t>
  </si>
  <si>
    <t xml:space="preserve">CPU parava em stop e não reinicializava, tinha que ser feito o reset para subir novamente</t>
  </si>
  <si>
    <t xml:space="preserve">Substituída a CPU (microLogix)
Obs: Realizada a substituição em horário de janta para não ter parada de linha</t>
  </si>
  <si>
    <t xml:space="preserve">Robôs sistema de visão</t>
  </si>
  <si>
    <t xml:space="preserve">Não realiza movimentos no robô gera falha</t>
  </si>
  <si>
    <t xml:space="preserve">Problema de sincronização com o encoder</t>
  </si>
  <si>
    <t xml:space="preserve">Tinha um fio solto no conector do divisor de sinais do encoder, porém após desligar o módulo para reparo os 2 robôs não voltaram gerando erro no tracking</t>
  </si>
  <si>
    <t xml:space="preserve">Será realizado em 3º turno devido a não perder produção e será verificado os motivos da falha</t>
  </si>
  <si>
    <t xml:space="preserve">06102021</t>
  </si>
  <si>
    <t xml:space="preserve">Ilha visão</t>
  </si>
  <si>
    <t xml:space="preserve">Suporte ilha de vidros problema encoder</t>
  </si>
  <si>
    <t xml:space="preserve">Robo L5</t>
  </si>
  <si>
    <t xml:space="preserve">NBS CBSR Esquerda</t>
  </si>
  <si>
    <t xml:space="preserve">Solicitação de troca de eletrodo</t>
  </si>
  <si>
    <t xml:space="preserve">Desarme disjuntor 24V</t>
  </si>
  <si>
    <t xml:space="preserve">Curto circuito interno distribuidor de sinais da fresa</t>
  </si>
  <si>
    <t xml:space="preserve">Diagnóstico e substituião do distribuidor de sinais</t>
  </si>
  <si>
    <t xml:space="preserve">28092021</t>
  </si>
  <si>
    <t xml:space="preserve">PC SMPLOC SAO</t>
  </si>
  <si>
    <t xml:space="preserve">Geral SAO</t>
  </si>
  <si>
    <t xml:space="preserve">Falha no start IHM SMPLOC</t>
  </si>
  <si>
    <t xml:space="preserve">Erro de conexão base 0</t>
  </si>
  <si>
    <t xml:space="preserve">Falha da base de dados do PC</t>
  </si>
  <si>
    <t xml:space="preserve">Substituição do HD com imagem reinstalação do SMPLOC e efetuada geração completa do SMPLOC</t>
  </si>
  <si>
    <t xml:space="preserve">ECFF</t>
  </si>
  <si>
    <t xml:space="preserve">Falha de sistema (Erro de leitura SMB)</t>
  </si>
  <si>
    <t xml:space="preserve">Falha na conexão com o sistema SMB</t>
  </si>
  <si>
    <t xml:space="preserve">Encontrado ponto de curto no cabo de sinal</t>
  </si>
  <si>
    <t xml:space="preserve">Retirado o ponto de curto e passado limpa contato na smb</t>
  </si>
  <si>
    <t xml:space="preserve">Mesa 102</t>
  </si>
  <si>
    <t xml:space="preserve">Desarme do drivebox no giro da mesa</t>
  </si>
  <si>
    <t xml:space="preserve">Falha no drivebox</t>
  </si>
  <si>
    <t xml:space="preserve">Modulo de potência queimado</t>
  </si>
  <si>
    <t xml:space="preserve">Substituído módulo de potência</t>
  </si>
  <si>
    <t xml:space="preserve">Talha de motores</t>
  </si>
  <si>
    <t xml:space="preserve">Escorregamento na subida e descida da talha</t>
  </si>
  <si>
    <t xml:space="preserve">Falha no comando da talha</t>
  </si>
  <si>
    <t xml:space="preserve">Placa de controle de talha com defeito</t>
  </si>
  <si>
    <t xml:space="preserve">Substituído a placa de comando</t>
  </si>
  <si>
    <t xml:space="preserve">29092021</t>
  </si>
  <si>
    <t xml:space="preserve">Falha na leitura dos dados da tag RFID</t>
  </si>
  <si>
    <t xml:space="preserve">Perda dos dados de sequência da linha</t>
  </si>
  <si>
    <t xml:space="preserve">Após a colisão entre skids, ao fazer as manobras de linha pode ter sido perdido a sequência correta de dados, causando conflito nos dados</t>
  </si>
  <si>
    <t xml:space="preserve">Verificado o leitor de RFID, conferido as tabelas de dados e forçado a liberação de carro até o alinhamento das informações</t>
  </si>
  <si>
    <t xml:space="preserve">Esteira de saída</t>
  </si>
  <si>
    <t xml:space="preserve">T7</t>
  </si>
  <si>
    <t xml:space="preserve">Esteira de peça ok saturada</t>
  </si>
  <si>
    <t xml:space="preserve">Sem alimentação no contador de acionamentos da esteira</t>
  </si>
  <si>
    <t xml:space="preserve">Falha no cartão de saída CLP</t>
  </si>
  <si>
    <t xml:space="preserve">Retirado o cartão e recolocado. Resetado a falha. Possível falha no cartão por aquecimento</t>
  </si>
  <si>
    <t xml:space="preserve">07102021</t>
  </si>
  <si>
    <t xml:space="preserve">TE12</t>
  </si>
  <si>
    <t xml:space="preserve">ME1</t>
  </si>
  <si>
    <t xml:space="preserve">Falha no movimento elevatório da mesa TE12</t>
  </si>
  <si>
    <t xml:space="preserve">Rompimento de 1 cinta de tração</t>
  </si>
  <si>
    <t xml:space="preserve">Substituição das 2 cintas de tração</t>
  </si>
  <si>
    <t xml:space="preserve">08102021</t>
  </si>
  <si>
    <t xml:space="preserve">Dispositivo D0</t>
  </si>
  <si>
    <t xml:space="preserve">Lateral Esquerda X62</t>
  </si>
  <si>
    <t xml:space="preserve">Defeito Profinet</t>
  </si>
  <si>
    <t xml:space="preserve">Falha módulo CPX02 danificado curto circuito na válvula de freio</t>
  </si>
  <si>
    <t xml:space="preserve">Colisão da talha com o módulo</t>
  </si>
  <si>
    <t xml:space="preserve">Substituição do módulo e reconfigurado</t>
  </si>
  <si>
    <t xml:space="preserve">13102021</t>
  </si>
  <si>
    <t xml:space="preserve">PLCs FM1 e BM1 X52</t>
  </si>
  <si>
    <t xml:space="preserve">FM e BM X52</t>
  </si>
  <si>
    <t xml:space="preserve">Perda marcha auto zonas FM e BM, desarme segurança nas ilhas FM1 e BM1</t>
  </si>
  <si>
    <t xml:space="preserve">Possível erro no programa Safety</t>
  </si>
  <si>
    <t xml:space="preserve">Modificação adequação de segurança</t>
  </si>
  <si>
    <t xml:space="preserve">Descarregado programas dos PLCs de antes da modificação e ajustes das memórias das linhas FM1 e BM1</t>
  </si>
  <si>
    <t xml:space="preserve">PTAV Robotizada</t>
  </si>
  <si>
    <t xml:space="preserve">Falha de presenç de peça e falha de ar</t>
  </si>
  <si>
    <t xml:space="preserve">Porta fuse retornando junto com Robô, e falha conjunto tratamento de ar</t>
  </si>
  <si>
    <t xml:space="preserve">Trajetória de depósito e problema bloco de válcula de tratamento de ar prensa</t>
  </si>
  <si>
    <t xml:space="preserve">22102021</t>
  </si>
  <si>
    <t xml:space="preserve">ASL</t>
  </si>
  <si>
    <t xml:space="preserve">Falha na posição do cabideiro</t>
  </si>
  <si>
    <t xml:space="preserve">Cabideiro passou do ponto de parada para pega do robô</t>
  </si>
  <si>
    <t xml:space="preserve">Ao fazer procedimento de abertura de portão, causou a parada do cabideiro em uma condição onde foi possível ele ficar fora do ponto de parada</t>
  </si>
  <si>
    <t xml:space="preserve">Ajustado o cabideiro para a posição correta e verificado um erro na logica que acabou permitindo a perda da posição de parada. Corrigido a lógica</t>
  </si>
  <si>
    <t xml:space="preserve">27102021</t>
  </si>
  <si>
    <t xml:space="preserve">Robo B3 - Griper B31</t>
  </si>
  <si>
    <t xml:space="preserve">ACL2 Capo e Cofre</t>
  </si>
  <si>
    <t xml:space="preserve">Falha profinet no Griper B31</t>
  </si>
  <si>
    <t xml:space="preserve">Falha no conjunto de saída 8 DO</t>
  </si>
  <si>
    <t xml:space="preserve">Diagnóstico e substitu~ição do módulo 8 DO do Griper B31</t>
  </si>
  <si>
    <t xml:space="preserve">03112021</t>
  </si>
  <si>
    <t xml:space="preserve">Mesa TP25</t>
  </si>
  <si>
    <t xml:space="preserve"> Mesa saida estufa erro de posicionamento </t>
  </si>
  <si>
    <t xml:space="preserve">Falta acionamento Sensor de posição</t>
  </si>
  <si>
    <t xml:space="preserve">Sensor de posição via de retorno rompida</t>
  </si>
  <si>
    <t xml:space="preserve"> Diagnóstico by pass para rodar degradado e reparo da ligação do sensor</t>
  </si>
  <si>
    <t xml:space="preserve">MOP Destacker</t>
  </si>
  <si>
    <t xml:space="preserve">SMPLOC fora de comunicação</t>
  </si>
  <si>
    <t xml:space="preserve">Erro na base de dados</t>
  </si>
  <si>
    <t xml:space="preserve"> Criação de base nova e descarregamento de configuração  </t>
  </si>
  <si>
    <t xml:space="preserve">Robo da OP410</t>
  </si>
  <si>
    <t xml:space="preserve">Cabeçote CU5</t>
  </si>
  <si>
    <t xml:space="preserve">Falha na ativação dos freios </t>
  </si>
  <si>
    <t xml:space="preserve"> Falta alimentação para liberação dos freios</t>
  </si>
  <si>
    <t xml:space="preserve"> Mau contato conector harting na base do Robo</t>
  </si>
  <si>
    <t xml:space="preserve">Desmontagem conetor e retirada de um dos terras do conetor que estava impedindo conexão correta</t>
  </si>
  <si>
    <t xml:space="preserve"> Robo J8</t>
  </si>
  <si>
    <t xml:space="preserve">BM90 U79 </t>
  </si>
  <si>
    <t xml:space="preserve">SR: DEFEITO DETECCAO DE AGUA  </t>
  </si>
  <si>
    <t xml:space="preserve"> Colagem de eletrodo (Ao realizar o deslocamento com a bicicleta, o cabo do TP prendeu no aro ocasionando a quebra do conector do cabo do TP)</t>
  </si>
  <si>
    <t xml:space="preserve"> Recolocado eletrodo, recuperado o ciclo e liberado em modo automático. Após arrebentar o cabo Realizado substituição do cabo e TP, os mesmos foram retirados do robô de treinamento.</t>
  </si>
  <si>
    <t xml:space="preserve"> PC controle medição dobradoras</t>
  </si>
  <si>
    <t xml:space="preserve">Picking MO</t>
  </si>
  <si>
    <t xml:space="preserve">Não é possivel a realização da medição dos tubos </t>
  </si>
  <si>
    <t xml:space="preserve">Erro na execução do programa</t>
  </si>
  <si>
    <t xml:space="preserve"> Reinicio do PC e recolocação do plano de monitoramento e configuração da cabeça de medição</t>
  </si>
  <si>
    <t xml:space="preserve"> Banco de Paralelismo 2</t>
  </si>
  <si>
    <t xml:space="preserve">Linha de Validação</t>
  </si>
  <si>
    <t xml:space="preserve">Banco não realiza a impressão das etiquetas </t>
  </si>
  <si>
    <t xml:space="preserve">Falha de comunicação </t>
  </si>
  <si>
    <t xml:space="preserve">necessário analise posterior  </t>
  </si>
  <si>
    <t xml:space="preserve">Reinicio do PC do PEV e da impressora</t>
  </si>
  <si>
    <t xml:space="preserve">04112021</t>
  </si>
  <si>
    <t xml:space="preserve">MOP Parachoque HJD </t>
  </si>
  <si>
    <t xml:space="preserve">Parachoque</t>
  </si>
  <si>
    <t xml:space="preserve">Falha de comunicação SMPLOC</t>
  </si>
  <si>
    <t xml:space="preserve">Falha na aplicação SMPLOC</t>
  </si>
  <si>
    <t xml:space="preserve">Erro na aplicação IHMSMPLOC  </t>
  </si>
  <si>
    <t xml:space="preserve"> Reinstalação do IHMSMPLOC e desc conf da Central  </t>
  </si>
  <si>
    <t xml:space="preserve">05112021</t>
  </si>
  <si>
    <t xml:space="preserve">PC SMPLOC Linha Final</t>
  </si>
  <si>
    <t xml:space="preserve">Falha na abertura Runtime FTView</t>
  </si>
  <si>
    <t xml:space="preserve">Runtime não encontrou a licensa abrindo como </t>
  </si>
  <si>
    <t xml:space="preserve">Execução do RSLinx antes do FTView utilizando a licença</t>
  </si>
  <si>
    <t xml:space="preserve"> Desativação temporária do RSLinx, reinicialização do PC e abertura Ftview antes do Linx</t>
  </si>
  <si>
    <t xml:space="preserve">PC Concentrador Sam</t>
  </si>
  <si>
    <t xml:space="preserve"> Bloco</t>
  </si>
  <si>
    <t xml:space="preserve"> SAM IP: 10.216.1.115 PC Concentrador não comunica</t>
  </si>
  <si>
    <t xml:space="preserve">Falha de comunicação do PC com a Central</t>
  </si>
  <si>
    <t xml:space="preserve"> Cabo de rede "Patcord" com problema</t>
  </si>
  <si>
    <t xml:space="preserve"> Diagnóstico e substituição do cabo de rede</t>
  </si>
  <si>
    <t xml:space="preserve">Posto 150 Robo 1 </t>
  </si>
  <si>
    <t xml:space="preserve"> Curto circuito no resistor de frenagem (intervenção no segundo turno)</t>
  </si>
  <si>
    <t xml:space="preserve"> Falha na resistencia de Frenagem</t>
  </si>
  <si>
    <t xml:space="preserve">Realizado Boot na ocorrencia da falha para rodar. No segundo turno sem produção substituido o Resistor de frenagem   </t>
  </si>
  <si>
    <t xml:space="preserve">06112021</t>
  </si>
  <si>
    <t xml:space="preserve">Pinça de solda automatica em falha </t>
  </si>
  <si>
    <t xml:space="preserve">08112021</t>
  </si>
  <si>
    <t xml:space="preserve">  Robô G4</t>
  </si>
  <si>
    <t xml:space="preserve"> Colisão da pinça com a carroceria, e falha na ativação dos módulos após reinicio do robô</t>
  </si>
  <si>
    <t xml:space="preserve">Provável problema de MOP na calibração do soft equalize, na intervenção de fim de semana</t>
  </si>
  <si>
    <t xml:space="preserve"> Reiniciado substituição do TP restauração de backup e ativação manual dos módulos (programado trabalho 3 turno para restabelecimento do Equalizer que ficou desabilitado);</t>
  </si>
  <si>
    <t xml:space="preserve">Acostagem U79</t>
  </si>
  <si>
    <t xml:space="preserve">Motor fora de posição na acostagem</t>
  </si>
  <si>
    <t xml:space="preserve">Defeito no ciclo da acostagem</t>
  </si>
  <si>
    <t xml:space="preserve">Resetado todas as memorias da mesa e reciclado processo de acostagem</t>
  </si>
  <si>
    <t xml:space="preserve">09112021</t>
  </si>
  <si>
    <t xml:space="preserve">  Mesa Transbordo 05</t>
  </si>
  <si>
    <t xml:space="preserve">Trim U79 </t>
  </si>
  <si>
    <t xml:space="preserve">Z1: T05 FALHA EM MOVIMENTACAO DA ESTEIRA </t>
  </si>
  <si>
    <t xml:space="preserve">Erro no acionamento dos rolos da mesa</t>
  </si>
  <si>
    <t xml:space="preserve"> Diagnostico e rodando degradado (Substituição do cabo do motor da mesa e da soft starter de acionamento do motor "no intervalo da janta")</t>
  </si>
  <si>
    <t xml:space="preserve">10112021</t>
  </si>
  <si>
    <t xml:space="preserve">Robo J6</t>
  </si>
  <si>
    <t xml:space="preserve">Defeito geral de CPS (Solda)</t>
  </si>
  <si>
    <t xml:space="preserve">Arrebentou Shunt do flexível refrigerado</t>
  </si>
  <si>
    <t xml:space="preserve">Desgaste na junção da emenda</t>
  </si>
  <si>
    <t xml:space="preserve">Substituído Shunt</t>
  </si>
  <si>
    <t xml:space="preserve">11112021</t>
  </si>
  <si>
    <t xml:space="preserve">Desacostagem TE13</t>
  </si>
  <si>
    <t xml:space="preserve">U79 - TAPF </t>
  </si>
  <si>
    <t xml:space="preserve">Saturação Desacostagem</t>
  </si>
  <si>
    <t xml:space="preserve">Acionamento indevido sensor fotocélula Base pourtese sobre a mesa (Balancele 15 base porteuse 11)</t>
  </si>
  <si>
    <t xml:space="preserve">Necessária verificação alinhamento dos braços do balancelle 15</t>
  </si>
  <si>
    <t xml:space="preserve"> By pass de condições para movimento da mesa e colocação em ciclo</t>
  </si>
  <si>
    <t xml:space="preserve">12112021</t>
  </si>
  <si>
    <t xml:space="preserve">Montadora de Rodas</t>
  </si>
  <si>
    <t xml:space="preserve">Roda caindo na montadora</t>
  </si>
  <si>
    <t xml:space="preserve"> Falha na aplicação de sabão</t>
  </si>
  <si>
    <t xml:space="preserve">Bico de aplicação de sabão de pneu entupido </t>
  </si>
  <si>
    <t xml:space="preserve">impeza de bico e restabelecimento de ciclo, e dificuldade de retorno maquina em ciclo ausencia de sinal da fotocelula de detecção de pneu na montadora substituição e ajuste do sensor (I33.6 S1-E33.6)</t>
  </si>
  <si>
    <t xml:space="preserve">PC controle medição dobradoras </t>
  </si>
  <si>
    <t xml:space="preserve">Picking MO </t>
  </si>
  <si>
    <t xml:space="preserve">Problema na execução do programa de controle de medição</t>
  </si>
  <si>
    <t xml:space="preserve"> Problema na execução do programa de controle de medição e na geração da impressão do relatório de medição</t>
  </si>
  <si>
    <t xml:space="preserve"> Windows corrompido por virus utilização de pen drive</t>
  </si>
  <si>
    <t xml:space="preserve">Restabelecimento de ponto de restauração do Windows e relatório sendo gerado somente imagem sem relatório impresso.</t>
  </si>
  <si>
    <t xml:space="preserve"> SMPLock</t>
  </si>
  <si>
    <t xml:space="preserve">PTAV</t>
  </si>
  <si>
    <t xml:space="preserve">Não subia a aplicação do smplock</t>
  </si>
  <si>
    <t xml:space="preserve">Arquivos internos e falta de espaço fisico nos drives</t>
  </si>
  <si>
    <t xml:space="preserve">Está armazenando as imagens de fotos retiradas pelos robôs no Drive c: e isso ocupa muito espaço do HD</t>
  </si>
  <si>
    <t xml:space="preserve">Copiado imagens da pasta e salvas em outro drive (d:) , também foi excluído e recriado um arquivo de Trace do smplock que por algum motivo gerou erro smplock121121.log que estava com quase 5gb</t>
  </si>
  <si>
    <t xml:space="preserve"> PRP13</t>
  </si>
  <si>
    <t xml:space="preserve">Preparação PRP</t>
  </si>
  <si>
    <t xml:space="preserve"> Não religava o controlador de Solda</t>
  </si>
  <si>
    <t xml:space="preserve"> Queimou fusível da fonte de alimentação 24V e parou de funcionar o controlador de solda</t>
  </si>
  <si>
    <t xml:space="preserve">Após reparo em uma válvula, caiu água sobre o painel vindo a molhar alguns componentes</t>
  </si>
  <si>
    <t xml:space="preserve">Realizado o reparo da válvula, substituído fusível queimado na fonte. 
Realizado a troca do controlador 2 vezes, porém os dois que instalamos ficava com falha termistor do transformador, voltamos com o controlador que foi retirado após limpeza com álcool e limpa contatos e funcionou normalmente.</t>
  </si>
  <si>
    <t xml:space="preserve">15112021</t>
  </si>
  <si>
    <t xml:space="preserve"> Ilha Visao Robo A2</t>
  </si>
  <si>
    <t xml:space="preserve">15,5</t>
  </si>
  <si>
    <t xml:space="preserve">Falta de segurança para rodar a ilha</t>
  </si>
  <si>
    <t xml:space="preserve"> Cabo do TP do Robo arrebentado (enroscou na Base portese) </t>
  </si>
  <si>
    <t xml:space="preserve">Cabo do Robo em lugar inadequado</t>
  </si>
  <si>
    <t xml:space="preserve">Substituição do cabo danificado Modificação e Colocação do Robo e ilha em by pass (intervalo do café substituição de dois fusiveis de proteção da placa queimados, e no intervalo do almoço restabelecido programa e colocação da ilha em automatico)  </t>
  </si>
  <si>
    <t xml:space="preserve">16112021</t>
  </si>
  <si>
    <t xml:space="preserve">SAM Bloco e Cabeçote</t>
  </si>
  <si>
    <t xml:space="preserve">Horario das paradas aparecendo com uma hora a mais no servidor SAM</t>
  </si>
  <si>
    <t xml:space="preserve">Configuração no Servidor Central SAM</t>
  </si>
  <si>
    <t xml:space="preserve"> Verificação dos postos locais da CMO todos OK, verificação junto ao suporte SAM na Argentina e já havia Chamado para a França relatando o problema (Tratativa via Central). </t>
  </si>
  <si>
    <t xml:space="preserve">Problema na base de dados do SMP </t>
  </si>
  <si>
    <t xml:space="preserve"> Erro no IHMSMPLOC</t>
  </si>
  <si>
    <t xml:space="preserve"> Retirada dos arquivos da pasta SMPLOC, reinstalação do IHMSMPLOC e reconstrução de base zerada.  </t>
  </si>
  <si>
    <t xml:space="preserve">17112021</t>
  </si>
  <si>
    <t xml:space="preserve">SMP99 </t>
  </si>
  <si>
    <t xml:space="preserve">Pintura</t>
  </si>
  <si>
    <t xml:space="preserve"> Eventos de parada sendo gerados no terceiro turno </t>
  </si>
  <si>
    <t xml:space="preserve">Programação de Tempo requerido para o terceiro turno</t>
  </si>
  <si>
    <t xml:space="preserve"> Semana tipo incorreta</t>
  </si>
  <si>
    <t xml:space="preserve">Diagnostico e verificação dia 16/11, Duplicação das semanas tipo utlilizadas correção da programação de produção para os terceiro turnos.</t>
  </si>
  <si>
    <t xml:space="preserve">MPS 132</t>
  </si>
  <si>
    <t xml:space="preserve">PEV BDM</t>
  </si>
  <si>
    <t xml:space="preserve">MPS não realiza o teste falha no SIDIS</t>
  </si>
  <si>
    <t xml:space="preserve">Arquivo interno de configuração da maleta corrompido</t>
  </si>
  <si>
    <t xml:space="preserve">Hipoteses desligamento incorreto da maleta ou Atualização do sistema SIDIS</t>
  </si>
  <si>
    <t xml:space="preserve">Refeito a imagem da maleta e reconfigurada (trabalhado na mesma dias 12, 16 e 17/11) </t>
  </si>
  <si>
    <t xml:space="preserve">Robô 1 de Flamagem</t>
  </si>
  <si>
    <t xml:space="preserve">Robô não se movimentava</t>
  </si>
  <si>
    <t xml:space="preserve">Perdeu posição dos eixos 1, 5 e 6, erro SRV0 – 038 nestes eixos</t>
  </si>
  <si>
    <t xml:space="preserve">Ainda em análise, porém pelas informações levantadas, o robô no início da pane não estava chegando na posição Home, e estava fora de posição da ignição da flamagem</t>
  </si>
  <si>
    <t xml:space="preserve">Realizado ajustes  nos sensores que verificação a posição em relação a flamagem, realizado o zeramento dos posicionadores dos eixos para poder movimentar o robô, e depois realizado a calibração dos eixos e masterização. Realizado os eixos 1, 2 e 3 primeiro e depois os eixos 4, 5 e 6. Foi realizado o posicionamento conforme determinações dos manuais do setor. Após isso ficou correta a posição Home e as aplicações. </t>
  </si>
  <si>
    <t xml:space="preserve">18112021</t>
  </si>
  <si>
    <t xml:space="preserve">SMPLOC SAO não executando</t>
  </si>
  <si>
    <t xml:space="preserve">Problema na base de dados do SMP / aplicação IHMSMPLOC</t>
  </si>
  <si>
    <t xml:space="preserve">Retirada dos arquivos da pasta SMPLOC, retirado arquivos da pasta C:\SMPLOC\traces e configuração de parametros do PC no SMP99.</t>
  </si>
  <si>
    <t xml:space="preserve">19112021</t>
  </si>
  <si>
    <t xml:space="preserve">MPS 134</t>
  </si>
  <si>
    <t xml:space="preserve"> Hipoteses desligamento incorreto da maleta ou Atualização do sistema SIDIS</t>
  </si>
  <si>
    <t xml:space="preserve"> Refeito a imagem da maleta e reconfigurada (trabalhado na mesma dias 18 e 19/11) </t>
  </si>
  <si>
    <t xml:space="preserve">22112021</t>
  </si>
  <si>
    <t xml:space="preserve">SAO36  </t>
  </si>
  <si>
    <t xml:space="preserve"> SAO em falha ausencia informações dos postos</t>
  </si>
  <si>
    <t xml:space="preserve"> desconhecida (em falha desde start-up terceiro turno)</t>
  </si>
  <si>
    <t xml:space="preserve">Colocação em degradado e feito carros em manual pela produção, efetuado reset da interface de rede e SAO retornou a comunicação normal, efetuado recalagem  </t>
  </si>
  <si>
    <t xml:space="preserve">Falha escorregamento embreagem da prensa</t>
  </si>
  <si>
    <t xml:space="preserve">Problema no enconder de regulagem da prensa</t>
  </si>
  <si>
    <t xml:space="preserve"> Substituição do encoder</t>
  </si>
  <si>
    <t xml:space="preserve">SIPTK / MOP</t>
  </si>
  <si>
    <t xml:space="preserve">Erro após o descarregamento do Skid 1277 no alvéolo 0107</t>
  </si>
  <si>
    <t xml:space="preserve">Ainda em análise em conjunto com a informática, inconsistências entre físico e SIPTK</t>
  </si>
  <si>
    <t xml:space="preserve">Erros na transferência de skid para alvéolos</t>
  </si>
  <si>
    <t xml:space="preserve">Foi realizado o reset de todas as memórias referentes ao processo de carga e descarga do TK, realizado o reset e remapeamento do TK pela informática, retirado presença que ficou na mesa de rolos do TK.
A informática ainda ficou até as 21h realizando e verificando os alvéolos do TK, porém mesmo assim teve que 3 deles ficaram bloqueados devido a erro e inconsistências. </t>
  </si>
  <si>
    <t xml:space="preserve">23112021</t>
  </si>
  <si>
    <t xml:space="preserve">Robo 1</t>
  </si>
  <si>
    <t xml:space="preserve">Falha na aplicação de base, erro diversos no TP do Robô, eixo 2 gerando erro, e também pequenas variações de movimento nos eixos</t>
  </si>
  <si>
    <t xml:space="preserve"> Ainda em análise</t>
  </si>
  <si>
    <t xml:space="preserve"> Verificar no 1º Turno, pois serão verificados as calibrações dos eixo e também condições da placa SMB. Validar o que foi feito e se funcionou.</t>
  </si>
  <si>
    <t xml:space="preserve">24112021</t>
  </si>
  <si>
    <t xml:space="preserve">Robô 1x</t>
  </si>
  <si>
    <t xml:space="preserve">Falha na aplicação de base, erro de payload eixo 1 do Robo</t>
  </si>
  <si>
    <t xml:space="preserve"> Substituiçao da fonte, reinstalação do sistema e descarregamento dos backups sem Arquivos de Projeto do X62, Falta realizar a calibração dos eixos o que será feito em 2º ou 3º turno,
25/11 (Calibrações dos eixos e Simulações realizadas pelo terceiro, Acompanhamento Start-Up Robo funcionando em Automatico)
</t>
  </si>
  <si>
    <t xml:space="preserve">Erro no IHMSMPLOC</t>
  </si>
  <si>
    <t xml:space="preserve">Retirada dos arquivos da pasta SMPLOC (pasta C:\SMPLOC\traces) e relançado aplicação.</t>
  </si>
  <si>
    <t xml:space="preserve">Base Rolante </t>
  </si>
  <si>
    <t xml:space="preserve"> Falhas intermitentes no servo da pinça de solda </t>
  </si>
  <si>
    <t xml:space="preserve">Problema no servo da pinça </t>
  </si>
  <si>
    <t xml:space="preserve">defeito no servo</t>
  </si>
  <si>
    <t xml:space="preserve"> Realizado a substituição do servo , realizado calibrações de força e colocado em funcionamento.
Trabalho realizado em horário de janta o que foi antecipada (19:00)</t>
  </si>
  <si>
    <t xml:space="preserve">25112021</t>
  </si>
  <si>
    <t xml:space="preserve">Robo 2 Defeito vida (Falha na leitura fluxo de ar)</t>
  </si>
  <si>
    <t xml:space="preserve"> Falha 71139 Falha comunicação I/O Falha na leitura fluxo de ar</t>
  </si>
  <si>
    <t xml:space="preserve">permanece diagnóstico</t>
  </si>
  <si>
    <t xml:space="preserve">  Retirada do Robo e colocação Robo em degradado, reinstalado sistema (3º turno calibração do Robo e simulação ocorreu erro novamente)</t>
  </si>
  <si>
    <t xml:space="preserve">Mesa T0</t>
  </si>
  <si>
    <t xml:space="preserve">Transferência de skid BM/FM</t>
  </si>
  <si>
    <t xml:space="preserve">Defeito na Transição de skid </t>
  </si>
  <si>
    <t xml:space="preserve"> Falha no inversor devido a cabo solto no conector do motor na platina.</t>
  </si>
  <si>
    <t xml:space="preserve">Soltou o cabo no conector</t>
  </si>
  <si>
    <t xml:space="preserve">Reafixado o cabo no conector e religado</t>
  </si>
  <si>
    <t xml:space="preserve">26112021</t>
  </si>
  <si>
    <t xml:space="preserve">Falta alimentação Placa MCOB interno Robo, Curto circuito cabo danificado fechando curto </t>
  </si>
  <si>
    <t xml:space="preserve">Diagnóstico, Isolação de cabo danificado reinstalado sistema descarregamento de backup e atualização das trajetórias, Retirada do Robo e (simulação no intervalo do almoço e colocação em operação automático)</t>
  </si>
  <si>
    <t xml:space="preserve">29112021</t>
  </si>
  <si>
    <t xml:space="preserve">Mesa 10 Elevador 02 troca Skid TTS </t>
  </si>
  <si>
    <t xml:space="preserve">MESA 09: TIME-OUT ROLOS</t>
  </si>
  <si>
    <t xml:space="preserve"> Desarme proteção rolos mesa 10 Elevador 02</t>
  </si>
  <si>
    <t xml:space="preserve"> Enrolamento de alta velocidade com baixa isolação  </t>
  </si>
  <si>
    <t xml:space="preserve"> Abertura do freio e colocação em degradado somente baixa velocidade até intervalo do almoço (substituição do conjunto motorredutor por outro similar)</t>
  </si>
  <si>
    <t xml:space="preserve">Elevador troca Skid TTS </t>
  </si>
  <si>
    <t xml:space="preserve">Falta descarregamento carroceria mesa giratória para transportador C2 </t>
  </si>
  <si>
    <t xml:space="preserve"> Reset indevido presença da mesa 06</t>
  </si>
  <si>
    <t xml:space="preserve">Sensor DCS2 atuado direto </t>
  </si>
  <si>
    <t xml:space="preserve">Diagnóstico e forçado descarregamento de algumas carrocerias e substituição do sensor que estava danificado.</t>
  </si>
  <si>
    <t xml:space="preserve">30112021</t>
  </si>
  <si>
    <t xml:space="preserve">Gerando erros intermitentes na posição de angulo da prensa, diversas falhas no decorrer do turno</t>
  </si>
  <si>
    <t xml:space="preserve"> Falha no encoder. Erros intermitentes por perda de posição</t>
  </si>
  <si>
    <t xml:space="preserve"> Encoder com defeito</t>
  </si>
  <si>
    <t xml:space="preserve">Adaptação da fixação e Substituído tampa do encoder e encoder por outro modelo mas não reconheceu retornado encoder original. Rodou um pouco retornou erro</t>
  </si>
  <si>
    <t xml:space="preserve">Falha no encoder. Erros intermitentes por perda de posição</t>
  </si>
  <si>
    <t xml:space="preserve">Encoder com defeito</t>
  </si>
  <si>
    <t xml:space="preserve"> teve de ser substituído por outro encoder.
Foi colocado um encoder com especificações diferentes, também instalado GSD por causa de modelo diferente, o encoder que era o reserva modelo novo não aceitou os parâmetros,  porém no encoder instalado não gerou erro e funcionou corretamente.</t>
  </si>
  <si>
    <t xml:space="preserve">02122021</t>
  </si>
  <si>
    <t xml:space="preserve">Ilha 2 Base Rolante  </t>
  </si>
  <si>
    <t xml:space="preserve">BR-X62</t>
  </si>
  <si>
    <t xml:space="preserve">Desarme Geral ilha 2 Base Rolante</t>
  </si>
  <si>
    <t xml:space="preserve">CPU do PLC em erro fatal</t>
  </si>
  <si>
    <t xml:space="preserve">CPU do PLC em falha </t>
  </si>
  <si>
    <t xml:space="preserve">Comunicação com a CPU descarregamento de Backup e ajuste das memórias e ciclos da ilha</t>
  </si>
  <si>
    <t xml:space="preserve">04122021</t>
  </si>
  <si>
    <t xml:space="preserve">  Barramento 1PEI-GBI34/H/C</t>
  </si>
  <si>
    <t xml:space="preserve">Subestação</t>
  </si>
  <si>
    <t xml:space="preserve"> Desligou várias partes da pintura CVP </t>
  </si>
  <si>
    <t xml:space="preserve">Desarme dos disjuntores do barramento e também o disjuntor da geral PP1-PB17</t>
  </si>
  <si>
    <t xml:space="preserve"> Será avaliado durante inspeção no Domingo, pela utilidades e manutenção da área</t>
  </si>
  <si>
    <t xml:space="preserve">Rearmados os disjuntores e também deixado as seccionadores dos painéis desligadas, já que as mesmas não influenciam na produção. Deixado assim durante o restante do turno para verificação posterior.</t>
  </si>
  <si>
    <t xml:space="preserve">06122021</t>
  </si>
  <si>
    <t xml:space="preserve">Prensa P13</t>
  </si>
  <si>
    <t xml:space="preserve">Acionamento indevido para descida da porta na troca de ferramenta automatica</t>
  </si>
  <si>
    <t xml:space="preserve">Prensa P23</t>
  </si>
  <si>
    <t xml:space="preserve">alha de Profibus do encoder regulagem da altura do martelo durante golpe </t>
  </si>
  <si>
    <t xml:space="preserve">Perda de valores durante o golpe</t>
  </si>
  <si>
    <t xml:space="preserve">Problema interno encoder devido vibração durante o golpe </t>
  </si>
  <si>
    <t xml:space="preserve">Substituição da tampa primeira intervenção, substituição do encoder na segunda intervenção</t>
  </si>
  <si>
    <t xml:space="preserve">07122021</t>
  </si>
  <si>
    <t xml:space="preserve">Robô L1, L2 e L3</t>
  </si>
  <si>
    <t xml:space="preserve">ASL - BM80</t>
  </si>
  <si>
    <t xml:space="preserve"> Robôs parados por interferência entre eles.</t>
  </si>
  <si>
    <t xml:space="preserve"> Em análise.</t>
  </si>
  <si>
    <t xml:space="preserve">Após verificar que os robôs, foi feito movimentação em manual para reposicionar e causou colisão com conexão de agua da pinça e valvulas pneumaticas. Efetuado a troca  e reiniciado o ciclo que veia a causar uma outra colisão com os robôs, causa ainda em análise. Precisou ser ajustado o gripper, pois houve torção na estrutira e trinca em alguns pontos do gripper, tirando ele de geometria.</t>
  </si>
  <si>
    <t xml:space="preserve">08122021</t>
  </si>
  <si>
    <t xml:space="preserve">OP410 Lavadora</t>
  </si>
  <si>
    <t xml:space="preserve"> Falha na ativação drive do Robo</t>
  </si>
  <si>
    <t xml:space="preserve">Joint position error</t>
  </si>
  <si>
    <t xml:space="preserve">Mau contato conector Harting na base do Robo </t>
  </si>
  <si>
    <t xml:space="preserve">Diagnóstico desconexão harting ajustado posição interna contatos e remontagem</t>
  </si>
  <si>
    <t xml:space="preserve">X62 AG </t>
  </si>
  <si>
    <t xml:space="preserve">Falha no sinal de fluxo de agua da servo gun</t>
  </si>
  <si>
    <t xml:space="preserve">Oscilação na alimentação 24V do fluxometro</t>
  </si>
  <si>
    <t xml:space="preserve"> Curto circuito nos pinos do Tool Changer por limalha da fresagem</t>
  </si>
  <si>
    <t xml:space="preserve"> Limpeza dos pinos do Tool Changer</t>
  </si>
  <si>
    <t xml:space="preserve">09122021</t>
  </si>
  <si>
    <t xml:space="preserve"> Repuxo</t>
  </si>
  <si>
    <t xml:space="preserve">Repuxo não sobe após golpe</t>
  </si>
  <si>
    <t xml:space="preserve">Diferença entre os valores do Beckhoff e do ângulo do martelo</t>
  </si>
  <si>
    <t xml:space="preserve">Erro no valor do ângulo do repuxo</t>
  </si>
  <si>
    <t xml:space="preserve"> Calibração do valor encoder rotativo que vai para o Beckhoff.  </t>
  </si>
  <si>
    <t xml:space="preserve">Falha no sincronismo do repuxo</t>
  </si>
  <si>
    <t xml:space="preserve">Diferença entre os dados da receita carregados no MAC8.</t>
  </si>
  <si>
    <t xml:space="preserve">Possível erro interno do MAC8.</t>
  </si>
  <si>
    <t xml:space="preserve">Realizado procedimentos de sincronismo e forçado valores no MAC8.  </t>
  </si>
  <si>
    <t xml:space="preserve">Mesa de rolos A1</t>
  </si>
  <si>
    <t xml:space="preserve">Ilha 2 Atelier X62 </t>
  </si>
  <si>
    <t xml:space="preserve">Defeito ultrapassagem de rolos</t>
  </si>
  <si>
    <t xml:space="preserve">Colisão entre skid de carroceria na mesa A1</t>
  </si>
  <si>
    <t xml:space="preserve">  Concepção do desenvolvimento do software permitia eventualmente a colisão</t>
  </si>
  <si>
    <t xml:space="preserve">Melhorado o intertravamento das memorias de gestão de posição do skid para evitar a colisão e acertado o posicionamento do skid na mesa</t>
  </si>
  <si>
    <t xml:space="preserve">10122021</t>
  </si>
  <si>
    <t xml:space="preserve">PTI0</t>
  </si>
  <si>
    <t xml:space="preserve">BR X62</t>
  </si>
  <si>
    <t xml:space="preserve">Pinça estourando ponto</t>
  </si>
  <si>
    <t xml:space="preserve">Circulação de corrente sem o fechamento da pinça</t>
  </si>
  <si>
    <t xml:space="preserve">Tiristor danificado dando passagem de corrente sem gatilho</t>
  </si>
  <si>
    <t xml:space="preserve">Substituído resistor de dissipação e tiristor.  </t>
  </si>
  <si>
    <t xml:space="preserve">Parachoque HJD</t>
  </si>
  <si>
    <t xml:space="preserve">  Falha no modelo de veículo da troca com PSF dispositivo Zona 2</t>
  </si>
  <si>
    <t xml:space="preserve">Comunicação incorreta com PSF</t>
  </si>
  <si>
    <t xml:space="preserve">Botão de validação PJI travado no SOP </t>
  </si>
  <si>
    <t xml:space="preserve">Diagnostico e reinicialização do SOP e resincronizado PJI</t>
  </si>
  <si>
    <t xml:space="preserve"> OP410 Lavadora</t>
  </si>
  <si>
    <t xml:space="preserve">Falha na ativação drive do Robo</t>
  </si>
  <si>
    <t xml:space="preserve"> Mau contato conector Harting na base do Robo </t>
  </si>
  <si>
    <t xml:space="preserve"> Tentativa de restabelecimento mas não funcionou, colocação do Robo em by pass para trabalho da lavadora sem o mesmo</t>
  </si>
  <si>
    <t xml:space="preserve">Aplicação Mastic Soleira</t>
  </si>
  <si>
    <t xml:space="preserve">Falha na alimentação 24V interno</t>
  </si>
  <si>
    <t xml:space="preserve"> Queima do fusível de 24V </t>
  </si>
  <si>
    <t xml:space="preserve">Ventilador da CPU em curto</t>
  </si>
  <si>
    <t xml:space="preserve">Substituído ventilador e realizado Turn set nos 6 eixos. </t>
  </si>
  <si>
    <t xml:space="preserve"> Mesa B0</t>
  </si>
  <si>
    <t xml:space="preserve">Laterais X52</t>
  </si>
  <si>
    <t xml:space="preserve">Falha condição de máquina bloqueio lançamento A0/B0</t>
  </si>
  <si>
    <t xml:space="preserve">POSSIVEL FALHA DE SERRAGE OU PILOTO DURANTE TRANSFERENCIA.</t>
  </si>
  <si>
    <t xml:space="preserve"> Não foi encontrada</t>
  </si>
  <si>
    <t xml:space="preserve"> Realizado retorno a origem da mesa B01. Verificado qua não havia ordem e filme em A0W mas estava com peça, mesa A0 com OF de peça pronta. Confirmado a OF e avançado para A0W e peça fechou ok na mesa B0. Peça recalage e gerou falha de sequência de OF, feito tratativa no siptol e avançado OF para o transportador e carregado peça manualmente. Forçado atualização de recalage, forçado OF para mesa B0, carregado dispositivo, realizado retorno a origem para receber condições inicias.</t>
  </si>
  <si>
    <t xml:space="preserve">Robô G2</t>
  </si>
  <si>
    <t xml:space="preserve">UAR</t>
  </si>
  <si>
    <t xml:space="preserve">Falha Comunicação CPU com Tp do robô</t>
  </si>
  <si>
    <t xml:space="preserve">Perda de comunicação com o cartão DNET de comunicação</t>
  </si>
  <si>
    <t xml:space="preserve">Falha no cartão DNET</t>
  </si>
  <si>
    <t xml:space="preserve"> Realizado a substituição do modulo, realizado a configuração do cartão de comunicação, carregado a logica de programação do robô, feito calibração dos eixos.  </t>
  </si>
  <si>
    <t xml:space="preserve">13122021</t>
  </si>
  <si>
    <t xml:space="preserve">Falha de pressão repuxo Frente esquerda</t>
  </si>
  <si>
    <t xml:space="preserve">Valor de pressão fora do range e ruido na leitura da valvula frente esquerda</t>
  </si>
  <si>
    <t xml:space="preserve">Problema leitura valores da valvula frente esquerda </t>
  </si>
  <si>
    <t xml:space="preserve">Diagnostico substituição do cabo da valvula, tentativa de substituição e retorno da valvula e ajuste de parametros da valvula pela Schuler via acesso remoto ao Beckoff. </t>
  </si>
  <si>
    <t xml:space="preserve">Erro na altura da regulagem do martelo após chafab </t>
  </si>
  <si>
    <t xml:space="preserve">Posição incorreta regulagem altura da altura do martelo</t>
  </si>
  <si>
    <t xml:space="preserve">Executada calibração e ajuste do encoder  </t>
  </si>
  <si>
    <t xml:space="preserve">Balsa 17</t>
  </si>
  <si>
    <t xml:space="preserve">LCAF Retoque</t>
  </si>
  <si>
    <t xml:space="preserve">Balsa não libera movimento dos rolos</t>
  </si>
  <si>
    <t xml:space="preserve"> Erro no posicionamento da translação da balsa</t>
  </si>
  <si>
    <t xml:space="preserve">Rodando em degradado e diagnostico, Forçado valores de controle de comando da balsa e ajuste de valores de posionamento das paradas nas mesas</t>
  </si>
  <si>
    <t xml:space="preserve">Mesa de Giro H0</t>
  </si>
  <si>
    <t xml:space="preserve">NBS</t>
  </si>
  <si>
    <t xml:space="preserve">Perda de posição da mesa e erro de segurança traseira do robô</t>
  </si>
  <si>
    <t xml:space="preserve">Peça especifica gerou erro na transição</t>
  </si>
  <si>
    <t xml:space="preserve"> Realizado movimentação do robô para posição repli, e movimentado a mesa em manual para acertar posição </t>
  </si>
  <si>
    <t xml:space="preserve">Corrente de tração</t>
  </si>
  <si>
    <t xml:space="preserve">TPTS</t>
  </si>
  <si>
    <t xml:space="preserve">Corrente travando, gerou alarme por estar travada </t>
  </si>
  <si>
    <t xml:space="preserve">anel elástico que segura o rolamento soltou e com isso caiu o rolamento deixando o pino guia livre abrindo os elos de correte vindo a enroscar na guia e quebrar os demais rolamentos</t>
  </si>
  <si>
    <t xml:space="preserve">Anel trava soltou ou rompeu</t>
  </si>
  <si>
    <t xml:space="preserve">Realizado a substituição do elo e dos rolamentos guia.
Obs: Após a substituição teve de ser verificado e corrigido o assento da corrente na engrenagem de acionamento do escravo lado esquerdo, ela perdeu o passo e ficou adiantada. Para resolver, teve que girar a engrenagem do redutor para que ela ficasse na posição correta.
Liberada a entrada de carros às 19:30h
</t>
  </si>
  <si>
    <t xml:space="preserve">14122021</t>
  </si>
  <si>
    <t xml:space="preserve">SMP99  </t>
  </si>
  <si>
    <t xml:space="preserve">Sinotico SMP99 pintura CVP fantando alguns valores de encurso</t>
  </si>
  <si>
    <t xml:space="preserve">Faltam associação de valores encurso</t>
  </si>
  <si>
    <t xml:space="preserve">Perda de referencias encurso devido fase 3, PC SMPLOC 16 fim de semana</t>
  </si>
  <si>
    <t xml:space="preserve">Verificação e associação dos encursos faltantes e realizado desc conf (terceiro turno dia 14 para 15/12)   </t>
  </si>
  <si>
    <t xml:space="preserve"> Robô do Bene</t>
  </si>
  <si>
    <t xml:space="preserve">Aplicação Mastic</t>
  </si>
  <si>
    <t xml:space="preserve">  Robô parou no meio da aplicação U79</t>
  </si>
  <si>
    <t xml:space="preserve"> Colidiu com a carroceria o bico extrudado na caçamba (Assoalho)</t>
  </si>
  <si>
    <t xml:space="preserve"> Retirado o bico extrudado, colocado o robô para Repli, verificado condições e liberado em automático.</t>
  </si>
  <si>
    <t xml:space="preserve">16122021</t>
  </si>
  <si>
    <t xml:space="preserve">SMPLOC CV_MTSC</t>
  </si>
  <si>
    <t xml:space="preserve">PC não funciona</t>
  </si>
  <si>
    <t xml:space="preserve">Placa mãe do computador danificada</t>
  </si>
  <si>
    <t xml:space="preserve"> Vida util dos componentes da placa atingido (capacitores estufados)  </t>
  </si>
  <si>
    <t xml:space="preserve"> Desmontagem computador e substituição da Placa mãe</t>
  </si>
  <si>
    <t xml:space="preserve">SMPLOC MP'S</t>
  </si>
  <si>
    <t xml:space="preserve">MP'S</t>
  </si>
  <si>
    <t xml:space="preserve">SMPLOC em aguarda autorização</t>
  </si>
  <si>
    <t xml:space="preserve">Falta comunicação com o SMP99 Central</t>
  </si>
  <si>
    <t xml:space="preserve">Problema na rede N2 (cabo ou conexão com Switch informática)</t>
  </si>
  <si>
    <t xml:space="preserve">Dignóstico e verificação passagem para abertura de chamado</t>
  </si>
  <si>
    <t xml:space="preserve">20122021</t>
  </si>
  <si>
    <t xml:space="preserve">Mesas transportadoras</t>
  </si>
  <si>
    <t xml:space="preserve">Skids com erro na posição de parada</t>
  </si>
  <si>
    <t xml:space="preserve">Escorregamento dos Skids durante a frenagem</t>
  </si>
  <si>
    <t xml:space="preserve">Skids contaminados com óleo lubrificante das correntes</t>
  </si>
  <si>
    <t xml:space="preserve">Limpeza e colagem de fita antiderrapante nos rolos de saída das mesas</t>
  </si>
  <si>
    <t xml:space="preserve">21122021</t>
  </si>
  <si>
    <t xml:space="preserve">Cilindro 01 Repuxo Travado não recua</t>
  </si>
  <si>
    <t xml:space="preserve">Válvula principal movimentação do cilindro travada</t>
  </si>
  <si>
    <t xml:space="preserve">Substituição das válvulas direcionais do acionamento do cilindro e ajuste do potenciometro da válvula principal de subida e descida do cilindro 1</t>
  </si>
  <si>
    <t xml:space="preserve">CS130 - Robo M2</t>
  </si>
  <si>
    <t xml:space="preserve">X62 AG</t>
  </si>
  <si>
    <t xml:space="preserve">Perda de calibração dos eixos no momento da pega da pinça 1</t>
  </si>
  <si>
    <t xml:space="preserve">Colisão no momento do depósito da pinça 1 no Cassete</t>
  </si>
  <si>
    <t xml:space="preserve">Cassete do descanso da pinça 1 travado</t>
  </si>
  <si>
    <t xml:space="preserve">Destravado o cassete do depósito da pinça 1</t>
  </si>
  <si>
    <t xml:space="preserve">Z1SPHHA</t>
  </si>
  <si>
    <t xml:space="preserve">Portas HHA</t>
  </si>
  <si>
    <t xml:space="preserve">Falha de rede DeiceNet</t>
  </si>
  <si>
    <t xml:space="preserve">Curto circuito no módulo de entrada na mesa B02</t>
  </si>
  <si>
    <t xml:space="preserve">Posicionamento inclinado do conector de sinal</t>
  </si>
  <si>
    <t xml:space="preserve">Reconexão dos conectores, reset geral dos robôs, acertado ciclo das mesas</t>
  </si>
  <si>
    <t xml:space="preserve">22122021</t>
  </si>
  <si>
    <t xml:space="preserve">Robo B1</t>
  </si>
  <si>
    <t xml:space="preserve">Ilha de portas BBB</t>
  </si>
  <si>
    <t xml:space="preserve">Falha na colocoção em serviço da Ilha</t>
  </si>
  <si>
    <t xml:space="preserve">Ausencia condições colocação em serviço da ilha</t>
  </si>
  <si>
    <t xml:space="preserve">Mau contato cadeia de segurança Robo B1  </t>
  </si>
  <si>
    <t xml:space="preserve">Substituição do TP e reaperto geral conectores internos do painel do Robo.</t>
  </si>
  <si>
    <t xml:space="preserve">Robo RX1</t>
  </si>
  <si>
    <t xml:space="preserve">Perda de posição eixo 1 na parada de movimento </t>
  </si>
  <si>
    <t xml:space="preserve"> Problema Circuito de alimentação dos Eixos</t>
  </si>
  <si>
    <t xml:space="preserve">Problema fonte KPS (Fonte havia sido substituida para teste de peça de garantia da Kuka no sabado18/12/2021)</t>
  </si>
  <si>
    <t xml:space="preserve">Diagnostico e Substituição da fonte KPS</t>
  </si>
  <si>
    <t xml:space="preserve">Robo C2</t>
  </si>
  <si>
    <t xml:space="preserve">Preliminar X62</t>
  </si>
  <si>
    <t xml:space="preserve">Oscilação na cadeia de segurança do Robo e falha de solda</t>
  </si>
  <si>
    <t xml:space="preserve">Problema Circuito da Pinça de solda</t>
  </si>
  <si>
    <t xml:space="preserve"> Restabelecendo a ilha e as falhas para rodar até o fim da produção do dia 23/12</t>
  </si>
  <si>
    <t xml:space="preserve">13012022</t>
  </si>
  <si>
    <t xml:space="preserve">17012022</t>
  </si>
  <si>
    <t xml:space="preserve">18012022</t>
  </si>
  <si>
    <t xml:space="preserve">20012022</t>
  </si>
  <si>
    <t xml:space="preserve">22012022</t>
  </si>
  <si>
    <t xml:space="preserve">24012022</t>
  </si>
  <si>
    <t xml:space="preserve">25012022</t>
  </si>
  <si>
    <t xml:space="preserve"> SMPLOC ME5</t>
  </si>
  <si>
    <t xml:space="preserve"> SMPLOC em aguarda conexao com a Central</t>
  </si>
  <si>
    <t xml:space="preserve"> Problema Windows computador e problema de rede</t>
  </si>
  <si>
    <t xml:space="preserve"> Sistema corrompido Windows e problema de rede</t>
  </si>
  <si>
    <t xml:space="preserve"> Tentativa reinstalacao Smploc (passado para segundo Turno seguimento)</t>
  </si>
  <si>
    <t xml:space="preserve"> Tentativa reparo Smploc (necessaria retirada computador para revisao geral)</t>
  </si>
  <si>
    <t xml:space="preserve"> Banco de teste 3   </t>
  </si>
  <si>
    <t xml:space="preserve">  Arquivos corrompidos no programa  </t>
  </si>
  <si>
    <t xml:space="preserve">CAR CVP</t>
  </si>
  <si>
    <t xml:space="preserve">Quantidade de Ocorrencias Atendidas 2021</t>
  </si>
  <si>
    <t xml:space="preserve">Carroceria</t>
  </si>
  <si>
    <t xml:space="preserve">S01</t>
  </si>
  <si>
    <t xml:space="preserve">S02</t>
  </si>
  <si>
    <t xml:space="preserve">S03</t>
  </si>
  <si>
    <t xml:space="preserve">S04</t>
  </si>
  <si>
    <t xml:space="preserve">S05</t>
  </si>
  <si>
    <t xml:space="preserve">S06</t>
  </si>
  <si>
    <t xml:space="preserve">S07</t>
  </si>
  <si>
    <t xml:space="preserve">S08</t>
  </si>
  <si>
    <t xml:space="preserve">S09</t>
  </si>
  <si>
    <t xml:space="preserve">S10</t>
  </si>
  <si>
    <t xml:space="preserve">S11</t>
  </si>
  <si>
    <t xml:space="preserve">S12</t>
  </si>
  <si>
    <t xml:space="preserve">S13</t>
  </si>
  <si>
    <t xml:space="preserve">-</t>
  </si>
  <si>
    <t xml:space="preserve">S14</t>
  </si>
  <si>
    <t xml:space="preserve">S15</t>
  </si>
  <si>
    <t xml:space="preserve">S16</t>
  </si>
  <si>
    <t xml:space="preserve">S17</t>
  </si>
  <si>
    <t xml:space="preserve">S18</t>
  </si>
  <si>
    <t xml:space="preserve">S19</t>
  </si>
  <si>
    <t xml:space="preserve">S20</t>
  </si>
  <si>
    <t xml:space="preserve">S21</t>
  </si>
  <si>
    <t xml:space="preserve">S22</t>
  </si>
  <si>
    <t xml:space="preserve">S23</t>
  </si>
  <si>
    <t xml:space="preserve">S24</t>
  </si>
  <si>
    <t xml:space="preserve">S25</t>
  </si>
  <si>
    <t xml:space="preserve">S26</t>
  </si>
  <si>
    <t xml:space="preserve">S27</t>
  </si>
  <si>
    <t xml:space="preserve">S28</t>
  </si>
  <si>
    <t xml:space="preserve">S29</t>
  </si>
  <si>
    <t xml:space="preserve">S30</t>
  </si>
  <si>
    <t xml:space="preserve">S31</t>
  </si>
  <si>
    <t xml:space="preserve">S32</t>
  </si>
  <si>
    <t xml:space="preserve">S33</t>
  </si>
  <si>
    <t xml:space="preserve">S34</t>
  </si>
  <si>
    <t xml:space="preserve">S35</t>
  </si>
  <si>
    <t xml:space="preserve">S36</t>
  </si>
  <si>
    <t xml:space="preserve">S37</t>
  </si>
  <si>
    <t xml:space="preserve">S38</t>
  </si>
  <si>
    <t xml:space="preserve">S39</t>
  </si>
  <si>
    <t xml:space="preserve">S40</t>
  </si>
  <si>
    <t xml:space="preserve">S41</t>
  </si>
  <si>
    <t xml:space="preserve">S42</t>
  </si>
  <si>
    <t xml:space="preserve">S43</t>
  </si>
  <si>
    <t xml:space="preserve">S44</t>
  </si>
  <si>
    <t xml:space="preserve">S45</t>
  </si>
  <si>
    <t xml:space="preserve">S46</t>
  </si>
  <si>
    <t xml:space="preserve">S47</t>
  </si>
  <si>
    <t xml:space="preserve">S48</t>
  </si>
  <si>
    <t xml:space="preserve">S49</t>
  </si>
  <si>
    <t xml:space="preserve">S50</t>
  </si>
  <si>
    <t xml:space="preserve">S51</t>
  </si>
  <si>
    <t xml:space="preserve">Quantidade de Ocorrencias Atendidas 2022</t>
  </si>
  <si>
    <t xml:space="preserve">Área</t>
  </si>
  <si>
    <t xml:space="preserve">Janeiro</t>
  </si>
  <si>
    <t xml:space="preserve">Fevereiro</t>
  </si>
  <si>
    <t xml:space="preserve">Março</t>
  </si>
  <si>
    <t xml:space="preserve">Abril</t>
  </si>
  <si>
    <t xml:space="preserve">Maio</t>
  </si>
  <si>
    <t xml:space="preserve">Junho</t>
  </si>
  <si>
    <t xml:space="preserve">Julho</t>
  </si>
  <si>
    <t xml:space="preserve">Total Geral</t>
  </si>
  <si>
    <t xml:space="preserve">Relatório de Turno - PLATAFORMA TÉCNICA</t>
  </si>
  <si>
    <t xml:space="preserve">Produção</t>
  </si>
  <si>
    <t xml:space="preserve">MON VP</t>
  </si>
  <si>
    <t xml:space="preserve">MON VU</t>
  </si>
  <si>
    <t xml:space="preserve">CAR VP</t>
  </si>
  <si>
    <t xml:space="preserve">Capac.</t>
  </si>
  <si>
    <t xml:space="preserve">RGU</t>
  </si>
  <si>
    <t xml:space="preserve">RO</t>
  </si>
  <si>
    <t xml:space="preserve">1°T</t>
  </si>
  <si>
    <t xml:space="preserve">2°T</t>
  </si>
  <si>
    <t xml:space="preserve">3ºT</t>
  </si>
  <si>
    <t xml:space="preserve">Total</t>
  </si>
  <si>
    <t xml:space="preserve">CMO-MM01</t>
  </si>
  <si>
    <t xml:space="preserve">CMO - MM13</t>
  </si>
  <si>
    <t xml:space="preserve">CMO - MON</t>
  </si>
  <si>
    <t xml:space="preserve">1° Turno - Ocorrências</t>
  </si>
  <si>
    <t xml:space="preserve">Responsável</t>
  </si>
  <si>
    <t xml:space="preserve">Hora Pane</t>
  </si>
  <si>
    <t xml:space="preserve">Hora Inicio Chamado</t>
  </si>
  <si>
    <t xml:space="preserve">Hora Fim Chamado</t>
  </si>
  <si>
    <t xml:space="preserve">Feito M.R.H.D ?</t>
  </si>
  <si>
    <t xml:space="preserve">Proced.Segurança</t>
  </si>
  <si>
    <t xml:space="preserve">2° Turno - Ocorrências</t>
  </si>
  <si>
    <t xml:space="preserve">3° Turno - Ocorrências</t>
  </si>
  <si>
    <t xml:space="preserve">23/02/2017</t>
  </si>
  <si>
    <t xml:space="preserve">OBSERVAÇÃO</t>
  </si>
  <si>
    <t xml:space="preserve">9,8</t>
  </si>
  <si>
    <t xml:space="preserve">9,1</t>
  </si>
  <si>
    <t xml:space="preserve">7,1</t>
  </si>
  <si>
    <t xml:space="preserve">6,3</t>
  </si>
  <si>
    <t xml:space="preserve">100,5</t>
  </si>
  <si>
    <t xml:space="preserve">Vagner Rosa</t>
  </si>
  <si>
    <t xml:space="preserve">Equipamento 1</t>
  </si>
  <si>
    <t xml:space="preserve">lfkajsdçlkfjçklajs</t>
  </si>
  <si>
    <t xml:space="preserve">alslslsl</t>
  </si>
  <si>
    <t xml:space="preserve">ççsoslo</t>
  </si>
  <si>
    <t xml:space="preserve">SIM</t>
  </si>
  <si>
    <t xml:space="preserve">NÃO</t>
  </si>
</sst>
</file>

<file path=xl/styles.xml><?xml version="1.0" encoding="utf-8"?>
<styleSheet xmlns="http://schemas.openxmlformats.org/spreadsheetml/2006/main">
  <numFmts count="13">
    <numFmt numFmtId="164" formatCode="General"/>
    <numFmt numFmtId="165" formatCode="0%"/>
    <numFmt numFmtId="166" formatCode="@"/>
    <numFmt numFmtId="167" formatCode="m/d/yyyy"/>
    <numFmt numFmtId="168" formatCode="h:mm"/>
    <numFmt numFmtId="169" formatCode="dd/mm/yy;@"/>
    <numFmt numFmtId="170" formatCode="[h]:mm:ss"/>
    <numFmt numFmtId="171" formatCode="h:mm:ss"/>
    <numFmt numFmtId="172" formatCode="[$-F400]h:mm:ss\ AM/PM"/>
    <numFmt numFmtId="173" formatCode="0"/>
    <numFmt numFmtId="174" formatCode="General"/>
    <numFmt numFmtId="175" formatCode="0.0%"/>
    <numFmt numFmtId="176" formatCode="0.00%"/>
  </numFmts>
  <fonts count="20">
    <font>
      <sz val="11"/>
      <color rgb="FF000000"/>
      <name val="Calibri"/>
      <family val="2"/>
      <charset val="1"/>
    </font>
    <font>
      <sz val="10"/>
      <name val="Arial"/>
      <family val="0"/>
    </font>
    <font>
      <sz val="10"/>
      <name val="Arial"/>
      <family val="0"/>
    </font>
    <font>
      <sz val="10"/>
      <name val="Arial"/>
      <family val="0"/>
    </font>
    <font>
      <sz val="10"/>
      <name val="Arial"/>
      <family val="2"/>
      <charset val="1"/>
    </font>
    <font>
      <sz val="11"/>
      <color rgb="FF000000"/>
      <name val="Calibri"/>
      <family val="0"/>
      <charset val="1"/>
    </font>
    <font>
      <b val="true"/>
      <sz val="11"/>
      <color rgb="FF000000"/>
      <name val="Calibri"/>
      <family val="0"/>
      <charset val="1"/>
    </font>
    <font>
      <sz val="11"/>
      <color rgb="FF000000"/>
      <name val="Calibri"/>
      <family val="2"/>
    </font>
    <font>
      <b val="true"/>
      <sz val="11"/>
      <color rgb="FF000000"/>
      <name val="Calibri"/>
      <family val="2"/>
      <charset val="1"/>
    </font>
    <font>
      <sz val="11"/>
      <name val="Calibri"/>
      <family val="2"/>
      <charset val="1"/>
    </font>
    <font>
      <b val="true"/>
      <sz val="11"/>
      <name val="Calibri"/>
      <family val="2"/>
      <charset val="1"/>
    </font>
    <font>
      <b val="true"/>
      <sz val="12"/>
      <color rgb="FF000000"/>
      <name val="Calibri"/>
      <family val="2"/>
      <charset val="1"/>
    </font>
    <font>
      <sz val="9"/>
      <color rgb="FF404040"/>
      <name val="Calibri"/>
      <family val="2"/>
    </font>
    <font>
      <sz val="9"/>
      <color rgb="FF595959"/>
      <name val="Calibri"/>
      <family val="2"/>
    </font>
    <font>
      <sz val="14"/>
      <color rgb="FF595959"/>
      <name val="Calibri"/>
      <family val="2"/>
    </font>
    <font>
      <sz val="10"/>
      <color rgb="FF000000"/>
      <name val="Calibri"/>
      <family val="2"/>
    </font>
    <font>
      <b val="true"/>
      <sz val="10"/>
      <color rgb="FF404040"/>
      <name val="Calibri"/>
      <family val="2"/>
    </font>
    <font>
      <b val="true"/>
      <sz val="16"/>
      <color rgb="FF000000"/>
      <name val="Calibri"/>
      <family val="2"/>
      <charset val="1"/>
    </font>
    <font>
      <sz val="16"/>
      <color rgb="FF000000"/>
      <name val="Calibri"/>
      <family val="2"/>
      <charset val="1"/>
    </font>
    <font>
      <b val="true"/>
      <sz val="10"/>
      <name val="Arial"/>
      <family val="2"/>
      <charset val="1"/>
    </font>
  </fonts>
  <fills count="6">
    <fill>
      <patternFill patternType="none"/>
    </fill>
    <fill>
      <patternFill patternType="gray125"/>
    </fill>
    <fill>
      <patternFill patternType="solid">
        <fgColor rgb="FFE2EFDA"/>
        <bgColor rgb="FFDEEBF7"/>
      </patternFill>
    </fill>
    <fill>
      <patternFill patternType="solid">
        <fgColor rgb="FFFFFFFF"/>
        <bgColor rgb="FFFFFFCC"/>
      </patternFill>
    </fill>
    <fill>
      <patternFill patternType="solid">
        <fgColor rgb="FFDEEBF7"/>
        <bgColor rgb="FFE2EFDA"/>
      </patternFill>
    </fill>
    <fill>
      <patternFill patternType="solid">
        <fgColor rgb="FF00FFFF"/>
        <bgColor rgb="FF00FFFF"/>
      </patternFill>
    </fill>
  </fills>
  <borders count="42">
    <border diagonalUp="false" diagonalDown="false">
      <left/>
      <right/>
      <top/>
      <bottom/>
      <diagonal/>
    </border>
    <border diagonalUp="false" diagonalDown="false">
      <left style="thin">
        <color rgb="FFA9D08E"/>
      </left>
      <right/>
      <top style="thin">
        <color rgb="FFA9D08E"/>
      </top>
      <bottom style="thin">
        <color rgb="FFA9D08E"/>
      </bottom>
      <diagonal/>
    </border>
    <border diagonalUp="false" diagonalDown="false">
      <left/>
      <right/>
      <top style="thin">
        <color rgb="FFA9D08E"/>
      </top>
      <bottom style="thin">
        <color rgb="FFA9D08E"/>
      </bottom>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top/>
      <bottom style="thin"/>
      <diagonal/>
    </border>
    <border diagonalUp="false" diagonalDown="false">
      <left style="thin"/>
      <right/>
      <top style="thin"/>
      <bottom style="thin"/>
      <diagonal/>
    </border>
    <border diagonalUp="false" diagonalDown="false">
      <left style="thin"/>
      <right style="thin"/>
      <top/>
      <bottom/>
      <diagonal/>
    </border>
    <border diagonalUp="false" diagonalDown="false">
      <left style="thin"/>
      <right/>
      <top/>
      <bottom/>
      <diagonal/>
    </border>
    <border diagonalUp="false" diagonalDown="false">
      <left/>
      <right/>
      <top/>
      <bottom style="thin">
        <color rgb="FF9DC3E6"/>
      </bottom>
      <diagonal/>
    </border>
    <border diagonalUp="false" diagonalDown="false">
      <left/>
      <right/>
      <top style="thin">
        <color rgb="FF9DC3E6"/>
      </top>
      <bottom/>
      <diagonal/>
    </border>
    <border diagonalUp="false" diagonalDown="false">
      <left style="medium"/>
      <right style="medium"/>
      <top style="medium"/>
      <bottom/>
      <diagonal/>
    </border>
    <border diagonalUp="false" diagonalDown="false">
      <left/>
      <right style="medium"/>
      <top style="medium"/>
      <bottom style="medium"/>
      <diagonal/>
    </border>
    <border diagonalUp="false" diagonalDown="false">
      <left/>
      <right/>
      <top style="medium"/>
      <bottom/>
      <diagonal/>
    </border>
    <border diagonalUp="false" diagonalDown="false">
      <left/>
      <right style="medium"/>
      <top style="medium"/>
      <bottom/>
      <diagonal/>
    </border>
    <border diagonalUp="false" diagonalDown="false">
      <left/>
      <right style="medium"/>
      <top/>
      <bottom/>
      <diagonal/>
    </border>
    <border diagonalUp="false" diagonalDown="false">
      <left style="medium"/>
      <right style="medium"/>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medium"/>
      <right style="medium"/>
      <top style="medium"/>
      <bottom style="medium"/>
      <diagonal/>
    </border>
    <border diagonalUp="false" diagonalDown="false">
      <left style="medium"/>
      <right/>
      <top style="medium"/>
      <bottom style="medium"/>
      <diagonal/>
    </border>
    <border diagonalUp="false" diagonalDown="false">
      <left style="medium"/>
      <right/>
      <top style="medium"/>
      <bottom/>
      <diagonal/>
    </border>
    <border diagonalUp="false" diagonalDown="false">
      <left style="thin"/>
      <right style="thin"/>
      <top style="medium"/>
      <bottom/>
      <diagonal/>
    </border>
    <border diagonalUp="false" diagonalDown="false">
      <left style="thin"/>
      <right style="medium"/>
      <top style="medium"/>
      <bottom style="medium"/>
      <diagonal/>
    </border>
    <border diagonalUp="false" diagonalDown="false">
      <left style="medium"/>
      <right style="medium"/>
      <top style="medium"/>
      <bottom style="thin"/>
      <diagonal/>
    </border>
    <border diagonalUp="false" diagonalDown="false">
      <left style="medium"/>
      <right/>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medium"/>
      <top style="thin"/>
      <bottom style="thin"/>
      <diagonal/>
    </border>
    <border diagonalUp="false" diagonalDown="false">
      <left style="medium"/>
      <right/>
      <top style="thin"/>
      <bottom style="thin"/>
      <diagonal/>
    </border>
    <border diagonalUp="false" diagonalDown="false">
      <left style="thin"/>
      <right style="medium"/>
      <top style="thin"/>
      <bottom style="thin"/>
      <diagonal/>
    </border>
    <border diagonalUp="false" diagonalDown="false">
      <left style="medium"/>
      <right style="medium"/>
      <top style="thin"/>
      <bottom style="medium"/>
      <diagonal/>
    </border>
    <border diagonalUp="false" diagonalDown="false">
      <left style="medium"/>
      <right/>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top/>
      <bottom style="medium"/>
      <diagonal/>
    </border>
    <border diagonalUp="false" diagonalDown="false">
      <left style="thin"/>
      <right style="thin"/>
      <top/>
      <bottom style="medium"/>
      <diagonal/>
    </border>
    <border diagonalUp="false" diagonalDown="false">
      <left style="medium"/>
      <right/>
      <top/>
      <bottom/>
      <diagonal/>
    </border>
    <border diagonalUp="false" diagonalDown="false">
      <left/>
      <right/>
      <top style="thin"/>
      <bottom style="thin"/>
      <diagonal/>
    </border>
    <border diagonalUp="false" diagonalDown="false">
      <left/>
      <right style="medium"/>
      <top style="thin"/>
      <bottom style="thin"/>
      <diagonal/>
    </border>
    <border diagonalUp="false" diagonalDown="false">
      <left/>
      <right/>
      <top style="thin"/>
      <bottom style="medium"/>
      <diagonal/>
    </border>
    <border diagonalUp="false" diagonalDown="false">
      <left/>
      <right style="medium"/>
      <top style="thin"/>
      <bottom style="mediu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false" applyAlignment="true" applyProtection="false">
      <alignment horizontal="general" vertical="bottom" textRotation="0" wrapText="false" indent="0" shrinkToFit="false"/>
    </xf>
  </cellStyleXfs>
  <cellXfs count="127">
    <xf numFmtId="164" fontId="0" fillId="0" borderId="0" xfId="0" applyFont="fals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7" fontId="7" fillId="0" borderId="0" xfId="0" applyFont="true" applyBorder="false" applyAlignment="false" applyProtection="false">
      <alignment horizontal="general" vertical="bottom" textRotation="0" wrapText="false" indent="0" shrinkToFit="false"/>
      <protection locked="true" hidden="false"/>
    </xf>
    <xf numFmtId="164" fontId="0" fillId="2" borderId="1" xfId="0" applyFont="true" applyBorder="true" applyAlignment="false" applyProtection="false">
      <alignment horizontal="general" vertical="bottom" textRotation="0" wrapText="false" indent="0" shrinkToFit="false"/>
      <protection locked="true" hidden="false"/>
    </xf>
    <xf numFmtId="164" fontId="0" fillId="2" borderId="2"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0" fillId="0" borderId="2" xfId="0" applyFont="true" applyBorder="true" applyAlignment="false" applyProtection="false">
      <alignment horizontal="general" vertical="bottom" textRotation="0" wrapText="false" indent="0" shrinkToFit="false"/>
      <protection locked="true" hidden="false"/>
    </xf>
    <xf numFmtId="168" fontId="0" fillId="2" borderId="2" xfId="0" applyFont="true" applyBorder="true" applyAlignment="false" applyProtection="false">
      <alignment horizontal="general" vertical="bottom" textRotation="0" wrapText="false" indent="0" shrinkToFit="false"/>
      <protection locked="true" hidden="false"/>
    </xf>
    <xf numFmtId="168" fontId="0" fillId="0" borderId="2" xfId="0" applyFont="true" applyBorder="tru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left" vertical="center" textRotation="0" wrapText="true" indent="0" shrinkToFit="false"/>
      <protection locked="true" hidden="false"/>
    </xf>
    <xf numFmtId="164" fontId="10" fillId="0" borderId="0" xfId="0" applyFont="true" applyBorder="false" applyAlignment="true" applyProtection="false">
      <alignment horizontal="left" vertical="center" textRotation="0" wrapText="true" indent="0" shrinkToFit="false"/>
      <protection locked="true" hidden="false"/>
    </xf>
    <xf numFmtId="164" fontId="0" fillId="0" borderId="0" xfId="0" applyFont="true" applyBorder="false" applyAlignment="true" applyProtection="false">
      <alignment horizontal="left" vertical="center" textRotation="0" wrapText="true" indent="0" shrinkToFit="false"/>
      <protection locked="true" hidden="false"/>
    </xf>
    <xf numFmtId="168" fontId="0" fillId="0" borderId="0" xfId="0" applyFont="false" applyBorder="false" applyAlignment="true" applyProtection="false">
      <alignment horizontal="right" vertical="center" textRotation="0" wrapText="true" indent="0" shrinkToFit="false"/>
      <protection locked="true" hidden="false"/>
    </xf>
    <xf numFmtId="171" fontId="0" fillId="0" borderId="0" xfId="0" applyFont="false" applyBorder="false" applyAlignment="false" applyProtection="fals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true" applyProtection="false">
      <alignment horizontal="center" vertical="bottom" textRotation="0" wrapText="true" indent="0" shrinkToFit="false"/>
      <protection locked="true" hidden="false"/>
    </xf>
    <xf numFmtId="164" fontId="0" fillId="0" borderId="0" xfId="0" applyFont="false" applyBorder="false" applyAlignment="true" applyProtection="false">
      <alignment horizontal="center" vertical="bottom" textRotation="0" wrapText="true" indent="0" shrinkToFit="false"/>
      <protection locked="true" hidden="false"/>
    </xf>
    <xf numFmtId="172" fontId="0" fillId="0" borderId="0" xfId="0" applyFont="false" applyBorder="false" applyAlignment="true" applyProtection="false">
      <alignment horizontal="center" vertical="bottom" textRotation="0" wrapText="true" indent="0" shrinkToFit="false"/>
      <protection locked="true" hidden="false"/>
    </xf>
    <xf numFmtId="173" fontId="0" fillId="0" borderId="0" xfId="0" applyFont="false" applyBorder="false" applyAlignment="true" applyProtection="false">
      <alignment horizontal="center" vertical="bottom" textRotation="0" wrapText="tru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7" fontId="8" fillId="0" borderId="0" xfId="0" applyFont="true" applyBorder="false" applyAlignment="true" applyProtection="false">
      <alignment horizontal="center" vertical="center" textRotation="0" wrapText="true" indent="0" shrinkToFit="false"/>
      <protection locked="true" hidden="false"/>
    </xf>
    <xf numFmtId="164" fontId="8" fillId="0" borderId="0" xfId="0" applyFont="true" applyBorder="false" applyAlignment="true" applyProtection="false">
      <alignment horizontal="center" vertical="center" textRotation="0" wrapText="true" indent="0" shrinkToFit="false"/>
      <protection locked="true" hidden="false"/>
    </xf>
    <xf numFmtId="172" fontId="8" fillId="0" borderId="0" xfId="0" applyFont="true" applyBorder="false" applyAlignment="true" applyProtection="false">
      <alignment horizontal="center" vertical="center" textRotation="0" wrapText="true" indent="0" shrinkToFit="false"/>
      <protection locked="true" hidden="false"/>
    </xf>
    <xf numFmtId="173" fontId="8" fillId="0" borderId="0" xfId="0" applyFont="true" applyBorder="false" applyAlignment="true" applyProtection="false">
      <alignment horizontal="center" vertical="center" textRotation="0" wrapText="true" indent="0" shrinkToFit="false"/>
      <protection locked="true" hidden="false"/>
    </xf>
    <xf numFmtId="164" fontId="11" fillId="0" borderId="0"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8" fillId="0" borderId="3"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true" applyProtection="false">
      <alignment horizontal="center" vertical="center" textRotation="0" wrapText="false" indent="0" shrinkToFit="false"/>
      <protection locked="true" hidden="false"/>
    </xf>
    <xf numFmtId="164" fontId="8" fillId="0" borderId="4" xfId="0" applyFont="true" applyBorder="true" applyAlignment="true" applyProtection="false">
      <alignment horizontal="center" vertical="center" textRotation="0" wrapText="false" indent="0" shrinkToFit="false"/>
      <protection locked="true" hidden="false"/>
    </xf>
    <xf numFmtId="164" fontId="8" fillId="0" borderId="5" xfId="0" applyFont="tru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true" applyProtection="false">
      <alignment horizontal="center" vertical="center" textRotation="0" wrapText="false" indent="0" shrinkToFit="false"/>
      <protection locked="true" hidden="false"/>
    </xf>
    <xf numFmtId="164" fontId="0" fillId="3" borderId="3" xfId="0" applyFont="false" applyBorder="true" applyAlignment="true" applyProtection="false">
      <alignment horizontal="center" vertical="center" textRotation="0" wrapText="false" indent="0" shrinkToFit="false"/>
      <protection locked="true" hidden="false"/>
    </xf>
    <xf numFmtId="164" fontId="0" fillId="3" borderId="6" xfId="0" applyFont="false" applyBorder="true" applyAlignment="true" applyProtection="false">
      <alignment horizontal="center" vertical="center" textRotation="0" wrapText="false" indent="0" shrinkToFit="false"/>
      <protection locked="true" hidden="false"/>
    </xf>
    <xf numFmtId="164" fontId="8" fillId="0" borderId="7" xfId="0" applyFont="true" applyBorder="true" applyAlignment="true" applyProtection="false">
      <alignment horizontal="center" vertical="center" textRotation="0" wrapText="false" indent="0" shrinkToFit="false"/>
      <protection locked="true" hidden="false"/>
    </xf>
    <xf numFmtId="164" fontId="8" fillId="0" borderId="8" xfId="0" applyFont="true" applyBorder="true" applyAlignment="true" applyProtection="false">
      <alignment horizontal="center" vertical="center" textRotation="0" wrapText="false" indent="0" shrinkToFit="false"/>
      <protection locked="true" hidden="false"/>
    </xf>
    <xf numFmtId="174" fontId="0" fillId="0" borderId="3" xfId="0" applyFont="false" applyBorder="true" applyAlignment="true" applyProtection="false">
      <alignment horizontal="center" vertical="bottom" textRotation="0" wrapText="false" indent="0" shrinkToFit="false"/>
      <protection locked="true" hidden="false"/>
    </xf>
    <xf numFmtId="174" fontId="0" fillId="0" borderId="7" xfId="0" applyFont="false" applyBorder="true" applyAlignment="true" applyProtection="false">
      <alignment horizontal="center" vertical="bottom" textRotation="0" wrapText="false" indent="0" shrinkToFit="false"/>
      <protection locked="true" hidden="false"/>
    </xf>
    <xf numFmtId="164" fontId="8" fillId="4" borderId="9" xfId="0" applyFont="true" applyBorder="true" applyAlignment="false" applyProtection="false">
      <alignment horizontal="general" vertical="bottom" textRotation="0" wrapText="false" indent="0" shrinkToFit="false"/>
      <protection locked="true" hidden="false"/>
    </xf>
    <xf numFmtId="164" fontId="8" fillId="4" borderId="9"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75" fontId="0" fillId="0" borderId="0" xfId="19" applyFont="true" applyBorder="true" applyAlignment="true" applyProtection="true">
      <alignment horizontal="general" vertical="bottom" textRotation="0" wrapText="false" indent="0" shrinkToFit="false"/>
      <protection locked="true" hidden="false"/>
    </xf>
    <xf numFmtId="164" fontId="8" fillId="4" borderId="10" xfId="0" applyFont="true" applyBorder="true" applyAlignment="true" applyProtection="false">
      <alignment horizontal="left" vertical="bottom" textRotation="0" wrapText="false" indent="0" shrinkToFit="false"/>
      <protection locked="true" hidden="false"/>
    </xf>
    <xf numFmtId="164" fontId="8" fillId="4" borderId="10" xfId="0" applyFont="true" applyBorder="true" applyAlignment="false" applyProtection="false">
      <alignment horizontal="general" vertical="bottom" textRotation="0" wrapText="false" indent="0" shrinkToFit="false"/>
      <protection locked="true" hidden="false"/>
    </xf>
    <xf numFmtId="164" fontId="4" fillId="3" borderId="0" xfId="20" applyFont="false" applyBorder="false" applyAlignment="true" applyProtection="false">
      <alignment horizontal="center" vertical="bottom" textRotation="0" wrapText="false" indent="0" shrinkToFit="false"/>
      <protection locked="true" hidden="false"/>
    </xf>
    <xf numFmtId="164" fontId="17" fillId="3" borderId="11" xfId="20" applyFont="true" applyBorder="true" applyAlignment="true" applyProtection="false">
      <alignment horizontal="center" vertical="center" textRotation="0" wrapText="false" indent="0" shrinkToFit="false"/>
      <protection locked="true" hidden="false"/>
    </xf>
    <xf numFmtId="164" fontId="17" fillId="3" borderId="12" xfId="20" applyFont="true" applyBorder="true" applyAlignment="true" applyProtection="false">
      <alignment horizontal="center" vertical="center" textRotation="0" wrapText="false" indent="0" shrinkToFit="false"/>
      <protection locked="true" hidden="false"/>
    </xf>
    <xf numFmtId="164" fontId="4" fillId="3" borderId="13" xfId="20" applyFont="false" applyBorder="true" applyAlignment="false" applyProtection="false">
      <alignment horizontal="general" vertical="bottom" textRotation="0" wrapText="false" indent="0" shrinkToFit="false"/>
      <protection locked="true" hidden="false"/>
    </xf>
    <xf numFmtId="164" fontId="4" fillId="3" borderId="14" xfId="20" applyFont="false" applyBorder="true" applyAlignment="false" applyProtection="false">
      <alignment horizontal="general" vertical="bottom" textRotation="0" wrapText="false" indent="0" shrinkToFit="false"/>
      <protection locked="true" hidden="false"/>
    </xf>
    <xf numFmtId="164" fontId="4" fillId="3" borderId="0" xfId="20" applyFont="false" applyBorder="false" applyAlignment="false" applyProtection="false">
      <alignment horizontal="general" vertical="bottom" textRotation="0" wrapText="false" indent="0" shrinkToFit="false"/>
      <protection locked="true" hidden="false"/>
    </xf>
    <xf numFmtId="164" fontId="4" fillId="3" borderId="15" xfId="20" applyFont="false" applyBorder="true" applyAlignment="false" applyProtection="false">
      <alignment horizontal="general" vertical="bottom" textRotation="0" wrapText="false" indent="0" shrinkToFit="false"/>
      <protection locked="true" hidden="false"/>
    </xf>
    <xf numFmtId="167" fontId="18" fillId="3" borderId="16" xfId="20" applyFont="true" applyBorder="true" applyAlignment="true" applyProtection="false">
      <alignment horizontal="center" vertical="center" textRotation="0" wrapText="false" indent="0" shrinkToFit="false"/>
      <protection locked="true" hidden="false"/>
    </xf>
    <xf numFmtId="164" fontId="4" fillId="3" borderId="17" xfId="20" applyFont="false" applyBorder="true" applyAlignment="false" applyProtection="false">
      <alignment horizontal="general" vertical="bottom" textRotation="0" wrapText="false" indent="0" shrinkToFit="false"/>
      <protection locked="true" hidden="false"/>
    </xf>
    <xf numFmtId="164" fontId="4" fillId="3" borderId="18" xfId="20" applyFont="false" applyBorder="true" applyAlignment="false" applyProtection="false">
      <alignment horizontal="general" vertical="bottom" textRotation="0" wrapText="false" indent="0" shrinkToFit="false"/>
      <protection locked="true" hidden="false"/>
    </xf>
    <xf numFmtId="164" fontId="8" fillId="5" borderId="19" xfId="20" applyFont="true" applyBorder="true" applyAlignment="true" applyProtection="false">
      <alignment horizontal="center" vertical="bottom" textRotation="0" wrapText="false" indent="0" shrinkToFit="false"/>
      <protection locked="true" hidden="false"/>
    </xf>
    <xf numFmtId="164" fontId="8" fillId="3" borderId="20" xfId="20" applyFont="true" applyBorder="true" applyAlignment="false" applyProtection="false">
      <alignment horizontal="general" vertical="bottom" textRotation="0" wrapText="false" indent="0" shrinkToFit="false"/>
      <protection locked="true" hidden="false"/>
    </xf>
    <xf numFmtId="164" fontId="8" fillId="3" borderId="19" xfId="20" applyFont="true" applyBorder="true" applyAlignment="true" applyProtection="false">
      <alignment horizontal="center" vertical="bottom" textRotation="0" wrapText="false" indent="0" shrinkToFit="false"/>
      <protection locked="true" hidden="false"/>
    </xf>
    <xf numFmtId="164" fontId="19" fillId="3" borderId="21" xfId="20" applyFont="true" applyBorder="true" applyAlignment="true" applyProtection="false">
      <alignment horizontal="center" vertical="bottom" textRotation="0" wrapText="false" indent="0" shrinkToFit="false"/>
      <protection locked="true" hidden="false"/>
    </xf>
    <xf numFmtId="164" fontId="19" fillId="3" borderId="21" xfId="20" applyFont="true" applyBorder="true" applyAlignment="false" applyProtection="false">
      <alignment horizontal="general" vertical="bottom" textRotation="0" wrapText="false" indent="0" shrinkToFit="false"/>
      <protection locked="true" hidden="false"/>
    </xf>
    <xf numFmtId="164" fontId="19" fillId="3" borderId="22" xfId="20" applyFont="true" applyBorder="true" applyAlignment="false" applyProtection="false">
      <alignment horizontal="general" vertical="bottom" textRotation="0" wrapText="false" indent="0" shrinkToFit="false"/>
      <protection locked="true" hidden="false"/>
    </xf>
    <xf numFmtId="164" fontId="19" fillId="3" borderId="23" xfId="20" applyFont="true" applyBorder="true" applyAlignment="true" applyProtection="false">
      <alignment horizontal="center" vertical="bottom" textRotation="0" wrapText="false" indent="0" shrinkToFit="false"/>
      <protection locked="true" hidden="false"/>
    </xf>
    <xf numFmtId="164" fontId="19" fillId="3" borderId="24" xfId="20" applyFont="true" applyBorder="true" applyAlignment="true" applyProtection="false">
      <alignment horizontal="center" vertical="bottom" textRotation="0" wrapText="false" indent="0" shrinkToFit="false"/>
      <protection locked="true" hidden="false"/>
    </xf>
    <xf numFmtId="164" fontId="4" fillId="3" borderId="25" xfId="20" applyFont="false" applyBorder="true" applyAlignment="true" applyProtection="false">
      <alignment horizontal="center" vertical="bottom" textRotation="0" wrapText="false" indent="0" shrinkToFit="false"/>
      <protection locked="true" hidden="false"/>
    </xf>
    <xf numFmtId="164" fontId="4" fillId="3" borderId="26" xfId="20" applyFont="false" applyBorder="true" applyAlignment="true" applyProtection="false">
      <alignment horizontal="center" vertical="bottom" textRotation="0" wrapText="false" indent="0" shrinkToFit="false"/>
      <protection locked="true" hidden="false"/>
    </xf>
    <xf numFmtId="176" fontId="0" fillId="3" borderId="27" xfId="21" applyFont="true" applyBorder="true" applyAlignment="true" applyProtection="true">
      <alignment horizontal="center" vertical="bottom" textRotation="0" wrapText="false" indent="0" shrinkToFit="false"/>
      <protection locked="true" hidden="false"/>
    </xf>
    <xf numFmtId="164" fontId="19" fillId="3" borderId="28" xfId="20" applyFont="true" applyBorder="true" applyAlignment="true" applyProtection="false">
      <alignment horizontal="center" vertical="bottom" textRotation="0" wrapText="false" indent="0" shrinkToFit="false"/>
      <protection locked="true" hidden="false"/>
    </xf>
    <xf numFmtId="164" fontId="4" fillId="3" borderId="29" xfId="20" applyFont="false" applyBorder="true" applyAlignment="true" applyProtection="false">
      <alignment horizontal="center" vertical="bottom" textRotation="0" wrapText="false" indent="0" shrinkToFit="false"/>
      <protection locked="true" hidden="false"/>
    </xf>
    <xf numFmtId="164" fontId="4" fillId="3" borderId="3" xfId="20" applyFont="false" applyBorder="true" applyAlignment="true" applyProtection="false">
      <alignment horizontal="center" vertical="bottom" textRotation="0" wrapText="false" indent="0" shrinkToFit="false"/>
      <protection locked="true" hidden="false"/>
    </xf>
    <xf numFmtId="176" fontId="0" fillId="3" borderId="30" xfId="21" applyFont="true" applyBorder="true" applyAlignment="true" applyProtection="true">
      <alignment horizontal="center" vertical="bottom" textRotation="0" wrapText="false" indent="0" shrinkToFit="false"/>
      <protection locked="true" hidden="false"/>
    </xf>
    <xf numFmtId="164" fontId="19" fillId="3" borderId="31" xfId="20" applyFont="true" applyBorder="true" applyAlignment="true" applyProtection="false">
      <alignment horizontal="center" vertical="bottom" textRotation="0" wrapText="false" indent="0" shrinkToFit="false"/>
      <protection locked="true" hidden="false"/>
    </xf>
    <xf numFmtId="164" fontId="4" fillId="3" borderId="32" xfId="20" applyFont="false" applyBorder="true" applyAlignment="true" applyProtection="false">
      <alignment horizontal="center" vertical="bottom" textRotation="0" wrapText="false" indent="0" shrinkToFit="false"/>
      <protection locked="true" hidden="false"/>
    </xf>
    <xf numFmtId="164" fontId="4" fillId="3" borderId="33" xfId="20" applyFont="false" applyBorder="true" applyAlignment="true" applyProtection="false">
      <alignment horizontal="center" vertical="bottom" textRotation="0" wrapText="false" indent="0" shrinkToFit="false"/>
      <protection locked="true" hidden="false"/>
    </xf>
    <xf numFmtId="176" fontId="0" fillId="3" borderId="34" xfId="21" applyFont="true" applyBorder="true" applyAlignment="true" applyProtection="true">
      <alignment horizontal="center" vertical="bottom" textRotation="0" wrapText="false" indent="0" shrinkToFit="false"/>
      <protection locked="true" hidden="false"/>
    </xf>
    <xf numFmtId="164" fontId="19" fillId="3" borderId="35" xfId="20" applyFont="true" applyBorder="true" applyAlignment="true" applyProtection="false">
      <alignment horizontal="center" vertical="bottom" textRotation="0" wrapText="false" indent="0" shrinkToFit="false"/>
      <protection locked="true" hidden="false"/>
    </xf>
    <xf numFmtId="164" fontId="4" fillId="3" borderId="35" xfId="20" applyFont="false" applyBorder="true" applyAlignment="true" applyProtection="false">
      <alignment horizontal="center" vertical="bottom" textRotation="0" wrapText="false" indent="0" shrinkToFit="false"/>
      <protection locked="true" hidden="false"/>
    </xf>
    <xf numFmtId="164" fontId="4" fillId="3" borderId="36" xfId="20" applyFont="false" applyBorder="true" applyAlignment="true" applyProtection="false">
      <alignment horizontal="center" vertical="bottom" textRotation="0" wrapText="false" indent="0" shrinkToFit="false"/>
      <protection locked="true" hidden="false"/>
    </xf>
    <xf numFmtId="176" fontId="0" fillId="3" borderId="23" xfId="21" applyFont="true" applyBorder="true" applyAlignment="true" applyProtection="true">
      <alignment horizontal="center" vertical="bottom" textRotation="0" wrapText="false" indent="0" shrinkToFit="false"/>
      <protection locked="true" hidden="false"/>
    </xf>
    <xf numFmtId="164" fontId="4" fillId="3" borderId="19" xfId="20" applyFont="false" applyBorder="true" applyAlignment="true" applyProtection="false">
      <alignment horizontal="center" vertical="bottom" textRotation="0" wrapText="false" indent="0" shrinkToFit="false"/>
      <protection locked="true" hidden="false"/>
    </xf>
    <xf numFmtId="164" fontId="8" fillId="5" borderId="11" xfId="20" applyFont="true" applyBorder="true" applyAlignment="true" applyProtection="false">
      <alignment horizontal="center" vertical="bottom" textRotation="0" wrapText="false" indent="0" shrinkToFit="false"/>
      <protection locked="true" hidden="false"/>
    </xf>
    <xf numFmtId="164" fontId="4" fillId="3" borderId="25" xfId="20" applyFont="true" applyBorder="true" applyAlignment="true" applyProtection="false">
      <alignment horizontal="center" vertical="center" textRotation="0" wrapText="false" indent="0" shrinkToFit="false"/>
      <protection locked="true" hidden="false"/>
    </xf>
    <xf numFmtId="164" fontId="0" fillId="3" borderId="25" xfId="20" applyFont="true" applyBorder="true" applyAlignment="true" applyProtection="false">
      <alignment horizontal="center" vertical="bottom" textRotation="0" wrapText="true" indent="0" shrinkToFit="false"/>
      <protection locked="true" hidden="false"/>
    </xf>
    <xf numFmtId="164" fontId="0" fillId="3" borderId="24" xfId="20" applyFont="true" applyBorder="true" applyAlignment="true" applyProtection="false">
      <alignment horizontal="center" vertical="bottom" textRotation="0" wrapText="true" indent="0" shrinkToFit="false"/>
      <protection locked="true" hidden="false"/>
    </xf>
    <xf numFmtId="164" fontId="4" fillId="3" borderId="29" xfId="20" applyFont="true" applyBorder="true" applyAlignment="true" applyProtection="false">
      <alignment horizontal="center" vertical="center" textRotation="0" wrapText="false" indent="0" shrinkToFit="false"/>
      <protection locked="true" hidden="false"/>
    </xf>
    <xf numFmtId="164" fontId="0" fillId="3" borderId="29" xfId="20" applyFont="true" applyBorder="true" applyAlignment="true" applyProtection="false">
      <alignment horizontal="center" vertical="bottom" textRotation="0" wrapText="true" indent="0" shrinkToFit="false"/>
      <protection locked="true" hidden="false"/>
    </xf>
    <xf numFmtId="164" fontId="0" fillId="3" borderId="28" xfId="20" applyFont="true" applyBorder="true" applyAlignment="true" applyProtection="false">
      <alignment horizontal="center" vertical="bottom" textRotation="0" wrapText="true" indent="0" shrinkToFit="false"/>
      <protection locked="true" hidden="false"/>
    </xf>
    <xf numFmtId="168" fontId="0" fillId="3" borderId="29" xfId="20" applyFont="true" applyBorder="true" applyAlignment="true" applyProtection="false">
      <alignment horizontal="center" vertical="bottom" textRotation="0" wrapText="false" indent="0" shrinkToFit="false"/>
      <protection locked="true" hidden="false"/>
    </xf>
    <xf numFmtId="168" fontId="0" fillId="3" borderId="28" xfId="20" applyFont="true" applyBorder="true" applyAlignment="true" applyProtection="false">
      <alignment horizontal="center" vertical="bottom" textRotation="0" wrapText="false" indent="0" shrinkToFit="false"/>
      <protection locked="true" hidden="false"/>
    </xf>
    <xf numFmtId="173" fontId="0" fillId="3" borderId="29" xfId="20" applyFont="true" applyBorder="true" applyAlignment="true" applyProtection="false">
      <alignment horizontal="center" vertical="bottom" textRotation="0" wrapText="false" indent="0" shrinkToFit="false"/>
      <protection locked="true" hidden="false"/>
    </xf>
    <xf numFmtId="173" fontId="0" fillId="3" borderId="28" xfId="20" applyFont="true" applyBorder="true" applyAlignment="true" applyProtection="false">
      <alignment horizontal="center" vertical="bottom" textRotation="0" wrapText="false" indent="0" shrinkToFit="false"/>
      <protection locked="true" hidden="false"/>
    </xf>
    <xf numFmtId="164" fontId="0" fillId="3" borderId="29" xfId="20" applyFont="true" applyBorder="true" applyAlignment="true" applyProtection="false">
      <alignment horizontal="center" vertical="center" textRotation="0" wrapText="true" indent="0" shrinkToFit="false"/>
      <protection locked="true" hidden="false"/>
    </xf>
    <xf numFmtId="164" fontId="0" fillId="3" borderId="28" xfId="20" applyFont="true" applyBorder="true" applyAlignment="true" applyProtection="false">
      <alignment horizontal="center" vertical="center" textRotation="0" wrapText="true" indent="0" shrinkToFit="false"/>
      <protection locked="true" hidden="false"/>
    </xf>
    <xf numFmtId="168" fontId="0" fillId="3" borderId="29" xfId="20" applyFont="true" applyBorder="true" applyAlignment="true" applyProtection="false">
      <alignment horizontal="center" vertical="bottom" textRotation="0" wrapText="true" indent="0" shrinkToFit="false"/>
      <protection locked="true" hidden="false"/>
    </xf>
    <xf numFmtId="168" fontId="0" fillId="3" borderId="28" xfId="20" applyFont="true" applyBorder="true" applyAlignment="true" applyProtection="false">
      <alignment horizontal="center" vertical="bottom" textRotation="0" wrapText="true" indent="0" shrinkToFit="false"/>
      <protection locked="true" hidden="false"/>
    </xf>
    <xf numFmtId="164" fontId="4" fillId="3" borderId="32" xfId="20" applyFont="true" applyBorder="true" applyAlignment="true" applyProtection="false">
      <alignment horizontal="center" vertical="center" textRotation="0" wrapText="false" indent="0" shrinkToFit="false"/>
      <protection locked="true" hidden="false"/>
    </xf>
    <xf numFmtId="168" fontId="0" fillId="3" borderId="32" xfId="20" applyFont="true" applyBorder="true" applyAlignment="true" applyProtection="false">
      <alignment horizontal="center" vertical="bottom" textRotation="0" wrapText="true" indent="0" shrinkToFit="false"/>
      <protection locked="true" hidden="false"/>
    </xf>
    <xf numFmtId="168" fontId="0" fillId="3" borderId="31" xfId="20" applyFont="true" applyBorder="true" applyAlignment="true" applyProtection="false">
      <alignment horizontal="center" vertical="bottom" textRotation="0" wrapText="true" indent="0" shrinkToFit="false"/>
      <protection locked="true" hidden="false"/>
    </xf>
    <xf numFmtId="164" fontId="4" fillId="3" borderId="37" xfId="20" applyFont="false" applyBorder="true" applyAlignment="true" applyProtection="false">
      <alignment horizontal="center" vertical="center" textRotation="0" wrapText="false" indent="0" shrinkToFit="false"/>
      <protection locked="true" hidden="false"/>
    </xf>
    <xf numFmtId="164" fontId="4" fillId="3" borderId="0" xfId="20" applyFont="false" applyBorder="false" applyAlignment="true" applyProtection="false">
      <alignment horizontal="center" vertical="center" textRotation="0" wrapText="false" indent="0" shrinkToFit="false"/>
      <protection locked="true" hidden="false"/>
    </xf>
    <xf numFmtId="168" fontId="0" fillId="3" borderId="0" xfId="20" applyFont="true" applyBorder="false" applyAlignment="true" applyProtection="false">
      <alignment horizontal="center" vertical="bottom" textRotation="0" wrapText="true" indent="0" shrinkToFit="false"/>
      <protection locked="true" hidden="false"/>
    </xf>
    <xf numFmtId="168" fontId="0" fillId="3" borderId="15" xfId="20" applyFont="true" applyBorder="true" applyAlignment="true" applyProtection="false">
      <alignment horizontal="center" vertical="bottom" textRotation="0" wrapText="true" indent="0" shrinkToFit="false"/>
      <protection locked="true" hidden="false"/>
    </xf>
    <xf numFmtId="164" fontId="4" fillId="3" borderId="24" xfId="20" applyFont="true" applyBorder="true" applyAlignment="true" applyProtection="false">
      <alignment horizontal="center" vertical="center" textRotation="0" wrapText="false" indent="0" shrinkToFit="false"/>
      <protection locked="true" hidden="false"/>
    </xf>
    <xf numFmtId="164" fontId="0" fillId="3" borderId="24" xfId="20" applyFont="true" applyBorder="true" applyAlignment="true" applyProtection="false">
      <alignment horizontal="center" vertical="bottom" textRotation="0" wrapText="false" indent="0" shrinkToFit="false"/>
      <protection locked="true" hidden="false"/>
    </xf>
    <xf numFmtId="164" fontId="4" fillId="3" borderId="28" xfId="20" applyFont="true" applyBorder="true" applyAlignment="true" applyProtection="false">
      <alignment horizontal="center" vertical="center" textRotation="0" wrapText="false" indent="0" shrinkToFit="false"/>
      <protection locked="true" hidden="false"/>
    </xf>
    <xf numFmtId="168" fontId="0" fillId="3" borderId="28" xfId="20" applyFont="true" applyBorder="true" applyAlignment="true" applyProtection="false">
      <alignment horizontal="center" vertical="center" textRotation="0" wrapText="true" indent="0" shrinkToFit="false"/>
      <protection locked="true" hidden="false"/>
    </xf>
    <xf numFmtId="168" fontId="0" fillId="3" borderId="28" xfId="20" applyFont="true" applyBorder="true" applyAlignment="true" applyProtection="false">
      <alignment horizontal="general" vertical="center" textRotation="0" wrapText="true" indent="0" shrinkToFit="false"/>
      <protection locked="true" hidden="false"/>
    </xf>
    <xf numFmtId="168" fontId="0" fillId="3" borderId="38" xfId="20" applyFont="true" applyBorder="true" applyAlignment="true" applyProtection="false">
      <alignment horizontal="center" vertical="bottom" textRotation="0" wrapText="true" indent="0" shrinkToFit="false"/>
      <protection locked="true" hidden="false"/>
    </xf>
    <xf numFmtId="168" fontId="0" fillId="3" borderId="39" xfId="20" applyFont="true" applyBorder="true" applyAlignment="true" applyProtection="false">
      <alignment horizontal="center" vertical="bottom" textRotation="0" wrapText="true" indent="0" shrinkToFit="false"/>
      <protection locked="true" hidden="false"/>
    </xf>
    <xf numFmtId="164" fontId="4" fillId="3" borderId="31" xfId="20" applyFont="true" applyBorder="true" applyAlignment="true" applyProtection="false">
      <alignment horizontal="center" vertical="center" textRotation="0" wrapText="false" indent="0" shrinkToFit="false"/>
      <protection locked="true" hidden="false"/>
    </xf>
    <xf numFmtId="168" fontId="0" fillId="3" borderId="40" xfId="20" applyFont="true" applyBorder="true" applyAlignment="true" applyProtection="false">
      <alignment horizontal="center" vertical="bottom" textRotation="0" wrapText="true" indent="0" shrinkToFit="false"/>
      <protection locked="true" hidden="false"/>
    </xf>
    <xf numFmtId="168" fontId="0" fillId="3" borderId="41" xfId="20" applyFont="true" applyBorder="true" applyAlignment="true" applyProtection="false">
      <alignment horizontal="center" vertical="bottom" textRotation="0" wrapText="true" indent="0" shrinkToFit="false"/>
      <protection locked="true" hidden="false"/>
    </xf>
    <xf numFmtId="164" fontId="4" fillId="3" borderId="19" xfId="20" applyFont="false" applyBorder="true" applyAlignment="true" applyProtection="false">
      <alignment horizontal="center" vertical="center" textRotation="0" wrapText="false" indent="0" shrinkToFit="false"/>
      <protection locked="true" hidden="false"/>
    </xf>
    <xf numFmtId="164" fontId="17" fillId="3" borderId="19" xfId="20" applyFont="true" applyBorder="true" applyAlignment="true" applyProtection="false">
      <alignment horizontal="center" vertical="center" textRotation="0" wrapText="false" indent="0" shrinkToFit="false"/>
      <protection locked="true" hidden="false"/>
    </xf>
    <xf numFmtId="164" fontId="4" fillId="3" borderId="24" xfId="20" applyFont="false" applyBorder="true" applyAlignment="true" applyProtection="false">
      <alignment horizontal="center" vertical="bottom" textRotation="0" wrapText="false" indent="0" shrinkToFit="false"/>
      <protection locked="true" hidden="false"/>
    </xf>
    <xf numFmtId="164" fontId="4" fillId="3" borderId="28" xfId="20" applyFont="false" applyBorder="true" applyAlignment="true" applyProtection="false">
      <alignment horizontal="center" vertical="bottom" textRotation="0" wrapText="false" indent="0" shrinkToFit="false"/>
      <protection locked="true" hidden="false"/>
    </xf>
    <xf numFmtId="164" fontId="4" fillId="3" borderId="31" xfId="20" applyFont="false" applyBorder="true" applyAlignment="true" applyProtection="false">
      <alignment horizontal="center" vertical="bottom" textRotation="0" wrapText="fals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Normal 2" xfId="20"/>
    <cellStyle name="Porcentagem 2" xfId="21"/>
  </cellStyles>
  <dxfs count="3">
    <dxf>
      <fill>
        <patternFill patternType="solid">
          <fgColor rgb="00FFFFFF"/>
        </patternFill>
      </fill>
    </dxf>
    <dxf>
      <fill>
        <patternFill patternType="solid">
          <fgColor rgb="FF3D3D3D"/>
          <bgColor rgb="FFFFFFFF"/>
        </patternFill>
      </fill>
    </dxf>
    <dxf>
      <fill>
        <patternFill patternType="solid">
          <fgColor rgb="FFE2EFDA"/>
        </patternFill>
      </fill>
    </dxf>
  </dxfs>
  <colors>
    <indexedColors>
      <rgbColor rgb="FF000000"/>
      <rgbColor rgb="FFFFFFFF"/>
      <rgbColor rgb="FFC00000"/>
      <rgbColor rgb="FF00FF00"/>
      <rgbColor rgb="FF0000FF"/>
      <rgbColor rgb="FFFFFF00"/>
      <rgbColor rgb="FFFF00FF"/>
      <rgbColor rgb="FF00FFFF"/>
      <rgbColor rgb="FF800000"/>
      <rgbColor rgb="FF008000"/>
      <rgbColor rgb="FF000080"/>
      <rgbColor rgb="FF808000"/>
      <rgbColor rgb="FF800080"/>
      <rgbColor rgb="FF008080"/>
      <rgbColor rgb="FFA9D08E"/>
      <rgbColor rgb="FF8B8B8B"/>
      <rgbColor rgb="FF5B9BD5"/>
      <rgbColor rgb="FF993366"/>
      <rgbColor rgb="FFFFFFCC"/>
      <rgbColor rgb="FFDEEBF7"/>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E2EFDA"/>
      <rgbColor rgb="FFFFFF99"/>
      <rgbColor rgb="FF9DC3E6"/>
      <rgbColor rgb="FFFF99CC"/>
      <rgbColor rgb="FFCC99FF"/>
      <rgbColor rgb="FFA9D18E"/>
      <rgbColor rgb="FF3366FF"/>
      <rgbColor rgb="FF33CCCC"/>
      <rgbColor rgb="FF99CC00"/>
      <rgbColor rgb="FFFFC000"/>
      <rgbColor rgb="FFFF9900"/>
      <rgbColor rgb="FFED7D31"/>
      <rgbColor rgb="FF595959"/>
      <rgbColor rgb="FFA5A5A5"/>
      <rgbColor rgb="FF003366"/>
      <rgbColor rgb="FF339966"/>
      <rgbColor rgb="FF003300"/>
      <rgbColor rgb="FF333300"/>
      <rgbColor rgb="FF993300"/>
      <rgbColor rgb="FF993366"/>
      <rgbColor rgb="FF333399"/>
      <rgbColor rgb="FF40404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barChart>
        <c:barDir val="col"/>
        <c:grouping val="clustered"/>
        <c:varyColors val="0"/>
        <c:ser>
          <c:idx val="0"/>
          <c:order val="0"/>
          <c:spPr>
            <a:solidFill>
              <a:srgbClr val="5b9bd5"/>
            </a:solidFill>
            <a:ln w="0">
              <a:noFill/>
            </a:ln>
          </c:spPr>
          <c:invertIfNegative val="0"/>
          <c:dLbls>
            <c:numFmt formatCode="General" sourceLinked="1"/>
            <c:txPr>
              <a:bodyPr wrap="square"/>
              <a:lstStyle/>
              <a:p>
                <a:pPr>
                  <a:defRPr b="0" sz="900" spc="-1" strike="noStrike">
                    <a:solidFill>
                      <a:srgbClr val="404040"/>
                    </a:solidFill>
                    <a:latin typeface="Calibri"/>
                  </a:defRPr>
                </a:pPr>
              </a:p>
            </c:txPr>
            <c:dLblPos val="outEnd"/>
            <c:showLegendKey val="0"/>
            <c:showVal val="1"/>
            <c:showCatName val="0"/>
            <c:showSerName val="0"/>
            <c:showPercent val="0"/>
            <c:separator>; </c:separator>
            <c:showLeaderLines val="1"/>
            <c:extLst>
              <c:ext xmlns:c15="http://schemas.microsoft.com/office/drawing/2012/chart" uri="{CE6537A1-D6FC-4f65-9D91-7224C49458BB}">
                <c15:showLeaderLines val="1"/>
              </c:ext>
            </c:extLst>
          </c:dLbls>
          <c:cat>
            <c:multiLvlStrRef>
              <c:f>'Qtd Semana 2021'!$B$57:$L$58</c:f>
              <c:multiLvlStrCache>
                <c:ptCount val="11"/>
                <c:lvl>
                  <c:pt idx="0">
                    <c:v>Estamparia</c:v>
                  </c:pt>
                  <c:pt idx="1">
                    <c:v>Carroceria</c:v>
                  </c:pt>
                  <c:pt idx="2">
                    <c:v>Pintura</c:v>
                  </c:pt>
                  <c:pt idx="3">
                    <c:v>Montagem</c:v>
                  </c:pt>
                  <c:pt idx="4">
                    <c:v>Carroceria</c:v>
                  </c:pt>
                  <c:pt idx="5">
                    <c:v>Pintura</c:v>
                  </c:pt>
                  <c:pt idx="6">
                    <c:v>Montagem</c:v>
                  </c:pt>
                  <c:pt idx="7">
                    <c:v>MM01</c:v>
                  </c:pt>
                  <c:pt idx="8">
                    <c:v>MM13</c:v>
                  </c:pt>
                  <c:pt idx="9">
                    <c:v>CIA</c:v>
                  </c:pt>
                  <c:pt idx="10">
                    <c:v>Usinagem</c:v>
                  </c:pt>
                </c:lvl>
                <c:lvl>
                  <c:pt idx="0">
                    <c:v>CVP</c:v>
                  </c:pt>
                  <c:pt idx="4">
                    <c:v>CVU</c:v>
                  </c:pt>
                  <c:pt idx="7">
                    <c:v>CMO</c:v>
                  </c:pt>
                </c:lvl>
              </c:multiLvlStrCache>
            </c:multiLvlStrRef>
          </c:cat>
          <c:val>
            <c:numRef>
              <c:f>'Qtd Semana 2021'!$B$59:$L$59</c:f>
              <c:numCache>
                <c:formatCode>General</c:formatCode>
                <c:ptCount val="11"/>
                <c:pt idx="0">
                  <c:v>43</c:v>
                </c:pt>
                <c:pt idx="1">
                  <c:v>66</c:v>
                </c:pt>
                <c:pt idx="2">
                  <c:v>40</c:v>
                </c:pt>
                <c:pt idx="3">
                  <c:v>68</c:v>
                </c:pt>
                <c:pt idx="4">
                  <c:v>51</c:v>
                </c:pt>
                <c:pt idx="5">
                  <c:v>23</c:v>
                </c:pt>
                <c:pt idx="6">
                  <c:v>21</c:v>
                </c:pt>
                <c:pt idx="7">
                  <c:v>6</c:v>
                </c:pt>
                <c:pt idx="8">
                  <c:v>5</c:v>
                </c:pt>
                <c:pt idx="9">
                  <c:v>2</c:v>
                </c:pt>
                <c:pt idx="10">
                  <c:v>25</c:v>
                </c:pt>
              </c:numCache>
            </c:numRef>
          </c:val>
        </c:ser>
        <c:gapWidth val="219"/>
        <c:overlap val="-27"/>
        <c:axId val="11244928"/>
        <c:axId val="80835819"/>
      </c:barChart>
      <c:catAx>
        <c:axId val="11244928"/>
        <c:scaling>
          <c:orientation val="minMax"/>
        </c:scaling>
        <c:delete val="0"/>
        <c:axPos val="b"/>
        <c:numFmt formatCode="General" sourceLinked="0"/>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80835819"/>
        <c:crosses val="autoZero"/>
        <c:auto val="1"/>
        <c:lblAlgn val="ctr"/>
        <c:lblOffset val="100"/>
        <c:noMultiLvlLbl val="0"/>
      </c:catAx>
      <c:valAx>
        <c:axId val="80835819"/>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6480">
            <a:noFill/>
          </a:ln>
        </c:spPr>
        <c:txPr>
          <a:bodyPr/>
          <a:lstStyle/>
          <a:p>
            <a:pPr>
              <a:defRPr b="0" sz="900" spc="-1" strike="noStrike">
                <a:solidFill>
                  <a:srgbClr val="595959"/>
                </a:solidFill>
                <a:latin typeface="Calibri"/>
              </a:defRPr>
            </a:pPr>
          </a:p>
        </c:txPr>
        <c:crossAx val="11244928"/>
        <c:crosses val="autoZero"/>
        <c:crossBetween val="between"/>
      </c:valAx>
      <c:spPr>
        <a:noFill/>
        <a:ln w="0">
          <a:noFill/>
        </a:ln>
      </c:spPr>
    </c:plotArea>
    <c:plotVisOnly val="1"/>
    <c:dispBlanksAs val="gap"/>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lang="pt-BR" sz="1400" spc="-1" strike="noStrike">
                <a:solidFill>
                  <a:srgbClr val="595959"/>
                </a:solidFill>
                <a:latin typeface="Calibri"/>
              </a:defRPr>
            </a:pPr>
            <a:r>
              <a:rPr b="0" lang="pt-BR" sz="1400" spc="-1" strike="noStrike">
                <a:solidFill>
                  <a:srgbClr val="595959"/>
                </a:solidFill>
                <a:latin typeface="Calibri"/>
              </a:rPr>
              <a:t>Atendimentos PLATEC</a:t>
            </a:r>
          </a:p>
        </c:rich>
      </c:tx>
      <c:overlay val="0"/>
      <c:spPr>
        <a:noFill/>
        <a:ln w="0">
          <a:noFill/>
        </a:ln>
      </c:spPr>
    </c:title>
    <c:autoTitleDeleted val="0"/>
    <c:plotArea>
      <c:barChart>
        <c:barDir val="col"/>
        <c:grouping val="clustered"/>
        <c:varyColors val="0"/>
        <c:ser>
          <c:idx val="0"/>
          <c:order val="0"/>
          <c:tx>
            <c:strRef>
              <c:f>Dashboard!$B$4:$B$4</c:f>
              <c:strCache>
                <c:ptCount val="1"/>
                <c:pt idx="0">
                  <c:v>CMO</c:v>
                </c:pt>
              </c:strCache>
            </c:strRef>
          </c:tx>
          <c:spPr>
            <a:solidFill>
              <a:srgbClr val="ffc000"/>
            </a:solidFill>
            <a:ln w="0">
              <a:noFill/>
            </a:ln>
          </c:spPr>
          <c:invertIfNegative val="0"/>
          <c:dLbls>
            <c:numFmt formatCode="General" sourceLinked="1"/>
            <c:txPr>
              <a:bodyPr wrap="square"/>
              <a:lstStyle/>
              <a:p>
                <a:pPr>
                  <a:defRPr b="0" sz="900" spc="-1" strike="noStrike">
                    <a:solidFill>
                      <a:srgbClr val="404040"/>
                    </a:solidFill>
                    <a:latin typeface="Calibri"/>
                  </a:defRPr>
                </a:pPr>
              </a:p>
            </c:txPr>
            <c:dLblPos val="outEnd"/>
            <c:showLegendKey val="0"/>
            <c:showVal val="1"/>
            <c:showCatName val="0"/>
            <c:showSerName val="0"/>
            <c:showPercent val="0"/>
            <c:separator>; </c:separator>
            <c:showLeaderLines val="1"/>
            <c:extLst>
              <c:ext xmlns:c15="http://schemas.microsoft.com/office/drawing/2012/chart" uri="{CE6537A1-D6FC-4f65-9D91-7224C49458BB}">
                <c15:showLeaderLines val="1"/>
              </c:ext>
            </c:extLst>
          </c:dLbls>
          <c:cat>
            <c:strRef>
              <c:f>Dashboard!$C$2:$I$2</c:f>
              <c:strCache>
                <c:ptCount val="7"/>
                <c:pt idx="0">
                  <c:v>Janeiro</c:v>
                </c:pt>
                <c:pt idx="1">
                  <c:v>Fevereiro</c:v>
                </c:pt>
                <c:pt idx="2">
                  <c:v>Março</c:v>
                </c:pt>
                <c:pt idx="3">
                  <c:v>Abril</c:v>
                </c:pt>
                <c:pt idx="4">
                  <c:v>Maio</c:v>
                </c:pt>
                <c:pt idx="5">
                  <c:v>Junho</c:v>
                </c:pt>
                <c:pt idx="6">
                  <c:v>Julho</c:v>
                </c:pt>
              </c:strCache>
            </c:strRef>
          </c:cat>
          <c:val>
            <c:numRef>
              <c:f>Dashboard!$C$4:$I$4</c:f>
              <c:numCache>
                <c:formatCode>General</c:formatCode>
                <c:ptCount val="7"/>
                <c:pt idx="0">
                  <c:v>4</c:v>
                </c:pt>
                <c:pt idx="1">
                  <c:v>5</c:v>
                </c:pt>
                <c:pt idx="2">
                  <c:v>10</c:v>
                </c:pt>
                <c:pt idx="3">
                  <c:v>12</c:v>
                </c:pt>
                <c:pt idx="4">
                  <c:v>3</c:v>
                </c:pt>
                <c:pt idx="5">
                  <c:v>7</c:v>
                </c:pt>
                <c:pt idx="6">
                  <c:v>9</c:v>
                </c:pt>
              </c:numCache>
            </c:numRef>
          </c:val>
        </c:ser>
        <c:ser>
          <c:idx val="1"/>
          <c:order val="1"/>
          <c:tx>
            <c:strRef>
              <c:f>Dashboard!$B$5:$B$5</c:f>
              <c:strCache>
                <c:ptCount val="1"/>
                <c:pt idx="0">
                  <c:v>CVP</c:v>
                </c:pt>
              </c:strCache>
            </c:strRef>
          </c:tx>
          <c:spPr>
            <a:solidFill>
              <a:srgbClr val="ed7d31"/>
            </a:solidFill>
            <a:ln w="0">
              <a:noFill/>
            </a:ln>
          </c:spPr>
          <c:invertIfNegative val="0"/>
          <c:dLbls>
            <c:numFmt formatCode="General" sourceLinked="1"/>
            <c:txPr>
              <a:bodyPr wrap="square"/>
              <a:lstStyle/>
              <a:p>
                <a:pPr>
                  <a:defRPr b="0" sz="900" spc="-1" strike="noStrike">
                    <a:solidFill>
                      <a:srgbClr val="404040"/>
                    </a:solidFill>
                    <a:latin typeface="Calibri"/>
                  </a:defRPr>
                </a:pPr>
              </a:p>
            </c:txPr>
            <c:dLblPos val="outEnd"/>
            <c:showLegendKey val="0"/>
            <c:showVal val="1"/>
            <c:showCatName val="0"/>
            <c:showSerName val="0"/>
            <c:showPercent val="0"/>
            <c:separator>; </c:separator>
            <c:showLeaderLines val="1"/>
            <c:extLst>
              <c:ext xmlns:c15="http://schemas.microsoft.com/office/drawing/2012/chart" uri="{CE6537A1-D6FC-4f65-9D91-7224C49458BB}">
                <c15:showLeaderLines val="1"/>
              </c:ext>
            </c:extLst>
          </c:dLbls>
          <c:cat>
            <c:strRef>
              <c:f>Dashboard!$C$2:$I$2</c:f>
              <c:strCache>
                <c:ptCount val="7"/>
                <c:pt idx="0">
                  <c:v>Janeiro</c:v>
                </c:pt>
                <c:pt idx="1">
                  <c:v>Fevereiro</c:v>
                </c:pt>
                <c:pt idx="2">
                  <c:v>Março</c:v>
                </c:pt>
                <c:pt idx="3">
                  <c:v>Abril</c:v>
                </c:pt>
                <c:pt idx="4">
                  <c:v>Maio</c:v>
                </c:pt>
                <c:pt idx="5">
                  <c:v>Junho</c:v>
                </c:pt>
                <c:pt idx="6">
                  <c:v>Julho</c:v>
                </c:pt>
              </c:strCache>
            </c:strRef>
          </c:cat>
          <c:val>
            <c:numRef>
              <c:f>Dashboard!$C$5:$I$5</c:f>
              <c:numCache>
                <c:formatCode>General</c:formatCode>
                <c:ptCount val="7"/>
                <c:pt idx="0">
                  <c:v>19</c:v>
                </c:pt>
                <c:pt idx="1">
                  <c:v>21</c:v>
                </c:pt>
                <c:pt idx="2">
                  <c:v>27</c:v>
                </c:pt>
                <c:pt idx="3">
                  <c:v>29</c:v>
                </c:pt>
                <c:pt idx="4">
                  <c:v>11</c:v>
                </c:pt>
                <c:pt idx="5">
                  <c:v>24</c:v>
                </c:pt>
                <c:pt idx="6">
                  <c:v>30</c:v>
                </c:pt>
              </c:numCache>
            </c:numRef>
          </c:val>
        </c:ser>
        <c:ser>
          <c:idx val="2"/>
          <c:order val="2"/>
          <c:tx>
            <c:strRef>
              <c:f>Dashboard!$B$6:$B$6</c:f>
              <c:strCache>
                <c:ptCount val="1"/>
                <c:pt idx="0">
                  <c:v>CVU</c:v>
                </c:pt>
              </c:strCache>
            </c:strRef>
          </c:tx>
          <c:spPr>
            <a:solidFill>
              <a:srgbClr val="c00000"/>
            </a:solidFill>
            <a:ln w="0">
              <a:noFill/>
            </a:ln>
          </c:spPr>
          <c:invertIfNegative val="0"/>
          <c:dLbls>
            <c:numFmt formatCode="General" sourceLinked="1"/>
            <c:txPr>
              <a:bodyPr wrap="square"/>
              <a:lstStyle/>
              <a:p>
                <a:pPr>
                  <a:defRPr b="0" sz="900" spc="-1" strike="noStrike">
                    <a:solidFill>
                      <a:srgbClr val="404040"/>
                    </a:solidFill>
                    <a:latin typeface="Calibri"/>
                  </a:defRPr>
                </a:pPr>
              </a:p>
            </c:txPr>
            <c:dLblPos val="outEnd"/>
            <c:showLegendKey val="0"/>
            <c:showVal val="1"/>
            <c:showCatName val="0"/>
            <c:showSerName val="0"/>
            <c:showPercent val="0"/>
            <c:separator>; </c:separator>
            <c:showLeaderLines val="1"/>
            <c:extLst>
              <c:ext xmlns:c15="http://schemas.microsoft.com/office/drawing/2012/chart" uri="{CE6537A1-D6FC-4f65-9D91-7224C49458BB}">
                <c15:showLeaderLines val="1"/>
              </c:ext>
            </c:extLst>
          </c:dLbls>
          <c:cat>
            <c:strRef>
              <c:f>Dashboard!$C$2:$I$2</c:f>
              <c:strCache>
                <c:ptCount val="7"/>
                <c:pt idx="0">
                  <c:v>Janeiro</c:v>
                </c:pt>
                <c:pt idx="1">
                  <c:v>Fevereiro</c:v>
                </c:pt>
                <c:pt idx="2">
                  <c:v>Março</c:v>
                </c:pt>
                <c:pt idx="3">
                  <c:v>Abril</c:v>
                </c:pt>
                <c:pt idx="4">
                  <c:v>Maio</c:v>
                </c:pt>
                <c:pt idx="5">
                  <c:v>Junho</c:v>
                </c:pt>
                <c:pt idx="6">
                  <c:v>Julho</c:v>
                </c:pt>
              </c:strCache>
            </c:strRef>
          </c:cat>
          <c:val>
            <c:numRef>
              <c:f>Dashboard!$C$6:$I$6</c:f>
              <c:numCache>
                <c:formatCode>General</c:formatCode>
                <c:ptCount val="7"/>
                <c:pt idx="0">
                  <c:v>8</c:v>
                </c:pt>
                <c:pt idx="1">
                  <c:v>11</c:v>
                </c:pt>
                <c:pt idx="2">
                  <c:v>15</c:v>
                </c:pt>
                <c:pt idx="3">
                  <c:v>18</c:v>
                </c:pt>
                <c:pt idx="4">
                  <c:v>8</c:v>
                </c:pt>
                <c:pt idx="5">
                  <c:v>7</c:v>
                </c:pt>
                <c:pt idx="6">
                  <c:v>10</c:v>
                </c:pt>
              </c:numCache>
            </c:numRef>
          </c:val>
        </c:ser>
        <c:ser>
          <c:idx val="3"/>
          <c:order val="3"/>
          <c:tx>
            <c:strRef>
              <c:f>Dashboard!$B$7:$B$7</c:f>
              <c:strCache>
                <c:ptCount val="1"/>
                <c:pt idx="0">
                  <c:v>Total Geral</c:v>
                </c:pt>
              </c:strCache>
            </c:strRef>
          </c:tx>
          <c:spPr>
            <a:solidFill>
              <a:srgbClr val="a9d18e"/>
            </a:solidFill>
            <a:ln w="0">
              <a:noFill/>
            </a:ln>
          </c:spPr>
          <c:invertIfNegative val="0"/>
          <c:dLbls>
            <c:numFmt formatCode="General" sourceLinked="1"/>
            <c:txPr>
              <a:bodyPr wrap="square"/>
              <a:lstStyle/>
              <a:p>
                <a:pPr>
                  <a:defRPr b="0" sz="900" spc="-1" strike="noStrike">
                    <a:solidFill>
                      <a:srgbClr val="404040"/>
                    </a:solidFill>
                    <a:latin typeface="Calibri"/>
                  </a:defRPr>
                </a:pPr>
              </a:p>
            </c:txPr>
            <c:dLblPos val="outEnd"/>
            <c:showLegendKey val="0"/>
            <c:showVal val="1"/>
            <c:showCatName val="0"/>
            <c:showSerName val="0"/>
            <c:showPercent val="0"/>
            <c:separator>; </c:separator>
            <c:showLeaderLines val="1"/>
            <c:extLst>
              <c:ext xmlns:c15="http://schemas.microsoft.com/office/drawing/2012/chart" uri="{CE6537A1-D6FC-4f65-9D91-7224C49458BB}">
                <c15:showLeaderLines val="1"/>
              </c:ext>
            </c:extLst>
          </c:dLbls>
          <c:cat>
            <c:strRef>
              <c:f>Dashboard!$C$2:$I$2</c:f>
              <c:strCache>
                <c:ptCount val="7"/>
                <c:pt idx="0">
                  <c:v>Janeiro</c:v>
                </c:pt>
                <c:pt idx="1">
                  <c:v>Fevereiro</c:v>
                </c:pt>
                <c:pt idx="2">
                  <c:v>Março</c:v>
                </c:pt>
                <c:pt idx="3">
                  <c:v>Abril</c:v>
                </c:pt>
                <c:pt idx="4">
                  <c:v>Maio</c:v>
                </c:pt>
                <c:pt idx="5">
                  <c:v>Junho</c:v>
                </c:pt>
                <c:pt idx="6">
                  <c:v>Julho</c:v>
                </c:pt>
              </c:strCache>
            </c:strRef>
          </c:cat>
          <c:val>
            <c:numRef>
              <c:f>Dashboard!$C$7:$I$7</c:f>
              <c:numCache>
                <c:formatCode>General</c:formatCode>
                <c:ptCount val="7"/>
                <c:pt idx="0">
                  <c:v>31</c:v>
                </c:pt>
                <c:pt idx="1">
                  <c:v>37</c:v>
                </c:pt>
                <c:pt idx="2">
                  <c:v>53</c:v>
                </c:pt>
                <c:pt idx="3">
                  <c:v>59</c:v>
                </c:pt>
                <c:pt idx="4">
                  <c:v>22</c:v>
                </c:pt>
                <c:pt idx="5">
                  <c:v>38</c:v>
                </c:pt>
                <c:pt idx="6">
                  <c:v>49</c:v>
                </c:pt>
              </c:numCache>
            </c:numRef>
          </c:val>
        </c:ser>
        <c:gapWidth val="219"/>
        <c:overlap val="-27"/>
        <c:axId val="45538811"/>
        <c:axId val="67766793"/>
      </c:barChart>
      <c:catAx>
        <c:axId val="45538811"/>
        <c:scaling>
          <c:orientation val="minMax"/>
        </c:scaling>
        <c:delete val="0"/>
        <c:axPos val="b"/>
        <c:numFmt formatCode="General" sourceLinked="0"/>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67766793"/>
        <c:crosses val="autoZero"/>
        <c:auto val="1"/>
        <c:lblAlgn val="ctr"/>
        <c:lblOffset val="100"/>
        <c:noMultiLvlLbl val="0"/>
      </c:catAx>
      <c:valAx>
        <c:axId val="67766793"/>
        <c:scaling>
          <c:orientation val="minMax"/>
        </c:scaling>
        <c:delete val="0"/>
        <c:axPos val="l"/>
        <c:numFmt formatCode="General" sourceLinked="0"/>
        <c:majorTickMark val="none"/>
        <c:minorTickMark val="none"/>
        <c:tickLblPos val="nextTo"/>
        <c:spPr>
          <a:ln w="6480">
            <a:noFill/>
          </a:ln>
        </c:spPr>
        <c:txPr>
          <a:bodyPr/>
          <a:lstStyle/>
          <a:p>
            <a:pPr>
              <a:defRPr b="0" sz="900" spc="-1" strike="noStrike">
                <a:solidFill>
                  <a:srgbClr val="595959"/>
                </a:solidFill>
                <a:latin typeface="Calibri"/>
              </a:defRPr>
            </a:pPr>
          </a:p>
        </c:txPr>
        <c:crossAx val="45538811"/>
        <c:crosses val="autoZero"/>
        <c:crossBetween val="between"/>
      </c:valAx>
      <c:spPr>
        <a:noFill/>
        <a:ln w="0">
          <a:noFill/>
        </a:ln>
      </c:spPr>
    </c:plotArea>
    <c:legend>
      <c:legendPos val="b"/>
      <c:overlay val="0"/>
      <c:spPr>
        <a:noFill/>
        <a:ln w="0">
          <a:noFill/>
        </a:ln>
      </c:spPr>
      <c:txPr>
        <a:bodyPr/>
        <a:lstStyle/>
        <a:p>
          <a:pPr>
            <a:defRPr b="0" sz="900" spc="-1" strike="noStrike">
              <a:solidFill>
                <a:srgbClr val="595959"/>
              </a:solidFill>
              <a:latin typeface="Calibri"/>
            </a:defRPr>
          </a:pPr>
        </a:p>
      </c:txPr>
    </c:legend>
    <c:plotVisOnly val="1"/>
    <c:dispBlanksAs val="gap"/>
  </c:chart>
  <c:spPr>
    <a:solidFill>
      <a:srgbClr val="ffffff"/>
    </a:solidFill>
    <a:ln w="9360">
      <a:solidFill>
        <a:srgbClr val="d9d9d9"/>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lang="pt-BR" sz="1400" spc="-1" strike="noStrike">
                <a:solidFill>
                  <a:srgbClr val="595959"/>
                </a:solidFill>
                <a:latin typeface="Calibri"/>
              </a:defRPr>
            </a:pPr>
            <a:r>
              <a:rPr b="0" lang="pt-BR" sz="1400" spc="-1" strike="noStrike">
                <a:solidFill>
                  <a:srgbClr val="595959"/>
                </a:solidFill>
                <a:latin typeface="Calibri"/>
              </a:rPr>
              <a:t>Atendimentos PLATEC 2022</a:t>
            </a:r>
          </a:p>
        </c:rich>
      </c:tx>
      <c:overlay val="0"/>
      <c:spPr>
        <a:noFill/>
        <a:ln w="0">
          <a:noFill/>
        </a:ln>
      </c:spPr>
    </c:title>
    <c:autoTitleDeleted val="0"/>
    <c:plotArea>
      <c:barChart>
        <c:barDir val="col"/>
        <c:grouping val="clustered"/>
        <c:varyColors val="0"/>
        <c:ser>
          <c:idx val="0"/>
          <c:order val="0"/>
          <c:tx>
            <c:strRef>
              <c:f>Dashboard!$J$2:$J$2</c:f>
              <c:strCache>
                <c:ptCount val="1"/>
                <c:pt idx="0">
                  <c:v>Total Geral</c:v>
                </c:pt>
              </c:strCache>
            </c:strRef>
          </c:tx>
          <c:spPr>
            <a:solidFill>
              <a:srgbClr val="5b9bd5"/>
            </a:solidFill>
            <a:ln w="0">
              <a:noFill/>
            </a:ln>
          </c:spPr>
          <c:invertIfNegative val="0"/>
          <c:dLbls>
            <c:numFmt formatCode="General" sourceLinked="1"/>
            <c:txPr>
              <a:bodyPr wrap="square"/>
              <a:lstStyle/>
              <a:p>
                <a:pPr>
                  <a:defRPr b="0" sz="900" spc="-1" strike="noStrike">
                    <a:solidFill>
                      <a:srgbClr val="404040"/>
                    </a:solidFill>
                    <a:latin typeface="Calibri"/>
                  </a:defRPr>
                </a:pPr>
              </a:p>
            </c:txPr>
            <c:dLblPos val="outEnd"/>
            <c:showLegendKey val="0"/>
            <c:showVal val="1"/>
            <c:showCatName val="0"/>
            <c:showSerName val="0"/>
            <c:showPercent val="0"/>
            <c:separator>; </c:separator>
            <c:showLeaderLines val="1"/>
            <c:extLst>
              <c:ext xmlns:c15="http://schemas.microsoft.com/office/drawing/2012/chart" uri="{CE6537A1-D6FC-4f65-9D91-7224C49458BB}">
                <c15:showLeaderLines val="1"/>
              </c:ext>
            </c:extLst>
          </c:dLbls>
          <c:cat>
            <c:strRef>
              <c:f>Dashboard!$B$4:$B$6</c:f>
              <c:strCache>
                <c:ptCount val="3"/>
                <c:pt idx="0">
                  <c:v>CMO</c:v>
                </c:pt>
                <c:pt idx="1">
                  <c:v>CVP</c:v>
                </c:pt>
                <c:pt idx="2">
                  <c:v>CVU</c:v>
                </c:pt>
              </c:strCache>
            </c:strRef>
          </c:cat>
          <c:val>
            <c:numRef>
              <c:f>Dashboard!$J$4:$J$6</c:f>
              <c:numCache>
                <c:formatCode>General</c:formatCode>
                <c:ptCount val="3"/>
                <c:pt idx="0">
                  <c:v>50</c:v>
                </c:pt>
                <c:pt idx="1">
                  <c:v>161</c:v>
                </c:pt>
                <c:pt idx="2">
                  <c:v>77</c:v>
                </c:pt>
              </c:numCache>
            </c:numRef>
          </c:val>
        </c:ser>
        <c:gapWidth val="219"/>
        <c:overlap val="-27"/>
        <c:axId val="20925826"/>
        <c:axId val="87196492"/>
      </c:barChart>
      <c:catAx>
        <c:axId val="20925826"/>
        <c:scaling>
          <c:orientation val="minMax"/>
        </c:scaling>
        <c:delete val="0"/>
        <c:axPos val="b"/>
        <c:numFmt formatCode="General" sourceLinked="0"/>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87196492"/>
        <c:crosses val="autoZero"/>
        <c:auto val="1"/>
        <c:lblAlgn val="ctr"/>
        <c:lblOffset val="100"/>
        <c:noMultiLvlLbl val="0"/>
      </c:catAx>
      <c:valAx>
        <c:axId val="87196492"/>
        <c:scaling>
          <c:orientation val="minMax"/>
        </c:scaling>
        <c:delete val="1"/>
        <c:axPos val="l"/>
        <c:numFmt formatCode="General" sourceLinked="1"/>
        <c:majorTickMark val="none"/>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20925826"/>
        <c:crossBetween val="between"/>
      </c:valAx>
      <c:spPr>
        <a:noFill/>
        <a:ln w="0">
          <a:noFill/>
        </a:ln>
      </c:spPr>
    </c:plotArea>
    <c:plotVisOnly val="1"/>
    <c:dispBlanksAs val="gap"/>
  </c:chart>
  <c:spPr>
    <a:solidFill>
      <a:srgbClr val="ffffff"/>
    </a:solidFill>
    <a:ln w="9360">
      <a:solidFill>
        <a:srgbClr val="d9d9d9"/>
      </a:solidFill>
      <a:round/>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pieChart>
        <c:varyColors val="1"/>
        <c:ser>
          <c:idx val="0"/>
          <c:order val="0"/>
          <c:tx>
            <c:strRef>
              <c:f>Dashboard!$J$2:$J$2</c:f>
              <c:strCache>
                <c:ptCount val="1"/>
                <c:pt idx="0">
                  <c:v>Total Geral</c:v>
                </c:pt>
              </c:strCache>
            </c:strRef>
          </c:tx>
          <c:spPr>
            <a:solidFill>
              <a:srgbClr val="5b9bd5"/>
            </a:solidFill>
            <a:ln w="0">
              <a:noFill/>
            </a:ln>
          </c:spPr>
          <c:explosion val="0"/>
          <c:dPt>
            <c:idx val="0"/>
            <c:spPr>
              <a:solidFill>
                <a:srgbClr val="5b9bd5"/>
              </a:solidFill>
              <a:ln w="19080">
                <a:solidFill>
                  <a:srgbClr val="ffffff"/>
                </a:solidFill>
                <a:round/>
              </a:ln>
            </c:spPr>
          </c:dPt>
          <c:dPt>
            <c:idx val="1"/>
            <c:spPr>
              <a:solidFill>
                <a:srgbClr val="ed7d31"/>
              </a:solidFill>
              <a:ln w="19080">
                <a:solidFill>
                  <a:srgbClr val="ffffff"/>
                </a:solidFill>
                <a:round/>
              </a:ln>
            </c:spPr>
          </c:dPt>
          <c:dPt>
            <c:idx val="2"/>
            <c:spPr>
              <a:solidFill>
                <a:srgbClr val="a5a5a5"/>
              </a:solidFill>
              <a:ln w="19080">
                <a:solidFill>
                  <a:srgbClr val="ffffff"/>
                </a:solidFill>
                <a:round/>
              </a:ln>
            </c:spPr>
          </c:dPt>
          <c:dLbls>
            <c:numFmt formatCode="0.0%" sourceLinked="1"/>
            <c:dLbl>
              <c:idx val="0"/>
              <c:numFmt formatCode="0.0%" sourceLinked="1"/>
              <c:txPr>
                <a:bodyPr wrap="square"/>
                <a:lstStyle/>
                <a:p>
                  <a:pPr>
                    <a:defRPr b="1" sz="1000" spc="-1" strike="noStrike">
                      <a:solidFill>
                        <a:srgbClr val="404040"/>
                      </a:solidFill>
                      <a:latin typeface="Calibri"/>
                    </a:defRPr>
                  </a:pPr>
                </a:p>
              </c:txPr>
              <c:dLblPos val="outEnd"/>
              <c:showLegendKey val="0"/>
              <c:showVal val="1"/>
              <c:showCatName val="0"/>
              <c:showSerName val="0"/>
              <c:showPercent val="0"/>
              <c:separator>; </c:separator>
            </c:dLbl>
            <c:dLbl>
              <c:idx val="1"/>
              <c:numFmt formatCode="0.0%" sourceLinked="1"/>
              <c:txPr>
                <a:bodyPr wrap="square"/>
                <a:lstStyle/>
                <a:p>
                  <a:pPr>
                    <a:defRPr b="1" sz="1000" spc="-1" strike="noStrike">
                      <a:solidFill>
                        <a:srgbClr val="404040"/>
                      </a:solidFill>
                      <a:latin typeface="Calibri"/>
                    </a:defRPr>
                  </a:pPr>
                </a:p>
              </c:txPr>
              <c:dLblPos val="outEnd"/>
              <c:showLegendKey val="0"/>
              <c:showVal val="1"/>
              <c:showCatName val="0"/>
              <c:showSerName val="0"/>
              <c:showPercent val="0"/>
              <c:separator>; </c:separator>
            </c:dLbl>
            <c:dLbl>
              <c:idx val="2"/>
              <c:numFmt formatCode="0.0%" sourceLinked="1"/>
              <c:txPr>
                <a:bodyPr wrap="square"/>
                <a:lstStyle/>
                <a:p>
                  <a:pPr>
                    <a:defRPr b="1" sz="1000" spc="-1" strike="noStrike">
                      <a:solidFill>
                        <a:srgbClr val="404040"/>
                      </a:solidFill>
                      <a:latin typeface="Calibri"/>
                    </a:defRPr>
                  </a:pPr>
                </a:p>
              </c:txPr>
              <c:dLblPos val="outEnd"/>
              <c:showLegendKey val="0"/>
              <c:showVal val="1"/>
              <c:showCatName val="0"/>
              <c:showSerName val="0"/>
              <c:showPercent val="0"/>
              <c:separator>; </c:separator>
            </c:dLbl>
            <c:txPr>
              <a:bodyPr wrap="square"/>
              <a:lstStyle/>
              <a:p>
                <a:pPr>
                  <a:defRPr b="1" sz="1000" spc="-1" strike="noStrike">
                    <a:solidFill>
                      <a:srgbClr val="404040"/>
                    </a:solidFill>
                    <a:latin typeface="Calibri"/>
                  </a:defRPr>
                </a:pPr>
              </a:p>
            </c:txPr>
            <c:dLblPos val="bestFit"/>
            <c:showLegendKey val="0"/>
            <c:showVal val="1"/>
            <c:showCatName val="0"/>
            <c:showSerName val="0"/>
            <c:showPercent val="0"/>
            <c:separator>; </c:separator>
            <c:showLeaderLines val="1"/>
          </c:dLbls>
          <c:cat>
            <c:strRef>
              <c:f>Dashboard!$B$4:$B$6</c:f>
              <c:strCache>
                <c:ptCount val="3"/>
                <c:pt idx="0">
                  <c:v>CMO</c:v>
                </c:pt>
                <c:pt idx="1">
                  <c:v>CVP</c:v>
                </c:pt>
                <c:pt idx="2">
                  <c:v>CVU</c:v>
                </c:pt>
              </c:strCache>
            </c:strRef>
          </c:cat>
          <c:val>
            <c:numRef>
              <c:f>Dashboard!$K$4:$K$6</c:f>
              <c:numCache>
                <c:formatCode>General</c:formatCode>
                <c:ptCount val="3"/>
                <c:pt idx="0">
                  <c:v>0.173010380622837</c:v>
                </c:pt>
                <c:pt idx="1">
                  <c:v>0.557093425605536</c:v>
                </c:pt>
                <c:pt idx="2">
                  <c:v>0.266435986159169</c:v>
                </c:pt>
              </c:numCache>
            </c:numRef>
          </c:val>
        </c:ser>
        <c:firstSliceAng val="0"/>
      </c:pieChart>
      <c:spPr>
        <a:noFill/>
        <a:ln w="0">
          <a:noFill/>
        </a:ln>
      </c:spPr>
    </c:plotArea>
    <c:plotVisOnly val="1"/>
    <c:dispBlanksAs val="gap"/>
  </c:chart>
  <c:spPr>
    <a:solidFill>
      <a:srgbClr val="ffffff"/>
    </a:solidFill>
    <a:ln w="9360">
      <a:solidFill>
        <a:srgbClr val="d9d9d9"/>
      </a:solidFill>
      <a:round/>
    </a:ln>
  </c:spPr>
</c:chartSpace>
</file>

<file path=xl/drawings/_rels/drawing3.xml.rels><?xml version="1.0" encoding="UTF-8"?>
<Relationships xmlns="http://schemas.openxmlformats.org/package/2006/relationships"><Relationship Id="rId1" Type="http://schemas.openxmlformats.org/officeDocument/2006/relationships/chart" Target="../charts/chart1.xml"/>
</Relationships>
</file>

<file path=xl/drawings/_rels/drawing4.xml.rels><?xml version="1.0" encoding="UTF-8"?>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 Id="rId3" Type="http://schemas.openxmlformats.org/officeDocument/2006/relationships/chart" Target="../charts/chart4.xml"/>
</Relationships>
</file>

<file path=xl/drawings/_rels/drawing5.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
</Relationships>
</file>

<file path=xl/drawings/_rels/drawing6.xml.rels><?xml version="1.0" encoding="UTF-8"?>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4.png"/><Relationship Id="rId3" Type="http://schemas.openxmlformats.org/officeDocument/2006/relationships/image" Target="../media/image5.png"/>
</Relationships>
</file>

<file path=xl/drawings/_rels/drawing7.xml.rels><?xml version="1.0" encoding="UTF-8"?>
<Relationships xmlns="http://schemas.openxmlformats.org/package/2006/relationships"><Relationship Id="rId1" Type="http://schemas.openxmlformats.org/officeDocument/2006/relationships/image" Target="../media/image6.png"/>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598320</xdr:colOff>
      <xdr:row>59</xdr:row>
      <xdr:rowOff>53280</xdr:rowOff>
    </xdr:from>
    <xdr:to>
      <xdr:col>7</xdr:col>
      <xdr:colOff>506160</xdr:colOff>
      <xdr:row>74</xdr:row>
      <xdr:rowOff>52560</xdr:rowOff>
    </xdr:to>
    <xdr:graphicFrame>
      <xdr:nvGraphicFramePr>
        <xdr:cNvPr id="0" name="Gráfico 2"/>
        <xdr:cNvGraphicFramePr/>
      </xdr:nvGraphicFramePr>
      <xdr:xfrm>
        <a:off x="598320" y="10740240"/>
        <a:ext cx="5869080" cy="27140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714960</xdr:colOff>
      <xdr:row>8</xdr:row>
      <xdr:rowOff>130320</xdr:rowOff>
    </xdr:from>
    <xdr:to>
      <xdr:col>9</xdr:col>
      <xdr:colOff>540360</xdr:colOff>
      <xdr:row>24</xdr:row>
      <xdr:rowOff>132480</xdr:rowOff>
    </xdr:to>
    <xdr:graphicFrame>
      <xdr:nvGraphicFramePr>
        <xdr:cNvPr id="1" name="Gráfico 1"/>
        <xdr:cNvGraphicFramePr/>
      </xdr:nvGraphicFramePr>
      <xdr:xfrm>
        <a:off x="714960" y="1578240"/>
        <a:ext cx="6828120" cy="28976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592560</xdr:colOff>
      <xdr:row>7</xdr:row>
      <xdr:rowOff>170640</xdr:rowOff>
    </xdr:from>
    <xdr:to>
      <xdr:col>14</xdr:col>
      <xdr:colOff>590040</xdr:colOff>
      <xdr:row>15</xdr:row>
      <xdr:rowOff>9000</xdr:rowOff>
    </xdr:to>
    <xdr:graphicFrame>
      <xdr:nvGraphicFramePr>
        <xdr:cNvPr id="2" name="Gráfico 2"/>
        <xdr:cNvGraphicFramePr/>
      </xdr:nvGraphicFramePr>
      <xdr:xfrm>
        <a:off x="7595280" y="1437480"/>
        <a:ext cx="3794760" cy="12862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636840</xdr:colOff>
      <xdr:row>15</xdr:row>
      <xdr:rowOff>10080</xdr:rowOff>
    </xdr:from>
    <xdr:to>
      <xdr:col>14</xdr:col>
      <xdr:colOff>637200</xdr:colOff>
      <xdr:row>24</xdr:row>
      <xdr:rowOff>27720</xdr:rowOff>
    </xdr:to>
    <xdr:graphicFrame>
      <xdr:nvGraphicFramePr>
        <xdr:cNvPr id="3" name="Gráfico 3"/>
        <xdr:cNvGraphicFramePr/>
      </xdr:nvGraphicFramePr>
      <xdr:xfrm>
        <a:off x="7639560" y="2724840"/>
        <a:ext cx="3797640" cy="164628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11</xdr:col>
      <xdr:colOff>37440</xdr:colOff>
      <xdr:row>0</xdr:row>
      <xdr:rowOff>47520</xdr:rowOff>
    </xdr:from>
    <xdr:to>
      <xdr:col>12</xdr:col>
      <xdr:colOff>468720</xdr:colOff>
      <xdr:row>4</xdr:row>
      <xdr:rowOff>142200</xdr:rowOff>
    </xdr:to>
    <xdr:pic>
      <xdr:nvPicPr>
        <xdr:cNvPr id="4" name="Imagem 1" descr=""/>
        <xdr:cNvPicPr/>
      </xdr:nvPicPr>
      <xdr:blipFill>
        <a:blip r:embed="rId1"/>
        <a:stretch/>
      </xdr:blipFill>
      <xdr:spPr>
        <a:xfrm>
          <a:off x="7905240" y="47520"/>
          <a:ext cx="1078200" cy="799560"/>
        </a:xfrm>
        <a:prstGeom prst="rect">
          <a:avLst/>
        </a:prstGeom>
        <a:ln w="0">
          <a:noFill/>
        </a:ln>
      </xdr:spPr>
    </xdr:pic>
    <xdr:clientData/>
  </xdr:twoCellAnchor>
  <xdr:twoCellAnchor editAs="oneCell">
    <xdr:from>
      <xdr:col>11</xdr:col>
      <xdr:colOff>37440</xdr:colOff>
      <xdr:row>64</xdr:row>
      <xdr:rowOff>47520</xdr:rowOff>
    </xdr:from>
    <xdr:to>
      <xdr:col>12</xdr:col>
      <xdr:colOff>306720</xdr:colOff>
      <xdr:row>68</xdr:row>
      <xdr:rowOff>142200</xdr:rowOff>
    </xdr:to>
    <xdr:pic>
      <xdr:nvPicPr>
        <xdr:cNvPr id="5" name="Imagem 2" descr=""/>
        <xdr:cNvPicPr/>
      </xdr:nvPicPr>
      <xdr:blipFill>
        <a:blip r:embed="rId2"/>
        <a:stretch/>
      </xdr:blipFill>
      <xdr:spPr>
        <a:xfrm>
          <a:off x="7905240" y="11772720"/>
          <a:ext cx="916200" cy="799560"/>
        </a:xfrm>
        <a:prstGeom prst="rect">
          <a:avLst/>
        </a:prstGeom>
        <a:ln w="0">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11</xdr:col>
      <xdr:colOff>37440</xdr:colOff>
      <xdr:row>0</xdr:row>
      <xdr:rowOff>47520</xdr:rowOff>
    </xdr:from>
    <xdr:to>
      <xdr:col>12</xdr:col>
      <xdr:colOff>468720</xdr:colOff>
      <xdr:row>4</xdr:row>
      <xdr:rowOff>142200</xdr:rowOff>
    </xdr:to>
    <xdr:pic>
      <xdr:nvPicPr>
        <xdr:cNvPr id="6" name="Imagem 1" descr=""/>
        <xdr:cNvPicPr/>
      </xdr:nvPicPr>
      <xdr:blipFill>
        <a:blip r:embed="rId1"/>
        <a:stretch/>
      </xdr:blipFill>
      <xdr:spPr>
        <a:xfrm>
          <a:off x="7905240" y="47520"/>
          <a:ext cx="1078200" cy="799560"/>
        </a:xfrm>
        <a:prstGeom prst="rect">
          <a:avLst/>
        </a:prstGeom>
        <a:ln w="0">
          <a:noFill/>
        </a:ln>
      </xdr:spPr>
    </xdr:pic>
    <xdr:clientData/>
  </xdr:twoCellAnchor>
  <xdr:twoCellAnchor editAs="oneCell">
    <xdr:from>
      <xdr:col>11</xdr:col>
      <xdr:colOff>37440</xdr:colOff>
      <xdr:row>64</xdr:row>
      <xdr:rowOff>47520</xdr:rowOff>
    </xdr:from>
    <xdr:to>
      <xdr:col>12</xdr:col>
      <xdr:colOff>306720</xdr:colOff>
      <xdr:row>68</xdr:row>
      <xdr:rowOff>142200</xdr:rowOff>
    </xdr:to>
    <xdr:pic>
      <xdr:nvPicPr>
        <xdr:cNvPr id="7" name="Imagem 2" descr=""/>
        <xdr:cNvPicPr/>
      </xdr:nvPicPr>
      <xdr:blipFill>
        <a:blip r:embed="rId2"/>
        <a:stretch/>
      </xdr:blipFill>
      <xdr:spPr>
        <a:xfrm>
          <a:off x="7905240" y="11772720"/>
          <a:ext cx="916200" cy="799560"/>
        </a:xfrm>
        <a:prstGeom prst="rect">
          <a:avLst/>
        </a:prstGeom>
        <a:ln w="0">
          <a:noFill/>
        </a:ln>
      </xdr:spPr>
    </xdr:pic>
    <xdr:clientData/>
  </xdr:twoCellAnchor>
  <xdr:twoCellAnchor editAs="oneCell">
    <xdr:from>
      <xdr:col>11</xdr:col>
      <xdr:colOff>37440</xdr:colOff>
      <xdr:row>128</xdr:row>
      <xdr:rowOff>47520</xdr:rowOff>
    </xdr:from>
    <xdr:to>
      <xdr:col>12</xdr:col>
      <xdr:colOff>306720</xdr:colOff>
      <xdr:row>132</xdr:row>
      <xdr:rowOff>142200</xdr:rowOff>
    </xdr:to>
    <xdr:pic>
      <xdr:nvPicPr>
        <xdr:cNvPr id="8" name="Imagem 4" descr=""/>
        <xdr:cNvPicPr/>
      </xdr:nvPicPr>
      <xdr:blipFill>
        <a:blip r:embed="rId3"/>
        <a:stretch/>
      </xdr:blipFill>
      <xdr:spPr>
        <a:xfrm>
          <a:off x="7905240" y="23497920"/>
          <a:ext cx="916200" cy="799560"/>
        </a:xfrm>
        <a:prstGeom prst="rect">
          <a:avLst/>
        </a:prstGeom>
        <a:ln w="0">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21</xdr:col>
      <xdr:colOff>142200</xdr:colOff>
      <xdr:row>0</xdr:row>
      <xdr:rowOff>47520</xdr:rowOff>
    </xdr:from>
    <xdr:to>
      <xdr:col>22</xdr:col>
      <xdr:colOff>449640</xdr:colOff>
      <xdr:row>4</xdr:row>
      <xdr:rowOff>142200</xdr:rowOff>
    </xdr:to>
    <xdr:pic>
      <xdr:nvPicPr>
        <xdr:cNvPr id="9" name="Imagem 1" descr=""/>
        <xdr:cNvPicPr/>
      </xdr:nvPicPr>
      <xdr:blipFill>
        <a:blip r:embed="rId1"/>
        <a:stretch/>
      </xdr:blipFill>
      <xdr:spPr>
        <a:xfrm>
          <a:off x="16072920" y="47520"/>
          <a:ext cx="1120320" cy="799560"/>
        </a:xfrm>
        <a:prstGeom prst="rect">
          <a:avLst/>
        </a:prstGeom>
        <a:ln w="0">
          <a:noFill/>
        </a:ln>
      </xdr:spPr>
    </xdr:pic>
    <xdr:clientData/>
  </xdr:twoCellAnchor>
</xdr:wsDr>
</file>

<file path=xl/worksheets/_rels/sheet8.xml.rels><?xml version="1.0" encoding="UTF-8"?>
<Relationships xmlns="http://schemas.openxmlformats.org/package/2006/relationships"><Relationship Id="rId1" Type="http://schemas.openxmlformats.org/officeDocument/2006/relationships/drawing" Target="../drawings/drawing1.xml"/>
</Relationships>
</file>

<file path=xl/worksheets/_rels/sheet9.xml.rels><?xml version="1.0" encoding="UTF-8"?>
<Relationships xmlns="http://schemas.openxmlformats.org/package/2006/relationships"><Relationship Id="rId1" Type="http://schemas.openxmlformats.org/officeDocument/2006/relationships/drawing" Target="../drawings/drawing2.xml"/>
</Relationships>
</file>

<file path=xl/worksheets/_rels/sheet10.xml.rels><?xml version="1.0" encoding="UTF-8"?>
<Relationships xmlns="http://schemas.openxmlformats.org/package/2006/relationships"><Relationship Id="rId1" Type="http://schemas.openxmlformats.org/officeDocument/2006/relationships/drawing" Target="../drawings/drawing3.xml"/>
</Relationships>
</file>

<file path=xl/worksheets/_rels/sheet12.xml.rels><?xml version="1.0" encoding="UTF-8"?>
<Relationships xmlns="http://schemas.openxmlformats.org/package/2006/relationships"><Relationship Id="rId1" Type="http://schemas.openxmlformats.org/officeDocument/2006/relationships/drawing" Target="../drawings/drawing4.xml"/>
</Relationships>
</file>

<file path=xl/worksheets/_rels/sheet13.xml.rels><?xml version="1.0" encoding="UTF-8"?>
<Relationships xmlns="http://schemas.openxmlformats.org/package/2006/relationships"><Relationship Id="rId1" Type="http://schemas.openxmlformats.org/officeDocument/2006/relationships/drawing" Target="../drawings/drawing5.xml"/>
</Relationships>
</file>

<file path=xl/worksheets/_rels/sheet14.xml.rels><?xml version="1.0" encoding="UTF-8"?>
<Relationships xmlns="http://schemas.openxmlformats.org/package/2006/relationships"><Relationship Id="rId1" Type="http://schemas.openxmlformats.org/officeDocument/2006/relationships/drawing" Target="../drawings/drawing6.xml"/>
</Relationships>
</file>

<file path=xl/worksheets/_rels/sheet15.xml.rels><?xml version="1.0" encoding="UTF-8"?>
<Relationships xmlns="http://schemas.openxmlformats.org/package/2006/relationships"><Relationship Id="rId1" Type="http://schemas.openxmlformats.org/officeDocument/2006/relationships/drawing" Target="../drawings/drawing7.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F1"/>
  <sheetViews>
    <sheetView showFormulas="false" showGridLines="true" showRowColHeaders="true" showZeros="true" rightToLeft="false" tabSelected="false" showOutlineSymbols="true" defaultGridColor="true" view="normal" topLeftCell="P1" colorId="64" zoomScale="100" zoomScaleNormal="100" zoomScalePageLayoutView="100" workbookViewId="0">
      <selection pane="topLeft" activeCell="C1" activeCellId="0" sqref="C1"/>
    </sheetView>
  </sheetViews>
  <sheetFormatPr defaultColWidth="8.54296875" defaultRowHeight="14.25" zeroHeight="false" outlineLevelRow="0" outlineLevelCol="0"/>
  <cols>
    <col collapsed="false" customWidth="true" hidden="false" outlineLevel="0" max="2" min="2" style="0" width="16.14"/>
    <col collapsed="false" customWidth="true" hidden="false" outlineLevel="0" max="3" min="3" style="0" width="20"/>
    <col collapsed="false" customWidth="true" hidden="false" outlineLevel="0" max="4" min="4" style="0" width="10.14"/>
    <col collapsed="false" customWidth="true" hidden="false" outlineLevel="0" max="5" min="5" style="0" width="20.14"/>
    <col collapsed="false" customWidth="true" hidden="false" outlineLevel="0" max="6" min="6" style="0" width="10.28"/>
    <col collapsed="false" customWidth="true" hidden="false" outlineLevel="0" max="7" min="7" style="0" width="22"/>
    <col collapsed="false" customWidth="true" hidden="false" outlineLevel="0" max="8" min="8" style="0" width="10.85"/>
    <col collapsed="false" customWidth="true" hidden="false" outlineLevel="0" max="9" min="9" style="0" width="22"/>
    <col collapsed="false" customWidth="true" hidden="false" outlineLevel="0" max="10" min="10" style="0" width="10.85"/>
    <col collapsed="false" customWidth="true" hidden="false" outlineLevel="0" max="11" min="11" style="0" width="15.57"/>
    <col collapsed="false" customWidth="true" hidden="false" outlineLevel="0" max="12" min="12" style="0" width="9.7"/>
    <col collapsed="false" customWidth="true" hidden="false" outlineLevel="0" max="13" min="13" style="0" width="20"/>
    <col collapsed="false" customWidth="true" hidden="false" outlineLevel="0" max="14" min="14" style="0" width="10.14"/>
    <col collapsed="false" customWidth="true" hidden="false" outlineLevel="0" max="15" min="15" style="0" width="20.14"/>
    <col collapsed="false" customWidth="true" hidden="false" outlineLevel="0" max="16" min="16" style="0" width="10.28"/>
    <col collapsed="false" customWidth="true" hidden="false" outlineLevel="0" max="17" min="17" style="0" width="22"/>
    <col collapsed="false" customWidth="true" hidden="false" outlineLevel="0" max="18" min="18" style="0" width="10.85"/>
    <col collapsed="false" customWidth="true" hidden="false" outlineLevel="0" max="19" min="19" style="0" width="22"/>
    <col collapsed="false" customWidth="true" hidden="false" outlineLevel="0" max="20" min="20" style="0" width="10.85"/>
    <col collapsed="false" customWidth="true" hidden="false" outlineLevel="0" max="21" min="21" style="0" width="15.57"/>
    <col collapsed="false" customWidth="true" hidden="false" outlineLevel="0" max="22" min="22" style="0" width="9.7"/>
    <col collapsed="false" customWidth="true" hidden="false" outlineLevel="0" max="23" min="23" style="0" width="20"/>
    <col collapsed="false" customWidth="true" hidden="false" outlineLevel="0" max="24" min="24" style="0" width="10.14"/>
    <col collapsed="false" customWidth="true" hidden="false" outlineLevel="0" max="25" min="25" style="0" width="20.14"/>
    <col collapsed="false" customWidth="true" hidden="false" outlineLevel="0" max="26" min="26" style="0" width="10.28"/>
    <col collapsed="false" customWidth="true" hidden="false" outlineLevel="0" max="27" min="27" style="0" width="22"/>
    <col collapsed="false" customWidth="true" hidden="false" outlineLevel="0" max="28" min="28" style="0" width="10.85"/>
    <col collapsed="false" customWidth="true" hidden="false" outlineLevel="0" max="29" min="29" style="0" width="22"/>
    <col collapsed="false" customWidth="true" hidden="false" outlineLevel="0" max="30" min="30" style="0" width="10.85"/>
    <col collapsed="false" customWidth="true" hidden="false" outlineLevel="0" max="31" min="31" style="0" width="15.57"/>
    <col collapsed="false" customWidth="true" hidden="false" outlineLevel="0" max="32" min="32" style="0" width="9.7"/>
  </cols>
  <sheetData>
    <row r="1" customFormat="false" ht="14.25" hidden="false" customHeight="false" outlineLevel="0" collapsed="false">
      <c r="A1" s="0" t="s">
        <v>0</v>
      </c>
      <c r="B1" s="0" t="s">
        <v>1</v>
      </c>
      <c r="C1" s="0" t="s">
        <v>2</v>
      </c>
      <c r="D1" s="0" t="s">
        <v>3</v>
      </c>
      <c r="E1" s="0" t="s">
        <v>4</v>
      </c>
      <c r="F1" s="0" t="s">
        <v>5</v>
      </c>
      <c r="G1" s="0" t="s">
        <v>6</v>
      </c>
      <c r="H1" s="0" t="s">
        <v>7</v>
      </c>
      <c r="I1" s="0" t="s">
        <v>8</v>
      </c>
      <c r="J1" s="0" t="s">
        <v>9</v>
      </c>
      <c r="K1" s="0" t="s">
        <v>10</v>
      </c>
      <c r="L1" s="0" t="s">
        <v>11</v>
      </c>
      <c r="M1" s="0" t="s">
        <v>12</v>
      </c>
      <c r="N1" s="0" t="s">
        <v>13</v>
      </c>
      <c r="O1" s="0" t="s">
        <v>14</v>
      </c>
      <c r="P1" s="0" t="s">
        <v>15</v>
      </c>
      <c r="Q1" s="0" t="s">
        <v>16</v>
      </c>
      <c r="R1" s="0" t="s">
        <v>17</v>
      </c>
      <c r="S1" s="0" t="s">
        <v>18</v>
      </c>
      <c r="T1" s="0" t="s">
        <v>19</v>
      </c>
      <c r="U1" s="0" t="s">
        <v>20</v>
      </c>
      <c r="V1" s="0" t="s">
        <v>21</v>
      </c>
      <c r="W1" s="0" t="s">
        <v>22</v>
      </c>
      <c r="X1" s="0" t="s">
        <v>23</v>
      </c>
      <c r="Y1" s="0" t="s">
        <v>24</v>
      </c>
      <c r="Z1" s="0" t="s">
        <v>25</v>
      </c>
      <c r="AA1" s="0" t="s">
        <v>26</v>
      </c>
      <c r="AB1" s="0" t="s">
        <v>27</v>
      </c>
      <c r="AC1" s="0" t="s">
        <v>28</v>
      </c>
      <c r="AD1" s="0" t="s">
        <v>29</v>
      </c>
      <c r="AE1" s="0" t="s">
        <v>30</v>
      </c>
      <c r="AF1" s="0" t="s">
        <v>31</v>
      </c>
    </row>
  </sheetData>
  <printOptions headings="false" gridLines="false" gridLinesSet="true" horizontalCentered="false" verticalCentered="false"/>
  <pageMargins left="0.511805555555556" right="0.511805555555556" top="0.7875" bottom="0.7875" header="0.511811023622047" footer="0.315277777777778"/>
  <pageSetup paperSize="9" scale="100" fitToWidth="1" fitToHeight="1" pageOrder="downThenOver" orientation="landscape" blackAndWhite="false" draft="false" cellComments="none" horizontalDpi="300" verticalDpi="300" copies="1"/>
  <headerFooter differentFirst="false" differentOddEven="false">
    <oddHeader/>
    <oddFooter>&amp;R&amp;1#&amp;"Arial,Regular"&amp;10Confidential C</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6" activeCellId="0" sqref="C6"/>
    </sheetView>
  </sheetViews>
  <sheetFormatPr defaultColWidth="15.859375" defaultRowHeight="14.25" zeroHeight="true" outlineLevelRow="0" outlineLevelCol="0"/>
  <cols>
    <col collapsed="false" customWidth="true" hidden="false" outlineLevel="0" max="1" min="1" style="0" width="3.7"/>
    <col collapsed="false" customWidth="true" hidden="false" outlineLevel="0" max="3" min="3" style="0" width="13.85"/>
    <col collapsed="false" customWidth="false" hidden="true" outlineLevel="0" max="1024" min="4" style="0" width="15.85"/>
  </cols>
  <sheetData>
    <row r="1" customFormat="false" ht="14.25" hidden="false" customHeight="false" outlineLevel="0" collapsed="false"/>
    <row r="2" customFormat="false" ht="14.25" hidden="false" customHeight="false" outlineLevel="0" collapsed="false"/>
    <row r="3" customFormat="false" ht="14.25" hidden="false" customHeight="false" outlineLevel="0" collapsed="false"/>
    <row r="4" customFormat="false" ht="14.25" hidden="false" customHeight="false" outlineLevel="0" collapsed="false"/>
    <row r="5" customFormat="false" ht="14.25" hidden="false" customHeight="false" outlineLevel="0" collapsed="false"/>
    <row r="6" customFormat="false" ht="14.25" hidden="false" customHeight="false" outlineLevel="0" collapsed="false"/>
    <row r="7" customFormat="false" ht="14.25" hidden="false" customHeight="false" outlineLevel="0" collapsed="false"/>
    <row r="8" customFormat="false" ht="14.25" hidden="false" customHeight="false" outlineLevel="0" collapsed="false"/>
  </sheetData>
  <printOptions headings="false" gridLines="false" gridLinesSet="true" horizontalCentered="false" verticalCentered="false"/>
  <pageMargins left="0.511805555555556" right="0.511805555555556" top="0.7875" bottom="0.7875" header="0.511811023622047" footer="0.315277777777778"/>
  <pageSetup paperSize="11" scale="100" fitToWidth="1" fitToHeight="1" pageOrder="downThenOver" orientation="portrait" blackAndWhite="false" draft="false" cellComments="none" horizontalDpi="300" verticalDpi="300" copies="1"/>
  <headerFooter differentFirst="false" differentOddEven="false">
    <oddHeader/>
    <oddFooter>&amp;R&amp;1#&amp;"Arial,Regular"&amp;10Confidential C</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E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8.54296875" defaultRowHeight="14.25" zeroHeight="false" outlineLevelRow="0" outlineLevelCol="0"/>
  <cols>
    <col collapsed="false" customWidth="true" hidden="false" outlineLevel="0" max="1" min="1" style="0" width="8.43"/>
    <col collapsed="false" customWidth="true" hidden="false" outlineLevel="0" max="2" min="2" style="0" width="5"/>
    <col collapsed="false" customWidth="true" hidden="false" outlineLevel="0" max="3" min="3" style="0" width="8"/>
    <col collapsed="false" customWidth="true" hidden="false" outlineLevel="0" max="4" min="4" style="0" width="4.7"/>
    <col collapsed="false" customWidth="true" hidden="false" outlineLevel="0" max="5" min="5" style="0" width="4.57"/>
    <col collapsed="false" customWidth="true" hidden="false" outlineLevel="0" max="6" min="6" style="0" width="10.28"/>
    <col collapsed="false" customWidth="true" hidden="false" outlineLevel="0" max="7" min="7" style="0" width="22"/>
    <col collapsed="false" customWidth="true" hidden="false" outlineLevel="0" max="8" min="8" style="0" width="10.85"/>
    <col collapsed="false" customWidth="true" hidden="false" outlineLevel="0" max="9" min="9" style="0" width="22"/>
    <col collapsed="false" customWidth="true" hidden="false" outlineLevel="0" max="10" min="10" style="0" width="10.85"/>
    <col collapsed="false" customWidth="true" hidden="false" outlineLevel="0" max="11" min="11" style="0" width="15.57"/>
    <col collapsed="false" customWidth="true" hidden="false" outlineLevel="0" max="12" min="12" style="0" width="9.7"/>
    <col collapsed="false" customWidth="true" hidden="false" outlineLevel="0" max="13" min="13" style="0" width="20"/>
    <col collapsed="false" customWidth="true" hidden="false" outlineLevel="0" max="14" min="14" style="0" width="10.14"/>
    <col collapsed="false" customWidth="true" hidden="false" outlineLevel="0" max="15" min="15" style="0" width="20.14"/>
    <col collapsed="false" customWidth="true" hidden="false" outlineLevel="0" max="16" min="16" style="0" width="10.28"/>
    <col collapsed="false" customWidth="true" hidden="false" outlineLevel="0" max="17" min="17" style="0" width="22"/>
    <col collapsed="false" customWidth="true" hidden="false" outlineLevel="0" max="18" min="18" style="0" width="10.85"/>
    <col collapsed="false" customWidth="true" hidden="false" outlineLevel="0" max="19" min="19" style="0" width="22"/>
    <col collapsed="false" customWidth="true" hidden="false" outlineLevel="0" max="20" min="20" style="0" width="10.85"/>
    <col collapsed="false" customWidth="true" hidden="false" outlineLevel="0" max="21" min="21" style="0" width="15.57"/>
    <col collapsed="false" customWidth="true" hidden="false" outlineLevel="0" max="22" min="22" style="0" width="9.7"/>
    <col collapsed="false" customWidth="true" hidden="false" outlineLevel="0" max="23" min="23" style="0" width="20"/>
    <col collapsed="false" customWidth="true" hidden="false" outlineLevel="0" max="24" min="24" style="0" width="10.14"/>
    <col collapsed="false" customWidth="true" hidden="false" outlineLevel="0" max="25" min="25" style="0" width="20.14"/>
    <col collapsed="false" customWidth="true" hidden="false" outlineLevel="0" max="26" min="26" style="0" width="10.28"/>
    <col collapsed="false" customWidth="true" hidden="false" outlineLevel="0" max="27" min="27" style="0" width="22"/>
    <col collapsed="false" customWidth="true" hidden="false" outlineLevel="0" max="28" min="28" style="0" width="10.85"/>
    <col collapsed="false" customWidth="true" hidden="false" outlineLevel="0" max="29" min="29" style="0" width="22"/>
    <col collapsed="false" customWidth="true" hidden="false" outlineLevel="0" max="30" min="30" style="0" width="10.85"/>
    <col collapsed="false" customWidth="true" hidden="false" outlineLevel="0" max="31" min="31" style="0" width="15.57"/>
    <col collapsed="false" customWidth="true" hidden="false" outlineLevel="0" max="32" min="32" style="0" width="9.7"/>
  </cols>
  <sheetData>
    <row r="1" customFormat="false" ht="14.25" hidden="false" customHeight="false" outlineLevel="0" collapsed="false">
      <c r="A1" s="0" t="s">
        <v>0</v>
      </c>
      <c r="B1" s="0" t="s">
        <v>1</v>
      </c>
      <c r="C1" s="0" t="s">
        <v>32</v>
      </c>
      <c r="D1" s="0" t="s">
        <v>33</v>
      </c>
      <c r="E1" s="0" t="s">
        <v>34</v>
      </c>
    </row>
  </sheetData>
  <printOptions headings="false" gridLines="false" gridLinesSet="true" horizontalCentered="false" verticalCentered="false"/>
  <pageMargins left="0.511805555555556" right="0.511805555555556" top="0.7875" bottom="0.7875" header="0.511811023622047" footer="0.315277777777778"/>
  <pageSetup paperSize="9" scale="100" fitToWidth="1" fitToHeight="1" pageOrder="downThenOver" orientation="landscape" blackAndWhite="false" draft="false" cellComments="none" horizontalDpi="300" verticalDpi="300" copies="1"/>
  <headerFooter differentFirst="false" differentOddEven="false">
    <oddHeader/>
    <oddFooter>&amp;R&amp;1#&amp;"Arial,Regular"&amp;10Confidential C</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18" activeCellId="0" sqref="M18"/>
    </sheetView>
  </sheetViews>
  <sheetFormatPr defaultColWidth="8.54296875" defaultRowHeight="14.25" zeroHeight="false" outlineLevelRow="0" outlineLevelCol="0"/>
  <cols>
    <col collapsed="false" customWidth="true" hidden="false" outlineLevel="0" max="2" min="2" style="0" width="10.57"/>
  </cols>
  <sheetData>
    <row r="1" customFormat="false" ht="14.25" hidden="false" customHeight="false" outlineLevel="0" collapsed="false">
      <c r="A1" s="0" t="s">
        <v>35</v>
      </c>
      <c r="B1" s="0" t="s">
        <v>36</v>
      </c>
    </row>
    <row r="2" customFormat="false" ht="14.25" hidden="false" customHeight="false" outlineLevel="0" collapsed="false">
      <c r="A2" s="0" t="n">
        <v>1</v>
      </c>
      <c r="B2" s="0" t="s">
        <v>37</v>
      </c>
    </row>
    <row r="3" customFormat="false" ht="14.25" hidden="false" customHeight="false" outlineLevel="0" collapsed="false">
      <c r="A3" s="0" t="n">
        <v>2</v>
      </c>
      <c r="B3" s="0" t="s">
        <v>38</v>
      </c>
    </row>
    <row r="4" customFormat="false" ht="14.25" hidden="false" customHeight="false" outlineLevel="0" collapsed="false">
      <c r="A4" s="0" t="n">
        <v>3</v>
      </c>
      <c r="B4" s="0" t="s">
        <v>39</v>
      </c>
    </row>
    <row r="5" customFormat="false" ht="14.25" hidden="false" customHeight="false" outlineLevel="0" collapsed="false">
      <c r="A5" s="0" t="n">
        <v>4</v>
      </c>
      <c r="B5" s="0" t="s">
        <v>40</v>
      </c>
    </row>
    <row r="6" customFormat="false" ht="14.25" hidden="false" customHeight="false" outlineLevel="0" collapsed="false">
      <c r="A6" s="0" t="n">
        <v>5</v>
      </c>
      <c r="B6" s="0" t="s">
        <v>41</v>
      </c>
    </row>
    <row r="7" customFormat="false" ht="14.25" hidden="false" customHeight="false" outlineLevel="0" collapsed="false">
      <c r="A7" s="0" t="n">
        <v>6</v>
      </c>
      <c r="B7" s="0" t="s">
        <v>42</v>
      </c>
    </row>
    <row r="8" customFormat="false" ht="14.25" hidden="false" customHeight="false" outlineLevel="0" collapsed="false">
      <c r="A8" s="0" t="n">
        <v>7</v>
      </c>
      <c r="B8" s="0" t="s">
        <v>43</v>
      </c>
    </row>
    <row r="9" customFormat="false" ht="14.25" hidden="false" customHeight="false" outlineLevel="0" collapsed="false">
      <c r="A9" s="0" t="n">
        <v>8</v>
      </c>
      <c r="B9" s="0" t="s">
        <v>44</v>
      </c>
    </row>
    <row r="10" customFormat="false" ht="14.25" hidden="false" customHeight="false" outlineLevel="0" collapsed="false">
      <c r="A10" s="0" t="n">
        <v>9</v>
      </c>
      <c r="B10" s="0" t="s">
        <v>45</v>
      </c>
    </row>
  </sheetData>
  <printOptions headings="false" gridLines="false" gridLinesSet="true" horizontalCentered="false" verticalCentered="false"/>
  <pageMargins left="0.511805555555556" right="0.511805555555556" top="0.7875" bottom="0.7875" header="0.511811023622047" footer="0.315277777777778"/>
  <pageSetup paperSize="9" scale="100" fitToWidth="1" fitToHeight="1" pageOrder="downThenOver" orientation="portrait" blackAndWhite="false" draft="false" cellComments="none" horizontalDpi="300" verticalDpi="300" copies="1"/>
  <headerFooter differentFirst="false" differentOddEven="false">
    <oddHeader/>
    <oddFooter>&amp;R&amp;1#&amp;"Arial,Regular"&amp;10Confidential C</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18" activeCellId="0" sqref="M18"/>
    </sheetView>
  </sheetViews>
  <sheetFormatPr defaultColWidth="8.54296875" defaultRowHeight="14.25" zeroHeight="false" outlineLevelRow="0" outlineLevelCol="0"/>
  <sheetData>
    <row r="1" customFormat="false" ht="14.25" hidden="false" customHeight="false" outlineLevel="0" collapsed="false">
      <c r="A1" s="0" t="s">
        <v>46</v>
      </c>
      <c r="B1" s="0" t="s">
        <v>47</v>
      </c>
    </row>
    <row r="2" customFormat="false" ht="14.25" hidden="false" customHeight="false" outlineLevel="0" collapsed="false">
      <c r="A2" s="0" t="n">
        <v>1</v>
      </c>
      <c r="B2" s="0" t="s">
        <v>48</v>
      </c>
    </row>
    <row r="3" customFormat="false" ht="14.25" hidden="false" customHeight="false" outlineLevel="0" collapsed="false">
      <c r="A3" s="0" t="n">
        <v>2</v>
      </c>
      <c r="B3" s="0" t="s">
        <v>49</v>
      </c>
    </row>
    <row r="4" customFormat="false" ht="14.25" hidden="false" customHeight="false" outlineLevel="0" collapsed="false">
      <c r="A4" s="0" t="n">
        <v>3</v>
      </c>
      <c r="B4" s="0" t="s">
        <v>50</v>
      </c>
    </row>
  </sheetData>
  <printOptions headings="false" gridLines="false" gridLinesSet="true" horizontalCentered="false" verticalCentered="false"/>
  <pageMargins left="0.511805555555556" right="0.511805555555556" top="0.7875" bottom="0.7875" header="0.511811023622047" footer="0.315277777777778"/>
  <pageSetup paperSize="9" scale="100" fitToWidth="1" fitToHeight="1" pageOrder="downThenOver" orientation="portrait" blackAndWhite="false" draft="false" cellComments="none" horizontalDpi="300" verticalDpi="300" copies="1"/>
  <headerFooter differentFirst="false" differentOddEven="false">
    <oddHeader/>
    <oddFooter>&amp;R&amp;1#&amp;"Arial,Regular"&amp;10Confidential C</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G74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1" activeCellId="0" sqref="A11"/>
    </sheetView>
  </sheetViews>
  <sheetFormatPr defaultColWidth="8.54296875" defaultRowHeight="14.25" zeroHeight="false" outlineLevelRow="0" outlineLevelCol="0"/>
  <cols>
    <col collapsed="false" customWidth="true" hidden="false" outlineLevel="0" max="1" min="1" style="0" width="12.14"/>
    <col collapsed="false" customWidth="true" hidden="false" outlineLevel="0" max="2" min="2" style="1" width="9"/>
    <col collapsed="false" customWidth="true" hidden="false" outlineLevel="0" max="3" min="3" style="0" width="16.14"/>
    <col collapsed="false" customWidth="true" hidden="false" outlineLevel="0" max="4" min="4" style="0" width="17.28"/>
    <col collapsed="false" customWidth="true" hidden="false" outlineLevel="0" max="5" min="5" style="0" width="14.85"/>
    <col collapsed="false" customWidth="true" hidden="false" outlineLevel="0" max="6" min="6" style="0" width="16.14"/>
    <col collapsed="false" customWidth="true" hidden="false" outlineLevel="0" max="7" min="7" style="0" width="17.28"/>
    <col collapsed="false" customWidth="true" hidden="false" outlineLevel="0" max="8" min="8" style="0" width="14.85"/>
    <col collapsed="false" customWidth="true" hidden="false" outlineLevel="0" max="9" min="9" style="0" width="16.14"/>
    <col collapsed="false" customWidth="true" hidden="false" outlineLevel="0" max="10" min="10" style="0" width="17.28"/>
    <col collapsed="false" customWidth="true" hidden="false" outlineLevel="0" max="11" min="11" style="0" width="14.85"/>
    <col collapsed="false" customWidth="true" hidden="false" outlineLevel="0" max="12" min="12" style="0" width="16.28"/>
    <col collapsed="false" customWidth="true" hidden="false" outlineLevel="0" max="13" min="13" style="0" width="17.43"/>
    <col collapsed="false" customWidth="true" hidden="false" outlineLevel="0" max="14" min="14" style="0" width="15"/>
    <col collapsed="false" customWidth="true" hidden="false" outlineLevel="0" max="15" min="15" style="0" width="16.28"/>
    <col collapsed="false" customWidth="true" hidden="false" outlineLevel="0" max="16" min="16" style="0" width="17.43"/>
    <col collapsed="false" customWidth="true" hidden="false" outlineLevel="0" max="17" min="17" style="0" width="15"/>
    <col collapsed="false" customWidth="true" hidden="false" outlineLevel="0" max="18" min="18" style="0" width="16.28"/>
    <col collapsed="false" customWidth="true" hidden="false" outlineLevel="0" max="19" min="19" style="0" width="17.43"/>
    <col collapsed="false" customWidth="true" hidden="false" outlineLevel="0" max="20" min="20" style="0" width="15"/>
    <col collapsed="false" customWidth="true" hidden="false" outlineLevel="0" max="21" min="21" style="0" width="15.14"/>
    <col collapsed="false" customWidth="true" hidden="false" outlineLevel="0" max="22" min="22" style="0" width="16.14"/>
    <col collapsed="false" customWidth="true" hidden="false" outlineLevel="0" max="23" min="23" style="0" width="13.85"/>
    <col collapsed="false" customWidth="true" hidden="false" outlineLevel="0" max="24" min="24" style="0" width="15.14"/>
    <col collapsed="false" customWidth="true" hidden="false" outlineLevel="0" max="25" min="25" style="0" width="16.14"/>
    <col collapsed="false" customWidth="true" hidden="false" outlineLevel="0" max="26" min="26" style="0" width="13.85"/>
    <col collapsed="false" customWidth="true" hidden="false" outlineLevel="0" max="27" min="27" style="0" width="15.14"/>
    <col collapsed="false" customWidth="true" hidden="false" outlineLevel="0" max="28" min="28" style="0" width="16.14"/>
    <col collapsed="false" customWidth="true" hidden="false" outlineLevel="0" max="29" min="29" style="0" width="13.85"/>
    <col collapsed="false" customWidth="true" hidden="false" outlineLevel="0" max="30" min="30" style="0" width="14.57"/>
    <col collapsed="false" customWidth="true" hidden="false" outlineLevel="0" max="31" min="31" style="0" width="15.57"/>
    <col collapsed="false" customWidth="true" hidden="false" outlineLevel="0" max="32" min="32" style="0" width="13.28"/>
    <col collapsed="false" customWidth="true" hidden="false" outlineLevel="0" max="33" min="33" style="0" width="14.57"/>
    <col collapsed="false" customWidth="true" hidden="false" outlineLevel="0" max="34" min="34" style="0" width="15.57"/>
    <col collapsed="false" customWidth="true" hidden="false" outlineLevel="0" max="35" min="35" style="0" width="13.28"/>
    <col collapsed="false" customWidth="true" hidden="false" outlineLevel="0" max="36" min="36" style="0" width="14.57"/>
    <col collapsed="false" customWidth="true" hidden="false" outlineLevel="0" max="37" min="37" style="0" width="15.57"/>
    <col collapsed="false" customWidth="true" hidden="false" outlineLevel="0" max="38" min="38" style="0" width="13.28"/>
    <col collapsed="false" customWidth="true" hidden="false" outlineLevel="0" max="39" min="39" style="0" width="14.57"/>
    <col collapsed="false" customWidth="true" hidden="false" outlineLevel="0" max="40" min="40" style="0" width="15.57"/>
    <col collapsed="false" customWidth="true" hidden="false" outlineLevel="0" max="41" min="41" style="0" width="13.28"/>
    <col collapsed="false" customWidth="true" hidden="false" outlineLevel="0" max="42" min="42" style="0" width="14.57"/>
    <col collapsed="false" customWidth="true" hidden="false" outlineLevel="0" max="43" min="43" style="0" width="15.57"/>
    <col collapsed="false" customWidth="true" hidden="false" outlineLevel="0" max="44" min="44" style="0" width="13.28"/>
    <col collapsed="false" customWidth="true" hidden="false" outlineLevel="0" max="45" min="45" style="0" width="14.57"/>
    <col collapsed="false" customWidth="true" hidden="false" outlineLevel="0" max="46" min="46" style="0" width="15.57"/>
    <col collapsed="false" customWidth="true" hidden="false" outlineLevel="0" max="47" min="47" style="0" width="13.28"/>
    <col collapsed="false" customWidth="true" hidden="false" outlineLevel="0" max="48" min="48" style="0" width="13.43"/>
    <col collapsed="false" customWidth="true" hidden="false" outlineLevel="0" max="49" min="49" style="0" width="14.43"/>
    <col collapsed="false" customWidth="true" hidden="false" outlineLevel="0" max="50" min="50" style="0" width="12"/>
    <col collapsed="false" customWidth="true" hidden="false" outlineLevel="0" max="51" min="51" style="0" width="13.43"/>
    <col collapsed="false" customWidth="true" hidden="false" outlineLevel="0" max="52" min="52" style="0" width="14.43"/>
    <col collapsed="false" customWidth="true" hidden="false" outlineLevel="0" max="53" min="53" style="0" width="12"/>
    <col collapsed="false" customWidth="true" hidden="false" outlineLevel="0" max="54" min="54" style="0" width="13.43"/>
    <col collapsed="false" customWidth="true" hidden="false" outlineLevel="0" max="55" min="55" style="0" width="14.43"/>
    <col collapsed="false" customWidth="true" hidden="false" outlineLevel="0" max="56" min="56" style="0" width="12"/>
    <col collapsed="false" customWidth="true" hidden="false" outlineLevel="0" max="57" min="57" style="2" width="10.71"/>
    <col collapsed="false" customWidth="true" hidden="false" outlineLevel="0" max="58" min="58" style="0" width="12.43"/>
    <col collapsed="false" customWidth="true" hidden="false" outlineLevel="0" max="59" min="59" style="0" width="10.71"/>
  </cols>
  <sheetData>
    <row r="1" customFormat="false" ht="14.25" hidden="false" customHeight="false" outlineLevel="0" collapsed="false">
      <c r="A1" s="0" t="s">
        <v>51</v>
      </c>
      <c r="B1" s="1" t="s">
        <v>0</v>
      </c>
      <c r="C1" s="0" t="s">
        <v>52</v>
      </c>
      <c r="D1" s="0" t="s">
        <v>53</v>
      </c>
      <c r="E1" s="0" t="s">
        <v>54</v>
      </c>
      <c r="F1" s="0" t="s">
        <v>55</v>
      </c>
      <c r="G1" s="0" t="s">
        <v>56</v>
      </c>
      <c r="H1" s="0" t="s">
        <v>57</v>
      </c>
      <c r="I1" s="0" t="s">
        <v>58</v>
      </c>
      <c r="J1" s="0" t="s">
        <v>59</v>
      </c>
      <c r="K1" s="0" t="s">
        <v>60</v>
      </c>
      <c r="L1" s="0" t="s">
        <v>61</v>
      </c>
      <c r="M1" s="0" t="s">
        <v>62</v>
      </c>
      <c r="N1" s="0" t="s">
        <v>63</v>
      </c>
      <c r="O1" s="0" t="s">
        <v>64</v>
      </c>
      <c r="P1" s="0" t="s">
        <v>65</v>
      </c>
      <c r="Q1" s="0" t="s">
        <v>66</v>
      </c>
      <c r="R1" s="0" t="s">
        <v>67</v>
      </c>
      <c r="S1" s="0" t="s">
        <v>68</v>
      </c>
      <c r="T1" s="0" t="s">
        <v>69</v>
      </c>
      <c r="U1" s="0" t="s">
        <v>70</v>
      </c>
      <c r="V1" s="0" t="s">
        <v>71</v>
      </c>
      <c r="W1" s="0" t="s">
        <v>72</v>
      </c>
      <c r="X1" s="0" t="s">
        <v>73</v>
      </c>
      <c r="Y1" s="0" t="s">
        <v>74</v>
      </c>
      <c r="Z1" s="0" t="s">
        <v>75</v>
      </c>
      <c r="AA1" s="0" t="s">
        <v>76</v>
      </c>
      <c r="AB1" s="0" t="s">
        <v>77</v>
      </c>
      <c r="AC1" s="0" t="s">
        <v>78</v>
      </c>
      <c r="AD1" s="0" t="s">
        <v>79</v>
      </c>
      <c r="AE1" s="0" t="s">
        <v>80</v>
      </c>
      <c r="AF1" s="0" t="s">
        <v>81</v>
      </c>
      <c r="AG1" s="0" t="s">
        <v>82</v>
      </c>
      <c r="AH1" s="0" t="s">
        <v>83</v>
      </c>
      <c r="AI1" s="0" t="s">
        <v>84</v>
      </c>
      <c r="AJ1" s="0" t="s">
        <v>85</v>
      </c>
      <c r="AK1" s="0" t="s">
        <v>86</v>
      </c>
      <c r="AL1" s="0" t="s">
        <v>87</v>
      </c>
      <c r="AM1" s="0" t="s">
        <v>88</v>
      </c>
      <c r="AN1" s="0" t="s">
        <v>89</v>
      </c>
      <c r="AO1" s="0" t="s">
        <v>90</v>
      </c>
      <c r="AP1" s="0" t="s">
        <v>91</v>
      </c>
      <c r="AQ1" s="0" t="s">
        <v>92</v>
      </c>
      <c r="AR1" s="0" t="s">
        <v>93</v>
      </c>
      <c r="AS1" s="0" t="s">
        <v>94</v>
      </c>
      <c r="AT1" s="0" t="s">
        <v>95</v>
      </c>
      <c r="AU1" s="0" t="s">
        <v>96</v>
      </c>
      <c r="AV1" s="0" t="s">
        <v>97</v>
      </c>
      <c r="AW1" s="0" t="s">
        <v>98</v>
      </c>
      <c r="AX1" s="0" t="s">
        <v>99</v>
      </c>
      <c r="AY1" s="0" t="s">
        <v>100</v>
      </c>
      <c r="AZ1" s="0" t="s">
        <v>101</v>
      </c>
      <c r="BA1" s="0" t="s">
        <v>102</v>
      </c>
      <c r="BB1" s="0" t="s">
        <v>103</v>
      </c>
      <c r="BC1" s="0" t="s">
        <v>104</v>
      </c>
      <c r="BD1" s="0" t="s">
        <v>105</v>
      </c>
      <c r="BE1" s="2" t="s">
        <v>1</v>
      </c>
    </row>
    <row r="2" customFormat="false" ht="14.25" hidden="false" customHeight="false" outlineLevel="0" collapsed="false">
      <c r="A2" s="0" t="n">
        <v>1</v>
      </c>
      <c r="B2" s="1" t="s">
        <v>106</v>
      </c>
      <c r="C2" s="0" t="n">
        <v>476</v>
      </c>
      <c r="D2" s="0" t="n">
        <v>474</v>
      </c>
      <c r="E2" s="0" t="s">
        <v>107</v>
      </c>
      <c r="F2" s="0" t="n">
        <v>463</v>
      </c>
      <c r="G2" s="0" t="n">
        <v>460</v>
      </c>
      <c r="H2" s="0" t="s">
        <v>108</v>
      </c>
      <c r="I2" s="0" t="n">
        <v>93</v>
      </c>
      <c r="J2" s="0" t="n">
        <v>166</v>
      </c>
      <c r="K2" s="0" t="s">
        <v>109</v>
      </c>
      <c r="L2" s="0" t="n">
        <v>36</v>
      </c>
      <c r="M2" s="0" t="n">
        <v>36</v>
      </c>
      <c r="N2" s="0" t="s">
        <v>110</v>
      </c>
      <c r="Q2" s="0" t="s">
        <v>111</v>
      </c>
      <c r="T2" s="0" t="s">
        <v>111</v>
      </c>
      <c r="U2" s="0" t="n">
        <v>489</v>
      </c>
      <c r="V2" s="0" t="n">
        <v>505</v>
      </c>
      <c r="W2" s="0" t="s">
        <v>112</v>
      </c>
      <c r="X2" s="0" t="n">
        <v>446</v>
      </c>
      <c r="Y2" s="0" t="n">
        <v>491</v>
      </c>
      <c r="Z2" s="0" t="s">
        <v>113</v>
      </c>
      <c r="AA2" s="0" t="n">
        <v>142</v>
      </c>
      <c r="AB2" s="0" t="n">
        <v>172</v>
      </c>
      <c r="AC2" s="0" t="s">
        <v>114</v>
      </c>
      <c r="AD2" s="0" t="n">
        <v>627</v>
      </c>
      <c r="AE2" s="0" t="n">
        <v>648</v>
      </c>
      <c r="AF2" s="0" t="s">
        <v>112</v>
      </c>
      <c r="AG2" s="0" t="n">
        <v>132</v>
      </c>
      <c r="AH2" s="0" t="n">
        <v>296</v>
      </c>
      <c r="AI2" s="0" t="s">
        <v>115</v>
      </c>
      <c r="AL2" s="0" t="s">
        <v>110</v>
      </c>
      <c r="AM2" s="0" t="n">
        <v>203</v>
      </c>
      <c r="AN2" s="0" t="n">
        <v>311</v>
      </c>
      <c r="AO2" s="0" t="s">
        <v>116</v>
      </c>
      <c r="AP2" s="0" t="n">
        <v>114</v>
      </c>
      <c r="AR2" s="0" t="s">
        <v>117</v>
      </c>
      <c r="AU2" s="0" t="s">
        <v>111</v>
      </c>
      <c r="AV2" s="0" t="n">
        <v>203</v>
      </c>
      <c r="AW2" s="0" t="n">
        <v>311</v>
      </c>
      <c r="AX2" s="0" t="s">
        <v>116</v>
      </c>
      <c r="AY2" s="0" t="n">
        <v>114</v>
      </c>
      <c r="BA2" s="0" t="s">
        <v>117</v>
      </c>
      <c r="BD2" s="0" t="s">
        <v>111</v>
      </c>
      <c r="BE2" s="2" t="n">
        <v>42843</v>
      </c>
    </row>
    <row r="3" customFormat="false" ht="14.25" hidden="false" customHeight="false" outlineLevel="0" collapsed="false">
      <c r="A3" s="0" t="n">
        <v>2</v>
      </c>
      <c r="B3" s="1" t="s">
        <v>118</v>
      </c>
      <c r="C3" s="0" t="n">
        <v>458</v>
      </c>
      <c r="D3" s="0" t="n">
        <v>474</v>
      </c>
      <c r="E3" s="0" t="s">
        <v>119</v>
      </c>
      <c r="F3" s="0" t="n">
        <v>453</v>
      </c>
      <c r="G3" s="0" t="n">
        <v>460</v>
      </c>
      <c r="H3" s="0" t="s">
        <v>120</v>
      </c>
      <c r="I3" s="0" t="n">
        <v>110</v>
      </c>
      <c r="J3" s="0" t="n">
        <v>166</v>
      </c>
      <c r="K3" s="0" t="s">
        <v>121</v>
      </c>
      <c r="L3" s="0" t="n">
        <v>36</v>
      </c>
      <c r="M3" s="0" t="n">
        <v>36</v>
      </c>
      <c r="N3" s="0" t="s">
        <v>110</v>
      </c>
      <c r="O3" s="0" t="n">
        <v>0</v>
      </c>
      <c r="P3" s="0" t="n">
        <v>0</v>
      </c>
      <c r="R3" s="0" t="n">
        <v>0</v>
      </c>
      <c r="S3" s="0" t="n">
        <v>0</v>
      </c>
      <c r="U3" s="0" t="n">
        <v>452</v>
      </c>
      <c r="V3" s="0" t="n">
        <v>505</v>
      </c>
      <c r="W3" s="0" t="s">
        <v>122</v>
      </c>
      <c r="X3" s="0" t="n">
        <v>426</v>
      </c>
      <c r="Y3" s="0" t="n">
        <v>475</v>
      </c>
      <c r="Z3" s="0" t="s">
        <v>123</v>
      </c>
      <c r="AA3" s="0" t="n">
        <v>0</v>
      </c>
      <c r="AB3" s="0" t="n">
        <v>0</v>
      </c>
      <c r="AD3" s="0" t="n">
        <v>559</v>
      </c>
      <c r="AE3" s="0" t="n">
        <v>627</v>
      </c>
      <c r="AF3" s="0" t="s">
        <v>124</v>
      </c>
      <c r="AG3" s="0" t="n">
        <v>153</v>
      </c>
      <c r="AH3" s="0" t="n">
        <v>296</v>
      </c>
      <c r="AI3" s="0" t="s">
        <v>125</v>
      </c>
      <c r="AJ3" s="0" t="n">
        <v>0</v>
      </c>
      <c r="AK3" s="0" t="n">
        <v>0</v>
      </c>
      <c r="AM3" s="0" t="n">
        <v>0</v>
      </c>
      <c r="AN3" s="0" t="n">
        <v>0</v>
      </c>
      <c r="AP3" s="0" t="n">
        <v>0</v>
      </c>
      <c r="AQ3" s="0" t="n">
        <v>0</v>
      </c>
      <c r="AS3" s="0" t="n">
        <v>0</v>
      </c>
      <c r="AT3" s="0" t="n">
        <v>0</v>
      </c>
      <c r="AV3" s="0" t="n">
        <v>0</v>
      </c>
      <c r="AW3" s="0" t="n">
        <v>0</v>
      </c>
      <c r="AY3" s="0" t="n">
        <v>0</v>
      </c>
      <c r="AZ3" s="0" t="n">
        <v>0</v>
      </c>
      <c r="BB3" s="0" t="n">
        <v>0</v>
      </c>
      <c r="BC3" s="0" t="n">
        <v>0</v>
      </c>
      <c r="BE3" s="2" t="n">
        <v>42844</v>
      </c>
      <c r="BF3" s="2"/>
      <c r="BG3" s="2"/>
    </row>
    <row r="4" customFormat="false" ht="14.25" hidden="false" customHeight="false" outlineLevel="0" collapsed="false">
      <c r="A4" s="0" t="n">
        <v>3</v>
      </c>
      <c r="B4" s="1" t="s">
        <v>126</v>
      </c>
      <c r="C4" s="0" t="n">
        <v>448</v>
      </c>
      <c r="D4" s="0" t="n">
        <v>469</v>
      </c>
      <c r="E4" s="0" t="s">
        <v>127</v>
      </c>
      <c r="F4" s="0" t="n">
        <v>447</v>
      </c>
      <c r="G4" s="0" t="n">
        <v>460</v>
      </c>
      <c r="H4" s="0" t="s">
        <v>128</v>
      </c>
      <c r="I4" s="0" t="n">
        <v>200</v>
      </c>
      <c r="J4" s="0" t="n">
        <v>1740</v>
      </c>
      <c r="K4" s="0" t="s">
        <v>129</v>
      </c>
      <c r="L4" s="0" t="n">
        <v>35</v>
      </c>
      <c r="M4" s="0" t="n">
        <v>340</v>
      </c>
      <c r="N4" s="0" t="s">
        <v>130</v>
      </c>
      <c r="AD4" s="0" t="n">
        <v>634</v>
      </c>
      <c r="AE4" s="0" t="n">
        <v>647</v>
      </c>
      <c r="AF4" s="0" t="s">
        <v>131</v>
      </c>
      <c r="AG4" s="0" t="n">
        <v>105</v>
      </c>
      <c r="AH4" s="0" t="n">
        <v>459</v>
      </c>
      <c r="AI4" s="0" t="s">
        <v>132</v>
      </c>
      <c r="AJ4" s="0" t="n">
        <v>3</v>
      </c>
      <c r="AL4" s="0" t="s">
        <v>110</v>
      </c>
      <c r="AM4" s="0" t="n">
        <v>242</v>
      </c>
      <c r="AN4" s="0" t="n">
        <v>310</v>
      </c>
      <c r="AO4" s="0" t="s">
        <v>133</v>
      </c>
      <c r="AP4" s="0" t="n">
        <v>174</v>
      </c>
      <c r="AQ4" s="0" t="n">
        <v>301</v>
      </c>
      <c r="AR4" s="0" t="s">
        <v>134</v>
      </c>
      <c r="AS4" s="0" t="n">
        <v>1</v>
      </c>
      <c r="AV4" s="0" t="n">
        <v>242</v>
      </c>
      <c r="AW4" s="0" t="n">
        <v>310</v>
      </c>
      <c r="AX4" s="0" t="s">
        <v>133</v>
      </c>
      <c r="AY4" s="0" t="n">
        <v>174</v>
      </c>
      <c r="AZ4" s="0" t="n">
        <v>301</v>
      </c>
      <c r="BA4" s="0" t="s">
        <v>134</v>
      </c>
      <c r="BB4" s="0" t="n">
        <v>1</v>
      </c>
      <c r="BE4" s="2" t="n">
        <v>42899</v>
      </c>
    </row>
    <row r="5" customFormat="false" ht="14.25" hidden="false" customHeight="false" outlineLevel="0" collapsed="false">
      <c r="A5" s="0" t="n">
        <v>4</v>
      </c>
      <c r="B5" s="1" t="s">
        <v>135</v>
      </c>
      <c r="C5" s="0" t="n">
        <v>454</v>
      </c>
      <c r="D5" s="0" t="n">
        <v>474</v>
      </c>
      <c r="E5" s="0" t="s">
        <v>136</v>
      </c>
      <c r="F5" s="0" t="n">
        <v>378</v>
      </c>
      <c r="G5" s="0" t="n">
        <v>460</v>
      </c>
      <c r="H5" s="0" t="s">
        <v>137</v>
      </c>
      <c r="I5" s="0" t="n">
        <v>170</v>
      </c>
      <c r="J5" s="0" t="n">
        <v>174</v>
      </c>
      <c r="K5" s="0" t="s">
        <v>138</v>
      </c>
      <c r="L5" s="0" t="n">
        <v>35</v>
      </c>
      <c r="AD5" s="0" t="n">
        <v>337</v>
      </c>
      <c r="AE5" s="0" t="n">
        <v>346</v>
      </c>
      <c r="AF5" s="0" t="s">
        <v>139</v>
      </c>
      <c r="AG5" s="0" t="n">
        <v>205</v>
      </c>
      <c r="AJ5" s="0" t="n">
        <v>88</v>
      </c>
      <c r="BE5" s="2" t="n">
        <v>42892</v>
      </c>
    </row>
    <row r="6" customFormat="false" ht="14.25" hidden="false" customHeight="false" outlineLevel="0" collapsed="false">
      <c r="A6" s="0" t="n">
        <v>5</v>
      </c>
      <c r="B6" s="1" t="s">
        <v>140</v>
      </c>
      <c r="C6" s="0" t="n">
        <v>456</v>
      </c>
      <c r="D6" s="0" t="n">
        <v>484</v>
      </c>
      <c r="E6" s="0" t="s">
        <v>141</v>
      </c>
      <c r="F6" s="0" t="n">
        <v>447</v>
      </c>
      <c r="G6" s="0" t="n">
        <v>471</v>
      </c>
      <c r="H6" s="0" t="s">
        <v>142</v>
      </c>
      <c r="I6" s="0" t="n">
        <v>172</v>
      </c>
      <c r="J6" s="0" t="n">
        <v>174</v>
      </c>
      <c r="K6" s="0" t="s">
        <v>143</v>
      </c>
      <c r="L6" s="0" t="n">
        <v>36</v>
      </c>
      <c r="AD6" s="0" t="n">
        <v>618</v>
      </c>
      <c r="AE6" s="0" t="n">
        <v>646</v>
      </c>
      <c r="AF6" s="0" t="s">
        <v>144</v>
      </c>
      <c r="AG6" s="0" t="n">
        <v>124</v>
      </c>
      <c r="AH6" s="0" t="n">
        <v>459</v>
      </c>
      <c r="AI6" s="0" t="s">
        <v>145</v>
      </c>
      <c r="AM6" s="0" t="n">
        <v>229</v>
      </c>
      <c r="AN6" s="0" t="n">
        <v>310</v>
      </c>
      <c r="AO6" s="0" t="s">
        <v>146</v>
      </c>
      <c r="AP6" s="0" t="n">
        <v>144</v>
      </c>
      <c r="AQ6" s="0" t="n">
        <v>302</v>
      </c>
      <c r="AR6" s="0" t="s">
        <v>147</v>
      </c>
      <c r="AV6" s="0" t="n">
        <v>229</v>
      </c>
      <c r="AW6" s="0" t="n">
        <v>310</v>
      </c>
      <c r="AX6" s="0" t="s">
        <v>146</v>
      </c>
      <c r="AY6" s="0" t="n">
        <v>144</v>
      </c>
      <c r="AZ6" s="0" t="n">
        <v>302</v>
      </c>
      <c r="BA6" s="0" t="s">
        <v>147</v>
      </c>
      <c r="BE6" s="2" t="n">
        <v>42893</v>
      </c>
    </row>
    <row r="7" customFormat="false" ht="14.25" hidden="false" customHeight="false" outlineLevel="0" collapsed="false">
      <c r="A7" s="0" t="n">
        <v>6</v>
      </c>
      <c r="B7" s="1" t="s">
        <v>148</v>
      </c>
      <c r="C7" s="0" t="n">
        <v>470</v>
      </c>
      <c r="D7" s="0" t="n">
        <v>483</v>
      </c>
      <c r="E7" s="0" t="s">
        <v>149</v>
      </c>
      <c r="F7" s="0" t="n">
        <v>338</v>
      </c>
      <c r="G7" s="0" t="n">
        <v>471</v>
      </c>
      <c r="H7" s="0" t="s">
        <v>150</v>
      </c>
      <c r="I7" s="0" t="n">
        <v>162</v>
      </c>
      <c r="J7" s="0" t="n">
        <v>174</v>
      </c>
      <c r="K7" s="0" t="s">
        <v>151</v>
      </c>
      <c r="L7" s="0" t="n">
        <v>36</v>
      </c>
      <c r="M7" s="0" t="n">
        <v>340</v>
      </c>
      <c r="N7" s="0" t="s">
        <v>152</v>
      </c>
      <c r="AD7" s="0" t="n">
        <v>638</v>
      </c>
      <c r="AE7" s="0" t="n">
        <v>646</v>
      </c>
      <c r="AF7" s="0" t="s">
        <v>153</v>
      </c>
      <c r="AG7" s="0" t="n">
        <v>156</v>
      </c>
      <c r="AH7" s="0" t="n">
        <v>460</v>
      </c>
      <c r="AI7" s="0" t="s">
        <v>154</v>
      </c>
      <c r="AM7" s="0" t="n">
        <v>239</v>
      </c>
      <c r="AN7" s="0" t="n">
        <v>309</v>
      </c>
      <c r="AO7" s="0" t="s">
        <v>155</v>
      </c>
      <c r="AP7" s="0" t="n">
        <v>203</v>
      </c>
      <c r="AQ7" s="0" t="n">
        <v>301</v>
      </c>
      <c r="AR7" s="0" t="s">
        <v>156</v>
      </c>
      <c r="AV7" s="0" t="n">
        <v>239</v>
      </c>
      <c r="AW7" s="0" t="n">
        <v>309</v>
      </c>
      <c r="AX7" s="0" t="s">
        <v>155</v>
      </c>
      <c r="AY7" s="0" t="n">
        <v>203</v>
      </c>
      <c r="AZ7" s="0" t="n">
        <v>301</v>
      </c>
      <c r="BA7" s="0" t="s">
        <v>156</v>
      </c>
      <c r="BE7" s="2" t="n">
        <v>42894</v>
      </c>
    </row>
    <row r="8" customFormat="false" ht="14.25" hidden="false" customHeight="false" outlineLevel="0" collapsed="false">
      <c r="A8" s="0" t="n">
        <v>7</v>
      </c>
      <c r="B8" s="1" t="s">
        <v>157</v>
      </c>
      <c r="C8" s="0" t="n">
        <v>425</v>
      </c>
      <c r="D8" s="0" t="n">
        <v>483</v>
      </c>
      <c r="E8" s="0" t="s">
        <v>158</v>
      </c>
      <c r="F8" s="0" t="n">
        <v>387</v>
      </c>
      <c r="G8" s="0" t="n">
        <v>470</v>
      </c>
      <c r="H8" s="0" t="s">
        <v>159</v>
      </c>
      <c r="I8" s="0" t="n">
        <v>170</v>
      </c>
      <c r="J8" s="0" t="n">
        <v>174</v>
      </c>
      <c r="K8" s="0" t="s">
        <v>138</v>
      </c>
      <c r="L8" s="0" t="n">
        <v>34</v>
      </c>
      <c r="M8" s="0" t="n">
        <v>36</v>
      </c>
      <c r="N8" s="0" t="s">
        <v>160</v>
      </c>
      <c r="AD8" s="0" t="n">
        <v>583</v>
      </c>
      <c r="AE8" s="0" t="n">
        <v>646</v>
      </c>
      <c r="AF8" s="0" t="s">
        <v>161</v>
      </c>
      <c r="AG8" s="0" t="n">
        <v>111</v>
      </c>
      <c r="AH8" s="0" t="n">
        <v>460</v>
      </c>
      <c r="AI8" s="0" t="s">
        <v>162</v>
      </c>
      <c r="AM8" s="0" t="n">
        <v>200</v>
      </c>
      <c r="AN8" s="0" t="n">
        <v>309</v>
      </c>
      <c r="AO8" s="0" t="s">
        <v>163</v>
      </c>
      <c r="AP8" s="0" t="n">
        <v>211</v>
      </c>
      <c r="AQ8" s="0" t="n">
        <v>301</v>
      </c>
      <c r="AR8" s="0" t="s">
        <v>164</v>
      </c>
      <c r="AV8" s="0" t="n">
        <v>200</v>
      </c>
      <c r="AW8" s="0" t="n">
        <v>309</v>
      </c>
      <c r="AX8" s="0" t="s">
        <v>163</v>
      </c>
      <c r="AY8" s="0" t="n">
        <v>211</v>
      </c>
      <c r="AZ8" s="0" t="n">
        <v>301</v>
      </c>
      <c r="BA8" s="0" t="s">
        <v>164</v>
      </c>
      <c r="BE8" s="2" t="n">
        <v>42898</v>
      </c>
    </row>
    <row r="9" customFormat="false" ht="14.25" hidden="false" customHeight="false" outlineLevel="0" collapsed="false">
      <c r="A9" s="0" t="n">
        <v>8</v>
      </c>
      <c r="B9" s="1" t="s">
        <v>165</v>
      </c>
      <c r="C9" s="0" t="n">
        <v>430</v>
      </c>
      <c r="D9" s="0" t="n">
        <v>484</v>
      </c>
      <c r="E9" s="0" t="s">
        <v>166</v>
      </c>
      <c r="F9" s="0" t="n">
        <v>406</v>
      </c>
      <c r="G9" s="0" t="n">
        <v>470</v>
      </c>
      <c r="H9" s="0" t="s">
        <v>167</v>
      </c>
      <c r="I9" s="0" t="n">
        <v>160</v>
      </c>
      <c r="J9" s="0" t="n">
        <v>174</v>
      </c>
      <c r="K9" s="0" t="s">
        <v>168</v>
      </c>
      <c r="L9" s="0" t="n">
        <v>36</v>
      </c>
      <c r="M9" s="0" t="n">
        <v>360</v>
      </c>
      <c r="N9" s="0" t="s">
        <v>169</v>
      </c>
      <c r="AD9" s="0" t="n">
        <v>631</v>
      </c>
      <c r="AE9" s="0" t="n">
        <v>646</v>
      </c>
      <c r="AF9" s="0" t="s">
        <v>138</v>
      </c>
      <c r="AG9" s="0" t="n">
        <v>101</v>
      </c>
      <c r="AH9" s="0" t="n">
        <v>459</v>
      </c>
      <c r="AI9" s="0" t="s">
        <v>170</v>
      </c>
      <c r="AM9" s="0" t="n">
        <v>220</v>
      </c>
      <c r="AN9" s="0" t="n">
        <v>309</v>
      </c>
      <c r="AO9" s="0" t="s">
        <v>171</v>
      </c>
      <c r="AP9" s="0" t="n">
        <v>190</v>
      </c>
      <c r="AQ9" s="0" t="n">
        <v>302</v>
      </c>
      <c r="AR9" s="0" t="s">
        <v>172</v>
      </c>
      <c r="AV9" s="0" t="n">
        <v>220</v>
      </c>
      <c r="AW9" s="0" t="n">
        <v>309</v>
      </c>
      <c r="AX9" s="0" t="s">
        <v>171</v>
      </c>
      <c r="AY9" s="0" t="n">
        <v>190</v>
      </c>
      <c r="AZ9" s="0" t="n">
        <v>302</v>
      </c>
      <c r="BA9" s="0" t="s">
        <v>172</v>
      </c>
      <c r="BE9" s="2" t="n">
        <v>42900</v>
      </c>
    </row>
    <row r="10" customFormat="false" ht="14.25" hidden="false" customHeight="false" outlineLevel="0" collapsed="false">
      <c r="A10" s="0" t="n">
        <v>9</v>
      </c>
      <c r="B10" s="1" t="s">
        <v>173</v>
      </c>
      <c r="C10" s="0" t="n">
        <v>441</v>
      </c>
      <c r="D10" s="0" t="n">
        <v>483</v>
      </c>
      <c r="E10" s="0" t="s">
        <v>174</v>
      </c>
      <c r="F10" s="0" t="n">
        <v>390</v>
      </c>
      <c r="G10" s="0" t="n">
        <v>471</v>
      </c>
      <c r="H10" s="0" t="s">
        <v>175</v>
      </c>
      <c r="I10" s="0" t="n">
        <v>171</v>
      </c>
      <c r="J10" s="0" t="n">
        <v>173</v>
      </c>
      <c r="K10" s="0" t="s">
        <v>153</v>
      </c>
      <c r="L10" s="0" t="n">
        <v>36</v>
      </c>
      <c r="M10" s="0" t="n">
        <v>360</v>
      </c>
      <c r="N10" s="0" t="s">
        <v>169</v>
      </c>
      <c r="AD10" s="0" t="n">
        <v>590</v>
      </c>
      <c r="AE10" s="0" t="n">
        <v>647</v>
      </c>
      <c r="AF10" s="0" t="s">
        <v>176</v>
      </c>
      <c r="AG10" s="0" t="n">
        <v>104</v>
      </c>
      <c r="AH10" s="0" t="n">
        <v>459</v>
      </c>
      <c r="AI10" s="0" t="s">
        <v>177</v>
      </c>
      <c r="AJ10" s="0" t="n">
        <v>3</v>
      </c>
      <c r="AM10" s="0" t="n">
        <v>105</v>
      </c>
      <c r="AN10" s="0" t="n">
        <v>310</v>
      </c>
      <c r="AO10" s="0" t="s">
        <v>154</v>
      </c>
      <c r="AP10" s="0" t="n">
        <v>0</v>
      </c>
      <c r="AV10" s="0" t="n">
        <v>105</v>
      </c>
      <c r="AW10" s="0" t="n">
        <v>310</v>
      </c>
      <c r="AX10" s="0" t="s">
        <v>154</v>
      </c>
      <c r="AY10" s="0" t="n">
        <v>0</v>
      </c>
      <c r="BE10" s="2" t="n">
        <v>42905</v>
      </c>
    </row>
    <row r="11" customFormat="false" ht="14.25" hidden="false" customHeight="false" outlineLevel="0" collapsed="false">
      <c r="A11" s="0" t="n">
        <v>10</v>
      </c>
      <c r="B11" s="1" t="s">
        <v>178</v>
      </c>
      <c r="C11" s="0" t="n">
        <v>454</v>
      </c>
      <c r="D11" s="0" t="n">
        <v>474</v>
      </c>
      <c r="E11" s="0" t="s">
        <v>136</v>
      </c>
      <c r="F11" s="0" t="n">
        <v>452</v>
      </c>
      <c r="G11" s="0" t="n">
        <v>460</v>
      </c>
      <c r="H11" s="0" t="s">
        <v>179</v>
      </c>
      <c r="I11" s="0" t="n">
        <v>174</v>
      </c>
      <c r="J11" s="0" t="n">
        <v>1740</v>
      </c>
      <c r="K11" s="0" t="s">
        <v>169</v>
      </c>
      <c r="L11" s="0" t="n">
        <v>35</v>
      </c>
      <c r="M11" s="0" t="n">
        <v>36</v>
      </c>
      <c r="N11" s="0" t="s">
        <v>128</v>
      </c>
      <c r="AD11" s="0" t="n">
        <v>602</v>
      </c>
      <c r="AG11" s="0" t="n">
        <v>103</v>
      </c>
      <c r="AJ11" s="0" t="n">
        <v>21</v>
      </c>
      <c r="AM11" s="0" t="n">
        <v>236</v>
      </c>
      <c r="AP11" s="0" t="n">
        <v>206</v>
      </c>
      <c r="AS11" s="0" t="n">
        <v>27</v>
      </c>
      <c r="AV11" s="0" t="n">
        <v>236</v>
      </c>
      <c r="AY11" s="0" t="n">
        <v>206</v>
      </c>
      <c r="BB11" s="0" t="n">
        <v>27</v>
      </c>
      <c r="BE11" s="2" t="n">
        <v>42906</v>
      </c>
    </row>
    <row r="12" customFormat="false" ht="14.25" hidden="false" customHeight="false" outlineLevel="0" collapsed="false">
      <c r="A12" s="0" t="n">
        <v>11</v>
      </c>
      <c r="B12" s="1" t="s">
        <v>180</v>
      </c>
      <c r="C12" s="0" t="n">
        <v>384</v>
      </c>
      <c r="D12" s="0" t="n">
        <v>483</v>
      </c>
      <c r="E12" s="0" t="s">
        <v>181</v>
      </c>
      <c r="F12" s="0" t="n">
        <v>387</v>
      </c>
      <c r="G12" s="0" t="n">
        <v>470</v>
      </c>
      <c r="H12" s="0" t="s">
        <v>159</v>
      </c>
      <c r="I12" s="0" t="n">
        <v>174</v>
      </c>
      <c r="J12" s="0" t="n">
        <v>1740</v>
      </c>
      <c r="K12" s="0" t="s">
        <v>169</v>
      </c>
      <c r="L12" s="0" t="n">
        <v>36</v>
      </c>
      <c r="M12" s="0" t="n">
        <v>360</v>
      </c>
      <c r="N12" s="0" t="s">
        <v>169</v>
      </c>
      <c r="AD12" s="0" t="n">
        <v>622</v>
      </c>
      <c r="AE12" s="0" t="n">
        <v>646</v>
      </c>
      <c r="AF12" s="0" t="s">
        <v>182</v>
      </c>
      <c r="AG12" s="0" t="n">
        <v>104</v>
      </c>
      <c r="AH12" s="0" t="n">
        <v>459</v>
      </c>
      <c r="AI12" s="0" t="s">
        <v>177</v>
      </c>
      <c r="AJ12" s="0" t="n">
        <v>7</v>
      </c>
      <c r="AM12" s="0" t="n">
        <v>225</v>
      </c>
      <c r="AN12" s="0" t="n">
        <v>310</v>
      </c>
      <c r="AO12" s="0" t="s">
        <v>183</v>
      </c>
      <c r="AP12" s="0" t="n">
        <v>177</v>
      </c>
      <c r="AQ12" s="0" t="n">
        <v>301</v>
      </c>
      <c r="AR12" s="0" t="s">
        <v>184</v>
      </c>
      <c r="AS12" s="0" t="n">
        <v>1</v>
      </c>
      <c r="AV12" s="0" t="n">
        <v>225</v>
      </c>
      <c r="AW12" s="0" t="n">
        <v>310</v>
      </c>
      <c r="AX12" s="0" t="s">
        <v>183</v>
      </c>
      <c r="AY12" s="0" t="n">
        <v>177</v>
      </c>
      <c r="AZ12" s="0" t="n">
        <v>301</v>
      </c>
      <c r="BA12" s="0" t="s">
        <v>184</v>
      </c>
      <c r="BB12" s="0" t="n">
        <v>1</v>
      </c>
      <c r="BE12" s="2" t="n">
        <v>42907</v>
      </c>
    </row>
    <row r="13" customFormat="false" ht="14.25" hidden="false" customHeight="false" outlineLevel="0" collapsed="false">
      <c r="A13" s="0" t="n">
        <v>12</v>
      </c>
      <c r="B13" s="1" t="s">
        <v>185</v>
      </c>
      <c r="C13" s="0" t="n">
        <v>438</v>
      </c>
      <c r="D13" s="0" t="n">
        <v>483</v>
      </c>
      <c r="E13" s="0" t="s">
        <v>186</v>
      </c>
      <c r="F13" s="0" t="n">
        <v>453</v>
      </c>
      <c r="G13" s="0" t="n">
        <v>470</v>
      </c>
      <c r="H13" s="0" t="s">
        <v>187</v>
      </c>
      <c r="I13" s="0" t="n">
        <v>165</v>
      </c>
      <c r="J13" s="0" t="n">
        <v>173</v>
      </c>
      <c r="K13" s="0" t="s">
        <v>188</v>
      </c>
      <c r="L13" s="0" t="n">
        <v>65</v>
      </c>
      <c r="M13" s="0" t="n">
        <v>650</v>
      </c>
      <c r="N13" s="0" t="s">
        <v>169</v>
      </c>
      <c r="AD13" s="0" t="n">
        <v>637</v>
      </c>
      <c r="AE13" s="0" t="n">
        <v>647</v>
      </c>
      <c r="AF13" s="0" t="s">
        <v>120</v>
      </c>
      <c r="AG13" s="0" t="n">
        <v>103</v>
      </c>
      <c r="AH13" s="0" t="n">
        <v>460</v>
      </c>
      <c r="AI13" s="0" t="s">
        <v>189</v>
      </c>
      <c r="AJ13" s="0" t="n">
        <v>6</v>
      </c>
      <c r="BE13" s="2" t="n">
        <v>42908</v>
      </c>
    </row>
    <row r="14" customFormat="false" ht="14.25" hidden="false" customHeight="false" outlineLevel="0" collapsed="false">
      <c r="A14" s="0" t="n">
        <v>13</v>
      </c>
      <c r="B14" s="1" t="s">
        <v>190</v>
      </c>
      <c r="C14" s="0" t="n">
        <v>460</v>
      </c>
      <c r="D14" s="0" t="n">
        <v>485</v>
      </c>
      <c r="E14" s="0" t="s">
        <v>191</v>
      </c>
      <c r="F14" s="0" t="n">
        <v>420</v>
      </c>
      <c r="G14" s="0" t="n">
        <v>471</v>
      </c>
      <c r="H14" s="0" t="s">
        <v>124</v>
      </c>
      <c r="I14" s="0" t="n">
        <v>38</v>
      </c>
      <c r="J14" s="0" t="n">
        <v>205</v>
      </c>
      <c r="K14" s="0" t="s">
        <v>192</v>
      </c>
      <c r="L14" s="0" t="n">
        <v>36</v>
      </c>
      <c r="M14" s="0" t="n">
        <v>360</v>
      </c>
      <c r="N14" s="0" t="s">
        <v>169</v>
      </c>
      <c r="AD14" s="0" t="n">
        <v>596</v>
      </c>
      <c r="AE14" s="0" t="n">
        <v>646</v>
      </c>
      <c r="AF14" s="0" t="s">
        <v>193</v>
      </c>
      <c r="AG14" s="0" t="n">
        <v>98</v>
      </c>
      <c r="AH14" s="0" t="n">
        <v>460</v>
      </c>
      <c r="AI14" s="0" t="s">
        <v>194</v>
      </c>
      <c r="AM14" s="0" t="n">
        <v>112</v>
      </c>
      <c r="AN14" s="0" t="n">
        <v>301</v>
      </c>
      <c r="AO14" s="0" t="s">
        <v>195</v>
      </c>
      <c r="AP14" s="0" t="n">
        <v>204</v>
      </c>
      <c r="AQ14" s="0" t="n">
        <v>301</v>
      </c>
      <c r="AR14" s="0" t="s">
        <v>196</v>
      </c>
      <c r="AS14" s="0" t="n">
        <v>1</v>
      </c>
      <c r="AV14" s="0" t="n">
        <v>112</v>
      </c>
      <c r="AW14" s="0" t="n">
        <v>301</v>
      </c>
      <c r="AX14" s="0" t="s">
        <v>195</v>
      </c>
      <c r="AY14" s="0" t="n">
        <v>204</v>
      </c>
      <c r="AZ14" s="0" t="n">
        <v>301</v>
      </c>
      <c r="BA14" s="0" t="s">
        <v>196</v>
      </c>
      <c r="BB14" s="0" t="n">
        <v>1</v>
      </c>
      <c r="BE14" s="2" t="n">
        <v>42909</v>
      </c>
    </row>
    <row r="15" customFormat="false" ht="14.25" hidden="false" customHeight="false" outlineLevel="0" collapsed="false">
      <c r="A15" s="0" t="n">
        <v>14</v>
      </c>
      <c r="B15" s="1" t="s">
        <v>197</v>
      </c>
      <c r="C15" s="0" t="n">
        <v>315</v>
      </c>
      <c r="D15" s="0" t="n">
        <v>355</v>
      </c>
      <c r="E15" s="0" t="s">
        <v>198</v>
      </c>
      <c r="F15" s="0" t="n">
        <v>308</v>
      </c>
      <c r="G15" s="0" t="n">
        <v>355</v>
      </c>
      <c r="H15" s="0" t="s">
        <v>199</v>
      </c>
      <c r="AD15" s="0" t="n">
        <v>460</v>
      </c>
      <c r="AE15" s="0" t="n">
        <v>478</v>
      </c>
      <c r="AF15" s="0" t="s">
        <v>200</v>
      </c>
      <c r="AG15" s="0" t="n">
        <v>1</v>
      </c>
      <c r="AH15" s="0" t="n">
        <v>35</v>
      </c>
      <c r="AI15" s="0" t="s">
        <v>201</v>
      </c>
      <c r="AM15" s="0" t="n">
        <v>187</v>
      </c>
      <c r="AP15" s="0" t="n">
        <v>117</v>
      </c>
      <c r="AS15" s="0" t="n">
        <v>1</v>
      </c>
      <c r="AV15" s="0" t="n">
        <v>187</v>
      </c>
      <c r="AY15" s="0" t="n">
        <v>117</v>
      </c>
      <c r="BB15" s="0" t="n">
        <v>1</v>
      </c>
      <c r="BE15" s="2" t="n">
        <v>42910</v>
      </c>
    </row>
    <row r="16" customFormat="false" ht="14.25" hidden="false" customHeight="false" outlineLevel="0" collapsed="false">
      <c r="A16" s="0" t="n">
        <v>15</v>
      </c>
      <c r="B16" s="1" t="s">
        <v>202</v>
      </c>
      <c r="C16" s="0" t="n">
        <v>356</v>
      </c>
      <c r="D16" s="0" t="n">
        <v>484</v>
      </c>
      <c r="E16" s="0" t="s">
        <v>203</v>
      </c>
      <c r="F16" s="0" t="n">
        <v>430</v>
      </c>
      <c r="G16" s="0" t="n">
        <v>470</v>
      </c>
      <c r="H16" s="0" t="s">
        <v>204</v>
      </c>
      <c r="I16" s="0" t="n">
        <v>174</v>
      </c>
      <c r="J16" s="0" t="n">
        <v>1740</v>
      </c>
      <c r="K16" s="0" t="s">
        <v>169</v>
      </c>
      <c r="L16" s="0" t="n">
        <v>36</v>
      </c>
      <c r="M16" s="0" t="n">
        <v>360</v>
      </c>
      <c r="N16" s="0" t="s">
        <v>169</v>
      </c>
      <c r="AD16" s="0" t="n">
        <v>601</v>
      </c>
      <c r="AE16" s="0" t="n">
        <v>786</v>
      </c>
      <c r="AF16" s="0" t="s">
        <v>205</v>
      </c>
      <c r="AG16" s="0" t="n">
        <v>71</v>
      </c>
      <c r="AH16" s="0" t="n">
        <v>200</v>
      </c>
      <c r="AI16" s="0" t="s">
        <v>206</v>
      </c>
      <c r="AJ16" s="0" t="n">
        <v>9</v>
      </c>
      <c r="AM16" s="0" t="n">
        <v>237</v>
      </c>
      <c r="AN16" s="0" t="n">
        <v>255</v>
      </c>
      <c r="AO16" s="0" t="s">
        <v>207</v>
      </c>
      <c r="AP16" s="0" t="n">
        <v>110</v>
      </c>
      <c r="AQ16" s="0" t="n">
        <v>712</v>
      </c>
      <c r="AR16" s="0" t="s">
        <v>208</v>
      </c>
      <c r="AV16" s="0" t="n">
        <v>237</v>
      </c>
      <c r="AW16" s="0" t="n">
        <v>255</v>
      </c>
      <c r="AX16" s="0" t="s">
        <v>207</v>
      </c>
      <c r="AY16" s="0" t="n">
        <v>110</v>
      </c>
      <c r="AZ16" s="0" t="n">
        <v>712</v>
      </c>
      <c r="BA16" s="0" t="s">
        <v>208</v>
      </c>
      <c r="BE16" s="2" t="n">
        <v>42912</v>
      </c>
    </row>
    <row r="17" customFormat="false" ht="14.25" hidden="false" customHeight="false" outlineLevel="0" collapsed="false">
      <c r="A17" s="0" t="n">
        <v>16</v>
      </c>
      <c r="B17" s="1" t="s">
        <v>209</v>
      </c>
      <c r="C17" s="0" t="n">
        <v>450</v>
      </c>
      <c r="D17" s="0" t="n">
        <v>473</v>
      </c>
      <c r="E17" s="0" t="s">
        <v>210</v>
      </c>
      <c r="F17" s="0" t="n">
        <v>381</v>
      </c>
      <c r="G17" s="0" t="n">
        <v>471</v>
      </c>
      <c r="H17" s="0" t="s">
        <v>211</v>
      </c>
      <c r="I17" s="0" t="n">
        <v>174</v>
      </c>
      <c r="J17" s="0" t="n">
        <v>1740</v>
      </c>
      <c r="K17" s="0" t="s">
        <v>169</v>
      </c>
      <c r="L17" s="0" t="n">
        <v>36</v>
      </c>
      <c r="M17" s="0" t="n">
        <v>360</v>
      </c>
      <c r="N17" s="0" t="s">
        <v>169</v>
      </c>
      <c r="AD17" s="0" t="n">
        <v>623</v>
      </c>
      <c r="AE17" s="0" t="n">
        <v>647</v>
      </c>
      <c r="AF17" s="0" t="s">
        <v>182</v>
      </c>
      <c r="AG17" s="0" t="n">
        <v>81</v>
      </c>
      <c r="AH17" s="0" t="n">
        <v>459</v>
      </c>
      <c r="AI17" s="0" t="s">
        <v>212</v>
      </c>
      <c r="AJ17" s="0" t="n">
        <v>25</v>
      </c>
      <c r="AM17" s="0" t="n">
        <v>223</v>
      </c>
      <c r="AN17" s="0" t="n">
        <v>309</v>
      </c>
      <c r="AO17" s="0" t="s">
        <v>213</v>
      </c>
      <c r="AP17" s="0" t="n">
        <v>104</v>
      </c>
      <c r="AQ17" s="0" t="n">
        <v>301</v>
      </c>
      <c r="AR17" s="0" t="s">
        <v>214</v>
      </c>
      <c r="AV17" s="0" t="n">
        <v>223</v>
      </c>
      <c r="AW17" s="0" t="n">
        <v>309</v>
      </c>
      <c r="AX17" s="0" t="s">
        <v>213</v>
      </c>
      <c r="AY17" s="0" t="n">
        <v>104</v>
      </c>
      <c r="AZ17" s="0" t="n">
        <v>301</v>
      </c>
      <c r="BA17" s="0" t="s">
        <v>214</v>
      </c>
      <c r="BE17" s="2" t="n">
        <v>42913</v>
      </c>
    </row>
    <row r="18" customFormat="false" ht="14.25" hidden="false" customHeight="false" outlineLevel="0" collapsed="false">
      <c r="A18" s="0" t="n">
        <v>17</v>
      </c>
      <c r="B18" s="1" t="s">
        <v>215</v>
      </c>
      <c r="C18" s="0" t="n">
        <v>426</v>
      </c>
      <c r="D18" s="0" t="n">
        <v>483</v>
      </c>
      <c r="E18" s="0" t="s">
        <v>216</v>
      </c>
      <c r="F18" s="0" t="n">
        <v>403</v>
      </c>
      <c r="G18" s="0" t="n">
        <v>471</v>
      </c>
      <c r="H18" s="0" t="s">
        <v>217</v>
      </c>
      <c r="I18" s="0" t="n">
        <v>174</v>
      </c>
      <c r="J18" s="0" t="n">
        <v>1740</v>
      </c>
      <c r="K18" s="0" t="s">
        <v>169</v>
      </c>
      <c r="L18" s="0" t="n">
        <v>37</v>
      </c>
      <c r="M18" s="0" t="n">
        <v>370</v>
      </c>
      <c r="N18" s="0" t="s">
        <v>169</v>
      </c>
      <c r="AD18" s="0" t="n">
        <v>578</v>
      </c>
      <c r="AE18" s="0" t="n">
        <v>646</v>
      </c>
      <c r="AF18" s="0" t="s">
        <v>122</v>
      </c>
      <c r="AG18" s="0" t="n">
        <v>98</v>
      </c>
      <c r="AH18" s="0" t="n">
        <v>460</v>
      </c>
      <c r="AI18" s="0" t="s">
        <v>194</v>
      </c>
      <c r="AJ18" s="0" t="n">
        <v>6</v>
      </c>
      <c r="AM18" s="0" t="n">
        <v>214</v>
      </c>
      <c r="AN18" s="0" t="n">
        <v>356</v>
      </c>
      <c r="AO18" s="0" t="s">
        <v>218</v>
      </c>
      <c r="AP18" s="0" t="n">
        <v>151</v>
      </c>
      <c r="AQ18" s="0" t="n">
        <v>302</v>
      </c>
      <c r="AR18" s="0" t="s">
        <v>219</v>
      </c>
      <c r="AS18" s="0" t="n">
        <v>43</v>
      </c>
      <c r="AV18" s="0" t="n">
        <v>214</v>
      </c>
      <c r="AW18" s="0" t="n">
        <v>356</v>
      </c>
      <c r="AX18" s="0" t="s">
        <v>218</v>
      </c>
      <c r="AY18" s="0" t="n">
        <v>151</v>
      </c>
      <c r="AZ18" s="0" t="n">
        <v>302</v>
      </c>
      <c r="BA18" s="0" t="s">
        <v>219</v>
      </c>
      <c r="BB18" s="0" t="n">
        <v>43</v>
      </c>
      <c r="BE18" s="2" t="n">
        <v>42914</v>
      </c>
    </row>
    <row r="19" customFormat="false" ht="14.25" hidden="false" customHeight="false" outlineLevel="0" collapsed="false">
      <c r="A19" s="0" t="n">
        <v>18</v>
      </c>
      <c r="B19" s="1" t="s">
        <v>220</v>
      </c>
      <c r="C19" s="0" t="n">
        <v>358</v>
      </c>
      <c r="D19" s="0" t="n">
        <v>483</v>
      </c>
      <c r="E19" s="0" t="s">
        <v>221</v>
      </c>
      <c r="F19" s="0" t="n">
        <v>341</v>
      </c>
      <c r="G19" s="0" t="n">
        <v>470</v>
      </c>
      <c r="H19" s="0" t="s">
        <v>183</v>
      </c>
      <c r="I19" s="0" t="n">
        <v>139</v>
      </c>
      <c r="J19" s="0" t="n">
        <v>173</v>
      </c>
      <c r="K19" s="0" t="s">
        <v>222</v>
      </c>
      <c r="L19" s="0" t="n">
        <v>34</v>
      </c>
      <c r="M19" s="0" t="n">
        <v>321</v>
      </c>
      <c r="N19" s="0" t="s">
        <v>152</v>
      </c>
      <c r="AD19" s="0" t="n">
        <v>658</v>
      </c>
      <c r="AE19" s="0" t="n">
        <v>6470</v>
      </c>
      <c r="AF19" s="0" t="s">
        <v>223</v>
      </c>
      <c r="AG19" s="0" t="n">
        <v>129</v>
      </c>
      <c r="AH19" s="0" t="n">
        <v>460</v>
      </c>
      <c r="AI19" s="0" t="s">
        <v>224</v>
      </c>
      <c r="AM19" s="0" t="n">
        <v>207</v>
      </c>
      <c r="AN19" s="0" t="n">
        <v>310</v>
      </c>
      <c r="AO19" s="0" t="s">
        <v>225</v>
      </c>
      <c r="AP19" s="0" t="n">
        <v>187</v>
      </c>
      <c r="AQ19" s="0" t="n">
        <v>302</v>
      </c>
      <c r="AR19" s="0" t="s">
        <v>226</v>
      </c>
      <c r="AS19" s="0" t="n">
        <v>27</v>
      </c>
      <c r="AV19" s="0" t="n">
        <v>207</v>
      </c>
      <c r="AW19" s="0" t="n">
        <v>310</v>
      </c>
      <c r="AX19" s="0" t="s">
        <v>225</v>
      </c>
      <c r="AY19" s="0" t="n">
        <v>187</v>
      </c>
      <c r="AZ19" s="0" t="n">
        <v>302</v>
      </c>
      <c r="BA19" s="0" t="s">
        <v>226</v>
      </c>
      <c r="BB19" s="0" t="n">
        <v>27</v>
      </c>
      <c r="BE19" s="2" t="n">
        <v>42915</v>
      </c>
    </row>
    <row r="20" customFormat="false" ht="14.25" hidden="false" customHeight="false" outlineLevel="0" collapsed="false">
      <c r="A20" s="0" t="n">
        <v>19</v>
      </c>
      <c r="B20" s="1" t="s">
        <v>227</v>
      </c>
      <c r="C20" s="0" t="n">
        <v>104</v>
      </c>
      <c r="D20" s="0" t="n">
        <v>483</v>
      </c>
      <c r="E20" s="0" t="s">
        <v>228</v>
      </c>
      <c r="F20" s="0" t="n">
        <v>0</v>
      </c>
      <c r="I20" s="0" t="n">
        <v>37</v>
      </c>
      <c r="J20" s="0" t="n">
        <v>206</v>
      </c>
      <c r="K20" s="0" t="s">
        <v>229</v>
      </c>
      <c r="L20" s="0" t="n">
        <v>28</v>
      </c>
      <c r="M20" s="0" t="n">
        <v>35</v>
      </c>
      <c r="N20" s="0" t="s">
        <v>230</v>
      </c>
      <c r="AD20" s="0" t="n">
        <v>415</v>
      </c>
      <c r="AE20" s="0" t="n">
        <v>647</v>
      </c>
      <c r="AF20" s="0" t="s">
        <v>231</v>
      </c>
      <c r="AG20" s="0" t="n">
        <v>0</v>
      </c>
      <c r="AM20" s="0" t="n">
        <v>137</v>
      </c>
      <c r="AN20" s="0" t="n">
        <v>310</v>
      </c>
      <c r="AO20" s="0" t="s">
        <v>232</v>
      </c>
      <c r="AP20" s="0" t="n">
        <v>111</v>
      </c>
      <c r="AQ20" s="0" t="n">
        <v>302</v>
      </c>
      <c r="AR20" s="0" t="s">
        <v>233</v>
      </c>
      <c r="AS20" s="0" t="n">
        <v>23</v>
      </c>
      <c r="AV20" s="0" t="n">
        <v>137</v>
      </c>
      <c r="AW20" s="0" t="n">
        <v>310</v>
      </c>
      <c r="AX20" s="0" t="s">
        <v>232</v>
      </c>
      <c r="AY20" s="0" t="n">
        <v>111</v>
      </c>
      <c r="AZ20" s="0" t="n">
        <v>302</v>
      </c>
      <c r="BA20" s="0" t="s">
        <v>233</v>
      </c>
      <c r="BB20" s="0" t="n">
        <v>23</v>
      </c>
      <c r="BE20" s="2" t="n">
        <v>42916</v>
      </c>
    </row>
    <row r="21" customFormat="false" ht="14.25" hidden="false" customHeight="false" outlineLevel="0" collapsed="false">
      <c r="A21" s="0" t="n">
        <v>20</v>
      </c>
      <c r="B21" s="1" t="s">
        <v>234</v>
      </c>
      <c r="C21" s="0" t="n">
        <v>349</v>
      </c>
      <c r="D21" s="0" t="n">
        <v>451</v>
      </c>
      <c r="E21" s="0" t="s">
        <v>235</v>
      </c>
      <c r="F21" s="0" t="n">
        <v>345</v>
      </c>
      <c r="G21" s="0" t="n">
        <v>438</v>
      </c>
      <c r="H21" s="0" t="s">
        <v>236</v>
      </c>
      <c r="I21" s="0" t="n">
        <v>170</v>
      </c>
      <c r="J21" s="0" t="n">
        <v>174</v>
      </c>
      <c r="K21" s="0" t="s">
        <v>138</v>
      </c>
      <c r="L21" s="0" t="n">
        <v>37</v>
      </c>
      <c r="M21" s="0" t="n">
        <v>359</v>
      </c>
      <c r="N21" s="0" t="s">
        <v>130</v>
      </c>
      <c r="AM21" s="0" t="n">
        <v>108</v>
      </c>
      <c r="AN21" s="0" t="n">
        <v>309</v>
      </c>
      <c r="AO21" s="0" t="s">
        <v>237</v>
      </c>
      <c r="AP21" s="0" t="n">
        <v>202</v>
      </c>
      <c r="AQ21" s="0" t="n">
        <v>301</v>
      </c>
      <c r="AR21" s="0" t="s">
        <v>238</v>
      </c>
      <c r="AS21" s="0" t="n">
        <v>2</v>
      </c>
      <c r="AV21" s="0" t="n">
        <v>108</v>
      </c>
      <c r="AW21" s="0" t="n">
        <v>309</v>
      </c>
      <c r="AX21" s="0" t="s">
        <v>237</v>
      </c>
      <c r="AY21" s="0" t="n">
        <v>202</v>
      </c>
      <c r="AZ21" s="0" t="n">
        <v>301</v>
      </c>
      <c r="BA21" s="0" t="s">
        <v>238</v>
      </c>
      <c r="BB21" s="0" t="n">
        <v>2</v>
      </c>
      <c r="BE21" s="2" t="n">
        <v>42928</v>
      </c>
    </row>
    <row r="22" customFormat="false" ht="14.25" hidden="false" customHeight="false" outlineLevel="0" collapsed="false">
      <c r="A22" s="0" t="n">
        <v>21</v>
      </c>
      <c r="B22" s="1" t="s">
        <v>239</v>
      </c>
      <c r="C22" s="0" t="n">
        <v>348</v>
      </c>
      <c r="D22" s="0" t="n">
        <v>451</v>
      </c>
      <c r="E22" s="0" t="s">
        <v>240</v>
      </c>
      <c r="F22" s="0" t="n">
        <v>342</v>
      </c>
      <c r="G22" s="0" t="n">
        <v>439</v>
      </c>
      <c r="H22" s="0" t="s">
        <v>241</v>
      </c>
      <c r="I22" s="0" t="n">
        <v>174</v>
      </c>
      <c r="J22" s="0" t="n">
        <v>1740</v>
      </c>
      <c r="K22" s="0" t="s">
        <v>169</v>
      </c>
      <c r="L22" s="0" t="n">
        <v>36</v>
      </c>
      <c r="M22" s="0" t="n">
        <v>340</v>
      </c>
      <c r="N22" s="0" t="s">
        <v>152</v>
      </c>
      <c r="AD22" s="0" t="n">
        <v>514</v>
      </c>
      <c r="AE22" s="0" t="n">
        <v>647</v>
      </c>
      <c r="AF22" s="0" t="s">
        <v>242</v>
      </c>
      <c r="AG22" s="0" t="n">
        <v>93</v>
      </c>
      <c r="AH22" s="0" t="n">
        <v>459</v>
      </c>
      <c r="AI22" s="0" t="s">
        <v>243</v>
      </c>
      <c r="AJ22" s="0" t="n">
        <v>6</v>
      </c>
      <c r="AM22" s="0" t="n">
        <v>204</v>
      </c>
      <c r="AN22" s="0" t="n">
        <v>204</v>
      </c>
      <c r="AO22" s="0" t="s">
        <v>110</v>
      </c>
      <c r="AP22" s="0" t="n">
        <v>170</v>
      </c>
      <c r="AQ22" s="0" t="n">
        <v>302</v>
      </c>
      <c r="AR22" s="0" t="s">
        <v>244</v>
      </c>
      <c r="AS22" s="0" t="n">
        <v>1</v>
      </c>
      <c r="AV22" s="0" t="n">
        <v>204</v>
      </c>
      <c r="AW22" s="0" t="n">
        <v>204</v>
      </c>
      <c r="AX22" s="0" t="s">
        <v>110</v>
      </c>
      <c r="AY22" s="0" t="n">
        <v>170</v>
      </c>
      <c r="AZ22" s="0" t="n">
        <v>302</v>
      </c>
      <c r="BA22" s="0" t="s">
        <v>244</v>
      </c>
      <c r="BB22" s="0" t="n">
        <v>1</v>
      </c>
      <c r="BE22" s="2" t="n">
        <v>42929</v>
      </c>
    </row>
    <row r="23" customFormat="false" ht="14.25" hidden="false" customHeight="false" outlineLevel="0" collapsed="false">
      <c r="A23" s="0" t="n">
        <v>22</v>
      </c>
      <c r="B23" s="1" t="s">
        <v>245</v>
      </c>
      <c r="C23" s="0" t="n">
        <v>332</v>
      </c>
      <c r="D23" s="0" t="n">
        <v>451</v>
      </c>
      <c r="E23" s="0" t="s">
        <v>203</v>
      </c>
      <c r="F23" s="0" t="n">
        <v>342</v>
      </c>
      <c r="G23" s="0" t="n">
        <v>439</v>
      </c>
      <c r="H23" s="0" t="s">
        <v>241</v>
      </c>
      <c r="I23" s="0" t="n">
        <v>37</v>
      </c>
      <c r="J23" s="0" t="n">
        <v>206</v>
      </c>
      <c r="K23" s="0" t="s">
        <v>229</v>
      </c>
      <c r="L23" s="0" t="n">
        <v>37</v>
      </c>
      <c r="M23" s="0" t="n">
        <v>359</v>
      </c>
      <c r="N23" s="0" t="s">
        <v>130</v>
      </c>
      <c r="O23" s="0" t="n">
        <v>1</v>
      </c>
      <c r="AD23" s="0" t="n">
        <v>562</v>
      </c>
      <c r="AE23" s="0" t="n">
        <v>647</v>
      </c>
      <c r="AF23" s="0" t="s">
        <v>246</v>
      </c>
      <c r="AG23" s="0" t="n">
        <v>111</v>
      </c>
      <c r="AH23" s="0" t="n">
        <v>460</v>
      </c>
      <c r="AI23" s="0" t="s">
        <v>162</v>
      </c>
      <c r="AM23" s="0" t="n">
        <v>209</v>
      </c>
      <c r="AN23" s="0" t="n">
        <v>309</v>
      </c>
      <c r="AO23" s="0" t="s">
        <v>247</v>
      </c>
      <c r="AP23" s="0" t="n">
        <v>187</v>
      </c>
      <c r="AQ23" s="0" t="n">
        <v>228</v>
      </c>
      <c r="AR23" s="0" t="s">
        <v>248</v>
      </c>
      <c r="AV23" s="0" t="n">
        <v>209</v>
      </c>
      <c r="AW23" s="0" t="n">
        <v>309</v>
      </c>
      <c r="AX23" s="0" t="s">
        <v>247</v>
      </c>
      <c r="AY23" s="0" t="n">
        <v>187</v>
      </c>
      <c r="AZ23" s="0" t="n">
        <v>228</v>
      </c>
      <c r="BA23" s="0" t="s">
        <v>248</v>
      </c>
      <c r="BE23" s="2" t="n">
        <v>42930</v>
      </c>
    </row>
    <row r="24" customFormat="false" ht="14.25" hidden="false" customHeight="false" outlineLevel="0" collapsed="false">
      <c r="A24" s="0" t="n">
        <v>23</v>
      </c>
      <c r="B24" s="1" t="s">
        <v>249</v>
      </c>
      <c r="C24" s="0" t="n">
        <v>347</v>
      </c>
      <c r="D24" s="0" t="n">
        <v>451</v>
      </c>
      <c r="E24" s="0" t="s">
        <v>250</v>
      </c>
      <c r="F24" s="0" t="n">
        <v>364</v>
      </c>
      <c r="G24" s="0" t="n">
        <v>438</v>
      </c>
      <c r="H24" s="0" t="s">
        <v>251</v>
      </c>
      <c r="I24" s="0" t="n">
        <v>172</v>
      </c>
      <c r="J24" s="0" t="n">
        <v>174</v>
      </c>
      <c r="K24" s="0" t="s">
        <v>143</v>
      </c>
      <c r="L24" s="0" t="n">
        <v>35</v>
      </c>
      <c r="M24" s="0" t="n">
        <v>36</v>
      </c>
      <c r="N24" s="0" t="s">
        <v>128</v>
      </c>
      <c r="AD24" s="0" t="n">
        <v>502</v>
      </c>
      <c r="AE24" s="0" t="n">
        <v>646</v>
      </c>
      <c r="AF24" s="0" t="s">
        <v>252</v>
      </c>
      <c r="AM24" s="0" t="n">
        <v>215</v>
      </c>
      <c r="AN24" s="0" t="n">
        <v>310</v>
      </c>
      <c r="AO24" s="0" t="s">
        <v>253</v>
      </c>
      <c r="AP24" s="0" t="n">
        <v>142</v>
      </c>
      <c r="AQ24" s="0" t="n">
        <v>301</v>
      </c>
      <c r="AR24" s="0" t="s">
        <v>254</v>
      </c>
      <c r="AV24" s="0" t="n">
        <v>215</v>
      </c>
      <c r="AW24" s="0" t="n">
        <v>310</v>
      </c>
      <c r="AX24" s="0" t="s">
        <v>253</v>
      </c>
      <c r="AY24" s="0" t="n">
        <v>142</v>
      </c>
      <c r="AZ24" s="0" t="n">
        <v>301</v>
      </c>
      <c r="BA24" s="0" t="s">
        <v>254</v>
      </c>
      <c r="BE24" s="2" t="n">
        <v>42933</v>
      </c>
    </row>
    <row r="25" customFormat="false" ht="14.25" hidden="false" customHeight="false" outlineLevel="0" collapsed="false">
      <c r="A25" s="0" t="n">
        <v>24</v>
      </c>
      <c r="B25" s="1" t="s">
        <v>255</v>
      </c>
      <c r="C25" s="0" t="n">
        <v>351</v>
      </c>
      <c r="D25" s="0" t="n">
        <v>442</v>
      </c>
      <c r="E25" s="0" t="s">
        <v>242</v>
      </c>
      <c r="F25" s="0" t="n">
        <v>337</v>
      </c>
      <c r="G25" s="0" t="n">
        <v>429</v>
      </c>
      <c r="H25" s="0" t="s">
        <v>256</v>
      </c>
      <c r="I25" s="0" t="n">
        <v>162</v>
      </c>
      <c r="J25" s="0" t="n">
        <v>174</v>
      </c>
      <c r="K25" s="0" t="s">
        <v>151</v>
      </c>
      <c r="L25" s="0" t="n">
        <v>34</v>
      </c>
      <c r="M25" s="0" t="n">
        <v>36</v>
      </c>
      <c r="N25" s="0" t="s">
        <v>160</v>
      </c>
      <c r="AD25" s="0" t="n">
        <v>394</v>
      </c>
      <c r="AE25" s="0" t="n">
        <v>646</v>
      </c>
      <c r="AF25" s="0" t="s">
        <v>257</v>
      </c>
      <c r="AG25" s="0" t="n">
        <v>88</v>
      </c>
      <c r="AH25" s="0" t="n">
        <v>460</v>
      </c>
      <c r="AI25" s="0" t="s">
        <v>258</v>
      </c>
      <c r="AJ25" s="0" t="n">
        <v>4</v>
      </c>
      <c r="AM25" s="0" t="n">
        <v>173</v>
      </c>
      <c r="AN25" s="0" t="n">
        <v>309</v>
      </c>
      <c r="AO25" s="0" t="s">
        <v>109</v>
      </c>
      <c r="AP25" s="0" t="n">
        <v>222</v>
      </c>
      <c r="AQ25" s="0" t="n">
        <v>301</v>
      </c>
      <c r="AR25" s="0" t="s">
        <v>259</v>
      </c>
      <c r="AS25" s="0" t="n">
        <v>1</v>
      </c>
      <c r="AV25" s="0" t="n">
        <v>173</v>
      </c>
      <c r="AW25" s="0" t="n">
        <v>309</v>
      </c>
      <c r="AX25" s="0" t="s">
        <v>109</v>
      </c>
      <c r="AY25" s="0" t="n">
        <v>222</v>
      </c>
      <c r="AZ25" s="0" t="n">
        <v>301</v>
      </c>
      <c r="BA25" s="0" t="s">
        <v>259</v>
      </c>
      <c r="BB25" s="0" t="n">
        <v>1</v>
      </c>
      <c r="BE25" s="2" t="n">
        <v>42934</v>
      </c>
    </row>
    <row r="26" customFormat="false" ht="14.25" hidden="false" customHeight="false" outlineLevel="0" collapsed="false">
      <c r="A26" s="0" t="n">
        <v>25</v>
      </c>
      <c r="B26" s="1" t="s">
        <v>260</v>
      </c>
      <c r="C26" s="0" t="n">
        <v>308</v>
      </c>
      <c r="D26" s="0" t="n">
        <v>451</v>
      </c>
      <c r="E26" s="0" t="s">
        <v>261</v>
      </c>
      <c r="F26" s="0" t="n">
        <v>329</v>
      </c>
      <c r="G26" s="0" t="n">
        <v>439</v>
      </c>
      <c r="H26" s="0" t="s">
        <v>262</v>
      </c>
      <c r="I26" s="0" t="n">
        <v>173</v>
      </c>
      <c r="J26" s="0" t="n">
        <v>173</v>
      </c>
      <c r="K26" s="0" t="s">
        <v>110</v>
      </c>
      <c r="L26" s="0" t="n">
        <v>35</v>
      </c>
      <c r="M26" s="0" t="n">
        <v>36</v>
      </c>
      <c r="N26" s="0" t="s">
        <v>128</v>
      </c>
      <c r="AM26" s="0" t="n">
        <v>214</v>
      </c>
      <c r="AN26" s="0" t="n">
        <v>310</v>
      </c>
      <c r="AO26" s="0" t="s">
        <v>263</v>
      </c>
      <c r="AP26" s="0" t="n">
        <v>228</v>
      </c>
      <c r="AQ26" s="0" t="n">
        <v>301</v>
      </c>
      <c r="AR26" s="0" t="s">
        <v>264</v>
      </c>
      <c r="AS26" s="0" t="n">
        <v>13</v>
      </c>
      <c r="AV26" s="0" t="n">
        <v>214</v>
      </c>
      <c r="AW26" s="0" t="n">
        <v>310</v>
      </c>
      <c r="AX26" s="0" t="s">
        <v>263</v>
      </c>
      <c r="AY26" s="0" t="n">
        <v>228</v>
      </c>
      <c r="AZ26" s="0" t="n">
        <v>301</v>
      </c>
      <c r="BA26" s="0" t="s">
        <v>264</v>
      </c>
      <c r="BB26" s="0" t="n">
        <v>13</v>
      </c>
      <c r="BE26" s="2" t="n">
        <v>42935</v>
      </c>
    </row>
    <row r="27" customFormat="false" ht="14.25" hidden="false" customHeight="false" outlineLevel="0" collapsed="false">
      <c r="A27" s="0" t="n">
        <v>26</v>
      </c>
      <c r="B27" s="1" t="s">
        <v>265</v>
      </c>
      <c r="C27" s="0" t="n">
        <v>338</v>
      </c>
      <c r="D27" s="0" t="n">
        <v>451</v>
      </c>
      <c r="E27" s="0" t="s">
        <v>262</v>
      </c>
      <c r="F27" s="0" t="n">
        <v>303</v>
      </c>
      <c r="G27" s="0" t="n">
        <v>439</v>
      </c>
      <c r="H27" s="0" t="s">
        <v>263</v>
      </c>
      <c r="I27" s="0" t="n">
        <v>162</v>
      </c>
      <c r="J27" s="0" t="n">
        <v>174</v>
      </c>
      <c r="K27" s="0" t="s">
        <v>151</v>
      </c>
      <c r="L27" s="0" t="n">
        <v>36</v>
      </c>
      <c r="M27" s="0" t="n">
        <v>340</v>
      </c>
      <c r="N27" s="0" t="s">
        <v>152</v>
      </c>
      <c r="AD27" s="0" t="n">
        <v>487</v>
      </c>
      <c r="AE27" s="0" t="n">
        <v>647</v>
      </c>
      <c r="AF27" s="0" t="s">
        <v>266</v>
      </c>
      <c r="AG27" s="0" t="n">
        <v>100</v>
      </c>
      <c r="AH27" s="0" t="n">
        <v>459</v>
      </c>
      <c r="AI27" s="0" t="s">
        <v>267</v>
      </c>
      <c r="AJ27" s="0" t="n">
        <v>8</v>
      </c>
      <c r="AM27" s="0" t="n">
        <v>251</v>
      </c>
      <c r="AN27" s="0" t="n">
        <v>309</v>
      </c>
      <c r="AO27" s="0" t="s">
        <v>268</v>
      </c>
      <c r="AP27" s="0" t="n">
        <v>199</v>
      </c>
      <c r="AQ27" s="0" t="n">
        <v>302</v>
      </c>
      <c r="AR27" s="0" t="s">
        <v>269</v>
      </c>
      <c r="AS27" s="0" t="n">
        <v>41</v>
      </c>
      <c r="AV27" s="0" t="n">
        <v>251</v>
      </c>
      <c r="AW27" s="0" t="n">
        <v>309</v>
      </c>
      <c r="AX27" s="0" t="s">
        <v>268</v>
      </c>
      <c r="AY27" s="0" t="n">
        <v>199</v>
      </c>
      <c r="AZ27" s="0" t="n">
        <v>302</v>
      </c>
      <c r="BA27" s="0" t="s">
        <v>269</v>
      </c>
      <c r="BB27" s="0" t="n">
        <v>41</v>
      </c>
      <c r="BE27" s="2" t="n">
        <v>42936</v>
      </c>
    </row>
    <row r="28" customFormat="false" ht="14.25" hidden="false" customHeight="false" outlineLevel="0" collapsed="false">
      <c r="A28" s="0" t="n">
        <v>27</v>
      </c>
      <c r="B28" s="1" t="s">
        <v>270</v>
      </c>
      <c r="C28" s="0" t="n">
        <v>352</v>
      </c>
      <c r="D28" s="0" t="n">
        <v>450</v>
      </c>
      <c r="E28" s="0" t="s">
        <v>271</v>
      </c>
      <c r="F28" s="0" t="n">
        <v>303</v>
      </c>
      <c r="G28" s="0" t="n">
        <v>439</v>
      </c>
      <c r="H28" s="0" t="s">
        <v>263</v>
      </c>
      <c r="I28" s="0" t="n">
        <v>37</v>
      </c>
      <c r="J28" s="0" t="n">
        <v>206</v>
      </c>
      <c r="K28" s="0" t="s">
        <v>229</v>
      </c>
      <c r="L28" s="0" t="n">
        <v>36</v>
      </c>
      <c r="M28" s="0" t="n">
        <v>360</v>
      </c>
      <c r="N28" s="0" t="s">
        <v>169</v>
      </c>
      <c r="AD28" s="0" t="n">
        <v>554</v>
      </c>
      <c r="AE28" s="0" t="n">
        <v>646</v>
      </c>
      <c r="AF28" s="0" t="s">
        <v>272</v>
      </c>
      <c r="AG28" s="0" t="n">
        <v>90</v>
      </c>
      <c r="AH28" s="0" t="n">
        <v>459</v>
      </c>
      <c r="AI28" s="0" t="s">
        <v>273</v>
      </c>
      <c r="AM28" s="0" t="n">
        <v>226</v>
      </c>
      <c r="AN28" s="0" t="n">
        <v>310</v>
      </c>
      <c r="AO28" s="0" t="s">
        <v>274</v>
      </c>
      <c r="AP28" s="0" t="n">
        <v>210</v>
      </c>
      <c r="AQ28" s="0" t="n">
        <v>301</v>
      </c>
      <c r="AR28" s="0" t="s">
        <v>275</v>
      </c>
      <c r="AS28" s="0" t="n">
        <v>19</v>
      </c>
      <c r="AV28" s="0" t="n">
        <v>226</v>
      </c>
      <c r="AW28" s="0" t="n">
        <v>310</v>
      </c>
      <c r="AX28" s="0" t="s">
        <v>274</v>
      </c>
      <c r="AY28" s="0" t="n">
        <v>210</v>
      </c>
      <c r="AZ28" s="0" t="n">
        <v>301</v>
      </c>
      <c r="BA28" s="0" t="s">
        <v>275</v>
      </c>
      <c r="BB28" s="0" t="n">
        <v>19</v>
      </c>
      <c r="BE28" s="2" t="n">
        <v>42937</v>
      </c>
    </row>
    <row r="29" customFormat="false" ht="14.25" hidden="false" customHeight="false" outlineLevel="0" collapsed="false">
      <c r="A29" s="0" t="n">
        <v>28</v>
      </c>
      <c r="B29" s="1" t="s">
        <v>276</v>
      </c>
      <c r="C29" s="0" t="n">
        <v>252</v>
      </c>
      <c r="D29" s="0" t="n">
        <v>331</v>
      </c>
      <c r="E29" s="0" t="s">
        <v>277</v>
      </c>
      <c r="F29" s="0" t="n">
        <v>246</v>
      </c>
      <c r="G29" s="0" t="n">
        <v>331</v>
      </c>
      <c r="H29" s="0" t="s">
        <v>278</v>
      </c>
      <c r="AD29" s="0" t="n">
        <v>393</v>
      </c>
      <c r="AE29" s="0" t="n">
        <v>477</v>
      </c>
      <c r="AF29" s="0" t="s">
        <v>279</v>
      </c>
      <c r="AG29" s="0" t="n">
        <v>0</v>
      </c>
      <c r="AM29" s="0" t="n">
        <v>158</v>
      </c>
      <c r="AN29" s="0" t="n">
        <v>228</v>
      </c>
      <c r="AO29" s="0" t="s">
        <v>280</v>
      </c>
      <c r="AP29" s="0" t="n">
        <v>98</v>
      </c>
      <c r="AQ29" s="0" t="n">
        <v>233</v>
      </c>
      <c r="AR29" s="0" t="s">
        <v>281</v>
      </c>
      <c r="AV29" s="0" t="n">
        <v>158</v>
      </c>
      <c r="AW29" s="0" t="n">
        <v>228</v>
      </c>
      <c r="AX29" s="0" t="s">
        <v>280</v>
      </c>
      <c r="AY29" s="0" t="n">
        <v>98</v>
      </c>
      <c r="AZ29" s="0" t="n">
        <v>233</v>
      </c>
      <c r="BA29" s="0" t="s">
        <v>281</v>
      </c>
      <c r="BE29" s="2" t="n">
        <v>42938</v>
      </c>
    </row>
    <row r="30" customFormat="false" ht="14.25" hidden="false" customHeight="false" outlineLevel="0" collapsed="false">
      <c r="A30" s="0" t="n">
        <v>29</v>
      </c>
      <c r="B30" s="1" t="s">
        <v>282</v>
      </c>
      <c r="C30" s="0" t="n">
        <v>360</v>
      </c>
      <c r="D30" s="0" t="n">
        <v>418</v>
      </c>
      <c r="E30" s="0" t="s">
        <v>283</v>
      </c>
      <c r="F30" s="0" t="n">
        <v>365</v>
      </c>
      <c r="G30" s="0" t="n">
        <v>408</v>
      </c>
      <c r="H30" s="0" t="s">
        <v>122</v>
      </c>
      <c r="I30" s="0" t="n">
        <v>107</v>
      </c>
      <c r="J30" s="0" t="n">
        <v>174</v>
      </c>
      <c r="K30" s="0" t="s">
        <v>284</v>
      </c>
      <c r="L30" s="0" t="n">
        <v>37</v>
      </c>
      <c r="M30" s="0" t="n">
        <v>359</v>
      </c>
      <c r="N30" s="0" t="s">
        <v>130</v>
      </c>
      <c r="AD30" s="0" t="n">
        <v>576</v>
      </c>
      <c r="AE30" s="0" t="n">
        <v>646</v>
      </c>
      <c r="AF30" s="0" t="s">
        <v>124</v>
      </c>
      <c r="AG30" s="0" t="n">
        <v>106</v>
      </c>
      <c r="AH30" s="0" t="n">
        <v>460</v>
      </c>
      <c r="AI30" s="0" t="s">
        <v>285</v>
      </c>
      <c r="AM30" s="0" t="n">
        <v>194</v>
      </c>
      <c r="AN30" s="0" t="n">
        <v>310</v>
      </c>
      <c r="AO30" s="0" t="s">
        <v>286</v>
      </c>
      <c r="AP30" s="0" t="n">
        <v>225</v>
      </c>
      <c r="AQ30" s="0" t="n">
        <v>302</v>
      </c>
      <c r="AR30" s="0" t="s">
        <v>287</v>
      </c>
      <c r="AV30" s="0" t="n">
        <v>194</v>
      </c>
      <c r="AW30" s="0" t="n">
        <v>310</v>
      </c>
      <c r="AX30" s="0" t="s">
        <v>286</v>
      </c>
      <c r="AY30" s="0" t="n">
        <v>225</v>
      </c>
      <c r="AZ30" s="0" t="n">
        <v>302</v>
      </c>
      <c r="BA30" s="0" t="s">
        <v>287</v>
      </c>
      <c r="BE30" s="2" t="n">
        <v>42940</v>
      </c>
    </row>
    <row r="31" customFormat="false" ht="14.25" hidden="false" customHeight="false" outlineLevel="0" collapsed="false">
      <c r="A31" s="0" t="n">
        <v>30</v>
      </c>
      <c r="B31" s="1" t="s">
        <v>288</v>
      </c>
      <c r="C31" s="0" t="n">
        <v>172</v>
      </c>
      <c r="D31" s="0" t="n">
        <v>410</v>
      </c>
      <c r="E31" s="0" t="s">
        <v>289</v>
      </c>
      <c r="F31" s="0" t="n">
        <v>305</v>
      </c>
      <c r="G31" s="0" t="n">
        <v>399</v>
      </c>
      <c r="H31" s="0" t="s">
        <v>290</v>
      </c>
      <c r="I31" s="0" t="n">
        <v>167</v>
      </c>
      <c r="J31" s="0" t="n">
        <v>173</v>
      </c>
      <c r="K31" s="0" t="s">
        <v>291</v>
      </c>
      <c r="L31" s="0" t="n">
        <v>36</v>
      </c>
      <c r="M31" s="0" t="n">
        <v>360</v>
      </c>
      <c r="N31" s="0" t="s">
        <v>169</v>
      </c>
      <c r="AD31" s="0" t="n">
        <v>592</v>
      </c>
      <c r="AE31" s="0" t="n">
        <v>646</v>
      </c>
      <c r="AF31" s="0" t="s">
        <v>292</v>
      </c>
      <c r="AG31" s="0" t="n">
        <v>103</v>
      </c>
      <c r="AH31" s="0" t="n">
        <v>460</v>
      </c>
      <c r="AI31" s="0" t="s">
        <v>189</v>
      </c>
      <c r="AJ31" s="0" t="n">
        <v>9</v>
      </c>
      <c r="AM31" s="0" t="n">
        <v>226</v>
      </c>
      <c r="AN31" s="0" t="n">
        <v>310</v>
      </c>
      <c r="AO31" s="0" t="s">
        <v>274</v>
      </c>
      <c r="AP31" s="0" t="n">
        <v>197</v>
      </c>
      <c r="AQ31" s="0" t="n">
        <v>302</v>
      </c>
      <c r="AR31" s="0" t="s">
        <v>293</v>
      </c>
      <c r="AS31" s="0" t="n">
        <v>1</v>
      </c>
      <c r="AV31" s="0" t="n">
        <v>226</v>
      </c>
      <c r="AW31" s="0" t="n">
        <v>310</v>
      </c>
      <c r="AX31" s="0" t="s">
        <v>274</v>
      </c>
      <c r="AY31" s="0" t="n">
        <v>197</v>
      </c>
      <c r="AZ31" s="0" t="n">
        <v>302</v>
      </c>
      <c r="BA31" s="0" t="s">
        <v>293</v>
      </c>
      <c r="BB31" s="0" t="n">
        <v>1</v>
      </c>
      <c r="BE31" s="2" t="n">
        <v>42941</v>
      </c>
    </row>
    <row r="32" customFormat="false" ht="14.25" hidden="false" customHeight="false" outlineLevel="0" collapsed="false">
      <c r="A32" s="0" t="n">
        <v>31</v>
      </c>
      <c r="B32" s="1" t="s">
        <v>294</v>
      </c>
      <c r="C32" s="0" t="n">
        <v>351</v>
      </c>
      <c r="D32" s="0" t="n">
        <v>450</v>
      </c>
      <c r="E32" s="0" t="s">
        <v>295</v>
      </c>
      <c r="F32" s="0" t="n">
        <v>380</v>
      </c>
      <c r="G32" s="0" t="n">
        <v>439</v>
      </c>
      <c r="H32" s="0" t="s">
        <v>296</v>
      </c>
      <c r="I32" s="0" t="n">
        <v>173</v>
      </c>
      <c r="J32" s="0" t="n">
        <v>173</v>
      </c>
      <c r="K32" s="0" t="s">
        <v>110</v>
      </c>
      <c r="L32" s="0" t="n">
        <v>37</v>
      </c>
      <c r="M32" s="0" t="n">
        <v>359</v>
      </c>
      <c r="N32" s="0" t="s">
        <v>130</v>
      </c>
      <c r="AD32" s="0" t="n">
        <v>592</v>
      </c>
      <c r="AE32" s="0" t="n">
        <v>646</v>
      </c>
      <c r="AF32" s="0" t="s">
        <v>292</v>
      </c>
      <c r="AG32" s="0" t="n">
        <v>122</v>
      </c>
      <c r="AH32" s="0" t="n">
        <v>460</v>
      </c>
      <c r="AI32" s="0" t="s">
        <v>297</v>
      </c>
      <c r="AJ32" s="0" t="n">
        <v>14</v>
      </c>
      <c r="AM32" s="0" t="n">
        <v>230</v>
      </c>
      <c r="AN32" s="0" t="n">
        <v>310</v>
      </c>
      <c r="AO32" s="0" t="s">
        <v>298</v>
      </c>
      <c r="AP32" s="0" t="n">
        <v>212</v>
      </c>
      <c r="AQ32" s="0" t="n">
        <v>301</v>
      </c>
      <c r="AR32" s="0" t="s">
        <v>299</v>
      </c>
      <c r="AS32" s="0" t="n">
        <v>40</v>
      </c>
      <c r="AV32" s="0" t="n">
        <v>230</v>
      </c>
      <c r="AW32" s="0" t="n">
        <v>310</v>
      </c>
      <c r="AX32" s="0" t="s">
        <v>298</v>
      </c>
      <c r="AY32" s="0" t="n">
        <v>212</v>
      </c>
      <c r="AZ32" s="0" t="n">
        <v>301</v>
      </c>
      <c r="BA32" s="0" t="s">
        <v>299</v>
      </c>
      <c r="BB32" s="0" t="n">
        <v>40</v>
      </c>
      <c r="BE32" s="2" t="n">
        <v>42942</v>
      </c>
    </row>
    <row r="33" customFormat="false" ht="14.25" hidden="false" customHeight="false" outlineLevel="0" collapsed="false">
      <c r="A33" s="0" t="n">
        <v>32</v>
      </c>
      <c r="B33" s="1" t="s">
        <v>300</v>
      </c>
      <c r="C33" s="0" t="n">
        <v>377</v>
      </c>
      <c r="D33" s="0" t="n">
        <v>451</v>
      </c>
      <c r="E33" s="0" t="s">
        <v>301</v>
      </c>
      <c r="F33" s="0" t="n">
        <v>378</v>
      </c>
      <c r="G33" s="0" t="n">
        <v>439</v>
      </c>
      <c r="H33" s="0" t="s">
        <v>283</v>
      </c>
      <c r="I33" s="0" t="n">
        <v>173</v>
      </c>
      <c r="J33" s="0" t="n">
        <v>173</v>
      </c>
      <c r="K33" s="0" t="s">
        <v>110</v>
      </c>
      <c r="L33" s="0" t="n">
        <v>34</v>
      </c>
      <c r="M33" s="0" t="n">
        <v>340</v>
      </c>
      <c r="N33" s="0" t="s">
        <v>169</v>
      </c>
      <c r="AM33" s="0" t="n">
        <v>252</v>
      </c>
      <c r="AN33" s="0" t="n">
        <v>310</v>
      </c>
      <c r="AO33" s="0" t="s">
        <v>302</v>
      </c>
      <c r="AP33" s="0" t="n">
        <v>207</v>
      </c>
      <c r="AQ33" s="0" t="n">
        <v>302</v>
      </c>
      <c r="AR33" s="0" t="s">
        <v>303</v>
      </c>
      <c r="AS33" s="0" t="n">
        <v>32</v>
      </c>
      <c r="AV33" s="0" t="n">
        <v>252</v>
      </c>
      <c r="AW33" s="0" t="n">
        <v>310</v>
      </c>
      <c r="AX33" s="0" t="s">
        <v>302</v>
      </c>
      <c r="AY33" s="0" t="n">
        <v>207</v>
      </c>
      <c r="AZ33" s="0" t="n">
        <v>302</v>
      </c>
      <c r="BA33" s="0" t="s">
        <v>303</v>
      </c>
      <c r="BB33" s="0" t="n">
        <v>32</v>
      </c>
      <c r="BE33" s="2" t="n">
        <v>42943</v>
      </c>
    </row>
    <row r="34" customFormat="false" ht="14.25" hidden="false" customHeight="false" outlineLevel="0" collapsed="false">
      <c r="A34" s="0" t="n">
        <v>33</v>
      </c>
      <c r="B34" s="1" t="s">
        <v>304</v>
      </c>
      <c r="C34" s="0" t="n">
        <v>385</v>
      </c>
      <c r="D34" s="0" t="n">
        <v>450</v>
      </c>
      <c r="E34" s="0" t="s">
        <v>217</v>
      </c>
      <c r="F34" s="0" t="n">
        <v>389</v>
      </c>
      <c r="G34" s="0" t="n">
        <v>439</v>
      </c>
      <c r="H34" s="0" t="s">
        <v>305</v>
      </c>
      <c r="I34" s="0" t="n">
        <v>38</v>
      </c>
      <c r="J34" s="0" t="n">
        <v>205</v>
      </c>
      <c r="K34" s="0" t="s">
        <v>192</v>
      </c>
      <c r="L34" s="0" t="n">
        <v>37</v>
      </c>
      <c r="M34" s="0" t="n">
        <v>359</v>
      </c>
      <c r="N34" s="0" t="s">
        <v>130</v>
      </c>
      <c r="AD34" s="0" t="n">
        <v>625</v>
      </c>
      <c r="AE34" s="0" t="n">
        <v>648</v>
      </c>
      <c r="AF34" s="0" t="s">
        <v>291</v>
      </c>
      <c r="AG34" s="0" t="n">
        <v>106</v>
      </c>
      <c r="AH34" s="0" t="n">
        <v>125</v>
      </c>
      <c r="AI34" s="0" t="s">
        <v>306</v>
      </c>
      <c r="AM34" s="0" t="n">
        <v>248</v>
      </c>
      <c r="AN34" s="0" t="n">
        <v>310</v>
      </c>
      <c r="AO34" s="0" t="s">
        <v>230</v>
      </c>
      <c r="AP34" s="0" t="n">
        <v>220</v>
      </c>
      <c r="AQ34" s="0" t="n">
        <v>301</v>
      </c>
      <c r="AR34" s="0" t="s">
        <v>307</v>
      </c>
      <c r="AS34" s="0" t="n">
        <v>2</v>
      </c>
      <c r="AV34" s="0" t="n">
        <v>248</v>
      </c>
      <c r="AW34" s="0" t="n">
        <v>310</v>
      </c>
      <c r="AX34" s="0" t="s">
        <v>230</v>
      </c>
      <c r="AY34" s="0" t="n">
        <v>220</v>
      </c>
      <c r="AZ34" s="0" t="n">
        <v>301</v>
      </c>
      <c r="BA34" s="0" t="s">
        <v>307</v>
      </c>
      <c r="BB34" s="0" t="n">
        <v>2</v>
      </c>
      <c r="BE34" s="2" t="n">
        <v>42944</v>
      </c>
    </row>
    <row r="35" customFormat="false" ht="14.25" hidden="false" customHeight="false" outlineLevel="0" collapsed="false">
      <c r="A35" s="0" t="n">
        <v>34</v>
      </c>
      <c r="B35" s="1" t="s">
        <v>308</v>
      </c>
      <c r="C35" s="0" t="n">
        <v>363</v>
      </c>
      <c r="D35" s="0" t="n">
        <v>450</v>
      </c>
      <c r="E35" s="0" t="s">
        <v>309</v>
      </c>
      <c r="F35" s="0" t="n">
        <v>322</v>
      </c>
      <c r="G35" s="0" t="n">
        <v>862</v>
      </c>
      <c r="H35" s="0" t="s">
        <v>310</v>
      </c>
      <c r="I35" s="0" t="n">
        <v>152</v>
      </c>
      <c r="J35" s="0" t="n">
        <v>173</v>
      </c>
      <c r="K35" s="0" t="s">
        <v>311</v>
      </c>
      <c r="L35" s="0" t="n">
        <v>36</v>
      </c>
      <c r="M35" s="0" t="n">
        <v>349</v>
      </c>
      <c r="N35" s="0" t="s">
        <v>130</v>
      </c>
      <c r="AD35" s="0" t="n">
        <v>525</v>
      </c>
      <c r="AE35" s="0" t="n">
        <v>647</v>
      </c>
      <c r="AF35" s="0" t="s">
        <v>312</v>
      </c>
      <c r="AG35" s="0" t="n">
        <v>82</v>
      </c>
      <c r="AH35" s="0" t="n">
        <v>459</v>
      </c>
      <c r="AI35" s="0" t="s">
        <v>313</v>
      </c>
      <c r="AJ35" s="0" t="n">
        <v>10</v>
      </c>
      <c r="AM35" s="0" t="n">
        <v>198</v>
      </c>
      <c r="AN35" s="0" t="n">
        <v>310</v>
      </c>
      <c r="AO35" s="0" t="s">
        <v>314</v>
      </c>
      <c r="AP35" s="0" t="n">
        <v>212</v>
      </c>
      <c r="AQ35" s="0" t="n">
        <v>301</v>
      </c>
      <c r="AR35" s="0" t="s">
        <v>299</v>
      </c>
      <c r="AS35" s="0" t="n">
        <v>1</v>
      </c>
      <c r="AV35" s="0" t="n">
        <v>198</v>
      </c>
      <c r="AW35" s="0" t="n">
        <v>310</v>
      </c>
      <c r="AX35" s="0" t="s">
        <v>314</v>
      </c>
      <c r="AY35" s="0" t="n">
        <v>212</v>
      </c>
      <c r="AZ35" s="0" t="n">
        <v>301</v>
      </c>
      <c r="BA35" s="0" t="s">
        <v>299</v>
      </c>
      <c r="BB35" s="0" t="n">
        <v>1</v>
      </c>
      <c r="BE35" s="2" t="n">
        <v>42947</v>
      </c>
    </row>
    <row r="36" customFormat="false" ht="14.25" hidden="false" customHeight="false" outlineLevel="0" collapsed="false">
      <c r="A36" s="0" t="n">
        <v>35</v>
      </c>
      <c r="B36" s="1" t="s">
        <v>315</v>
      </c>
      <c r="C36" s="0" t="n">
        <v>387</v>
      </c>
      <c r="D36" s="0" t="n">
        <v>457</v>
      </c>
      <c r="E36" s="0" t="s">
        <v>316</v>
      </c>
      <c r="F36" s="0" t="n">
        <v>367</v>
      </c>
      <c r="G36" s="0" t="n">
        <v>445</v>
      </c>
      <c r="H36" s="0" t="s">
        <v>317</v>
      </c>
      <c r="I36" s="0" t="n">
        <v>166</v>
      </c>
      <c r="J36" s="0" t="n">
        <v>174</v>
      </c>
      <c r="K36" s="0" t="s">
        <v>188</v>
      </c>
      <c r="L36" s="0" t="n">
        <v>36</v>
      </c>
      <c r="M36" s="0" t="n">
        <v>360</v>
      </c>
      <c r="N36" s="0" t="s">
        <v>169</v>
      </c>
      <c r="AD36" s="0" t="n">
        <v>552</v>
      </c>
      <c r="AE36" s="0" t="n">
        <v>646</v>
      </c>
      <c r="AF36" s="0" t="s">
        <v>318</v>
      </c>
      <c r="AG36" s="0" t="n">
        <v>98</v>
      </c>
      <c r="AH36" s="0" t="n">
        <v>460</v>
      </c>
      <c r="AI36" s="0" t="s">
        <v>194</v>
      </c>
      <c r="AJ36" s="0" t="n">
        <v>7</v>
      </c>
      <c r="AM36" s="0" t="n">
        <v>243</v>
      </c>
      <c r="AN36" s="0" t="n">
        <v>309</v>
      </c>
      <c r="AO36" s="0" t="s">
        <v>256</v>
      </c>
      <c r="AP36" s="0" t="n">
        <v>230</v>
      </c>
      <c r="AQ36" s="0" t="n">
        <v>301</v>
      </c>
      <c r="AR36" s="0" t="s">
        <v>290</v>
      </c>
      <c r="AV36" s="0" t="n">
        <v>243</v>
      </c>
      <c r="AW36" s="0" t="n">
        <v>309</v>
      </c>
      <c r="AX36" s="0" t="s">
        <v>256</v>
      </c>
      <c r="AY36" s="0" t="n">
        <v>230</v>
      </c>
      <c r="AZ36" s="0" t="n">
        <v>301</v>
      </c>
      <c r="BA36" s="0" t="s">
        <v>290</v>
      </c>
      <c r="BE36" s="2" t="n">
        <v>42948</v>
      </c>
    </row>
    <row r="37" customFormat="false" ht="14.25" hidden="false" customHeight="false" outlineLevel="0" collapsed="false">
      <c r="A37" s="0" t="n">
        <v>36</v>
      </c>
      <c r="B37" s="1" t="s">
        <v>319</v>
      </c>
      <c r="C37" s="0" t="n">
        <v>392</v>
      </c>
      <c r="D37" s="0" t="n">
        <v>484</v>
      </c>
      <c r="E37" s="0" t="s">
        <v>320</v>
      </c>
      <c r="F37" s="0" t="n">
        <v>366</v>
      </c>
      <c r="G37" s="0" t="n">
        <v>470</v>
      </c>
      <c r="H37" s="0" t="s">
        <v>241</v>
      </c>
      <c r="I37" s="0" t="n">
        <v>171</v>
      </c>
      <c r="J37" s="0" t="n">
        <v>173</v>
      </c>
      <c r="K37" s="0" t="s">
        <v>153</v>
      </c>
      <c r="L37" s="0" t="n">
        <v>37</v>
      </c>
      <c r="M37" s="0" t="n">
        <v>359</v>
      </c>
      <c r="N37" s="0" t="s">
        <v>130</v>
      </c>
      <c r="AD37" s="0" t="n">
        <v>566</v>
      </c>
      <c r="AE37" s="0" t="n">
        <v>647</v>
      </c>
      <c r="AF37" s="0" t="s">
        <v>321</v>
      </c>
      <c r="AG37" s="0" t="n">
        <v>107</v>
      </c>
      <c r="AH37" s="0" t="n">
        <v>460</v>
      </c>
      <c r="AI37" s="0" t="s">
        <v>322</v>
      </c>
      <c r="AM37" s="0" t="n">
        <v>220</v>
      </c>
      <c r="AN37" s="0" t="n">
        <v>309</v>
      </c>
      <c r="AO37" s="0" t="s">
        <v>171</v>
      </c>
      <c r="AP37" s="0" t="n">
        <v>232</v>
      </c>
      <c r="AQ37" s="0" t="n">
        <v>302</v>
      </c>
      <c r="AR37" s="0" t="s">
        <v>323</v>
      </c>
      <c r="AS37" s="0" t="n">
        <v>1</v>
      </c>
      <c r="AV37" s="0" t="n">
        <v>220</v>
      </c>
      <c r="AW37" s="0" t="n">
        <v>309</v>
      </c>
      <c r="AX37" s="0" t="s">
        <v>171</v>
      </c>
      <c r="AY37" s="0" t="n">
        <v>232</v>
      </c>
      <c r="AZ37" s="0" t="n">
        <v>302</v>
      </c>
      <c r="BA37" s="0" t="s">
        <v>323</v>
      </c>
      <c r="BB37" s="0" t="n">
        <v>1</v>
      </c>
      <c r="BE37" s="2" t="n">
        <v>42949</v>
      </c>
    </row>
    <row r="38" customFormat="false" ht="14.25" hidden="false" customHeight="false" outlineLevel="0" collapsed="false">
      <c r="A38" s="0" t="n">
        <v>37</v>
      </c>
      <c r="B38" s="1" t="s">
        <v>324</v>
      </c>
      <c r="C38" s="0" t="n">
        <v>379</v>
      </c>
      <c r="D38" s="0" t="n">
        <v>483</v>
      </c>
      <c r="E38" s="0" t="s">
        <v>325</v>
      </c>
      <c r="F38" s="0" t="n">
        <v>278</v>
      </c>
      <c r="G38" s="0" t="n">
        <v>469</v>
      </c>
      <c r="H38" s="0" t="s">
        <v>326</v>
      </c>
      <c r="I38" s="0" t="n">
        <v>171</v>
      </c>
      <c r="J38" s="0" t="n">
        <v>173</v>
      </c>
      <c r="K38" s="0" t="s">
        <v>153</v>
      </c>
      <c r="L38" s="0" t="n">
        <v>36</v>
      </c>
      <c r="M38" s="0" t="n">
        <v>340</v>
      </c>
      <c r="N38" s="0" t="s">
        <v>152</v>
      </c>
      <c r="AD38" s="0" t="n">
        <v>455</v>
      </c>
      <c r="AE38" s="0" t="n">
        <v>647</v>
      </c>
      <c r="AF38" s="0" t="s">
        <v>327</v>
      </c>
      <c r="AG38" s="0" t="n">
        <v>106</v>
      </c>
      <c r="AH38" s="0" t="n">
        <v>460</v>
      </c>
      <c r="AI38" s="0" t="s">
        <v>285</v>
      </c>
      <c r="AJ38" s="0" t="n">
        <v>8</v>
      </c>
      <c r="AM38" s="0" t="n">
        <v>245</v>
      </c>
      <c r="AN38" s="0" t="n">
        <v>310</v>
      </c>
      <c r="AO38" s="0" t="s">
        <v>328</v>
      </c>
      <c r="AP38" s="0" t="n">
        <v>231</v>
      </c>
      <c r="AQ38" s="0" t="n">
        <v>302</v>
      </c>
      <c r="AR38" s="0" t="s">
        <v>205</v>
      </c>
      <c r="AV38" s="0" t="n">
        <v>245</v>
      </c>
      <c r="AW38" s="0" t="n">
        <v>310</v>
      </c>
      <c r="AX38" s="0" t="s">
        <v>328</v>
      </c>
      <c r="AY38" s="0" t="n">
        <v>231</v>
      </c>
      <c r="AZ38" s="0" t="n">
        <v>302</v>
      </c>
      <c r="BA38" s="0" t="s">
        <v>205</v>
      </c>
      <c r="BE38" s="2" t="n">
        <v>42950</v>
      </c>
    </row>
    <row r="39" customFormat="false" ht="14.25" hidden="false" customHeight="false" outlineLevel="0" collapsed="false">
      <c r="A39" s="0" t="n">
        <v>38</v>
      </c>
      <c r="B39" s="1" t="s">
        <v>329</v>
      </c>
      <c r="C39" s="0" t="n">
        <v>339</v>
      </c>
      <c r="D39" s="0" t="n">
        <v>484</v>
      </c>
      <c r="E39" s="0" t="s">
        <v>330</v>
      </c>
      <c r="F39" s="0" t="n">
        <v>314</v>
      </c>
      <c r="G39" s="0" t="n">
        <v>469</v>
      </c>
      <c r="H39" s="0" t="s">
        <v>331</v>
      </c>
      <c r="I39" s="0" t="n">
        <v>14</v>
      </c>
      <c r="L39" s="0" t="n">
        <v>36</v>
      </c>
      <c r="M39" s="0" t="n">
        <v>360</v>
      </c>
      <c r="N39" s="0" t="s">
        <v>169</v>
      </c>
      <c r="AD39" s="0" t="n">
        <v>612</v>
      </c>
      <c r="AE39" s="0" t="n">
        <v>647</v>
      </c>
      <c r="AF39" s="0" t="s">
        <v>332</v>
      </c>
      <c r="AM39" s="0" t="n">
        <v>239</v>
      </c>
      <c r="AN39" s="0" t="n">
        <v>309</v>
      </c>
      <c r="AO39" s="0" t="s">
        <v>155</v>
      </c>
      <c r="AP39" s="0" t="n">
        <v>208</v>
      </c>
      <c r="AQ39" s="0" t="n">
        <v>302</v>
      </c>
      <c r="AR39" s="0" t="s">
        <v>333</v>
      </c>
      <c r="AS39" s="0" t="n">
        <v>1</v>
      </c>
      <c r="AV39" s="0" t="n">
        <v>239</v>
      </c>
      <c r="AW39" s="0" t="n">
        <v>309</v>
      </c>
      <c r="AX39" s="0" t="s">
        <v>155</v>
      </c>
      <c r="AY39" s="0" t="n">
        <v>208</v>
      </c>
      <c r="AZ39" s="0" t="n">
        <v>302</v>
      </c>
      <c r="BA39" s="0" t="s">
        <v>333</v>
      </c>
      <c r="BB39" s="0" t="n">
        <v>1</v>
      </c>
      <c r="BE39" s="2" t="n">
        <v>42951</v>
      </c>
    </row>
    <row r="40" customFormat="false" ht="14.25" hidden="false" customHeight="false" outlineLevel="0" collapsed="false">
      <c r="A40" s="0" t="n">
        <v>39</v>
      </c>
      <c r="B40" s="1" t="s">
        <v>334</v>
      </c>
      <c r="C40" s="0" t="n">
        <v>284</v>
      </c>
      <c r="D40" s="0" t="n">
        <v>308</v>
      </c>
      <c r="E40" s="0" t="s">
        <v>335</v>
      </c>
      <c r="F40" s="0" t="n">
        <v>285</v>
      </c>
      <c r="G40" s="0" t="n">
        <v>309</v>
      </c>
      <c r="H40" s="0" t="s">
        <v>335</v>
      </c>
      <c r="AD40" s="0" t="n">
        <v>281</v>
      </c>
      <c r="AG40" s="0" t="n">
        <v>76</v>
      </c>
      <c r="AM40" s="0" t="n">
        <v>166</v>
      </c>
      <c r="AN40" s="0" t="n">
        <v>228</v>
      </c>
      <c r="AO40" s="0" t="s">
        <v>336</v>
      </c>
      <c r="AP40" s="0" t="n">
        <v>91</v>
      </c>
      <c r="AQ40" s="0" t="n">
        <v>232</v>
      </c>
      <c r="AR40" s="0" t="s">
        <v>337</v>
      </c>
      <c r="AV40" s="0" t="n">
        <v>166</v>
      </c>
      <c r="AW40" s="0" t="n">
        <v>228</v>
      </c>
      <c r="AX40" s="0" t="s">
        <v>336</v>
      </c>
      <c r="AY40" s="0" t="n">
        <v>91</v>
      </c>
      <c r="AZ40" s="0" t="n">
        <v>232</v>
      </c>
      <c r="BA40" s="0" t="s">
        <v>337</v>
      </c>
      <c r="BE40" s="2" t="n">
        <v>42952</v>
      </c>
    </row>
    <row r="41" customFormat="false" ht="14.25" hidden="false" customHeight="false" outlineLevel="0" collapsed="false">
      <c r="A41" s="0" t="n">
        <v>40</v>
      </c>
      <c r="B41" s="1" t="s">
        <v>338</v>
      </c>
      <c r="C41" s="0" t="n">
        <v>395</v>
      </c>
      <c r="D41" s="0" t="n">
        <v>451</v>
      </c>
      <c r="E41" s="0" t="s">
        <v>339</v>
      </c>
      <c r="F41" s="0" t="n">
        <v>318</v>
      </c>
      <c r="G41" s="0" t="n">
        <v>438</v>
      </c>
      <c r="H41" s="0" t="s">
        <v>183</v>
      </c>
      <c r="I41" s="0" t="n">
        <v>149</v>
      </c>
      <c r="J41" s="0" t="n">
        <v>174</v>
      </c>
      <c r="K41" s="0" t="s">
        <v>217</v>
      </c>
      <c r="L41" s="0" t="n">
        <v>37</v>
      </c>
      <c r="M41" s="0" t="n">
        <v>359</v>
      </c>
      <c r="N41" s="0" t="s">
        <v>130</v>
      </c>
      <c r="AD41" s="0" t="n">
        <v>373</v>
      </c>
      <c r="AE41" s="0" t="n">
        <v>647</v>
      </c>
      <c r="AF41" s="0" t="s">
        <v>340</v>
      </c>
      <c r="AG41" s="0" t="n">
        <v>139</v>
      </c>
      <c r="AH41" s="0" t="n">
        <v>459</v>
      </c>
      <c r="AI41" s="0" t="s">
        <v>341</v>
      </c>
      <c r="AJ41" s="0" t="n">
        <v>8</v>
      </c>
      <c r="AM41" s="0" t="n">
        <v>228</v>
      </c>
      <c r="AN41" s="0" t="n">
        <v>309</v>
      </c>
      <c r="AO41" s="0" t="s">
        <v>259</v>
      </c>
      <c r="AP41" s="0" t="n">
        <v>181</v>
      </c>
      <c r="AQ41" s="0" t="n">
        <v>302</v>
      </c>
      <c r="AR41" s="0" t="s">
        <v>342</v>
      </c>
      <c r="AS41" s="0" t="n">
        <v>64</v>
      </c>
      <c r="AV41" s="0" t="n">
        <v>228</v>
      </c>
      <c r="AW41" s="0" t="n">
        <v>309</v>
      </c>
      <c r="AX41" s="0" t="s">
        <v>259</v>
      </c>
      <c r="AY41" s="0" t="n">
        <v>181</v>
      </c>
      <c r="AZ41" s="0" t="n">
        <v>302</v>
      </c>
      <c r="BA41" s="0" t="s">
        <v>342</v>
      </c>
      <c r="BB41" s="0" t="n">
        <v>64</v>
      </c>
      <c r="BE41" s="2" t="n">
        <v>42954</v>
      </c>
    </row>
    <row r="42" customFormat="false" ht="14.25" hidden="false" customHeight="false" outlineLevel="0" collapsed="false">
      <c r="A42" s="0" t="n">
        <v>41</v>
      </c>
      <c r="B42" s="1" t="s">
        <v>343</v>
      </c>
      <c r="C42" s="0" t="n">
        <v>369</v>
      </c>
      <c r="D42" s="0" t="n">
        <v>457</v>
      </c>
      <c r="E42" s="0" t="s">
        <v>309</v>
      </c>
      <c r="F42" s="0" t="n">
        <v>349</v>
      </c>
      <c r="G42" s="0" t="n">
        <v>444</v>
      </c>
      <c r="H42" s="0" t="s">
        <v>256</v>
      </c>
      <c r="I42" s="0" t="n">
        <v>157</v>
      </c>
      <c r="J42" s="0" t="n">
        <v>175</v>
      </c>
      <c r="K42" s="0" t="s">
        <v>123</v>
      </c>
      <c r="L42" s="0" t="n">
        <v>36</v>
      </c>
      <c r="M42" s="0" t="n">
        <v>349</v>
      </c>
      <c r="N42" s="0" t="s">
        <v>130</v>
      </c>
      <c r="AD42" s="0" t="n">
        <v>626</v>
      </c>
      <c r="AE42" s="0" t="n">
        <v>647</v>
      </c>
      <c r="AF42" s="0" t="s">
        <v>112</v>
      </c>
      <c r="AG42" s="0" t="n">
        <v>115</v>
      </c>
      <c r="AH42" s="0" t="n">
        <v>460</v>
      </c>
      <c r="AI42" s="0" t="s">
        <v>344</v>
      </c>
      <c r="AM42" s="0" t="n">
        <v>235</v>
      </c>
      <c r="AN42" s="0" t="n">
        <v>309</v>
      </c>
      <c r="AO42" s="0" t="s">
        <v>277</v>
      </c>
      <c r="AP42" s="0" t="n">
        <v>190</v>
      </c>
      <c r="AQ42" s="0" t="n">
        <v>302</v>
      </c>
      <c r="AR42" s="0" t="s">
        <v>172</v>
      </c>
      <c r="AS42" s="0" t="n">
        <v>56</v>
      </c>
      <c r="AV42" s="0" t="n">
        <v>235</v>
      </c>
      <c r="AW42" s="0" t="n">
        <v>309</v>
      </c>
      <c r="AX42" s="0" t="s">
        <v>277</v>
      </c>
      <c r="AY42" s="0" t="n">
        <v>190</v>
      </c>
      <c r="AZ42" s="0" t="n">
        <v>302</v>
      </c>
      <c r="BA42" s="0" t="s">
        <v>172</v>
      </c>
      <c r="BB42" s="0" t="n">
        <v>56</v>
      </c>
      <c r="BE42" s="2" t="n">
        <v>42955</v>
      </c>
    </row>
    <row r="43" customFormat="false" ht="14.25" hidden="false" customHeight="false" outlineLevel="0" collapsed="false">
      <c r="A43" s="0" t="n">
        <v>42</v>
      </c>
      <c r="B43" s="1" t="s">
        <v>345</v>
      </c>
      <c r="C43" s="0" t="n">
        <v>426</v>
      </c>
      <c r="D43" s="0" t="n">
        <v>483</v>
      </c>
      <c r="E43" s="0" t="s">
        <v>216</v>
      </c>
      <c r="F43" s="0" t="n">
        <v>374</v>
      </c>
      <c r="G43" s="0" t="n">
        <v>470173</v>
      </c>
      <c r="H43" s="0" t="s">
        <v>346</v>
      </c>
      <c r="I43" s="0" t="n">
        <v>169</v>
      </c>
      <c r="L43" s="0" t="n">
        <v>36</v>
      </c>
      <c r="M43" s="0" t="n">
        <v>360</v>
      </c>
      <c r="N43" s="0" t="s">
        <v>169</v>
      </c>
      <c r="AD43" s="0" t="n">
        <v>543</v>
      </c>
      <c r="AE43" s="0" t="n">
        <v>646</v>
      </c>
      <c r="AF43" s="0" t="s">
        <v>347</v>
      </c>
      <c r="AG43" s="0" t="n">
        <v>128</v>
      </c>
      <c r="AH43" s="0" t="n">
        <v>459</v>
      </c>
      <c r="AI43" s="0" t="s">
        <v>348</v>
      </c>
      <c r="AM43" s="0" t="n">
        <v>225</v>
      </c>
      <c r="AN43" s="0" t="n">
        <v>297</v>
      </c>
      <c r="AO43" s="0" t="s">
        <v>349</v>
      </c>
      <c r="AP43" s="0" t="n">
        <v>196</v>
      </c>
      <c r="AQ43" s="0" t="n">
        <v>302</v>
      </c>
      <c r="AR43" s="0" t="s">
        <v>350</v>
      </c>
      <c r="AS43" s="0" t="n">
        <v>61</v>
      </c>
      <c r="AV43" s="0" t="n">
        <v>225</v>
      </c>
      <c r="AW43" s="0" t="n">
        <v>297</v>
      </c>
      <c r="AX43" s="0" t="s">
        <v>349</v>
      </c>
      <c r="AY43" s="0" t="n">
        <v>196</v>
      </c>
      <c r="AZ43" s="0" t="n">
        <v>302</v>
      </c>
      <c r="BA43" s="0" t="s">
        <v>350</v>
      </c>
      <c r="BB43" s="0" t="n">
        <v>61</v>
      </c>
      <c r="BE43" s="2" t="n">
        <v>42956</v>
      </c>
    </row>
    <row r="44" customFormat="false" ht="14.25" hidden="false" customHeight="false" outlineLevel="0" collapsed="false">
      <c r="A44" s="0" t="n">
        <v>43</v>
      </c>
      <c r="B44" s="1" t="s">
        <v>351</v>
      </c>
      <c r="C44" s="0" t="n">
        <v>393</v>
      </c>
      <c r="D44" s="0" t="n">
        <v>483</v>
      </c>
      <c r="E44" s="0" t="s">
        <v>352</v>
      </c>
      <c r="F44" s="0" t="n">
        <v>359</v>
      </c>
      <c r="G44" s="0" t="n">
        <v>470</v>
      </c>
      <c r="H44" s="0" t="s">
        <v>290</v>
      </c>
      <c r="I44" s="0" t="n">
        <v>172</v>
      </c>
      <c r="J44" s="0" t="n">
        <v>174</v>
      </c>
      <c r="K44" s="0" t="s">
        <v>143</v>
      </c>
      <c r="L44" s="0" t="n">
        <v>37</v>
      </c>
      <c r="M44" s="0" t="n">
        <v>340</v>
      </c>
      <c r="N44" s="0" t="s">
        <v>353</v>
      </c>
      <c r="AM44" s="0" t="n">
        <v>257</v>
      </c>
      <c r="AN44" s="0" t="n">
        <v>310</v>
      </c>
      <c r="AO44" s="0" t="s">
        <v>354</v>
      </c>
      <c r="AP44" s="0" t="n">
        <v>204</v>
      </c>
      <c r="AQ44" s="0" t="n">
        <v>301</v>
      </c>
      <c r="AR44" s="0" t="s">
        <v>196</v>
      </c>
      <c r="AS44" s="0" t="n">
        <v>59</v>
      </c>
      <c r="AV44" s="0" t="n">
        <v>257</v>
      </c>
      <c r="AW44" s="0" t="n">
        <v>310</v>
      </c>
      <c r="AX44" s="0" t="s">
        <v>354</v>
      </c>
      <c r="AY44" s="0" t="n">
        <v>204</v>
      </c>
      <c r="AZ44" s="0" t="n">
        <v>301</v>
      </c>
      <c r="BA44" s="0" t="s">
        <v>196</v>
      </c>
      <c r="BB44" s="0" t="n">
        <v>59</v>
      </c>
      <c r="BE44" s="2" t="n">
        <v>42957</v>
      </c>
    </row>
    <row r="45" customFormat="false" ht="14.25" hidden="false" customHeight="false" outlineLevel="0" collapsed="false">
      <c r="A45" s="0" t="n">
        <v>44</v>
      </c>
      <c r="B45" s="1" t="s">
        <v>355</v>
      </c>
      <c r="C45" s="0" t="n">
        <v>359</v>
      </c>
      <c r="D45" s="0" t="n">
        <v>484</v>
      </c>
      <c r="E45" s="0" t="s">
        <v>298</v>
      </c>
      <c r="F45" s="0" t="n">
        <v>381</v>
      </c>
      <c r="G45" s="0" t="n">
        <v>470</v>
      </c>
      <c r="H45" s="0" t="s">
        <v>312</v>
      </c>
      <c r="I45" s="0" t="n">
        <v>31</v>
      </c>
      <c r="J45" s="0" t="n">
        <v>205</v>
      </c>
      <c r="K45" s="0" t="s">
        <v>356</v>
      </c>
      <c r="L45" s="0" t="n">
        <v>37</v>
      </c>
      <c r="M45" s="0" t="n">
        <v>359</v>
      </c>
      <c r="N45" s="0" t="s">
        <v>130</v>
      </c>
      <c r="AD45" s="0" t="n">
        <v>481</v>
      </c>
      <c r="AG45" s="0" t="n">
        <v>129</v>
      </c>
      <c r="AM45" s="0" t="n">
        <v>304</v>
      </c>
      <c r="AP45" s="0" t="n">
        <v>484</v>
      </c>
      <c r="AV45" s="0" t="n">
        <v>304</v>
      </c>
      <c r="AY45" s="0" t="n">
        <v>484</v>
      </c>
      <c r="BE45" s="2" t="n">
        <v>42958</v>
      </c>
    </row>
    <row r="46" customFormat="false" ht="14.25" hidden="false" customHeight="false" outlineLevel="0" collapsed="false">
      <c r="A46" s="0" t="n">
        <v>45</v>
      </c>
      <c r="B46" s="1" t="s">
        <v>357</v>
      </c>
      <c r="C46" s="0" t="n">
        <v>343</v>
      </c>
      <c r="D46" s="0" t="n">
        <v>513</v>
      </c>
      <c r="E46" s="0" t="s">
        <v>358</v>
      </c>
      <c r="F46" s="0" t="n">
        <v>320</v>
      </c>
      <c r="G46" s="0" t="n">
        <v>461</v>
      </c>
      <c r="H46" s="0" t="s">
        <v>253</v>
      </c>
      <c r="I46" s="0" t="n">
        <v>169</v>
      </c>
      <c r="J46" s="0" t="n">
        <v>173</v>
      </c>
      <c r="K46" s="0" t="s">
        <v>138</v>
      </c>
      <c r="L46" s="0" t="n">
        <v>37</v>
      </c>
      <c r="M46" s="0" t="n">
        <v>359</v>
      </c>
      <c r="N46" s="0" t="s">
        <v>130</v>
      </c>
      <c r="AD46" s="0" t="n">
        <v>592</v>
      </c>
      <c r="AE46" s="0" t="n">
        <v>646</v>
      </c>
      <c r="AF46" s="0" t="s">
        <v>292</v>
      </c>
      <c r="AG46" s="0" t="n">
        <v>135</v>
      </c>
      <c r="AH46" s="0" t="n">
        <v>459</v>
      </c>
      <c r="AI46" s="0" t="s">
        <v>359</v>
      </c>
      <c r="AM46" s="0" t="n">
        <v>211</v>
      </c>
      <c r="AN46" s="0" t="n">
        <v>310</v>
      </c>
      <c r="AO46" s="0" t="s">
        <v>360</v>
      </c>
      <c r="AP46" s="0" t="n">
        <v>203</v>
      </c>
      <c r="AQ46" s="0" t="n">
        <v>301</v>
      </c>
      <c r="AR46" s="0" t="s">
        <v>156</v>
      </c>
      <c r="AS46" s="0" t="n">
        <v>52</v>
      </c>
      <c r="AV46" s="0" t="n">
        <v>211</v>
      </c>
      <c r="AW46" s="0" t="n">
        <v>310</v>
      </c>
      <c r="AX46" s="0" t="s">
        <v>360</v>
      </c>
      <c r="AY46" s="0" t="n">
        <v>203</v>
      </c>
      <c r="AZ46" s="0" t="n">
        <v>301</v>
      </c>
      <c r="BA46" s="0" t="s">
        <v>156</v>
      </c>
      <c r="BB46" s="0" t="n">
        <v>52</v>
      </c>
      <c r="BE46" s="2" t="n">
        <v>42962</v>
      </c>
    </row>
    <row r="47" customFormat="false" ht="14.25" hidden="false" customHeight="false" outlineLevel="0" collapsed="false">
      <c r="A47" s="0" t="n">
        <v>46</v>
      </c>
      <c r="B47" s="1" t="s">
        <v>361</v>
      </c>
      <c r="C47" s="0" t="n">
        <v>366</v>
      </c>
      <c r="D47" s="0" t="n">
        <v>503</v>
      </c>
      <c r="E47" s="0" t="s">
        <v>336</v>
      </c>
      <c r="F47" s="0" t="n">
        <v>296</v>
      </c>
      <c r="G47" s="0" t="n">
        <v>469</v>
      </c>
      <c r="H47" s="0" t="s">
        <v>362</v>
      </c>
      <c r="I47" s="0" t="n">
        <v>171</v>
      </c>
      <c r="J47" s="0" t="n">
        <v>173</v>
      </c>
      <c r="K47" s="0" t="s">
        <v>153</v>
      </c>
      <c r="L47" s="0" t="n">
        <v>36</v>
      </c>
      <c r="M47" s="0" t="n">
        <v>360</v>
      </c>
      <c r="N47" s="0" t="s">
        <v>169</v>
      </c>
      <c r="AD47" s="0" t="n">
        <v>593</v>
      </c>
      <c r="AE47" s="0" t="n">
        <v>647</v>
      </c>
      <c r="AF47" s="0" t="s">
        <v>363</v>
      </c>
      <c r="AG47" s="0" t="n">
        <v>138</v>
      </c>
      <c r="AH47" s="0" t="n">
        <v>460</v>
      </c>
      <c r="AI47" s="0" t="s">
        <v>364</v>
      </c>
      <c r="AM47" s="0" t="n">
        <v>263</v>
      </c>
      <c r="AN47" s="0" t="n">
        <v>309</v>
      </c>
      <c r="AO47" s="0" t="s">
        <v>365</v>
      </c>
      <c r="AP47" s="0" t="n">
        <v>213</v>
      </c>
      <c r="AQ47" s="0" t="n">
        <v>301</v>
      </c>
      <c r="AR47" s="0" t="s">
        <v>366</v>
      </c>
      <c r="AS47" s="0" t="n">
        <v>64</v>
      </c>
      <c r="AV47" s="0" t="n">
        <v>263</v>
      </c>
      <c r="AW47" s="0" t="n">
        <v>309</v>
      </c>
      <c r="AX47" s="0" t="s">
        <v>365</v>
      </c>
      <c r="AY47" s="0" t="n">
        <v>213</v>
      </c>
      <c r="AZ47" s="0" t="n">
        <v>301</v>
      </c>
      <c r="BA47" s="0" t="s">
        <v>366</v>
      </c>
      <c r="BB47" s="0" t="n">
        <v>64</v>
      </c>
      <c r="BE47" s="2" t="n">
        <v>42961</v>
      </c>
    </row>
    <row r="48" customFormat="false" ht="14.25" hidden="false" customHeight="false" outlineLevel="0" collapsed="false">
      <c r="A48" s="0" t="n">
        <v>47</v>
      </c>
      <c r="B48" s="1" t="s">
        <v>367</v>
      </c>
      <c r="C48" s="0" t="n">
        <v>367</v>
      </c>
      <c r="D48" s="0" t="n">
        <v>483</v>
      </c>
      <c r="E48" s="0" t="s">
        <v>368</v>
      </c>
      <c r="F48" s="0" t="n">
        <v>397</v>
      </c>
      <c r="G48" s="0" t="n">
        <v>469</v>
      </c>
      <c r="H48" s="0" t="s">
        <v>369</v>
      </c>
      <c r="I48" s="0" t="n">
        <v>174</v>
      </c>
      <c r="J48" s="0" t="n">
        <v>1740</v>
      </c>
      <c r="K48" s="0" t="s">
        <v>169</v>
      </c>
      <c r="L48" s="0" t="n">
        <v>35</v>
      </c>
      <c r="M48" s="0" t="n">
        <v>36</v>
      </c>
      <c r="N48" s="0" t="s">
        <v>128</v>
      </c>
      <c r="AD48" s="0" t="n">
        <v>631</v>
      </c>
      <c r="AE48" s="0" t="n">
        <v>647</v>
      </c>
      <c r="AF48" s="0" t="s">
        <v>370</v>
      </c>
      <c r="AG48" s="0" t="n">
        <v>126</v>
      </c>
      <c r="AH48" s="0" t="n">
        <v>187</v>
      </c>
      <c r="AI48" s="0" t="s">
        <v>156</v>
      </c>
      <c r="AM48" s="0" t="n">
        <v>248</v>
      </c>
      <c r="AN48" s="0" t="n">
        <v>310</v>
      </c>
      <c r="AO48" s="0" t="s">
        <v>230</v>
      </c>
      <c r="AP48" s="0" t="n">
        <v>203</v>
      </c>
      <c r="AQ48" s="0" t="n">
        <v>302</v>
      </c>
      <c r="AR48" s="0" t="s">
        <v>371</v>
      </c>
      <c r="AS48" s="0" t="n">
        <v>47</v>
      </c>
      <c r="AV48" s="0" t="n">
        <v>248</v>
      </c>
      <c r="AW48" s="0" t="n">
        <v>310</v>
      </c>
      <c r="AX48" s="0" t="s">
        <v>230</v>
      </c>
      <c r="AY48" s="0" t="n">
        <v>203</v>
      </c>
      <c r="AZ48" s="0" t="n">
        <v>302</v>
      </c>
      <c r="BA48" s="0" t="s">
        <v>371</v>
      </c>
      <c r="BB48" s="0" t="n">
        <v>47</v>
      </c>
      <c r="BE48" s="2" t="n">
        <v>42963</v>
      </c>
    </row>
    <row r="49" customFormat="false" ht="14.25" hidden="false" customHeight="false" outlineLevel="0" collapsed="false">
      <c r="A49" s="0" t="n">
        <v>48</v>
      </c>
      <c r="B49" s="1" t="s">
        <v>372</v>
      </c>
      <c r="C49" s="0" t="n">
        <v>429</v>
      </c>
      <c r="D49" s="0" t="n">
        <v>483</v>
      </c>
      <c r="E49" s="0" t="s">
        <v>166</v>
      </c>
      <c r="F49" s="0" t="n">
        <v>480</v>
      </c>
      <c r="G49" s="0" t="n">
        <v>595</v>
      </c>
      <c r="H49" s="0" t="s">
        <v>309</v>
      </c>
      <c r="I49" s="0" t="n">
        <v>36</v>
      </c>
      <c r="J49" s="0" t="n">
        <v>205</v>
      </c>
      <c r="K49" s="0" t="s">
        <v>212</v>
      </c>
      <c r="L49" s="0" t="n">
        <v>36</v>
      </c>
      <c r="M49" s="0" t="n">
        <v>360</v>
      </c>
      <c r="N49" s="0" t="s">
        <v>169</v>
      </c>
      <c r="AD49" s="0" t="n">
        <v>629</v>
      </c>
      <c r="AE49" s="0" t="n">
        <v>647</v>
      </c>
      <c r="AF49" s="0" t="s">
        <v>128</v>
      </c>
      <c r="AG49" s="0" t="n">
        <v>130</v>
      </c>
      <c r="AH49" s="0" t="n">
        <v>144</v>
      </c>
      <c r="AI49" s="0" t="s">
        <v>373</v>
      </c>
      <c r="AM49" s="0" t="n">
        <v>191</v>
      </c>
      <c r="AN49" s="0" t="n">
        <v>310</v>
      </c>
      <c r="AO49" s="0" t="s">
        <v>374</v>
      </c>
      <c r="AP49" s="0" t="n">
        <v>179</v>
      </c>
      <c r="AQ49" s="0" t="n">
        <v>301</v>
      </c>
      <c r="AR49" s="0" t="s">
        <v>375</v>
      </c>
      <c r="AS49" s="0" t="n">
        <v>65</v>
      </c>
      <c r="AV49" s="0" t="n">
        <v>191</v>
      </c>
      <c r="AW49" s="0" t="n">
        <v>310</v>
      </c>
      <c r="AX49" s="0" t="s">
        <v>374</v>
      </c>
      <c r="AY49" s="0" t="n">
        <v>179</v>
      </c>
      <c r="AZ49" s="0" t="n">
        <v>301</v>
      </c>
      <c r="BA49" s="0" t="s">
        <v>375</v>
      </c>
      <c r="BB49" s="0" t="n">
        <v>65</v>
      </c>
      <c r="BE49" s="2" t="n">
        <v>42965</v>
      </c>
    </row>
    <row r="50" customFormat="false" ht="14.25" hidden="false" customHeight="false" outlineLevel="0" collapsed="false">
      <c r="A50" s="0" t="n">
        <v>49</v>
      </c>
      <c r="B50" s="1" t="s">
        <v>376</v>
      </c>
      <c r="C50" s="0" t="n">
        <v>277</v>
      </c>
      <c r="D50" s="0" t="n">
        <v>309</v>
      </c>
      <c r="E50" s="0" t="s">
        <v>377</v>
      </c>
      <c r="F50" s="0" t="n">
        <v>300</v>
      </c>
      <c r="G50" s="0" t="n">
        <v>308</v>
      </c>
      <c r="H50" s="0" t="s">
        <v>139</v>
      </c>
      <c r="AG50" s="0" t="n">
        <v>53</v>
      </c>
      <c r="AH50" s="0" t="n">
        <v>90</v>
      </c>
      <c r="AI50" s="0" t="s">
        <v>378</v>
      </c>
      <c r="AM50" s="0" t="n">
        <v>144</v>
      </c>
      <c r="AN50" s="0" t="n">
        <v>229</v>
      </c>
      <c r="AO50" s="0" t="s">
        <v>172</v>
      </c>
      <c r="AP50" s="0" t="n">
        <v>73</v>
      </c>
      <c r="AQ50" s="0" t="n">
        <v>229</v>
      </c>
      <c r="AR50" s="0" t="s">
        <v>379</v>
      </c>
      <c r="AS50" s="0" t="n">
        <v>83</v>
      </c>
      <c r="AV50" s="0" t="n">
        <v>144</v>
      </c>
      <c r="AW50" s="0" t="n">
        <v>229</v>
      </c>
      <c r="AX50" s="0" t="s">
        <v>172</v>
      </c>
      <c r="AY50" s="0" t="n">
        <v>73</v>
      </c>
      <c r="AZ50" s="0" t="n">
        <v>229</v>
      </c>
      <c r="BA50" s="0" t="s">
        <v>379</v>
      </c>
      <c r="BB50" s="0" t="n">
        <v>83</v>
      </c>
      <c r="BE50" s="2" t="n">
        <v>42966</v>
      </c>
    </row>
    <row r="51" customFormat="false" ht="14.25" hidden="false" customHeight="false" outlineLevel="0" collapsed="false">
      <c r="A51" s="0" t="n">
        <v>50</v>
      </c>
      <c r="B51" s="1" t="s">
        <v>380</v>
      </c>
      <c r="C51" s="0" t="n">
        <v>415</v>
      </c>
      <c r="D51" s="0" t="n">
        <v>484</v>
      </c>
      <c r="E51" s="0" t="s">
        <v>381</v>
      </c>
      <c r="F51" s="0" t="n">
        <v>397</v>
      </c>
      <c r="G51" s="0" t="n">
        <v>469</v>
      </c>
      <c r="H51" s="0" t="s">
        <v>369</v>
      </c>
      <c r="I51" s="0" t="n">
        <v>150</v>
      </c>
      <c r="J51" s="0" t="n">
        <v>173</v>
      </c>
      <c r="K51" s="0" t="s">
        <v>382</v>
      </c>
      <c r="L51" s="0" t="n">
        <v>35</v>
      </c>
      <c r="M51" s="0" t="n">
        <v>36</v>
      </c>
      <c r="N51" s="0" t="s">
        <v>128</v>
      </c>
      <c r="AG51" s="0" t="n">
        <v>135</v>
      </c>
      <c r="AH51" s="0" t="n">
        <v>144</v>
      </c>
      <c r="AI51" s="0" t="s">
        <v>383</v>
      </c>
      <c r="AM51" s="0" t="n">
        <v>215</v>
      </c>
      <c r="AN51" s="0" t="n">
        <v>310</v>
      </c>
      <c r="AO51" s="0" t="s">
        <v>253</v>
      </c>
      <c r="AP51" s="0" t="n">
        <v>161</v>
      </c>
      <c r="AQ51" s="0" t="n">
        <v>302</v>
      </c>
      <c r="AR51" s="0" t="s">
        <v>384</v>
      </c>
      <c r="AS51" s="0" t="n">
        <v>70</v>
      </c>
      <c r="AV51" s="0" t="n">
        <v>215</v>
      </c>
      <c r="AW51" s="0" t="n">
        <v>310</v>
      </c>
      <c r="AX51" s="0" t="s">
        <v>253</v>
      </c>
      <c r="AY51" s="0" t="n">
        <v>161</v>
      </c>
      <c r="AZ51" s="0" t="n">
        <v>302</v>
      </c>
      <c r="BA51" s="0" t="s">
        <v>384</v>
      </c>
      <c r="BB51" s="0" t="n">
        <v>70</v>
      </c>
      <c r="BE51" s="2" t="n">
        <v>42968</v>
      </c>
    </row>
    <row r="52" customFormat="false" ht="14.25" hidden="false" customHeight="false" outlineLevel="0" collapsed="false">
      <c r="A52" s="0" t="n">
        <v>51</v>
      </c>
      <c r="B52" s="1" t="s">
        <v>385</v>
      </c>
      <c r="C52" s="0" t="n">
        <v>414</v>
      </c>
      <c r="D52" s="0" t="n">
        <v>472</v>
      </c>
      <c r="E52" s="0" t="s">
        <v>386</v>
      </c>
      <c r="F52" s="0" t="n">
        <v>328</v>
      </c>
      <c r="G52" s="0" t="n">
        <v>460</v>
      </c>
      <c r="H52" s="0" t="s">
        <v>387</v>
      </c>
      <c r="I52" s="0" t="n">
        <v>163</v>
      </c>
      <c r="J52" s="0" t="n">
        <v>173</v>
      </c>
      <c r="K52" s="0" t="s">
        <v>141</v>
      </c>
      <c r="L52" s="0" t="n">
        <v>35</v>
      </c>
      <c r="M52" s="0" t="n">
        <v>350</v>
      </c>
      <c r="N52" s="0" t="s">
        <v>169</v>
      </c>
      <c r="AD52" s="0" t="n">
        <v>327</v>
      </c>
      <c r="AE52" s="0" t="n">
        <v>647</v>
      </c>
      <c r="AF52" s="0" t="s">
        <v>388</v>
      </c>
      <c r="AG52" s="0" t="n">
        <v>88</v>
      </c>
      <c r="AH52" s="0" t="n">
        <v>460</v>
      </c>
      <c r="AI52" s="0" t="s">
        <v>258</v>
      </c>
      <c r="AM52" s="0" t="n">
        <v>239</v>
      </c>
      <c r="AN52" s="0" t="n">
        <v>309</v>
      </c>
      <c r="AO52" s="0" t="s">
        <v>155</v>
      </c>
      <c r="AP52" s="0" t="n">
        <v>219</v>
      </c>
      <c r="AQ52" s="0" t="n">
        <v>301</v>
      </c>
      <c r="AR52" s="0" t="s">
        <v>336</v>
      </c>
      <c r="AS52" s="0" t="n">
        <v>79</v>
      </c>
      <c r="AV52" s="0" t="n">
        <v>239</v>
      </c>
      <c r="AW52" s="0" t="n">
        <v>309</v>
      </c>
      <c r="AX52" s="0" t="s">
        <v>155</v>
      </c>
      <c r="AY52" s="0" t="n">
        <v>219</v>
      </c>
      <c r="AZ52" s="0" t="n">
        <v>301</v>
      </c>
      <c r="BA52" s="0" t="s">
        <v>336</v>
      </c>
      <c r="BB52" s="0" t="n">
        <v>79</v>
      </c>
      <c r="BE52" s="2" t="n">
        <v>42969</v>
      </c>
    </row>
    <row r="53" customFormat="false" ht="14.25" hidden="false" customHeight="false" outlineLevel="0" collapsed="false">
      <c r="A53" s="0" t="n">
        <v>52</v>
      </c>
      <c r="B53" s="1" t="s">
        <v>389</v>
      </c>
      <c r="C53" s="0" t="n">
        <v>413</v>
      </c>
      <c r="D53" s="0" t="n">
        <v>484</v>
      </c>
      <c r="E53" s="0" t="s">
        <v>390</v>
      </c>
      <c r="F53" s="0" t="n">
        <v>381</v>
      </c>
      <c r="G53" s="0" t="n">
        <v>470</v>
      </c>
      <c r="H53" s="0" t="s">
        <v>312</v>
      </c>
      <c r="I53" s="0" t="n">
        <v>163</v>
      </c>
      <c r="J53" s="0" t="n">
        <v>173</v>
      </c>
      <c r="K53" s="0" t="s">
        <v>141</v>
      </c>
      <c r="L53" s="0" t="n">
        <v>36</v>
      </c>
      <c r="M53" s="0" t="n">
        <v>349</v>
      </c>
      <c r="N53" s="0" t="s">
        <v>130</v>
      </c>
      <c r="AD53" s="0" t="n">
        <v>593</v>
      </c>
      <c r="AE53" s="0" t="n">
        <v>647</v>
      </c>
      <c r="AF53" s="0" t="s">
        <v>363</v>
      </c>
      <c r="AG53" s="0" t="n">
        <v>109</v>
      </c>
      <c r="AH53" s="0" t="n">
        <v>459</v>
      </c>
      <c r="AI53" s="0" t="s">
        <v>391</v>
      </c>
      <c r="AJ53" s="0" t="n">
        <v>1</v>
      </c>
      <c r="AM53" s="0" t="n">
        <v>241</v>
      </c>
      <c r="AN53" s="0" t="n">
        <v>310</v>
      </c>
      <c r="AO53" s="0" t="s">
        <v>252</v>
      </c>
      <c r="AP53" s="0" t="n">
        <v>228</v>
      </c>
      <c r="AQ53" s="0" t="n">
        <v>301</v>
      </c>
      <c r="AR53" s="0" t="s">
        <v>264</v>
      </c>
      <c r="AS53" s="0" t="n">
        <v>90</v>
      </c>
      <c r="AV53" s="0" t="n">
        <v>241</v>
      </c>
      <c r="AW53" s="0" t="n">
        <v>310</v>
      </c>
      <c r="AX53" s="0" t="s">
        <v>252</v>
      </c>
      <c r="AY53" s="0" t="n">
        <v>228</v>
      </c>
      <c r="AZ53" s="0" t="n">
        <v>301</v>
      </c>
      <c r="BA53" s="0" t="s">
        <v>264</v>
      </c>
      <c r="BB53" s="0" t="n">
        <v>90</v>
      </c>
      <c r="BE53" s="2" t="n">
        <v>42970</v>
      </c>
    </row>
    <row r="54" customFormat="false" ht="14.25" hidden="false" customHeight="false" outlineLevel="0" collapsed="false">
      <c r="A54" s="0" t="n">
        <v>53</v>
      </c>
      <c r="B54" s="1" t="s">
        <v>392</v>
      </c>
      <c r="C54" s="0" t="n">
        <v>433</v>
      </c>
      <c r="D54" s="0" t="n">
        <v>484</v>
      </c>
      <c r="E54" s="0" t="s">
        <v>122</v>
      </c>
      <c r="F54" s="0" t="n">
        <v>392</v>
      </c>
      <c r="G54" s="0" t="n">
        <v>470</v>
      </c>
      <c r="H54" s="0" t="s">
        <v>393</v>
      </c>
      <c r="I54" s="0" t="n">
        <v>174</v>
      </c>
      <c r="J54" s="0" t="n">
        <v>1740</v>
      </c>
      <c r="K54" s="0" t="s">
        <v>169</v>
      </c>
      <c r="L54" s="0" t="n">
        <v>35</v>
      </c>
      <c r="M54" s="0" t="n">
        <v>340</v>
      </c>
      <c r="N54" s="0" t="s">
        <v>130</v>
      </c>
      <c r="AD54" s="0" t="n">
        <v>575</v>
      </c>
      <c r="AE54" s="0" t="n">
        <v>647</v>
      </c>
      <c r="AF54" s="0" t="s">
        <v>394</v>
      </c>
      <c r="AG54" s="0" t="n">
        <v>140</v>
      </c>
      <c r="AH54" s="0" t="n">
        <v>460</v>
      </c>
      <c r="AI54" s="0" t="s">
        <v>395</v>
      </c>
      <c r="AM54" s="0" t="n">
        <v>239</v>
      </c>
      <c r="AN54" s="0" t="n">
        <v>309</v>
      </c>
      <c r="AO54" s="0" t="s">
        <v>155</v>
      </c>
      <c r="AP54" s="0" t="n">
        <v>270</v>
      </c>
      <c r="AQ54" s="0" t="n">
        <v>302</v>
      </c>
      <c r="AR54" s="0" t="s">
        <v>396</v>
      </c>
      <c r="AS54" s="0" t="n">
        <v>95</v>
      </c>
      <c r="AV54" s="0" t="n">
        <v>239</v>
      </c>
      <c r="AW54" s="0" t="n">
        <v>309</v>
      </c>
      <c r="AX54" s="0" t="s">
        <v>155</v>
      </c>
      <c r="AY54" s="0" t="n">
        <v>270</v>
      </c>
      <c r="AZ54" s="0" t="n">
        <v>302</v>
      </c>
      <c r="BA54" s="0" t="s">
        <v>396</v>
      </c>
      <c r="BB54" s="0" t="n">
        <v>95</v>
      </c>
      <c r="BE54" s="2" t="n">
        <v>42971</v>
      </c>
    </row>
    <row r="55" customFormat="false" ht="14.25" hidden="false" customHeight="false" outlineLevel="0" collapsed="false">
      <c r="A55" s="0" t="n">
        <v>54</v>
      </c>
      <c r="B55" s="1" t="s">
        <v>397</v>
      </c>
      <c r="C55" s="0" t="n">
        <v>445</v>
      </c>
      <c r="D55" s="0" t="n">
        <v>484</v>
      </c>
      <c r="E55" s="0" t="s">
        <v>398</v>
      </c>
      <c r="F55" s="0" t="n">
        <v>389</v>
      </c>
      <c r="G55" s="0" t="n">
        <v>469</v>
      </c>
      <c r="H55" s="0" t="s">
        <v>354</v>
      </c>
      <c r="I55" s="0" t="n">
        <v>35</v>
      </c>
      <c r="J55" s="0" t="n">
        <v>206</v>
      </c>
      <c r="K55" s="0" t="s">
        <v>399</v>
      </c>
      <c r="L55" s="0" t="n">
        <v>36</v>
      </c>
      <c r="M55" s="0" t="n">
        <v>360</v>
      </c>
      <c r="N55" s="0" t="s">
        <v>169</v>
      </c>
      <c r="AD55" s="0" t="n">
        <v>572</v>
      </c>
      <c r="AE55" s="0" t="n">
        <v>647</v>
      </c>
      <c r="AF55" s="0" t="s">
        <v>400</v>
      </c>
      <c r="AG55" s="0" t="n">
        <v>136</v>
      </c>
      <c r="AH55" s="0" t="n">
        <v>144</v>
      </c>
      <c r="AI55" s="0" t="s">
        <v>160</v>
      </c>
      <c r="AM55" s="0" t="n">
        <v>270</v>
      </c>
      <c r="AN55" s="0" t="n">
        <v>310</v>
      </c>
      <c r="AO55" s="0" t="s">
        <v>401</v>
      </c>
      <c r="AP55" s="0" t="n">
        <v>273</v>
      </c>
      <c r="AQ55" s="0" t="n">
        <v>301</v>
      </c>
      <c r="AR55" s="0" t="s">
        <v>186</v>
      </c>
      <c r="AS55" s="0" t="n">
        <v>90</v>
      </c>
      <c r="AV55" s="0" t="n">
        <v>270</v>
      </c>
      <c r="AW55" s="0" t="n">
        <v>310</v>
      </c>
      <c r="AX55" s="0" t="s">
        <v>401</v>
      </c>
      <c r="AY55" s="0" t="n">
        <v>273</v>
      </c>
      <c r="AZ55" s="0" t="n">
        <v>301</v>
      </c>
      <c r="BA55" s="0" t="s">
        <v>186</v>
      </c>
      <c r="BB55" s="0" t="n">
        <v>90</v>
      </c>
      <c r="BE55" s="2" t="n">
        <v>42972</v>
      </c>
    </row>
    <row r="56" customFormat="false" ht="14.25" hidden="false" customHeight="false" outlineLevel="0" collapsed="false">
      <c r="A56" s="0" t="n">
        <v>55</v>
      </c>
      <c r="B56" s="1" t="s">
        <v>402</v>
      </c>
      <c r="C56" s="0" t="n">
        <v>318</v>
      </c>
      <c r="D56" s="0" t="n">
        <v>354</v>
      </c>
      <c r="E56" s="0" t="s">
        <v>403</v>
      </c>
      <c r="F56" s="0" t="n">
        <v>307</v>
      </c>
      <c r="G56" s="0" t="n">
        <v>354</v>
      </c>
      <c r="H56" s="0" t="s">
        <v>382</v>
      </c>
      <c r="AD56" s="0" t="n">
        <v>362</v>
      </c>
      <c r="AE56" s="0" t="n">
        <v>478</v>
      </c>
      <c r="AF56" s="0" t="s">
        <v>264</v>
      </c>
      <c r="AG56" s="0" t="n">
        <v>103</v>
      </c>
      <c r="AH56" s="0" t="n">
        <v>103</v>
      </c>
      <c r="AI56" s="0" t="s">
        <v>110</v>
      </c>
      <c r="AM56" s="0" t="n">
        <v>166</v>
      </c>
      <c r="AN56" s="0" t="n">
        <v>229</v>
      </c>
      <c r="AO56" s="0" t="s">
        <v>404</v>
      </c>
      <c r="AV56" s="0" t="n">
        <v>166</v>
      </c>
      <c r="AW56" s="0" t="n">
        <v>229</v>
      </c>
      <c r="AX56" s="0" t="s">
        <v>404</v>
      </c>
      <c r="BE56" s="2" t="n">
        <v>42973</v>
      </c>
    </row>
    <row r="57" customFormat="false" ht="14.25" hidden="false" customHeight="false" outlineLevel="0" collapsed="false">
      <c r="A57" s="0" t="n">
        <v>56</v>
      </c>
      <c r="B57" s="1" t="s">
        <v>405</v>
      </c>
      <c r="C57" s="0" t="n">
        <v>329</v>
      </c>
      <c r="D57" s="0" t="n">
        <v>483</v>
      </c>
      <c r="E57" s="0" t="s">
        <v>360</v>
      </c>
      <c r="F57" s="0" t="n">
        <v>356</v>
      </c>
      <c r="G57" s="0" t="n">
        <v>470</v>
      </c>
      <c r="H57" s="0" t="s">
        <v>264</v>
      </c>
      <c r="I57" s="0" t="n">
        <v>174</v>
      </c>
      <c r="J57" s="0" t="n">
        <v>1740</v>
      </c>
      <c r="K57" s="0" t="s">
        <v>169</v>
      </c>
      <c r="L57" s="0" t="n">
        <v>37</v>
      </c>
      <c r="M57" s="0" t="n">
        <v>359</v>
      </c>
      <c r="N57" s="0" t="s">
        <v>130</v>
      </c>
      <c r="AD57" s="0" t="n">
        <v>519</v>
      </c>
      <c r="AE57" s="0" t="n">
        <v>646</v>
      </c>
      <c r="AF57" s="0" t="s">
        <v>222</v>
      </c>
      <c r="AG57" s="0" t="n">
        <v>142</v>
      </c>
      <c r="AH57" s="0" t="n">
        <v>459</v>
      </c>
      <c r="AI57" s="0" t="s">
        <v>406</v>
      </c>
      <c r="AM57" s="0" t="n">
        <v>224</v>
      </c>
      <c r="AN57" s="0" t="n">
        <v>309</v>
      </c>
      <c r="AO57" s="0" t="s">
        <v>404</v>
      </c>
      <c r="AP57" s="0" t="n">
        <v>246</v>
      </c>
      <c r="AQ57" s="0" t="n">
        <v>301</v>
      </c>
      <c r="AR57" s="0" t="s">
        <v>407</v>
      </c>
      <c r="AS57" s="0" t="n">
        <v>108</v>
      </c>
      <c r="AV57" s="0" t="n">
        <v>224</v>
      </c>
      <c r="AW57" s="0" t="n">
        <v>309</v>
      </c>
      <c r="AX57" s="0" t="s">
        <v>404</v>
      </c>
      <c r="AY57" s="0" t="n">
        <v>246</v>
      </c>
      <c r="AZ57" s="0" t="n">
        <v>301</v>
      </c>
      <c r="BA57" s="0" t="s">
        <v>407</v>
      </c>
      <c r="BB57" s="0" t="n">
        <v>108</v>
      </c>
      <c r="BE57" s="2" t="n">
        <v>42975</v>
      </c>
    </row>
    <row r="58" customFormat="false" ht="14.25" hidden="false" customHeight="false" outlineLevel="0" collapsed="false">
      <c r="A58" s="0" t="n">
        <v>57</v>
      </c>
      <c r="B58" s="1" t="s">
        <v>408</v>
      </c>
      <c r="C58" s="0" t="n">
        <v>419</v>
      </c>
      <c r="D58" s="0" t="n">
        <v>473</v>
      </c>
      <c r="E58" s="0" t="s">
        <v>305</v>
      </c>
      <c r="F58" s="0" t="n">
        <v>401</v>
      </c>
      <c r="G58" s="0" t="n">
        <v>460</v>
      </c>
      <c r="H58" s="0" t="s">
        <v>409</v>
      </c>
      <c r="I58" s="0" t="n">
        <v>161</v>
      </c>
      <c r="J58" s="0" t="n">
        <v>173</v>
      </c>
      <c r="K58" s="0" t="s">
        <v>151</v>
      </c>
      <c r="L58" s="0" t="n">
        <v>37</v>
      </c>
      <c r="M58" s="0" t="n">
        <v>359</v>
      </c>
      <c r="N58" s="0" t="s">
        <v>130</v>
      </c>
      <c r="AD58" s="0" t="n">
        <v>553</v>
      </c>
      <c r="AE58" s="0" t="n">
        <v>649</v>
      </c>
      <c r="AF58" s="0" t="s">
        <v>410</v>
      </c>
      <c r="AG58" s="0" t="n">
        <v>136</v>
      </c>
      <c r="AH58" s="0" t="n">
        <v>470</v>
      </c>
      <c r="AI58" s="0" t="s">
        <v>411</v>
      </c>
      <c r="AM58" s="0" t="n">
        <v>219</v>
      </c>
      <c r="AN58" s="0" t="n">
        <v>309</v>
      </c>
      <c r="AO58" s="0" t="s">
        <v>412</v>
      </c>
      <c r="AP58" s="0" t="n">
        <v>260</v>
      </c>
      <c r="AQ58" s="0" t="n">
        <v>302</v>
      </c>
      <c r="AR58" s="0" t="s">
        <v>283</v>
      </c>
      <c r="AS58" s="0" t="n">
        <v>102</v>
      </c>
      <c r="AV58" s="0" t="n">
        <v>219</v>
      </c>
      <c r="AW58" s="0" t="n">
        <v>309</v>
      </c>
      <c r="AX58" s="0" t="s">
        <v>412</v>
      </c>
      <c r="AY58" s="0" t="n">
        <v>260</v>
      </c>
      <c r="AZ58" s="0" t="n">
        <v>302</v>
      </c>
      <c r="BA58" s="0" t="s">
        <v>283</v>
      </c>
      <c r="BB58" s="0" t="n">
        <v>102</v>
      </c>
      <c r="BE58" s="2" t="n">
        <v>42976</v>
      </c>
    </row>
    <row r="59" customFormat="false" ht="14.25" hidden="false" customHeight="false" outlineLevel="0" collapsed="false">
      <c r="A59" s="0" t="n">
        <v>58</v>
      </c>
      <c r="B59" s="1" t="s">
        <v>413</v>
      </c>
      <c r="C59" s="0" t="n">
        <v>429</v>
      </c>
      <c r="D59" s="0" t="n">
        <v>483</v>
      </c>
      <c r="E59" s="0" t="s">
        <v>166</v>
      </c>
      <c r="F59" s="0" t="n">
        <v>415</v>
      </c>
      <c r="G59" s="0" t="n">
        <v>469</v>
      </c>
      <c r="H59" s="0" t="s">
        <v>414</v>
      </c>
      <c r="I59" s="0" t="n">
        <v>169</v>
      </c>
      <c r="J59" s="0" t="n">
        <v>173</v>
      </c>
      <c r="K59" s="0" t="s">
        <v>138</v>
      </c>
      <c r="L59" s="0" t="n">
        <v>36</v>
      </c>
      <c r="M59" s="0" t="n">
        <v>360</v>
      </c>
      <c r="N59" s="0" t="s">
        <v>169</v>
      </c>
      <c r="AM59" s="0" t="n">
        <v>279</v>
      </c>
      <c r="AN59" s="0" t="n">
        <v>310</v>
      </c>
      <c r="AO59" s="0" t="s">
        <v>415</v>
      </c>
      <c r="AP59" s="0" t="n">
        <v>216</v>
      </c>
      <c r="AQ59" s="0" t="n">
        <v>302</v>
      </c>
      <c r="AR59" s="0" t="s">
        <v>416</v>
      </c>
      <c r="AS59" s="0" t="n">
        <v>87</v>
      </c>
      <c r="AV59" s="0" t="n">
        <v>279</v>
      </c>
      <c r="AW59" s="0" t="n">
        <v>310</v>
      </c>
      <c r="AX59" s="0" t="s">
        <v>415</v>
      </c>
      <c r="AY59" s="0" t="n">
        <v>216</v>
      </c>
      <c r="AZ59" s="0" t="n">
        <v>302</v>
      </c>
      <c r="BA59" s="0" t="s">
        <v>416</v>
      </c>
      <c r="BB59" s="0" t="n">
        <v>87</v>
      </c>
      <c r="BE59" s="2" t="n">
        <v>42977</v>
      </c>
    </row>
    <row r="60" customFormat="false" ht="14.25" hidden="false" customHeight="false" outlineLevel="0" collapsed="false">
      <c r="A60" s="0" t="n">
        <v>59</v>
      </c>
      <c r="B60" s="1" t="s">
        <v>417</v>
      </c>
      <c r="C60" s="0" t="n">
        <v>429</v>
      </c>
      <c r="D60" s="0" t="n">
        <v>483</v>
      </c>
      <c r="E60" s="0" t="s">
        <v>166</v>
      </c>
      <c r="F60" s="0" t="n">
        <v>421</v>
      </c>
      <c r="G60" s="0" t="n">
        <v>470</v>
      </c>
      <c r="H60" s="0" t="s">
        <v>377</v>
      </c>
      <c r="I60" s="0" t="n">
        <v>38</v>
      </c>
      <c r="J60" s="0" t="n">
        <v>205</v>
      </c>
      <c r="K60" s="0" t="s">
        <v>192</v>
      </c>
      <c r="L60" s="0" t="n">
        <v>37</v>
      </c>
      <c r="M60" s="0" t="n">
        <v>359</v>
      </c>
      <c r="N60" s="0" t="s">
        <v>130</v>
      </c>
      <c r="AD60" s="0" t="n">
        <v>559</v>
      </c>
      <c r="AE60" s="0" t="n">
        <v>646</v>
      </c>
      <c r="AF60" s="0" t="s">
        <v>418</v>
      </c>
      <c r="AM60" s="0" t="n">
        <v>270</v>
      </c>
      <c r="AN60" s="0" t="n">
        <v>309</v>
      </c>
      <c r="AO60" s="0" t="s">
        <v>419</v>
      </c>
      <c r="AP60" s="0" t="n">
        <v>257</v>
      </c>
      <c r="AQ60" s="0" t="n">
        <v>301</v>
      </c>
      <c r="AR60" s="0" t="s">
        <v>318</v>
      </c>
      <c r="AS60" s="0" t="n">
        <v>126</v>
      </c>
      <c r="AV60" s="0" t="n">
        <v>270</v>
      </c>
      <c r="AW60" s="0" t="n">
        <v>309</v>
      </c>
      <c r="AX60" s="0" t="s">
        <v>419</v>
      </c>
      <c r="AY60" s="0" t="n">
        <v>257</v>
      </c>
      <c r="AZ60" s="0" t="n">
        <v>301</v>
      </c>
      <c r="BA60" s="0" t="s">
        <v>318</v>
      </c>
      <c r="BB60" s="0" t="n">
        <v>126</v>
      </c>
      <c r="BE60" s="2" t="n">
        <v>42979</v>
      </c>
    </row>
    <row r="61" customFormat="false" ht="14.25" hidden="false" customHeight="false" outlineLevel="0" collapsed="false">
      <c r="A61" s="0" t="n">
        <v>60</v>
      </c>
      <c r="B61" s="1" t="s">
        <v>420</v>
      </c>
      <c r="C61" s="0" t="n">
        <v>430</v>
      </c>
      <c r="D61" s="0" t="n">
        <v>484</v>
      </c>
      <c r="E61" s="0" t="s">
        <v>166</v>
      </c>
      <c r="F61" s="0" t="n">
        <v>418</v>
      </c>
      <c r="G61" s="0" t="n">
        <v>469</v>
      </c>
      <c r="H61" s="0" t="s">
        <v>421</v>
      </c>
      <c r="I61" s="0" t="n">
        <v>173</v>
      </c>
      <c r="J61" s="0" t="n">
        <v>173</v>
      </c>
      <c r="K61" s="0" t="s">
        <v>110</v>
      </c>
      <c r="L61" s="0" t="n">
        <v>37</v>
      </c>
      <c r="M61" s="0" t="n">
        <v>340</v>
      </c>
      <c r="N61" s="0" t="s">
        <v>353</v>
      </c>
      <c r="AD61" s="0" t="n">
        <v>591</v>
      </c>
      <c r="AE61" s="0" t="n">
        <v>647</v>
      </c>
      <c r="AF61" s="0" t="s">
        <v>174</v>
      </c>
      <c r="AG61" s="0" t="n">
        <v>135</v>
      </c>
      <c r="AH61" s="0" t="n">
        <v>459</v>
      </c>
      <c r="AI61" s="0" t="s">
        <v>359</v>
      </c>
      <c r="AM61" s="0" t="n">
        <v>254</v>
      </c>
      <c r="AN61" s="0" t="n">
        <v>309</v>
      </c>
      <c r="AO61" s="0" t="s">
        <v>137</v>
      </c>
      <c r="AP61" s="0" t="n">
        <v>235</v>
      </c>
      <c r="AQ61" s="0" t="n">
        <v>302</v>
      </c>
      <c r="AR61" s="0" t="s">
        <v>422</v>
      </c>
      <c r="AS61" s="0" t="n">
        <v>83</v>
      </c>
      <c r="AV61" s="0" t="n">
        <v>254</v>
      </c>
      <c r="AW61" s="0" t="n">
        <v>309</v>
      </c>
      <c r="AX61" s="0" t="s">
        <v>137</v>
      </c>
      <c r="AY61" s="0" t="n">
        <v>235</v>
      </c>
      <c r="AZ61" s="0" t="n">
        <v>302</v>
      </c>
      <c r="BA61" s="0" t="s">
        <v>422</v>
      </c>
      <c r="BB61" s="0" t="n">
        <v>83</v>
      </c>
      <c r="BE61" s="2" t="n">
        <v>42978</v>
      </c>
    </row>
    <row r="62" customFormat="false" ht="14.25" hidden="false" customHeight="false" outlineLevel="0" collapsed="false">
      <c r="A62" s="0" t="n">
        <v>61</v>
      </c>
      <c r="B62" s="1" t="s">
        <v>423</v>
      </c>
      <c r="C62" s="0" t="n">
        <v>297</v>
      </c>
      <c r="D62" s="0" t="n">
        <v>319</v>
      </c>
      <c r="E62" s="0" t="s">
        <v>151</v>
      </c>
      <c r="F62" s="0" t="n">
        <v>291</v>
      </c>
      <c r="G62" s="0" t="n">
        <v>319</v>
      </c>
      <c r="H62" s="0" t="s">
        <v>176</v>
      </c>
      <c r="AM62" s="0" t="n">
        <v>173</v>
      </c>
      <c r="AN62" s="0" t="n">
        <v>228</v>
      </c>
      <c r="AO62" s="0" t="s">
        <v>424</v>
      </c>
      <c r="AP62" s="0" t="n">
        <v>143</v>
      </c>
      <c r="AQ62" s="0" t="n">
        <v>233</v>
      </c>
      <c r="AR62" s="0" t="s">
        <v>425</v>
      </c>
      <c r="AV62" s="0" t="n">
        <v>173</v>
      </c>
      <c r="AW62" s="0" t="n">
        <v>228</v>
      </c>
      <c r="AX62" s="0" t="s">
        <v>424</v>
      </c>
      <c r="AY62" s="0" t="n">
        <v>143</v>
      </c>
      <c r="AZ62" s="0" t="n">
        <v>233</v>
      </c>
      <c r="BA62" s="0" t="s">
        <v>425</v>
      </c>
      <c r="BE62" s="2" t="n">
        <v>42980</v>
      </c>
    </row>
    <row r="63" customFormat="false" ht="14.25" hidden="false" customHeight="false" outlineLevel="0" collapsed="false">
      <c r="A63" s="0" t="n">
        <v>62</v>
      </c>
      <c r="B63" s="1" t="s">
        <v>426</v>
      </c>
      <c r="C63" s="0" t="n">
        <v>411</v>
      </c>
      <c r="D63" s="0" t="n">
        <v>483</v>
      </c>
      <c r="E63" s="0" t="s">
        <v>365</v>
      </c>
      <c r="F63" s="0" t="n">
        <v>424</v>
      </c>
      <c r="G63" s="0" t="n">
        <v>470</v>
      </c>
      <c r="H63" s="0" t="s">
        <v>161</v>
      </c>
      <c r="I63" s="0" t="n">
        <v>202</v>
      </c>
      <c r="J63" s="0" t="n">
        <v>211</v>
      </c>
      <c r="K63" s="0" t="s">
        <v>144</v>
      </c>
      <c r="L63" s="0" t="n">
        <v>36</v>
      </c>
      <c r="M63" s="0" t="n">
        <v>360</v>
      </c>
      <c r="N63" s="0" t="s">
        <v>169</v>
      </c>
      <c r="AD63" s="0" t="n">
        <v>487</v>
      </c>
      <c r="AE63" s="0" t="n">
        <v>647</v>
      </c>
      <c r="AF63" s="0" t="s">
        <v>266</v>
      </c>
      <c r="AG63" s="0" t="n">
        <v>139</v>
      </c>
      <c r="AH63" s="0" t="n">
        <v>460</v>
      </c>
      <c r="AI63" s="0" t="s">
        <v>427</v>
      </c>
      <c r="AM63" s="0" t="n">
        <v>252</v>
      </c>
      <c r="AN63" s="0" t="n">
        <v>310</v>
      </c>
      <c r="AO63" s="0" t="s">
        <v>302</v>
      </c>
      <c r="AP63" s="0" t="n">
        <v>255</v>
      </c>
      <c r="AQ63" s="0" t="n">
        <v>301</v>
      </c>
      <c r="AR63" s="0" t="s">
        <v>316</v>
      </c>
      <c r="AS63" s="0" t="n">
        <v>132</v>
      </c>
      <c r="AV63" s="0" t="n">
        <v>252</v>
      </c>
      <c r="AW63" s="0" t="n">
        <v>310</v>
      </c>
      <c r="AX63" s="0" t="s">
        <v>302</v>
      </c>
      <c r="AY63" s="0" t="n">
        <v>255</v>
      </c>
      <c r="AZ63" s="0" t="n">
        <v>301</v>
      </c>
      <c r="BA63" s="0" t="s">
        <v>316</v>
      </c>
      <c r="BB63" s="0" t="n">
        <v>132</v>
      </c>
      <c r="BE63" s="2" t="n">
        <v>42982</v>
      </c>
    </row>
    <row r="64" customFormat="false" ht="14.25" hidden="false" customHeight="false" outlineLevel="0" collapsed="false">
      <c r="A64" s="0" t="n">
        <v>63</v>
      </c>
      <c r="B64" s="1" t="s">
        <v>428</v>
      </c>
      <c r="C64" s="0" t="n">
        <v>416</v>
      </c>
      <c r="D64" s="0" t="n">
        <v>472</v>
      </c>
      <c r="E64" s="0" t="s">
        <v>429</v>
      </c>
      <c r="F64" s="0" t="n">
        <v>395</v>
      </c>
      <c r="G64" s="0" t="n">
        <v>459</v>
      </c>
      <c r="H64" s="0" t="s">
        <v>283</v>
      </c>
      <c r="I64" s="0" t="n">
        <v>200</v>
      </c>
      <c r="J64" s="0" t="n">
        <v>209</v>
      </c>
      <c r="K64" s="0" t="s">
        <v>144</v>
      </c>
      <c r="L64" s="0" t="n">
        <v>34</v>
      </c>
      <c r="M64" s="0" t="n">
        <v>36</v>
      </c>
      <c r="N64" s="0" t="s">
        <v>160</v>
      </c>
      <c r="AD64" s="0" t="n">
        <v>580</v>
      </c>
      <c r="AE64" s="0" t="n">
        <v>647</v>
      </c>
      <c r="AF64" s="0" t="s">
        <v>377</v>
      </c>
      <c r="AG64" s="0" t="n">
        <v>151</v>
      </c>
      <c r="AH64" s="0" t="n">
        <v>459</v>
      </c>
      <c r="AI64" s="0" t="s">
        <v>430</v>
      </c>
      <c r="AM64" s="0" t="n">
        <v>275</v>
      </c>
      <c r="AN64" s="0" t="n">
        <v>309</v>
      </c>
      <c r="AO64" s="0" t="s">
        <v>431</v>
      </c>
      <c r="AP64" s="0" t="n">
        <v>222</v>
      </c>
      <c r="AQ64" s="0" t="n">
        <v>301</v>
      </c>
      <c r="AR64" s="0" t="s">
        <v>259</v>
      </c>
      <c r="AS64" s="0" t="n">
        <v>146</v>
      </c>
      <c r="AV64" s="0" t="n">
        <v>275</v>
      </c>
      <c r="AW64" s="0" t="n">
        <v>309</v>
      </c>
      <c r="AX64" s="0" t="s">
        <v>431</v>
      </c>
      <c r="AY64" s="0" t="n">
        <v>222</v>
      </c>
      <c r="AZ64" s="0" t="n">
        <v>301</v>
      </c>
      <c r="BA64" s="0" t="s">
        <v>259</v>
      </c>
      <c r="BB64" s="0" t="n">
        <v>146</v>
      </c>
      <c r="BE64" s="2" t="n">
        <v>42983</v>
      </c>
    </row>
    <row r="65" customFormat="false" ht="14.25" hidden="false" customHeight="false" outlineLevel="0" collapsed="false">
      <c r="A65" s="0" t="n">
        <v>64</v>
      </c>
      <c r="B65" s="1" t="s">
        <v>432</v>
      </c>
      <c r="C65" s="0" t="n">
        <v>425</v>
      </c>
      <c r="F65" s="0" t="n">
        <v>428</v>
      </c>
      <c r="I65" s="0" t="n">
        <v>205</v>
      </c>
      <c r="L65" s="0" t="n">
        <v>37</v>
      </c>
      <c r="AD65" s="0" t="n">
        <v>645</v>
      </c>
      <c r="AG65" s="0" t="n">
        <v>165</v>
      </c>
      <c r="AM65" s="0" t="n">
        <v>253</v>
      </c>
      <c r="AP65" s="0" t="n">
        <v>251</v>
      </c>
      <c r="AS65" s="0" t="n">
        <v>156</v>
      </c>
      <c r="AV65" s="0" t="n">
        <v>253</v>
      </c>
      <c r="AY65" s="0" t="n">
        <v>251</v>
      </c>
      <c r="BB65" s="0" t="n">
        <v>156</v>
      </c>
      <c r="BE65" s="2" t="n">
        <v>42984</v>
      </c>
    </row>
    <row r="66" customFormat="false" ht="14.25" hidden="false" customHeight="false" outlineLevel="0" collapsed="false">
      <c r="A66" s="0" t="n">
        <v>65</v>
      </c>
      <c r="B66" s="1" t="s">
        <v>433</v>
      </c>
      <c r="C66" s="0" t="n">
        <v>407</v>
      </c>
      <c r="D66" s="0" t="n">
        <v>435</v>
      </c>
      <c r="E66" s="0" t="s">
        <v>434</v>
      </c>
      <c r="F66" s="0" t="n">
        <v>330</v>
      </c>
      <c r="G66" s="0" t="n">
        <v>423</v>
      </c>
      <c r="H66" s="0" t="s">
        <v>295</v>
      </c>
      <c r="I66" s="0" t="n">
        <v>210</v>
      </c>
      <c r="J66" s="0" t="n">
        <v>2100</v>
      </c>
      <c r="K66" s="0" t="s">
        <v>169</v>
      </c>
      <c r="AD66" s="0" t="n">
        <v>596</v>
      </c>
      <c r="AE66" s="0" t="n">
        <v>646</v>
      </c>
      <c r="AF66" s="0" t="s">
        <v>193</v>
      </c>
      <c r="AG66" s="0" t="n">
        <v>164</v>
      </c>
      <c r="AH66" s="0" t="n">
        <v>460</v>
      </c>
      <c r="AI66" s="0" t="s">
        <v>435</v>
      </c>
      <c r="AM66" s="0" t="n">
        <v>238</v>
      </c>
      <c r="AN66" s="0" t="n">
        <v>310</v>
      </c>
      <c r="AO66" s="0" t="s">
        <v>323</v>
      </c>
      <c r="AP66" s="0" t="n">
        <v>265</v>
      </c>
      <c r="AQ66" s="0" t="n">
        <v>301</v>
      </c>
      <c r="AR66" s="0" t="s">
        <v>158</v>
      </c>
      <c r="AS66" s="0" t="n">
        <v>146</v>
      </c>
      <c r="AV66" s="0" t="n">
        <v>238</v>
      </c>
      <c r="AW66" s="0" t="n">
        <v>310</v>
      </c>
      <c r="AX66" s="0" t="s">
        <v>323</v>
      </c>
      <c r="AY66" s="0" t="n">
        <v>265</v>
      </c>
      <c r="AZ66" s="0" t="n">
        <v>301</v>
      </c>
      <c r="BA66" s="0" t="s">
        <v>158</v>
      </c>
      <c r="BB66" s="0" t="n">
        <v>146</v>
      </c>
      <c r="BE66" s="2" t="n">
        <v>42985</v>
      </c>
    </row>
    <row r="67" customFormat="false" ht="14.25" hidden="false" customHeight="false" outlineLevel="0" collapsed="false">
      <c r="A67" s="0" t="n">
        <v>66</v>
      </c>
      <c r="B67" s="1" t="s">
        <v>436</v>
      </c>
      <c r="C67" s="0" t="n">
        <v>443</v>
      </c>
      <c r="D67" s="0" t="n">
        <v>483</v>
      </c>
      <c r="E67" s="0" t="s">
        <v>363</v>
      </c>
      <c r="F67" s="0" t="n">
        <v>435</v>
      </c>
      <c r="G67" s="0" t="n">
        <v>470</v>
      </c>
      <c r="H67" s="0" t="s">
        <v>437</v>
      </c>
      <c r="I67" s="0" t="n">
        <v>45</v>
      </c>
      <c r="AD67" s="0" t="n">
        <v>621</v>
      </c>
      <c r="AE67" s="0" t="n">
        <v>647</v>
      </c>
      <c r="AF67" s="0" t="s">
        <v>438</v>
      </c>
      <c r="AG67" s="0" t="n">
        <v>148</v>
      </c>
      <c r="AH67" s="0" t="n">
        <v>460</v>
      </c>
      <c r="AI67" s="0" t="s">
        <v>439</v>
      </c>
      <c r="AM67" s="0" t="n">
        <v>213</v>
      </c>
      <c r="AN67" s="0" t="n">
        <v>309</v>
      </c>
      <c r="AO67" s="0" t="s">
        <v>333</v>
      </c>
      <c r="AP67" s="0" t="n">
        <v>259</v>
      </c>
      <c r="AQ67" s="0" t="n">
        <v>302</v>
      </c>
      <c r="AR67" s="0" t="s">
        <v>272</v>
      </c>
      <c r="AS67" s="0" t="n">
        <v>179</v>
      </c>
      <c r="AT67" s="0" t="n">
        <v>252</v>
      </c>
      <c r="AU67" s="0" t="s">
        <v>440</v>
      </c>
      <c r="AV67" s="0" t="n">
        <v>213</v>
      </c>
      <c r="AW67" s="0" t="n">
        <v>309</v>
      </c>
      <c r="AX67" s="0" t="s">
        <v>333</v>
      </c>
      <c r="AY67" s="0" t="n">
        <v>259</v>
      </c>
      <c r="AZ67" s="0" t="n">
        <v>302</v>
      </c>
      <c r="BA67" s="0" t="s">
        <v>272</v>
      </c>
      <c r="BB67" s="0" t="n">
        <v>179</v>
      </c>
      <c r="BC67" s="0" t="n">
        <v>252</v>
      </c>
      <c r="BD67" s="0" t="s">
        <v>440</v>
      </c>
      <c r="BE67" s="2" t="n">
        <v>42986</v>
      </c>
    </row>
    <row r="68" customFormat="false" ht="14.25" hidden="false" customHeight="false" outlineLevel="0" collapsed="false">
      <c r="A68" s="0" t="n">
        <v>67</v>
      </c>
      <c r="B68" s="1" t="s">
        <v>441</v>
      </c>
      <c r="C68" s="0" t="n">
        <v>423</v>
      </c>
      <c r="D68" s="0" t="n">
        <v>483</v>
      </c>
      <c r="E68" s="0" t="s">
        <v>339</v>
      </c>
      <c r="F68" s="0" t="n">
        <v>422</v>
      </c>
      <c r="G68" s="0" t="n">
        <v>470</v>
      </c>
      <c r="H68" s="0" t="s">
        <v>403</v>
      </c>
      <c r="I68" s="0" t="n">
        <v>227</v>
      </c>
      <c r="J68" s="0" t="n">
        <v>2099</v>
      </c>
      <c r="K68" s="0" t="s">
        <v>442</v>
      </c>
      <c r="L68" s="0" t="n">
        <v>36</v>
      </c>
      <c r="M68" s="0" t="n">
        <v>360</v>
      </c>
      <c r="N68" s="0" t="s">
        <v>169</v>
      </c>
      <c r="AD68" s="0" t="n">
        <v>544</v>
      </c>
      <c r="AE68" s="0" t="n">
        <v>541</v>
      </c>
      <c r="AF68" s="0" t="s">
        <v>443</v>
      </c>
      <c r="AM68" s="0" t="n">
        <v>216</v>
      </c>
      <c r="AN68" s="0" t="n">
        <v>309</v>
      </c>
      <c r="AO68" s="0" t="s">
        <v>444</v>
      </c>
      <c r="AP68" s="0" t="n">
        <v>208</v>
      </c>
      <c r="AQ68" s="0" t="n">
        <v>302</v>
      </c>
      <c r="AR68" s="0" t="s">
        <v>333</v>
      </c>
      <c r="AS68" s="0" t="n">
        <v>141</v>
      </c>
      <c r="AT68" s="0" t="n">
        <v>177</v>
      </c>
      <c r="AU68" s="0" t="s">
        <v>445</v>
      </c>
      <c r="AV68" s="0" t="n">
        <v>216</v>
      </c>
      <c r="AW68" s="0" t="n">
        <v>309</v>
      </c>
      <c r="AX68" s="0" t="s">
        <v>444</v>
      </c>
      <c r="AY68" s="0" t="n">
        <v>208</v>
      </c>
      <c r="AZ68" s="0" t="n">
        <v>302</v>
      </c>
      <c r="BA68" s="0" t="s">
        <v>333</v>
      </c>
      <c r="BB68" s="0" t="n">
        <v>141</v>
      </c>
      <c r="BC68" s="0" t="n">
        <v>177</v>
      </c>
      <c r="BD68" s="0" t="s">
        <v>445</v>
      </c>
      <c r="BE68" s="2" t="n">
        <v>42989</v>
      </c>
    </row>
    <row r="69" customFormat="false" ht="14.25" hidden="false" customHeight="false" outlineLevel="0" collapsed="false">
      <c r="A69" s="0" t="n">
        <v>68</v>
      </c>
      <c r="B69" s="1" t="s">
        <v>446</v>
      </c>
      <c r="C69" s="0" t="n">
        <v>436</v>
      </c>
      <c r="D69" s="0" t="n">
        <v>472</v>
      </c>
      <c r="E69" s="0" t="s">
        <v>447</v>
      </c>
      <c r="F69" s="0" t="n">
        <v>434</v>
      </c>
      <c r="G69" s="0" t="n">
        <v>461</v>
      </c>
      <c r="H69" s="0" t="s">
        <v>448</v>
      </c>
      <c r="I69" s="0" t="n">
        <v>213</v>
      </c>
      <c r="J69" s="0" t="n">
        <v>2099</v>
      </c>
      <c r="K69" s="0" t="s">
        <v>449</v>
      </c>
      <c r="L69" s="0" t="n">
        <v>37</v>
      </c>
      <c r="M69" s="0" t="n">
        <v>359</v>
      </c>
      <c r="N69" s="0" t="s">
        <v>130</v>
      </c>
      <c r="AD69" s="0" t="n">
        <v>404</v>
      </c>
      <c r="AE69" s="0" t="n">
        <v>425</v>
      </c>
      <c r="AF69" s="0" t="s">
        <v>210</v>
      </c>
      <c r="AG69" s="0" t="n">
        <v>165</v>
      </c>
      <c r="AH69" s="0" t="n">
        <v>449</v>
      </c>
      <c r="AI69" s="0" t="s">
        <v>450</v>
      </c>
      <c r="AM69" s="0" t="n">
        <v>243</v>
      </c>
      <c r="AN69" s="0" t="n">
        <v>309</v>
      </c>
      <c r="AO69" s="0" t="s">
        <v>256</v>
      </c>
      <c r="AP69" s="0" t="n">
        <v>262</v>
      </c>
      <c r="AQ69" s="0" t="n">
        <v>302</v>
      </c>
      <c r="AR69" s="0" t="s">
        <v>199</v>
      </c>
      <c r="AS69" s="0" t="n">
        <v>151</v>
      </c>
      <c r="AT69" s="0" t="n">
        <v>177</v>
      </c>
      <c r="AU69" s="0" t="s">
        <v>390</v>
      </c>
      <c r="AV69" s="0" t="n">
        <v>243</v>
      </c>
      <c r="AW69" s="0" t="n">
        <v>309</v>
      </c>
      <c r="AX69" s="0" t="s">
        <v>256</v>
      </c>
      <c r="AY69" s="0" t="n">
        <v>262</v>
      </c>
      <c r="AZ69" s="0" t="n">
        <v>302</v>
      </c>
      <c r="BA69" s="0" t="s">
        <v>199</v>
      </c>
      <c r="BB69" s="0" t="n">
        <v>151</v>
      </c>
      <c r="BC69" s="0" t="n">
        <v>177</v>
      </c>
      <c r="BD69" s="0" t="s">
        <v>390</v>
      </c>
      <c r="BE69" s="2" t="n">
        <v>42990</v>
      </c>
    </row>
    <row r="70" customFormat="false" ht="14.25" hidden="false" customHeight="false" outlineLevel="0" collapsed="false">
      <c r="A70" s="0" t="n">
        <v>69</v>
      </c>
      <c r="B70" s="1" t="s">
        <v>451</v>
      </c>
      <c r="C70" s="0" t="n">
        <v>445</v>
      </c>
      <c r="D70" s="0" t="n">
        <v>484</v>
      </c>
      <c r="E70" s="0" t="s">
        <v>398</v>
      </c>
      <c r="F70" s="0" t="n">
        <v>427</v>
      </c>
      <c r="G70" s="0" t="n">
        <v>470</v>
      </c>
      <c r="H70" s="0" t="s">
        <v>452</v>
      </c>
      <c r="I70" s="0" t="n">
        <v>245</v>
      </c>
      <c r="J70" s="0" t="n">
        <v>2099</v>
      </c>
      <c r="K70" s="0" t="s">
        <v>453</v>
      </c>
      <c r="L70" s="0" t="n">
        <v>36</v>
      </c>
      <c r="M70" s="0" t="n">
        <v>360</v>
      </c>
      <c r="N70" s="0" t="s">
        <v>169</v>
      </c>
      <c r="AD70" s="0" t="n">
        <v>589</v>
      </c>
      <c r="AE70" s="0" t="n">
        <v>646</v>
      </c>
      <c r="AF70" s="0" t="s">
        <v>176</v>
      </c>
      <c r="AG70" s="0" t="n">
        <v>160</v>
      </c>
      <c r="AH70" s="0" t="n">
        <v>460</v>
      </c>
      <c r="AI70" s="0" t="s">
        <v>454</v>
      </c>
      <c r="AM70" s="0" t="n">
        <v>256</v>
      </c>
      <c r="AN70" s="0" t="n">
        <v>310</v>
      </c>
      <c r="AO70" s="0" t="s">
        <v>114</v>
      </c>
      <c r="AP70" s="0" t="n">
        <v>221</v>
      </c>
      <c r="AQ70" s="0" t="n">
        <v>301</v>
      </c>
      <c r="AR70" s="0" t="s">
        <v>455</v>
      </c>
      <c r="AS70" s="0" t="n">
        <v>156</v>
      </c>
      <c r="AT70" s="0" t="n">
        <v>176</v>
      </c>
      <c r="AU70" s="0" t="s">
        <v>305</v>
      </c>
      <c r="AV70" s="0" t="n">
        <v>256</v>
      </c>
      <c r="AW70" s="0" t="n">
        <v>310</v>
      </c>
      <c r="AX70" s="0" t="s">
        <v>114</v>
      </c>
      <c r="AY70" s="0" t="n">
        <v>221</v>
      </c>
      <c r="AZ70" s="0" t="n">
        <v>301</v>
      </c>
      <c r="BA70" s="0" t="s">
        <v>455</v>
      </c>
      <c r="BB70" s="0" t="n">
        <v>156</v>
      </c>
      <c r="BC70" s="0" t="n">
        <v>176</v>
      </c>
      <c r="BD70" s="0" t="s">
        <v>305</v>
      </c>
      <c r="BE70" s="2" t="n">
        <v>42991</v>
      </c>
    </row>
    <row r="71" customFormat="false" ht="14.25" hidden="false" customHeight="false" outlineLevel="0" collapsed="false">
      <c r="A71" s="0" t="n">
        <v>70</v>
      </c>
      <c r="B71" s="1" t="s">
        <v>456</v>
      </c>
      <c r="C71" s="0" t="n">
        <v>445</v>
      </c>
      <c r="D71" s="0" t="n">
        <v>484</v>
      </c>
      <c r="E71" s="0" t="s">
        <v>398</v>
      </c>
      <c r="F71" s="0" t="n">
        <v>430</v>
      </c>
      <c r="G71" s="0" t="n">
        <v>469</v>
      </c>
      <c r="H71" s="0" t="s">
        <v>363</v>
      </c>
      <c r="I71" s="0" t="n">
        <v>257</v>
      </c>
      <c r="J71" s="0" t="n">
        <v>262</v>
      </c>
      <c r="K71" s="0" t="s">
        <v>457</v>
      </c>
      <c r="L71" s="0" t="n">
        <v>36</v>
      </c>
      <c r="M71" s="0" t="n">
        <v>360</v>
      </c>
      <c r="N71" s="0" t="s">
        <v>169</v>
      </c>
      <c r="AD71" s="0" t="n">
        <v>631</v>
      </c>
      <c r="AE71" s="0" t="n">
        <v>647</v>
      </c>
      <c r="AF71" s="0" t="s">
        <v>370</v>
      </c>
      <c r="AG71" s="0" t="n">
        <v>150</v>
      </c>
      <c r="AH71" s="0" t="n">
        <v>188</v>
      </c>
      <c r="AI71" s="0" t="s">
        <v>458</v>
      </c>
      <c r="AM71" s="0" t="n">
        <v>235</v>
      </c>
      <c r="AN71" s="0" t="n">
        <v>310</v>
      </c>
      <c r="AO71" s="0" t="s">
        <v>349</v>
      </c>
      <c r="AP71" s="0" t="n">
        <v>225</v>
      </c>
      <c r="AQ71" s="0" t="n">
        <v>302</v>
      </c>
      <c r="AR71" s="0" t="s">
        <v>287</v>
      </c>
      <c r="AS71" s="0" t="n">
        <v>109</v>
      </c>
      <c r="AV71" s="0" t="n">
        <v>235</v>
      </c>
      <c r="AW71" s="0" t="n">
        <v>310</v>
      </c>
      <c r="AX71" s="0" t="s">
        <v>349</v>
      </c>
      <c r="AY71" s="0" t="n">
        <v>225</v>
      </c>
      <c r="AZ71" s="0" t="n">
        <v>302</v>
      </c>
      <c r="BA71" s="0" t="s">
        <v>287</v>
      </c>
      <c r="BB71" s="0" t="n">
        <v>109</v>
      </c>
      <c r="BE71" s="2" t="n">
        <v>42993</v>
      </c>
    </row>
    <row r="72" customFormat="false" ht="14.25" hidden="false" customHeight="false" outlineLevel="0" collapsed="false">
      <c r="A72" s="0" t="n">
        <v>71</v>
      </c>
      <c r="B72" s="1" t="s">
        <v>459</v>
      </c>
      <c r="C72" s="0" t="n">
        <v>292</v>
      </c>
      <c r="D72" s="0" t="n">
        <v>484</v>
      </c>
      <c r="E72" s="0" t="s">
        <v>460</v>
      </c>
      <c r="F72" s="0" t="n">
        <v>432</v>
      </c>
      <c r="G72" s="0" t="n">
        <v>470</v>
      </c>
      <c r="H72" s="0" t="s">
        <v>398</v>
      </c>
      <c r="I72" s="0" t="n">
        <v>241</v>
      </c>
      <c r="J72" s="0" t="n">
        <v>2219</v>
      </c>
      <c r="K72" s="0" t="s">
        <v>353</v>
      </c>
      <c r="L72" s="0" t="n">
        <v>20</v>
      </c>
      <c r="M72" s="0" t="n">
        <v>34</v>
      </c>
      <c r="N72" s="0" t="s">
        <v>184</v>
      </c>
      <c r="AD72" s="0" t="n">
        <v>400</v>
      </c>
      <c r="AE72" s="0" t="n">
        <v>647</v>
      </c>
      <c r="AF72" s="0" t="s">
        <v>461</v>
      </c>
      <c r="AG72" s="0" t="n">
        <v>147</v>
      </c>
      <c r="AH72" s="0" t="n">
        <v>459</v>
      </c>
      <c r="AI72" s="0" t="s">
        <v>462</v>
      </c>
      <c r="AM72" s="0" t="n">
        <v>155</v>
      </c>
      <c r="AN72" s="0" t="n">
        <v>310</v>
      </c>
      <c r="AO72" s="0" t="s">
        <v>219</v>
      </c>
      <c r="AP72" s="0" t="n">
        <v>272</v>
      </c>
      <c r="AQ72" s="0" t="n">
        <v>301</v>
      </c>
      <c r="AR72" s="0" t="s">
        <v>463</v>
      </c>
      <c r="AS72" s="0" t="n">
        <v>124</v>
      </c>
      <c r="AT72" s="0" t="n">
        <v>176</v>
      </c>
      <c r="AU72" s="0" t="s">
        <v>464</v>
      </c>
      <c r="AV72" s="0" t="n">
        <v>155</v>
      </c>
      <c r="AW72" s="0" t="n">
        <v>310</v>
      </c>
      <c r="AX72" s="0" t="s">
        <v>219</v>
      </c>
      <c r="AY72" s="0" t="n">
        <v>272</v>
      </c>
      <c r="AZ72" s="0" t="n">
        <v>301</v>
      </c>
      <c r="BA72" s="0" t="s">
        <v>463</v>
      </c>
      <c r="BB72" s="0" t="n">
        <v>124</v>
      </c>
      <c r="BC72" s="0" t="n">
        <v>176</v>
      </c>
      <c r="BD72" s="0" t="s">
        <v>464</v>
      </c>
      <c r="BE72" s="2" t="n">
        <v>42992</v>
      </c>
    </row>
    <row r="73" customFormat="false" ht="14.25" hidden="false" customHeight="false" outlineLevel="0" collapsed="false">
      <c r="A73" s="0" t="n">
        <v>72</v>
      </c>
      <c r="B73" s="1" t="s">
        <v>465</v>
      </c>
      <c r="C73" s="0" t="n">
        <v>257</v>
      </c>
      <c r="D73" s="0" t="n">
        <v>319</v>
      </c>
      <c r="E73" s="0" t="s">
        <v>466</v>
      </c>
      <c r="F73" s="0" t="n">
        <v>298</v>
      </c>
      <c r="G73" s="0" t="n">
        <v>318</v>
      </c>
      <c r="H73" s="0" t="s">
        <v>467</v>
      </c>
      <c r="AD73" s="0" t="n">
        <v>273</v>
      </c>
      <c r="AE73" s="0" t="n">
        <v>478</v>
      </c>
      <c r="AF73" s="0" t="s">
        <v>468</v>
      </c>
      <c r="AG73" s="0" t="n">
        <v>86</v>
      </c>
      <c r="AH73" s="0" t="n">
        <v>143</v>
      </c>
      <c r="AI73" s="0" t="s">
        <v>218</v>
      </c>
      <c r="AM73" s="0" t="n">
        <v>150</v>
      </c>
      <c r="AN73" s="0" t="n">
        <v>229</v>
      </c>
      <c r="AO73" s="0" t="s">
        <v>469</v>
      </c>
      <c r="AP73" s="0" t="n">
        <v>94</v>
      </c>
      <c r="AQ73" s="0" t="n">
        <v>229</v>
      </c>
      <c r="AR73" s="0" t="s">
        <v>470</v>
      </c>
      <c r="AS73" s="0" t="n">
        <v>124</v>
      </c>
      <c r="AV73" s="0" t="n">
        <v>150</v>
      </c>
      <c r="AW73" s="0" t="n">
        <v>229</v>
      </c>
      <c r="AX73" s="0" t="s">
        <v>469</v>
      </c>
      <c r="AY73" s="0" t="n">
        <v>94</v>
      </c>
      <c r="AZ73" s="0" t="n">
        <v>229</v>
      </c>
      <c r="BA73" s="0" t="s">
        <v>470</v>
      </c>
      <c r="BB73" s="0" t="n">
        <v>124</v>
      </c>
      <c r="BE73" s="2" t="n">
        <v>42994</v>
      </c>
    </row>
    <row r="74" customFormat="false" ht="14.25" hidden="false" customHeight="false" outlineLevel="0" collapsed="false">
      <c r="A74" s="0" t="n">
        <v>73</v>
      </c>
      <c r="B74" s="1" t="s">
        <v>471</v>
      </c>
      <c r="C74" s="0" t="n">
        <v>389</v>
      </c>
      <c r="D74" s="0" t="n">
        <v>484</v>
      </c>
      <c r="E74" s="0" t="s">
        <v>472</v>
      </c>
      <c r="F74" s="0" t="n">
        <v>375</v>
      </c>
      <c r="G74" s="0" t="n">
        <v>469</v>
      </c>
      <c r="H74" s="0" t="s">
        <v>230</v>
      </c>
      <c r="I74" s="0" t="n">
        <v>221</v>
      </c>
      <c r="J74" s="0" t="n">
        <v>268</v>
      </c>
      <c r="K74" s="0" t="s">
        <v>317</v>
      </c>
      <c r="L74" s="0" t="n">
        <v>35</v>
      </c>
      <c r="M74" s="0" t="n">
        <v>36</v>
      </c>
      <c r="N74" s="0" t="s">
        <v>128</v>
      </c>
      <c r="AD74" s="0" t="n">
        <v>557</v>
      </c>
      <c r="AE74" s="0" t="n">
        <v>647</v>
      </c>
      <c r="AF74" s="0" t="s">
        <v>283</v>
      </c>
      <c r="AG74" s="0" t="n">
        <v>160</v>
      </c>
      <c r="AH74" s="0" t="n">
        <v>160</v>
      </c>
      <c r="AI74" s="0" t="s">
        <v>110</v>
      </c>
      <c r="AM74" s="0" t="n">
        <v>269</v>
      </c>
      <c r="AN74" s="0" t="n">
        <v>310</v>
      </c>
      <c r="AO74" s="0" t="s">
        <v>199</v>
      </c>
      <c r="AP74" s="0" t="n">
        <v>285</v>
      </c>
      <c r="AQ74" s="0" t="n">
        <v>301</v>
      </c>
      <c r="AR74" s="0" t="s">
        <v>473</v>
      </c>
      <c r="AS74" s="0" t="n">
        <v>124</v>
      </c>
      <c r="AV74" s="0" t="n">
        <v>269</v>
      </c>
      <c r="AW74" s="0" t="n">
        <v>310</v>
      </c>
      <c r="AX74" s="0" t="s">
        <v>199</v>
      </c>
      <c r="AY74" s="0" t="n">
        <v>285</v>
      </c>
      <c r="AZ74" s="0" t="n">
        <v>301</v>
      </c>
      <c r="BA74" s="0" t="s">
        <v>473</v>
      </c>
      <c r="BB74" s="0" t="n">
        <v>124</v>
      </c>
      <c r="BE74" s="2" t="n">
        <v>42996</v>
      </c>
    </row>
    <row r="75" customFormat="false" ht="14.25" hidden="false" customHeight="false" outlineLevel="0" collapsed="false">
      <c r="A75" s="0" t="n">
        <v>74</v>
      </c>
      <c r="B75" s="1" t="s">
        <v>474</v>
      </c>
      <c r="C75" s="0" t="n">
        <v>398</v>
      </c>
      <c r="D75" s="0" t="n">
        <v>473</v>
      </c>
      <c r="E75" s="0" t="s">
        <v>347</v>
      </c>
      <c r="F75" s="0" t="n">
        <v>426</v>
      </c>
      <c r="G75" s="0" t="n">
        <v>459</v>
      </c>
      <c r="H75" s="0" t="s">
        <v>475</v>
      </c>
      <c r="I75" s="0" t="n">
        <v>210</v>
      </c>
      <c r="J75" s="0" t="n">
        <v>222</v>
      </c>
      <c r="K75" s="0" t="s">
        <v>332</v>
      </c>
      <c r="L75" s="0" t="n">
        <v>38</v>
      </c>
      <c r="M75" s="0" t="n">
        <v>359</v>
      </c>
      <c r="N75" s="0" t="s">
        <v>152</v>
      </c>
      <c r="AD75" s="0" t="n">
        <v>576</v>
      </c>
      <c r="AE75" s="0" t="n">
        <v>647</v>
      </c>
      <c r="AF75" s="0" t="s">
        <v>431</v>
      </c>
      <c r="AG75" s="0" t="n">
        <v>153</v>
      </c>
      <c r="AH75" s="0" t="n">
        <v>188</v>
      </c>
      <c r="AI75" s="0" t="s">
        <v>352</v>
      </c>
      <c r="AM75" s="0" t="n">
        <v>283</v>
      </c>
      <c r="AN75" s="0" t="n">
        <v>310</v>
      </c>
      <c r="AO75" s="0" t="s">
        <v>174</v>
      </c>
      <c r="AP75" s="0" t="n">
        <v>235</v>
      </c>
      <c r="AQ75" s="0" t="n">
        <v>302</v>
      </c>
      <c r="AR75" s="0" t="s">
        <v>422</v>
      </c>
      <c r="AS75" s="0" t="n">
        <v>141</v>
      </c>
      <c r="AV75" s="0" t="n">
        <v>283</v>
      </c>
      <c r="AW75" s="0" t="n">
        <v>310</v>
      </c>
      <c r="AX75" s="0" t="s">
        <v>174</v>
      </c>
      <c r="AY75" s="0" t="n">
        <v>235</v>
      </c>
      <c r="AZ75" s="0" t="n">
        <v>302</v>
      </c>
      <c r="BA75" s="0" t="s">
        <v>422</v>
      </c>
      <c r="BB75" s="0" t="n">
        <v>141</v>
      </c>
      <c r="BE75" s="2" t="n">
        <v>42997</v>
      </c>
    </row>
    <row r="76" customFormat="false" ht="14.25" hidden="false" customHeight="false" outlineLevel="0" collapsed="false">
      <c r="A76" s="0" t="n">
        <v>75</v>
      </c>
      <c r="B76" s="1" t="s">
        <v>476</v>
      </c>
      <c r="C76" s="0" t="n">
        <v>444</v>
      </c>
      <c r="D76" s="0" t="n">
        <v>483</v>
      </c>
      <c r="E76" s="0" t="s">
        <v>398</v>
      </c>
      <c r="F76" s="0" t="n">
        <v>397</v>
      </c>
      <c r="G76" s="0" t="n">
        <v>472</v>
      </c>
      <c r="H76" s="0" t="s">
        <v>347</v>
      </c>
      <c r="I76" s="0" t="n">
        <v>216</v>
      </c>
      <c r="J76" s="0" t="n">
        <v>221</v>
      </c>
      <c r="K76" s="0" t="s">
        <v>138</v>
      </c>
      <c r="L76" s="0" t="n">
        <v>37</v>
      </c>
      <c r="AG76" s="0" t="n">
        <v>154</v>
      </c>
      <c r="AH76" s="0" t="n">
        <v>188</v>
      </c>
      <c r="AI76" s="0" t="s">
        <v>477</v>
      </c>
      <c r="AS76" s="0" t="n">
        <v>148</v>
      </c>
      <c r="BB76" s="0" t="n">
        <v>148</v>
      </c>
      <c r="BE76" s="2" t="n">
        <v>42998</v>
      </c>
    </row>
    <row r="77" customFormat="false" ht="14.25" hidden="false" customHeight="false" outlineLevel="0" collapsed="false">
      <c r="A77" s="0" t="n">
        <v>76</v>
      </c>
      <c r="B77" s="1" t="s">
        <v>478</v>
      </c>
      <c r="C77" s="0" t="n">
        <v>402</v>
      </c>
      <c r="D77" s="0" t="n">
        <v>483</v>
      </c>
      <c r="E77" s="0" t="s">
        <v>479</v>
      </c>
      <c r="F77" s="0" t="n">
        <v>398</v>
      </c>
      <c r="G77" s="0" t="n">
        <v>470</v>
      </c>
      <c r="H77" s="0" t="s">
        <v>316</v>
      </c>
      <c r="I77" s="0" t="n">
        <v>221</v>
      </c>
      <c r="J77" s="0" t="n">
        <v>233</v>
      </c>
      <c r="K77" s="0" t="s">
        <v>191</v>
      </c>
      <c r="L77" s="0" t="n">
        <v>36</v>
      </c>
      <c r="M77" s="0" t="n">
        <v>340</v>
      </c>
      <c r="N77" s="0" t="s">
        <v>152</v>
      </c>
      <c r="AD77" s="0" t="n">
        <v>597</v>
      </c>
      <c r="AE77" s="0" t="n">
        <v>597</v>
      </c>
      <c r="AF77" s="0" t="s">
        <v>110</v>
      </c>
      <c r="AG77" s="0" t="n">
        <v>170</v>
      </c>
      <c r="AH77" s="0" t="n">
        <v>188</v>
      </c>
      <c r="AI77" s="0" t="s">
        <v>463</v>
      </c>
      <c r="AM77" s="0" t="n">
        <v>271</v>
      </c>
      <c r="AN77" s="0" t="n">
        <v>310</v>
      </c>
      <c r="AO77" s="0" t="s">
        <v>419</v>
      </c>
      <c r="AP77" s="0" t="n">
        <v>255</v>
      </c>
      <c r="AQ77" s="0" t="n">
        <v>302</v>
      </c>
      <c r="AR77" s="0" t="s">
        <v>480</v>
      </c>
      <c r="AS77" s="0" t="n">
        <v>158</v>
      </c>
      <c r="AV77" s="0" t="n">
        <v>271</v>
      </c>
      <c r="AW77" s="0" t="n">
        <v>310</v>
      </c>
      <c r="AX77" s="0" t="s">
        <v>419</v>
      </c>
      <c r="AY77" s="0" t="n">
        <v>255</v>
      </c>
      <c r="AZ77" s="0" t="n">
        <v>302</v>
      </c>
      <c r="BA77" s="0" t="s">
        <v>480</v>
      </c>
      <c r="BB77" s="0" t="n">
        <v>158</v>
      </c>
      <c r="BE77" s="2" t="n">
        <v>42999</v>
      </c>
    </row>
    <row r="78" customFormat="false" ht="14.25" hidden="false" customHeight="false" outlineLevel="0" collapsed="false">
      <c r="A78" s="0" t="n">
        <v>77</v>
      </c>
      <c r="B78" s="1" t="s">
        <v>481</v>
      </c>
      <c r="C78" s="0" t="n">
        <v>299</v>
      </c>
      <c r="D78" s="0" t="n">
        <v>370</v>
      </c>
      <c r="E78" s="0" t="s">
        <v>482</v>
      </c>
      <c r="F78" s="0" t="n">
        <v>308</v>
      </c>
      <c r="G78" s="0" t="n">
        <v>355</v>
      </c>
      <c r="H78" s="0" t="s">
        <v>199</v>
      </c>
      <c r="AD78" s="0" t="n">
        <v>424</v>
      </c>
      <c r="AE78" s="0" t="n">
        <v>479</v>
      </c>
      <c r="AF78" s="0" t="s">
        <v>414</v>
      </c>
      <c r="AG78" s="0" t="n">
        <v>136</v>
      </c>
      <c r="AH78" s="0" t="n">
        <v>143</v>
      </c>
      <c r="AI78" s="0" t="s">
        <v>210</v>
      </c>
      <c r="AM78" s="0" t="n">
        <v>191</v>
      </c>
      <c r="AN78" s="0" t="n">
        <v>229</v>
      </c>
      <c r="AO78" s="0" t="s">
        <v>393</v>
      </c>
      <c r="AS78" s="0" t="n">
        <v>163</v>
      </c>
      <c r="AV78" s="0" t="n">
        <v>191</v>
      </c>
      <c r="AW78" s="0" t="n">
        <v>229</v>
      </c>
      <c r="AX78" s="0" t="s">
        <v>393</v>
      </c>
      <c r="BB78" s="0" t="n">
        <v>163</v>
      </c>
      <c r="BE78" s="2" t="n">
        <v>43001</v>
      </c>
    </row>
    <row r="79" customFormat="false" ht="14.25" hidden="false" customHeight="false" outlineLevel="0" collapsed="false">
      <c r="A79" s="0" t="n">
        <v>78</v>
      </c>
      <c r="B79" s="1" t="s">
        <v>483</v>
      </c>
      <c r="C79" s="0" t="n">
        <v>395</v>
      </c>
      <c r="D79" s="0" t="n">
        <v>484</v>
      </c>
      <c r="E79" s="0" t="s">
        <v>484</v>
      </c>
      <c r="F79" s="0" t="n">
        <v>429</v>
      </c>
      <c r="G79" s="0" t="n">
        <v>469</v>
      </c>
      <c r="H79" s="0" t="s">
        <v>204</v>
      </c>
      <c r="I79" s="0" t="n">
        <v>259</v>
      </c>
      <c r="J79" s="0" t="n">
        <v>264</v>
      </c>
      <c r="K79" s="0" t="s">
        <v>457</v>
      </c>
      <c r="L79" s="0" t="n">
        <v>37</v>
      </c>
      <c r="M79" s="0" t="n">
        <v>359</v>
      </c>
      <c r="N79" s="0" t="s">
        <v>130</v>
      </c>
      <c r="AD79" s="0" t="n">
        <v>591</v>
      </c>
      <c r="AE79" s="0" t="n">
        <v>647</v>
      </c>
      <c r="AF79" s="0" t="s">
        <v>174</v>
      </c>
      <c r="AG79" s="0" t="n">
        <v>152</v>
      </c>
      <c r="AH79" s="0" t="n">
        <v>460</v>
      </c>
      <c r="AI79" s="0" t="s">
        <v>485</v>
      </c>
      <c r="AM79" s="0" t="n">
        <v>262</v>
      </c>
      <c r="AN79" s="0" t="n">
        <v>309</v>
      </c>
      <c r="AO79" s="0" t="s">
        <v>306</v>
      </c>
      <c r="AP79" s="0" t="n">
        <v>239</v>
      </c>
      <c r="AQ79" s="0" t="n">
        <v>301</v>
      </c>
      <c r="AR79" s="0" t="s">
        <v>242</v>
      </c>
      <c r="AS79" s="0" t="n">
        <v>172</v>
      </c>
      <c r="AT79" s="0" t="n">
        <v>252</v>
      </c>
      <c r="AU79" s="0" t="s">
        <v>261</v>
      </c>
      <c r="AV79" s="0" t="n">
        <v>262</v>
      </c>
      <c r="AW79" s="0" t="n">
        <v>309</v>
      </c>
      <c r="AX79" s="0" t="s">
        <v>306</v>
      </c>
      <c r="AY79" s="0" t="n">
        <v>239</v>
      </c>
      <c r="AZ79" s="0" t="n">
        <v>301</v>
      </c>
      <c r="BA79" s="0" t="s">
        <v>242</v>
      </c>
      <c r="BB79" s="0" t="n">
        <v>172</v>
      </c>
      <c r="BC79" s="0" t="n">
        <v>252</v>
      </c>
      <c r="BD79" s="0" t="s">
        <v>261</v>
      </c>
      <c r="BE79" s="2" t="n">
        <v>43000</v>
      </c>
    </row>
    <row r="80" customFormat="false" ht="14.25" hidden="false" customHeight="false" outlineLevel="0" collapsed="false">
      <c r="A80" s="0" t="n">
        <v>79</v>
      </c>
      <c r="B80" s="1" t="s">
        <v>486</v>
      </c>
      <c r="C80" s="0" t="n">
        <v>423</v>
      </c>
      <c r="D80" s="0" t="n">
        <v>501</v>
      </c>
      <c r="E80" s="0" t="s">
        <v>480</v>
      </c>
      <c r="F80" s="0" t="n">
        <v>431</v>
      </c>
      <c r="G80" s="0" t="n">
        <v>470</v>
      </c>
      <c r="H80" s="0" t="s">
        <v>363</v>
      </c>
      <c r="I80" s="0" t="n">
        <v>221</v>
      </c>
      <c r="J80" s="0" t="n">
        <v>221</v>
      </c>
      <c r="K80" s="0" t="s">
        <v>110</v>
      </c>
      <c r="L80" s="0" t="n">
        <v>36</v>
      </c>
      <c r="M80" s="0" t="n">
        <v>360</v>
      </c>
      <c r="N80" s="0" t="s">
        <v>169</v>
      </c>
      <c r="AD80" s="0" t="n">
        <v>619</v>
      </c>
      <c r="AE80" s="0" t="n">
        <v>648</v>
      </c>
      <c r="AF80" s="0" t="s">
        <v>127</v>
      </c>
      <c r="AG80" s="0" t="n">
        <v>169</v>
      </c>
      <c r="AH80" s="0" t="n">
        <v>169</v>
      </c>
      <c r="AI80" s="0" t="s">
        <v>110</v>
      </c>
      <c r="AM80" s="0" t="n">
        <v>254</v>
      </c>
      <c r="AN80" s="0" t="n">
        <v>310</v>
      </c>
      <c r="AO80" s="0" t="s">
        <v>477</v>
      </c>
      <c r="AP80" s="0" t="n">
        <v>246</v>
      </c>
      <c r="AQ80" s="0" t="n">
        <v>302</v>
      </c>
      <c r="AR80" s="0" t="s">
        <v>487</v>
      </c>
      <c r="AS80" s="0" t="n">
        <v>131</v>
      </c>
      <c r="AV80" s="0" t="n">
        <v>254</v>
      </c>
      <c r="AW80" s="0" t="n">
        <v>310</v>
      </c>
      <c r="AX80" s="0" t="s">
        <v>477</v>
      </c>
      <c r="AY80" s="0" t="n">
        <v>246</v>
      </c>
      <c r="AZ80" s="0" t="n">
        <v>302</v>
      </c>
      <c r="BA80" s="0" t="s">
        <v>487</v>
      </c>
      <c r="BB80" s="0" t="n">
        <v>131</v>
      </c>
      <c r="BE80" s="2" t="n">
        <v>43003</v>
      </c>
    </row>
    <row r="81" customFormat="false" ht="14.25" hidden="false" customHeight="false" outlineLevel="0" collapsed="false">
      <c r="A81" s="0" t="n">
        <v>80</v>
      </c>
      <c r="B81" s="1" t="s">
        <v>488</v>
      </c>
      <c r="C81" s="0" t="n">
        <v>411</v>
      </c>
      <c r="D81" s="0" t="n">
        <v>457</v>
      </c>
      <c r="E81" s="0" t="s">
        <v>489</v>
      </c>
      <c r="F81" s="0" t="n">
        <v>429</v>
      </c>
      <c r="G81" s="0" t="n">
        <v>460</v>
      </c>
      <c r="H81" s="0" t="s">
        <v>490</v>
      </c>
      <c r="I81" s="0" t="n">
        <v>211</v>
      </c>
      <c r="J81" s="0" t="n">
        <v>221</v>
      </c>
      <c r="K81" s="0" t="s">
        <v>127</v>
      </c>
      <c r="L81" s="0" t="n">
        <v>36</v>
      </c>
      <c r="M81" s="0" t="n">
        <v>360</v>
      </c>
      <c r="N81" s="0" t="s">
        <v>169</v>
      </c>
      <c r="AD81" s="0" t="n">
        <v>604</v>
      </c>
      <c r="AE81" s="0" t="n">
        <v>648</v>
      </c>
      <c r="AF81" s="0" t="s">
        <v>491</v>
      </c>
      <c r="AG81" s="0" t="n">
        <v>191</v>
      </c>
      <c r="AH81" s="0" t="n">
        <v>251</v>
      </c>
      <c r="AI81" s="0" t="s">
        <v>277</v>
      </c>
      <c r="AM81" s="0" t="n">
        <v>301</v>
      </c>
      <c r="AN81" s="0" t="n">
        <v>310</v>
      </c>
      <c r="AO81" s="0" t="s">
        <v>492</v>
      </c>
      <c r="AP81" s="0" t="n">
        <v>216</v>
      </c>
      <c r="AQ81" s="0" t="n">
        <v>302</v>
      </c>
      <c r="AR81" s="0" t="s">
        <v>416</v>
      </c>
      <c r="AS81" s="0" t="n">
        <v>96</v>
      </c>
      <c r="AV81" s="0" t="n">
        <v>301</v>
      </c>
      <c r="AW81" s="0" t="n">
        <v>310</v>
      </c>
      <c r="AX81" s="0" t="s">
        <v>492</v>
      </c>
      <c r="AY81" s="0" t="n">
        <v>216</v>
      </c>
      <c r="AZ81" s="0" t="n">
        <v>302</v>
      </c>
      <c r="BA81" s="0" t="s">
        <v>416</v>
      </c>
      <c r="BB81" s="0" t="n">
        <v>96</v>
      </c>
      <c r="BE81" s="2" t="n">
        <v>43004</v>
      </c>
    </row>
    <row r="82" customFormat="false" ht="14.25" hidden="false" customHeight="false" outlineLevel="0" collapsed="false">
      <c r="A82" s="0" t="n">
        <v>81</v>
      </c>
      <c r="B82" s="1" t="s">
        <v>493</v>
      </c>
      <c r="C82" s="0" t="n">
        <v>428</v>
      </c>
      <c r="D82" s="0" t="n">
        <v>483</v>
      </c>
      <c r="E82" s="0" t="s">
        <v>305</v>
      </c>
      <c r="F82" s="0" t="n">
        <v>411</v>
      </c>
      <c r="G82" s="0" t="n">
        <v>469</v>
      </c>
      <c r="H82" s="0" t="s">
        <v>339</v>
      </c>
      <c r="I82" s="0" t="n">
        <v>221</v>
      </c>
      <c r="J82" s="0" t="n">
        <v>221</v>
      </c>
      <c r="K82" s="0" t="s">
        <v>110</v>
      </c>
      <c r="L82" s="0" t="n">
        <v>37</v>
      </c>
      <c r="M82" s="0" t="n">
        <v>359</v>
      </c>
      <c r="N82" s="0" t="s">
        <v>130</v>
      </c>
      <c r="AD82" s="0" t="n">
        <v>583</v>
      </c>
      <c r="AE82" s="0" t="n">
        <v>646</v>
      </c>
      <c r="AF82" s="0" t="s">
        <v>161</v>
      </c>
      <c r="AG82" s="0" t="n">
        <v>182</v>
      </c>
      <c r="AH82" s="0" t="n">
        <v>459</v>
      </c>
      <c r="AI82" s="0" t="s">
        <v>494</v>
      </c>
      <c r="AM82" s="0" t="n">
        <v>282</v>
      </c>
      <c r="AN82" s="0" t="n">
        <v>309</v>
      </c>
      <c r="AO82" s="0" t="s">
        <v>174</v>
      </c>
      <c r="AP82" s="0" t="n">
        <v>233</v>
      </c>
      <c r="AQ82" s="0" t="n">
        <v>302</v>
      </c>
      <c r="AR82" s="0" t="s">
        <v>240</v>
      </c>
      <c r="AS82" s="0" t="n">
        <v>80</v>
      </c>
      <c r="AT82" s="0" t="n">
        <v>176</v>
      </c>
      <c r="AU82" s="0" t="s">
        <v>495</v>
      </c>
      <c r="AV82" s="0" t="n">
        <v>282</v>
      </c>
      <c r="AW82" s="0" t="n">
        <v>309</v>
      </c>
      <c r="AX82" s="0" t="s">
        <v>174</v>
      </c>
      <c r="AY82" s="0" t="n">
        <v>233</v>
      </c>
      <c r="AZ82" s="0" t="n">
        <v>302</v>
      </c>
      <c r="BA82" s="0" t="s">
        <v>240</v>
      </c>
      <c r="BB82" s="0" t="n">
        <v>80</v>
      </c>
      <c r="BC82" s="0" t="n">
        <v>176</v>
      </c>
      <c r="BD82" s="0" t="s">
        <v>495</v>
      </c>
      <c r="BE82" s="2" t="n">
        <v>43005</v>
      </c>
    </row>
    <row r="83" customFormat="false" ht="14.25" hidden="false" customHeight="false" outlineLevel="0" collapsed="false">
      <c r="A83" s="0" t="n">
        <v>82</v>
      </c>
      <c r="B83" s="1" t="s">
        <v>496</v>
      </c>
      <c r="C83" s="0" t="n">
        <v>359</v>
      </c>
      <c r="D83" s="0" t="n">
        <v>419</v>
      </c>
      <c r="E83" s="0" t="s">
        <v>381</v>
      </c>
      <c r="F83" s="0" t="n">
        <v>347</v>
      </c>
      <c r="G83" s="0" t="n">
        <v>407</v>
      </c>
      <c r="H83" s="0" t="s">
        <v>390</v>
      </c>
      <c r="I83" s="0" t="n">
        <v>161</v>
      </c>
      <c r="J83" s="0" t="n">
        <v>165</v>
      </c>
      <c r="K83" s="0" t="s">
        <v>497</v>
      </c>
      <c r="L83" s="0" t="n">
        <v>36</v>
      </c>
      <c r="M83" s="0" t="n">
        <v>360</v>
      </c>
      <c r="N83" s="0" t="s">
        <v>169</v>
      </c>
      <c r="AD83" s="0" t="n">
        <v>578</v>
      </c>
      <c r="AE83" s="0" t="n">
        <v>646</v>
      </c>
      <c r="AF83" s="0" t="s">
        <v>122</v>
      </c>
      <c r="AG83" s="0" t="n">
        <v>207</v>
      </c>
      <c r="AH83" s="0" t="n">
        <v>460</v>
      </c>
      <c r="AI83" s="0" t="s">
        <v>498</v>
      </c>
      <c r="AM83" s="0" t="n">
        <v>209</v>
      </c>
      <c r="AN83" s="0" t="n">
        <v>309</v>
      </c>
      <c r="AO83" s="0" t="s">
        <v>247</v>
      </c>
      <c r="AP83" s="0" t="n">
        <v>235</v>
      </c>
      <c r="AQ83" s="0" t="n">
        <v>302</v>
      </c>
      <c r="AR83" s="0" t="s">
        <v>422</v>
      </c>
      <c r="AS83" s="0" t="n">
        <v>80</v>
      </c>
      <c r="AV83" s="0" t="n">
        <v>209</v>
      </c>
      <c r="AW83" s="0" t="n">
        <v>309</v>
      </c>
      <c r="AX83" s="0" t="s">
        <v>247</v>
      </c>
      <c r="AY83" s="0" t="n">
        <v>235</v>
      </c>
      <c r="AZ83" s="0" t="n">
        <v>302</v>
      </c>
      <c r="BA83" s="0" t="s">
        <v>422</v>
      </c>
      <c r="BB83" s="0" t="n">
        <v>80</v>
      </c>
      <c r="BE83" s="2" t="n">
        <v>43010</v>
      </c>
    </row>
    <row r="84" customFormat="false" ht="14.25" hidden="false" customHeight="false" outlineLevel="0" collapsed="false">
      <c r="A84" s="0" t="n">
        <v>83</v>
      </c>
      <c r="B84" s="1" t="s">
        <v>499</v>
      </c>
      <c r="C84" s="0" t="n">
        <v>416</v>
      </c>
      <c r="D84" s="0" t="n">
        <v>469</v>
      </c>
      <c r="E84" s="0" t="s">
        <v>198</v>
      </c>
      <c r="F84" s="0" t="n">
        <v>398</v>
      </c>
      <c r="G84" s="0" t="n">
        <v>435</v>
      </c>
      <c r="H84" s="0" t="s">
        <v>204</v>
      </c>
      <c r="I84" s="0" t="n">
        <v>200</v>
      </c>
      <c r="J84" s="0" t="n">
        <v>262</v>
      </c>
      <c r="K84" s="0" t="s">
        <v>500</v>
      </c>
      <c r="L84" s="0" t="n">
        <v>37</v>
      </c>
      <c r="M84" s="0" t="n">
        <v>340</v>
      </c>
      <c r="N84" s="0" t="s">
        <v>353</v>
      </c>
      <c r="AD84" s="0" t="n">
        <v>565</v>
      </c>
      <c r="AE84" s="0" t="n">
        <v>647</v>
      </c>
      <c r="AF84" s="0" t="s">
        <v>501</v>
      </c>
      <c r="AG84" s="0" t="n">
        <v>200</v>
      </c>
      <c r="AH84" s="0" t="n">
        <v>251</v>
      </c>
      <c r="AI84" s="0" t="s">
        <v>445</v>
      </c>
      <c r="AM84" s="0" t="n">
        <v>256</v>
      </c>
      <c r="AN84" s="0" t="n">
        <v>310</v>
      </c>
      <c r="AO84" s="0" t="s">
        <v>114</v>
      </c>
      <c r="AP84" s="0" t="n">
        <v>174</v>
      </c>
      <c r="AQ84" s="0" t="n">
        <v>302</v>
      </c>
      <c r="AR84" s="0" t="s">
        <v>502</v>
      </c>
      <c r="AS84" s="0" t="n">
        <v>82</v>
      </c>
      <c r="AV84" s="0" t="n">
        <v>256</v>
      </c>
      <c r="AW84" s="0" t="n">
        <v>310</v>
      </c>
      <c r="AX84" s="0" t="s">
        <v>114</v>
      </c>
      <c r="AY84" s="0" t="n">
        <v>174</v>
      </c>
      <c r="AZ84" s="0" t="n">
        <v>302</v>
      </c>
      <c r="BA84" s="0" t="s">
        <v>502</v>
      </c>
      <c r="BB84" s="0" t="n">
        <v>82</v>
      </c>
      <c r="BE84" s="2" t="n">
        <v>43007</v>
      </c>
    </row>
    <row r="85" customFormat="false" ht="14.25" hidden="false" customHeight="false" outlineLevel="0" collapsed="false">
      <c r="A85" s="0" t="n">
        <v>84</v>
      </c>
      <c r="B85" s="1" t="s">
        <v>503</v>
      </c>
      <c r="C85" s="0" t="n">
        <v>416</v>
      </c>
      <c r="D85" s="0" t="n">
        <v>484</v>
      </c>
      <c r="E85" s="0" t="s">
        <v>504</v>
      </c>
      <c r="F85" s="0" t="n">
        <v>398</v>
      </c>
      <c r="I85" s="0" t="n">
        <v>219</v>
      </c>
      <c r="L85" s="0" t="n">
        <v>37</v>
      </c>
      <c r="M85" s="0" t="n">
        <v>340</v>
      </c>
      <c r="N85" s="0" t="s">
        <v>353</v>
      </c>
      <c r="AD85" s="0" t="n">
        <v>619</v>
      </c>
      <c r="AE85" s="0" t="n">
        <v>647</v>
      </c>
      <c r="AF85" s="0" t="s">
        <v>144</v>
      </c>
      <c r="AG85" s="0" t="n">
        <v>197</v>
      </c>
      <c r="AH85" s="0" t="n">
        <v>459</v>
      </c>
      <c r="AI85" s="0" t="s">
        <v>505</v>
      </c>
      <c r="AM85" s="0" t="n">
        <v>275</v>
      </c>
      <c r="AN85" s="0" t="n">
        <v>309</v>
      </c>
      <c r="AO85" s="0" t="s">
        <v>431</v>
      </c>
      <c r="AP85" s="0" t="n">
        <v>260</v>
      </c>
      <c r="AQ85" s="0" t="n">
        <v>302</v>
      </c>
      <c r="AR85" s="0" t="s">
        <v>283</v>
      </c>
      <c r="AS85" s="0" t="n">
        <v>89</v>
      </c>
      <c r="AT85" s="0" t="n">
        <v>177</v>
      </c>
      <c r="AU85" s="0" t="s">
        <v>506</v>
      </c>
      <c r="AV85" s="0" t="n">
        <v>275</v>
      </c>
      <c r="AW85" s="0" t="n">
        <v>309</v>
      </c>
      <c r="AX85" s="0" t="s">
        <v>431</v>
      </c>
      <c r="AY85" s="0" t="n">
        <v>260</v>
      </c>
      <c r="AZ85" s="0" t="n">
        <v>302</v>
      </c>
      <c r="BA85" s="0" t="s">
        <v>283</v>
      </c>
      <c r="BB85" s="0" t="n">
        <v>89</v>
      </c>
      <c r="BC85" s="0" t="n">
        <v>177</v>
      </c>
      <c r="BD85" s="0" t="s">
        <v>506</v>
      </c>
      <c r="BE85" s="2" t="n">
        <v>43006</v>
      </c>
    </row>
    <row r="86" customFormat="false" ht="14.25" hidden="false" customHeight="false" outlineLevel="0" collapsed="false">
      <c r="A86" s="0" t="n">
        <v>85</v>
      </c>
      <c r="B86" s="1" t="s">
        <v>507</v>
      </c>
      <c r="C86" s="0" t="n">
        <v>357</v>
      </c>
      <c r="D86" s="0" t="n">
        <v>410</v>
      </c>
      <c r="E86" s="0" t="s">
        <v>401</v>
      </c>
      <c r="F86" s="0" t="n">
        <v>349</v>
      </c>
      <c r="G86" s="0" t="n">
        <v>398</v>
      </c>
      <c r="H86" s="0" t="s">
        <v>386</v>
      </c>
      <c r="I86" s="0" t="n">
        <v>161</v>
      </c>
      <c r="J86" s="0" t="n">
        <v>165</v>
      </c>
      <c r="K86" s="0" t="s">
        <v>497</v>
      </c>
      <c r="L86" s="0" t="n">
        <v>36</v>
      </c>
      <c r="M86" s="0" t="n">
        <v>360</v>
      </c>
      <c r="N86" s="0" t="s">
        <v>169</v>
      </c>
      <c r="AD86" s="0" t="n">
        <v>597</v>
      </c>
      <c r="AE86" s="0" t="n">
        <v>647</v>
      </c>
      <c r="AF86" s="0" t="s">
        <v>193</v>
      </c>
      <c r="AG86" s="0" t="n">
        <v>216</v>
      </c>
      <c r="AH86" s="0" t="n">
        <v>459</v>
      </c>
      <c r="AI86" s="0" t="s">
        <v>508</v>
      </c>
      <c r="AM86" s="0" t="n">
        <v>265</v>
      </c>
      <c r="AN86" s="0" t="n">
        <v>310</v>
      </c>
      <c r="AO86" s="0" t="s">
        <v>509</v>
      </c>
      <c r="AP86" s="0" t="n">
        <v>216</v>
      </c>
      <c r="AQ86" s="0" t="n">
        <v>301</v>
      </c>
      <c r="AR86" s="0" t="s">
        <v>150</v>
      </c>
      <c r="AS86" s="0" t="n">
        <v>93</v>
      </c>
      <c r="AT86" s="0" t="n">
        <v>177</v>
      </c>
      <c r="AU86" s="0" t="s">
        <v>510</v>
      </c>
      <c r="AV86" s="0" t="n">
        <v>265</v>
      </c>
      <c r="AW86" s="0" t="n">
        <v>310</v>
      </c>
      <c r="AX86" s="0" t="s">
        <v>509</v>
      </c>
      <c r="AY86" s="0" t="n">
        <v>216</v>
      </c>
      <c r="AZ86" s="0" t="n">
        <v>301</v>
      </c>
      <c r="BA86" s="0" t="s">
        <v>150</v>
      </c>
      <c r="BB86" s="0" t="n">
        <v>93</v>
      </c>
      <c r="BC86" s="0" t="n">
        <v>177</v>
      </c>
      <c r="BD86" s="0" t="s">
        <v>510</v>
      </c>
      <c r="BE86" s="2" t="n">
        <v>43011</v>
      </c>
    </row>
    <row r="87" customFormat="false" ht="14.25" hidden="false" customHeight="false" outlineLevel="0" collapsed="false">
      <c r="A87" s="0" t="n">
        <v>86</v>
      </c>
      <c r="B87" s="1" t="s">
        <v>511</v>
      </c>
      <c r="C87" s="0" t="n">
        <v>358</v>
      </c>
      <c r="D87" s="0" t="n">
        <v>419</v>
      </c>
      <c r="E87" s="0" t="s">
        <v>318</v>
      </c>
      <c r="F87" s="0" t="n">
        <v>349</v>
      </c>
      <c r="G87" s="0" t="n">
        <v>408</v>
      </c>
      <c r="H87" s="0" t="s">
        <v>509</v>
      </c>
      <c r="I87" s="0" t="n">
        <v>162</v>
      </c>
      <c r="J87" s="0" t="n">
        <v>166</v>
      </c>
      <c r="K87" s="0" t="s">
        <v>497</v>
      </c>
      <c r="L87" s="0" t="n">
        <v>37</v>
      </c>
      <c r="M87" s="0" t="n">
        <v>359</v>
      </c>
      <c r="N87" s="0" t="s">
        <v>130</v>
      </c>
      <c r="AD87" s="0" t="n">
        <v>593</v>
      </c>
      <c r="AE87" s="0" t="n">
        <v>647</v>
      </c>
      <c r="AF87" s="0" t="s">
        <v>363</v>
      </c>
      <c r="AG87" s="0" t="n">
        <v>205</v>
      </c>
      <c r="AH87" s="0" t="n">
        <v>459</v>
      </c>
      <c r="AI87" s="0" t="s">
        <v>512</v>
      </c>
      <c r="AJ87" s="0" t="n">
        <v>1</v>
      </c>
      <c r="AM87" s="0" t="n">
        <v>277</v>
      </c>
      <c r="AN87" s="0" t="n">
        <v>310</v>
      </c>
      <c r="AO87" s="0" t="s">
        <v>396</v>
      </c>
      <c r="AP87" s="0" t="n">
        <v>242</v>
      </c>
      <c r="AQ87" s="0" t="n">
        <v>302</v>
      </c>
      <c r="AR87" s="0" t="s">
        <v>513</v>
      </c>
      <c r="AS87" s="0" t="n">
        <v>81</v>
      </c>
      <c r="AT87" s="0" t="n">
        <v>177</v>
      </c>
      <c r="AU87" s="0" t="s">
        <v>514</v>
      </c>
      <c r="AV87" s="0" t="n">
        <v>277</v>
      </c>
      <c r="AW87" s="0" t="n">
        <v>310</v>
      </c>
      <c r="AX87" s="0" t="s">
        <v>396</v>
      </c>
      <c r="AY87" s="0" t="n">
        <v>242</v>
      </c>
      <c r="AZ87" s="0" t="n">
        <v>302</v>
      </c>
      <c r="BA87" s="0" t="s">
        <v>513</v>
      </c>
      <c r="BB87" s="0" t="n">
        <v>81</v>
      </c>
      <c r="BC87" s="0" t="n">
        <v>177</v>
      </c>
      <c r="BD87" s="0" t="s">
        <v>514</v>
      </c>
      <c r="BE87" s="2" t="n">
        <v>43012</v>
      </c>
    </row>
    <row r="88" customFormat="false" ht="14.25" hidden="false" customHeight="false" outlineLevel="0" collapsed="false">
      <c r="A88" s="0" t="n">
        <v>87</v>
      </c>
      <c r="B88" s="1" t="s">
        <v>515</v>
      </c>
      <c r="C88" s="0" t="n">
        <v>425</v>
      </c>
      <c r="D88" s="0" t="n">
        <v>483</v>
      </c>
      <c r="E88" s="0" t="s">
        <v>158</v>
      </c>
      <c r="F88" s="0" t="n">
        <v>386</v>
      </c>
      <c r="G88" s="0" t="n">
        <v>469</v>
      </c>
      <c r="H88" s="0" t="s">
        <v>159</v>
      </c>
      <c r="I88" s="0" t="n">
        <v>203</v>
      </c>
      <c r="J88" s="0" t="n">
        <v>204</v>
      </c>
      <c r="K88" s="0" t="s">
        <v>516</v>
      </c>
      <c r="L88" s="0" t="n">
        <v>36</v>
      </c>
      <c r="M88" s="0" t="n">
        <v>350</v>
      </c>
      <c r="N88" s="0" t="s">
        <v>130</v>
      </c>
      <c r="AD88" s="0" t="n">
        <v>611</v>
      </c>
      <c r="AE88" s="0" t="n">
        <v>646</v>
      </c>
      <c r="AF88" s="0" t="s">
        <v>332</v>
      </c>
      <c r="AG88" s="0" t="n">
        <v>208</v>
      </c>
      <c r="AH88" s="0" t="n">
        <v>459</v>
      </c>
      <c r="AI88" s="0" t="s">
        <v>517</v>
      </c>
      <c r="AM88" s="0" t="n">
        <v>244</v>
      </c>
      <c r="AN88" s="0" t="n">
        <v>309</v>
      </c>
      <c r="AO88" s="0" t="s">
        <v>328</v>
      </c>
      <c r="AP88" s="0" t="n">
        <v>256</v>
      </c>
      <c r="AQ88" s="0" t="n">
        <v>301</v>
      </c>
      <c r="AR88" s="0" t="s">
        <v>518</v>
      </c>
      <c r="AS88" s="0" t="n">
        <v>99</v>
      </c>
      <c r="AT88" s="0" t="n">
        <v>251</v>
      </c>
      <c r="AU88" s="0" t="s">
        <v>519</v>
      </c>
      <c r="AV88" s="0" t="n">
        <v>244</v>
      </c>
      <c r="AW88" s="0" t="n">
        <v>309</v>
      </c>
      <c r="AX88" s="0" t="s">
        <v>328</v>
      </c>
      <c r="AY88" s="0" t="n">
        <v>256</v>
      </c>
      <c r="AZ88" s="0" t="n">
        <v>301</v>
      </c>
      <c r="BA88" s="0" t="s">
        <v>518</v>
      </c>
      <c r="BB88" s="0" t="n">
        <v>99</v>
      </c>
      <c r="BC88" s="0" t="n">
        <v>251</v>
      </c>
      <c r="BD88" s="0" t="s">
        <v>519</v>
      </c>
      <c r="BE88" s="2" t="n">
        <v>43014</v>
      </c>
    </row>
    <row r="89" customFormat="false" ht="14.25" hidden="false" customHeight="false" outlineLevel="0" collapsed="false">
      <c r="A89" s="0" t="n">
        <v>88</v>
      </c>
      <c r="B89" s="1" t="s">
        <v>520</v>
      </c>
      <c r="C89" s="0" t="n">
        <v>359</v>
      </c>
      <c r="D89" s="0" t="n">
        <v>419</v>
      </c>
      <c r="E89" s="0" t="s">
        <v>381</v>
      </c>
      <c r="F89" s="0" t="n">
        <v>342</v>
      </c>
      <c r="G89" s="0" t="n">
        <v>408</v>
      </c>
      <c r="H89" s="0" t="s">
        <v>521</v>
      </c>
      <c r="I89" s="0" t="n">
        <v>174</v>
      </c>
      <c r="J89" s="0" t="n">
        <v>1659</v>
      </c>
      <c r="K89" s="0" t="s">
        <v>522</v>
      </c>
      <c r="L89" s="0" t="n">
        <v>37</v>
      </c>
      <c r="M89" s="0" t="n">
        <v>340</v>
      </c>
      <c r="N89" s="0" t="s">
        <v>353</v>
      </c>
      <c r="AD89" s="0" t="n">
        <v>609</v>
      </c>
      <c r="AE89" s="0" t="n">
        <v>646</v>
      </c>
      <c r="AF89" s="0" t="s">
        <v>523</v>
      </c>
      <c r="AG89" s="0" t="n">
        <v>217</v>
      </c>
      <c r="AH89" s="0" t="n">
        <v>460</v>
      </c>
      <c r="AI89" s="0" t="s">
        <v>254</v>
      </c>
      <c r="AJ89" s="0" t="n">
        <v>1</v>
      </c>
      <c r="AM89" s="0" t="n">
        <v>270</v>
      </c>
      <c r="AN89" s="0" t="n">
        <v>309</v>
      </c>
      <c r="AO89" s="0" t="s">
        <v>419</v>
      </c>
      <c r="AP89" s="0" t="n">
        <v>255</v>
      </c>
      <c r="AQ89" s="0" t="n">
        <v>301</v>
      </c>
      <c r="AR89" s="0" t="s">
        <v>316</v>
      </c>
      <c r="AS89" s="0" t="n">
        <v>69</v>
      </c>
      <c r="AT89" s="0" t="n">
        <v>177</v>
      </c>
      <c r="AU89" s="0" t="s">
        <v>524</v>
      </c>
      <c r="AV89" s="0" t="n">
        <v>270</v>
      </c>
      <c r="AW89" s="0" t="n">
        <v>309</v>
      </c>
      <c r="AX89" s="0" t="s">
        <v>419</v>
      </c>
      <c r="AY89" s="0" t="n">
        <v>255</v>
      </c>
      <c r="AZ89" s="0" t="n">
        <v>301</v>
      </c>
      <c r="BA89" s="0" t="s">
        <v>316</v>
      </c>
      <c r="BB89" s="0" t="n">
        <v>69</v>
      </c>
      <c r="BC89" s="0" t="n">
        <v>177</v>
      </c>
      <c r="BD89" s="0" t="s">
        <v>524</v>
      </c>
      <c r="BE89" s="2" t="n">
        <v>43013</v>
      </c>
    </row>
    <row r="90" customFormat="false" ht="14.25" hidden="false" customHeight="false" outlineLevel="0" collapsed="false">
      <c r="A90" s="0" t="n">
        <v>89</v>
      </c>
      <c r="B90" s="1" t="s">
        <v>525</v>
      </c>
      <c r="C90" s="0" t="n">
        <v>429</v>
      </c>
      <c r="D90" s="0" t="n">
        <v>483</v>
      </c>
      <c r="E90" s="0" t="s">
        <v>166</v>
      </c>
      <c r="F90" s="0" t="n">
        <v>407</v>
      </c>
      <c r="G90" s="0" t="n">
        <v>469</v>
      </c>
      <c r="H90" s="0" t="s">
        <v>199</v>
      </c>
      <c r="I90" s="0" t="n">
        <v>207</v>
      </c>
      <c r="J90" s="0" t="n">
        <v>211</v>
      </c>
      <c r="K90" s="0" t="s">
        <v>457</v>
      </c>
      <c r="L90" s="0" t="n">
        <v>36</v>
      </c>
      <c r="M90" s="0" t="n">
        <v>360</v>
      </c>
      <c r="N90" s="0" t="s">
        <v>169</v>
      </c>
      <c r="AD90" s="0" t="n">
        <v>607</v>
      </c>
      <c r="AE90" s="0" t="n">
        <v>646</v>
      </c>
      <c r="AF90" s="0" t="s">
        <v>526</v>
      </c>
      <c r="AG90" s="0" t="n">
        <v>204</v>
      </c>
      <c r="AH90" s="0" t="n">
        <v>459</v>
      </c>
      <c r="AI90" s="0" t="s">
        <v>527</v>
      </c>
      <c r="AM90" s="0" t="n">
        <v>274</v>
      </c>
      <c r="AN90" s="0" t="n">
        <v>309</v>
      </c>
      <c r="AO90" s="0" t="s">
        <v>198</v>
      </c>
      <c r="AP90" s="0" t="n">
        <v>230</v>
      </c>
      <c r="AQ90" s="0" t="n">
        <v>301</v>
      </c>
      <c r="AR90" s="0" t="s">
        <v>290</v>
      </c>
      <c r="AS90" s="0" t="n">
        <v>1</v>
      </c>
      <c r="AV90" s="0" t="n">
        <v>274</v>
      </c>
      <c r="AW90" s="0" t="n">
        <v>309</v>
      </c>
      <c r="AX90" s="0" t="s">
        <v>198</v>
      </c>
      <c r="AY90" s="0" t="n">
        <v>230</v>
      </c>
      <c r="AZ90" s="0" t="n">
        <v>301</v>
      </c>
      <c r="BA90" s="0" t="s">
        <v>290</v>
      </c>
      <c r="BB90" s="0" t="n">
        <v>1</v>
      </c>
      <c r="BE90" s="2" t="n">
        <v>43017</v>
      </c>
    </row>
    <row r="91" customFormat="false" ht="14.25" hidden="false" customHeight="false" outlineLevel="0" collapsed="false">
      <c r="A91" s="0" t="n">
        <v>90</v>
      </c>
      <c r="B91" s="1" t="s">
        <v>528</v>
      </c>
      <c r="C91" s="0" t="n">
        <v>415</v>
      </c>
      <c r="D91" s="0" t="n">
        <v>472</v>
      </c>
      <c r="E91" s="0" t="s">
        <v>311</v>
      </c>
      <c r="F91" s="0" t="n">
        <v>394</v>
      </c>
      <c r="G91" s="0" t="n">
        <v>460</v>
      </c>
      <c r="H91" s="0" t="s">
        <v>381</v>
      </c>
      <c r="I91" s="0" t="n">
        <v>188</v>
      </c>
      <c r="J91" s="0" t="n">
        <v>210</v>
      </c>
      <c r="K91" s="0" t="s">
        <v>122</v>
      </c>
      <c r="L91" s="0" t="n">
        <v>34</v>
      </c>
      <c r="M91" s="0" t="n">
        <v>36</v>
      </c>
      <c r="N91" s="0" t="s">
        <v>160</v>
      </c>
      <c r="AD91" s="0" t="n">
        <v>592</v>
      </c>
      <c r="AE91" s="0" t="n">
        <v>646</v>
      </c>
      <c r="AF91" s="0" t="s">
        <v>292</v>
      </c>
      <c r="AG91" s="0" t="n">
        <v>197</v>
      </c>
      <c r="AH91" s="0" t="n">
        <v>459</v>
      </c>
      <c r="AI91" s="0" t="s">
        <v>505</v>
      </c>
      <c r="AJ91" s="0" t="n">
        <v>2</v>
      </c>
      <c r="AM91" s="0" t="n">
        <v>274</v>
      </c>
      <c r="AN91" s="0" t="n">
        <v>309</v>
      </c>
      <c r="AO91" s="0" t="s">
        <v>198</v>
      </c>
      <c r="AP91" s="0" t="n">
        <v>267</v>
      </c>
      <c r="AQ91" s="0" t="n">
        <v>302</v>
      </c>
      <c r="AR91" s="0" t="s">
        <v>400</v>
      </c>
      <c r="AS91" s="0" t="n">
        <v>1</v>
      </c>
      <c r="AV91" s="0" t="n">
        <v>274</v>
      </c>
      <c r="AW91" s="0" t="n">
        <v>309</v>
      </c>
      <c r="AX91" s="0" t="s">
        <v>198</v>
      </c>
      <c r="AY91" s="0" t="n">
        <v>267</v>
      </c>
      <c r="AZ91" s="0" t="n">
        <v>302</v>
      </c>
      <c r="BA91" s="0" t="s">
        <v>400</v>
      </c>
      <c r="BB91" s="0" t="n">
        <v>1</v>
      </c>
      <c r="BE91" s="2" t="n">
        <v>43018</v>
      </c>
    </row>
    <row r="92" customFormat="false" ht="14.25" hidden="false" customHeight="false" outlineLevel="0" collapsed="false">
      <c r="A92" s="0" t="n">
        <v>91</v>
      </c>
      <c r="B92" s="1" t="s">
        <v>529</v>
      </c>
      <c r="C92" s="0" t="n">
        <v>436</v>
      </c>
      <c r="D92" s="0" t="n">
        <v>484</v>
      </c>
      <c r="E92" s="0" t="s">
        <v>530</v>
      </c>
      <c r="F92" s="0" t="n">
        <v>357</v>
      </c>
      <c r="G92" s="0" t="n">
        <v>469</v>
      </c>
      <c r="H92" s="0" t="s">
        <v>277</v>
      </c>
      <c r="I92" s="0" t="n">
        <v>109</v>
      </c>
      <c r="J92" s="0" t="n">
        <v>210</v>
      </c>
      <c r="K92" s="0" t="s">
        <v>531</v>
      </c>
      <c r="L92" s="0" t="n">
        <v>37</v>
      </c>
      <c r="M92" s="0" t="n">
        <v>359</v>
      </c>
      <c r="N92" s="0" t="s">
        <v>130</v>
      </c>
      <c r="AD92" s="0" t="n">
        <v>612</v>
      </c>
      <c r="AE92" s="0" t="n">
        <v>647</v>
      </c>
      <c r="AF92" s="0" t="s">
        <v>332</v>
      </c>
      <c r="AG92" s="0" t="n">
        <v>194</v>
      </c>
      <c r="AH92" s="0" t="n">
        <v>460</v>
      </c>
      <c r="AI92" s="0" t="s">
        <v>532</v>
      </c>
      <c r="AM92" s="0" t="n">
        <v>270</v>
      </c>
      <c r="AP92" s="0" t="n">
        <v>262</v>
      </c>
      <c r="AS92" s="0" t="n">
        <v>1</v>
      </c>
      <c r="AV92" s="0" t="n">
        <v>270</v>
      </c>
      <c r="AY92" s="0" t="n">
        <v>262</v>
      </c>
      <c r="BB92" s="0" t="n">
        <v>1</v>
      </c>
      <c r="BE92" s="2" t="n">
        <v>43019</v>
      </c>
    </row>
    <row r="93" customFormat="false" ht="14.25" hidden="false" customHeight="false" outlineLevel="0" collapsed="false">
      <c r="A93" s="0" t="n">
        <v>92</v>
      </c>
      <c r="B93" s="1" t="s">
        <v>533</v>
      </c>
      <c r="C93" s="0" t="n">
        <v>408</v>
      </c>
      <c r="D93" s="0" t="n">
        <v>472</v>
      </c>
      <c r="E93" s="0" t="s">
        <v>167</v>
      </c>
      <c r="F93" s="0" t="n">
        <v>407</v>
      </c>
      <c r="G93" s="0" t="n">
        <v>459</v>
      </c>
      <c r="H93" s="0" t="s">
        <v>198</v>
      </c>
      <c r="I93" s="0" t="n">
        <v>235</v>
      </c>
      <c r="J93" s="0" t="n">
        <v>2349</v>
      </c>
      <c r="K93" s="0" t="s">
        <v>169</v>
      </c>
      <c r="L93" s="0" t="n">
        <v>35</v>
      </c>
      <c r="M93" s="0" t="n">
        <v>36</v>
      </c>
      <c r="N93" s="0" t="s">
        <v>128</v>
      </c>
      <c r="AD93" s="0" t="n">
        <v>558</v>
      </c>
      <c r="AE93" s="0" t="n">
        <v>647</v>
      </c>
      <c r="AF93" s="0" t="s">
        <v>534</v>
      </c>
      <c r="AG93" s="0" t="n">
        <v>220</v>
      </c>
      <c r="AH93" s="0" t="n">
        <v>459</v>
      </c>
      <c r="AI93" s="0" t="s">
        <v>535</v>
      </c>
      <c r="AJ93" s="0" t="n">
        <v>1</v>
      </c>
      <c r="AM93" s="0" t="n">
        <v>165</v>
      </c>
      <c r="AN93" s="0" t="n">
        <v>309</v>
      </c>
      <c r="AO93" s="0" t="s">
        <v>536</v>
      </c>
      <c r="AP93" s="0" t="n">
        <v>242</v>
      </c>
      <c r="AQ93" s="0" t="n">
        <v>302</v>
      </c>
      <c r="AR93" s="0" t="s">
        <v>513</v>
      </c>
      <c r="AV93" s="0" t="n">
        <v>165</v>
      </c>
      <c r="AW93" s="0" t="n">
        <v>309</v>
      </c>
      <c r="AX93" s="0" t="s">
        <v>536</v>
      </c>
      <c r="AY93" s="0" t="n">
        <v>242</v>
      </c>
      <c r="AZ93" s="0" t="n">
        <v>302</v>
      </c>
      <c r="BA93" s="0" t="s">
        <v>513</v>
      </c>
      <c r="BE93" s="2" t="n">
        <v>43024</v>
      </c>
    </row>
    <row r="94" customFormat="false" ht="14.25" hidden="false" customHeight="false" outlineLevel="0" collapsed="false">
      <c r="A94" s="0" t="n">
        <v>93</v>
      </c>
      <c r="B94" s="1" t="s">
        <v>537</v>
      </c>
      <c r="C94" s="0" t="n">
        <v>421</v>
      </c>
      <c r="D94" s="0" t="n">
        <v>461</v>
      </c>
      <c r="E94" s="0" t="s">
        <v>174</v>
      </c>
      <c r="F94" s="0" t="n">
        <v>435</v>
      </c>
      <c r="G94" s="0" t="n">
        <v>446</v>
      </c>
      <c r="H94" s="0" t="s">
        <v>370</v>
      </c>
      <c r="I94" s="0" t="n">
        <v>237</v>
      </c>
      <c r="J94" s="0" t="n">
        <v>241</v>
      </c>
      <c r="K94" s="0" t="s">
        <v>179</v>
      </c>
      <c r="L94" s="0" t="n">
        <v>37</v>
      </c>
      <c r="M94" s="0" t="n">
        <v>359</v>
      </c>
      <c r="N94" s="0" t="s">
        <v>130</v>
      </c>
      <c r="AD94" s="0" t="n">
        <v>625</v>
      </c>
      <c r="AE94" s="0" t="n">
        <v>646</v>
      </c>
      <c r="AF94" s="0" t="s">
        <v>538</v>
      </c>
      <c r="AG94" s="0" t="n">
        <v>173</v>
      </c>
      <c r="AH94" s="0" t="n">
        <v>459</v>
      </c>
      <c r="AI94" s="0" t="s">
        <v>539</v>
      </c>
      <c r="AM94" s="0" t="n">
        <v>248</v>
      </c>
      <c r="AN94" s="0" t="n">
        <v>310</v>
      </c>
      <c r="AO94" s="0" t="s">
        <v>230</v>
      </c>
      <c r="AP94" s="0" t="n">
        <v>227</v>
      </c>
      <c r="AQ94" s="0" t="n">
        <v>301</v>
      </c>
      <c r="AR94" s="0" t="s">
        <v>540</v>
      </c>
      <c r="AV94" s="0" t="n">
        <v>248</v>
      </c>
      <c r="AW94" s="0" t="n">
        <v>310</v>
      </c>
      <c r="AX94" s="0" t="s">
        <v>230</v>
      </c>
      <c r="AY94" s="0" t="n">
        <v>227</v>
      </c>
      <c r="AZ94" s="0" t="n">
        <v>301</v>
      </c>
      <c r="BA94" s="0" t="s">
        <v>540</v>
      </c>
      <c r="BE94" s="2" t="n">
        <v>43025</v>
      </c>
    </row>
    <row r="95" customFormat="false" ht="14.25" hidden="false" customHeight="false" outlineLevel="0" collapsed="false">
      <c r="A95" s="0" t="n">
        <v>94</v>
      </c>
      <c r="B95" s="1" t="s">
        <v>541</v>
      </c>
      <c r="C95" s="0" t="n">
        <v>357</v>
      </c>
      <c r="D95" s="0" t="n">
        <v>484</v>
      </c>
      <c r="E95" s="0" t="s">
        <v>259</v>
      </c>
      <c r="F95" s="0" t="n">
        <v>445</v>
      </c>
      <c r="G95" s="0" t="n">
        <v>470</v>
      </c>
      <c r="H95" s="0" t="s">
        <v>473</v>
      </c>
      <c r="I95" s="0" t="n">
        <v>197</v>
      </c>
      <c r="J95" s="0" t="n">
        <v>288</v>
      </c>
      <c r="K95" s="0" t="s">
        <v>542</v>
      </c>
      <c r="L95" s="0" t="n">
        <v>37</v>
      </c>
      <c r="M95" s="0" t="n">
        <v>359</v>
      </c>
      <c r="N95" s="0" t="s">
        <v>130</v>
      </c>
      <c r="AD95" s="0" t="n">
        <v>604</v>
      </c>
      <c r="AE95" s="0" t="n">
        <v>648</v>
      </c>
      <c r="AF95" s="0" t="s">
        <v>491</v>
      </c>
      <c r="AG95" s="0" t="n">
        <v>226</v>
      </c>
      <c r="AH95" s="0" t="n">
        <v>251</v>
      </c>
      <c r="AI95" s="0" t="s">
        <v>415</v>
      </c>
      <c r="AM95" s="0" t="n">
        <v>254</v>
      </c>
      <c r="AN95" s="0" t="n">
        <v>310</v>
      </c>
      <c r="AO95" s="0" t="s">
        <v>477</v>
      </c>
      <c r="AP95" s="0" t="n">
        <v>207</v>
      </c>
      <c r="AQ95" s="0" t="n">
        <v>304</v>
      </c>
      <c r="AR95" s="0" t="s">
        <v>360</v>
      </c>
      <c r="AS95" s="0" t="n">
        <v>60</v>
      </c>
      <c r="AV95" s="0" t="n">
        <v>254</v>
      </c>
      <c r="AW95" s="0" t="n">
        <v>310</v>
      </c>
      <c r="AX95" s="0" t="s">
        <v>477</v>
      </c>
      <c r="AY95" s="0" t="n">
        <v>207</v>
      </c>
      <c r="AZ95" s="0" t="n">
        <v>304</v>
      </c>
      <c r="BA95" s="0" t="s">
        <v>360</v>
      </c>
      <c r="BB95" s="0" t="n">
        <v>60</v>
      </c>
      <c r="BE95" s="2" t="n">
        <v>43028</v>
      </c>
    </row>
    <row r="96" customFormat="false" ht="14.25" hidden="false" customHeight="false" outlineLevel="0" collapsed="false">
      <c r="A96" s="0" t="n">
        <v>95</v>
      </c>
      <c r="B96" s="1" t="s">
        <v>543</v>
      </c>
      <c r="C96" s="0" t="n">
        <v>287</v>
      </c>
      <c r="D96" s="0" t="n">
        <v>318</v>
      </c>
      <c r="E96" s="0" t="s">
        <v>373</v>
      </c>
      <c r="F96" s="0" t="n">
        <v>304</v>
      </c>
      <c r="G96" s="0" t="n">
        <v>318</v>
      </c>
      <c r="H96" s="0" t="s">
        <v>544</v>
      </c>
      <c r="BE96" s="2" t="n">
        <v>43029</v>
      </c>
    </row>
    <row r="97" customFormat="false" ht="14.25" hidden="false" customHeight="false" outlineLevel="0" collapsed="false">
      <c r="A97" s="0" t="n">
        <v>96</v>
      </c>
      <c r="B97" s="1" t="s">
        <v>545</v>
      </c>
      <c r="C97" s="0" t="n">
        <v>442</v>
      </c>
      <c r="D97" s="0" t="n">
        <v>484</v>
      </c>
      <c r="E97" s="0" t="s">
        <v>174</v>
      </c>
      <c r="F97" s="0" t="n">
        <v>420</v>
      </c>
      <c r="G97" s="0" t="n">
        <v>470</v>
      </c>
      <c r="H97" s="0" t="s">
        <v>396</v>
      </c>
      <c r="I97" s="0" t="n">
        <v>243</v>
      </c>
      <c r="J97" s="0" t="n">
        <v>2430</v>
      </c>
      <c r="K97" s="0" t="s">
        <v>169</v>
      </c>
      <c r="L97" s="0" t="n">
        <v>37</v>
      </c>
      <c r="M97" s="0" t="n">
        <v>340</v>
      </c>
      <c r="N97" s="0" t="s">
        <v>353</v>
      </c>
      <c r="AD97" s="0" t="n">
        <v>545</v>
      </c>
      <c r="AE97" s="0" t="n">
        <v>648</v>
      </c>
      <c r="AF97" s="0" t="s">
        <v>347</v>
      </c>
      <c r="AG97" s="0" t="n">
        <v>224</v>
      </c>
      <c r="AH97" s="0" t="n">
        <v>251</v>
      </c>
      <c r="AI97" s="0" t="s">
        <v>124</v>
      </c>
      <c r="AM97" s="0" t="n">
        <v>270</v>
      </c>
      <c r="AN97" s="0" t="n">
        <v>310</v>
      </c>
      <c r="AO97" s="0" t="s">
        <v>401</v>
      </c>
      <c r="AP97" s="0" t="n">
        <v>240</v>
      </c>
      <c r="AQ97" s="0" t="n">
        <v>301</v>
      </c>
      <c r="AR97" s="0" t="s">
        <v>445</v>
      </c>
      <c r="AS97" s="0" t="n">
        <v>95</v>
      </c>
      <c r="AV97" s="0" t="n">
        <v>270</v>
      </c>
      <c r="AW97" s="0" t="n">
        <v>310</v>
      </c>
      <c r="AX97" s="0" t="s">
        <v>401</v>
      </c>
      <c r="AY97" s="0" t="n">
        <v>240</v>
      </c>
      <c r="AZ97" s="0" t="n">
        <v>301</v>
      </c>
      <c r="BA97" s="0" t="s">
        <v>445</v>
      </c>
      <c r="BB97" s="0" t="n">
        <v>95</v>
      </c>
      <c r="BE97" s="2" t="n">
        <v>43027</v>
      </c>
    </row>
    <row r="98" customFormat="false" ht="14.25" hidden="false" customHeight="false" outlineLevel="0" collapsed="false">
      <c r="A98" s="0" t="n">
        <v>97</v>
      </c>
      <c r="B98" s="1" t="s">
        <v>546</v>
      </c>
      <c r="I98" s="0" t="n">
        <v>286</v>
      </c>
      <c r="J98" s="0" t="n">
        <v>303</v>
      </c>
      <c r="K98" s="0" t="s">
        <v>160</v>
      </c>
      <c r="BE98" s="2" t="n">
        <v>43030</v>
      </c>
    </row>
    <row r="99" customFormat="false" ht="14.25" hidden="false" customHeight="false" outlineLevel="0" collapsed="false">
      <c r="A99" s="0" t="n">
        <v>98</v>
      </c>
      <c r="B99" s="1" t="s">
        <v>547</v>
      </c>
      <c r="C99" s="0" t="n">
        <v>371</v>
      </c>
      <c r="D99" s="0" t="n">
        <v>472</v>
      </c>
      <c r="E99" s="0" t="s">
        <v>256</v>
      </c>
      <c r="F99" s="0" t="n">
        <v>401</v>
      </c>
      <c r="G99" s="0" t="n">
        <v>460</v>
      </c>
      <c r="H99" s="0" t="s">
        <v>409</v>
      </c>
      <c r="I99" s="0" t="n">
        <v>222</v>
      </c>
      <c r="J99" s="0" t="n">
        <v>242</v>
      </c>
      <c r="K99" s="0" t="s">
        <v>363</v>
      </c>
      <c r="L99" s="0" t="n">
        <v>36</v>
      </c>
      <c r="M99" s="0" t="n">
        <v>360</v>
      </c>
      <c r="N99" s="0" t="s">
        <v>169</v>
      </c>
      <c r="AD99" s="0" t="n">
        <v>613</v>
      </c>
      <c r="AE99" s="0" t="n">
        <v>647</v>
      </c>
      <c r="AF99" s="0" t="s">
        <v>473</v>
      </c>
      <c r="AG99" s="0" t="n">
        <v>209</v>
      </c>
      <c r="AH99" s="0" t="n">
        <v>460</v>
      </c>
      <c r="AI99" s="0" t="s">
        <v>548</v>
      </c>
      <c r="AM99" s="0" t="n">
        <v>260</v>
      </c>
      <c r="AN99" s="0" t="n">
        <v>310</v>
      </c>
      <c r="AO99" s="0" t="s">
        <v>549</v>
      </c>
      <c r="AP99" s="0" t="n">
        <v>255</v>
      </c>
      <c r="AQ99" s="0" t="n">
        <v>301</v>
      </c>
      <c r="AR99" s="0" t="s">
        <v>316</v>
      </c>
      <c r="AV99" s="0" t="n">
        <v>260</v>
      </c>
      <c r="AW99" s="0" t="n">
        <v>310</v>
      </c>
      <c r="AX99" s="0" t="s">
        <v>549</v>
      </c>
      <c r="AY99" s="0" t="n">
        <v>255</v>
      </c>
      <c r="AZ99" s="0" t="n">
        <v>301</v>
      </c>
      <c r="BA99" s="0" t="s">
        <v>316</v>
      </c>
      <c r="BE99" s="2" t="n">
        <v>43032</v>
      </c>
    </row>
    <row r="100" customFormat="false" ht="14.25" hidden="false" customHeight="false" outlineLevel="0" collapsed="false">
      <c r="A100" s="0" t="n">
        <v>99</v>
      </c>
      <c r="B100" s="1" t="s">
        <v>550</v>
      </c>
      <c r="C100" s="0" t="n">
        <v>428</v>
      </c>
      <c r="D100" s="0" t="n">
        <v>483</v>
      </c>
      <c r="E100" s="0" t="s">
        <v>305</v>
      </c>
      <c r="F100" s="0" t="n">
        <v>431</v>
      </c>
      <c r="G100" s="0" t="n">
        <v>470</v>
      </c>
      <c r="H100" s="0" t="s">
        <v>363</v>
      </c>
      <c r="I100" s="0" t="n">
        <v>238</v>
      </c>
      <c r="J100" s="0" t="n">
        <v>243</v>
      </c>
      <c r="K100" s="0" t="s">
        <v>551</v>
      </c>
      <c r="L100" s="0" t="n">
        <v>36</v>
      </c>
      <c r="M100" s="0" t="n">
        <v>360</v>
      </c>
      <c r="N100" s="0" t="s">
        <v>169</v>
      </c>
      <c r="AD100" s="0" t="n">
        <v>597</v>
      </c>
      <c r="AE100" s="0" t="n">
        <v>647</v>
      </c>
      <c r="AF100" s="0" t="s">
        <v>193</v>
      </c>
      <c r="AG100" s="0" t="n">
        <v>225</v>
      </c>
      <c r="AH100" s="0" t="n">
        <v>460</v>
      </c>
      <c r="AI100" s="0" t="s">
        <v>552</v>
      </c>
      <c r="AM100" s="0" t="n">
        <v>512</v>
      </c>
      <c r="AN100" s="0" t="n">
        <v>627</v>
      </c>
      <c r="AO100" s="0" t="s">
        <v>407</v>
      </c>
      <c r="AP100" s="0" t="n">
        <v>397</v>
      </c>
      <c r="AQ100" s="0" t="n">
        <v>621</v>
      </c>
      <c r="AR100" s="0" t="s">
        <v>314</v>
      </c>
      <c r="AV100" s="0" t="n">
        <v>512</v>
      </c>
      <c r="AW100" s="0" t="n">
        <v>627</v>
      </c>
      <c r="AX100" s="0" t="s">
        <v>407</v>
      </c>
      <c r="AY100" s="0" t="n">
        <v>397</v>
      </c>
      <c r="AZ100" s="0" t="n">
        <v>621</v>
      </c>
      <c r="BA100" s="0" t="s">
        <v>314</v>
      </c>
      <c r="BE100" s="2" t="n">
        <v>43031</v>
      </c>
    </row>
    <row r="101" customFormat="false" ht="14.25" hidden="false" customHeight="false" outlineLevel="0" collapsed="false">
      <c r="A101" s="0" t="n">
        <v>100</v>
      </c>
      <c r="B101" s="1" t="s">
        <v>553</v>
      </c>
      <c r="C101" s="0" t="n">
        <v>413</v>
      </c>
      <c r="D101" s="0" t="n">
        <v>484</v>
      </c>
      <c r="E101" s="0" t="s">
        <v>390</v>
      </c>
      <c r="F101" s="0" t="n">
        <v>434</v>
      </c>
      <c r="G101" s="0" t="n">
        <v>470</v>
      </c>
      <c r="H101" s="0" t="s">
        <v>193</v>
      </c>
      <c r="I101" s="0" t="n">
        <v>242</v>
      </c>
      <c r="L101" s="0" t="n">
        <v>37</v>
      </c>
      <c r="M101" s="0" t="n">
        <v>359</v>
      </c>
      <c r="N101" s="0" t="s">
        <v>130</v>
      </c>
      <c r="AD101" s="0" t="n">
        <v>635</v>
      </c>
      <c r="AE101" s="0" t="n">
        <v>646</v>
      </c>
      <c r="AF101" s="0" t="s">
        <v>179</v>
      </c>
      <c r="AG101" s="0" t="n">
        <v>219</v>
      </c>
      <c r="AH101" s="0" t="n">
        <v>459</v>
      </c>
      <c r="AI101" s="0" t="s">
        <v>147</v>
      </c>
      <c r="AM101" s="0" t="n">
        <v>261</v>
      </c>
      <c r="AN101" s="0" t="n">
        <v>310</v>
      </c>
      <c r="AO101" s="0" t="s">
        <v>554</v>
      </c>
      <c r="AP101" s="0" t="n">
        <v>207</v>
      </c>
      <c r="AQ101" s="0" t="n">
        <v>302</v>
      </c>
      <c r="AR101" s="0" t="s">
        <v>303</v>
      </c>
      <c r="AS101" s="0" t="n">
        <v>1</v>
      </c>
      <c r="AV101" s="0" t="n">
        <v>261</v>
      </c>
      <c r="AW101" s="0" t="n">
        <v>310</v>
      </c>
      <c r="AX101" s="0" t="s">
        <v>554</v>
      </c>
      <c r="AY101" s="0" t="n">
        <v>207</v>
      </c>
      <c r="AZ101" s="0" t="n">
        <v>302</v>
      </c>
      <c r="BA101" s="0" t="s">
        <v>303</v>
      </c>
      <c r="BB101" s="0" t="n">
        <v>1</v>
      </c>
      <c r="BE101" s="2" t="n">
        <v>43033</v>
      </c>
    </row>
    <row r="102" customFormat="false" ht="14.25" hidden="false" customHeight="false" outlineLevel="0" collapsed="false">
      <c r="A102" s="0" t="n">
        <v>101</v>
      </c>
      <c r="B102" s="1" t="s">
        <v>555</v>
      </c>
      <c r="C102" s="0" t="n">
        <v>450</v>
      </c>
      <c r="D102" s="0" t="n">
        <v>483</v>
      </c>
      <c r="E102" s="0" t="s">
        <v>491</v>
      </c>
      <c r="F102" s="0" t="n">
        <v>445</v>
      </c>
      <c r="G102" s="0" t="n">
        <v>470</v>
      </c>
      <c r="H102" s="0" t="s">
        <v>473</v>
      </c>
      <c r="I102" s="0" t="n">
        <v>243</v>
      </c>
      <c r="J102" s="0" t="n">
        <v>2430</v>
      </c>
      <c r="K102" s="0" t="s">
        <v>169</v>
      </c>
      <c r="L102" s="0" t="n">
        <v>37</v>
      </c>
      <c r="M102" s="0" t="n">
        <v>341</v>
      </c>
      <c r="N102" s="0" t="s">
        <v>353</v>
      </c>
      <c r="AD102" s="0" t="n">
        <v>621</v>
      </c>
      <c r="AE102" s="0" t="n">
        <v>647</v>
      </c>
      <c r="AF102" s="0" t="s">
        <v>438</v>
      </c>
      <c r="AG102" s="0" t="n">
        <v>201</v>
      </c>
      <c r="AH102" s="0" t="n">
        <v>459</v>
      </c>
      <c r="AI102" s="0" t="s">
        <v>556</v>
      </c>
      <c r="AM102" s="0" t="n">
        <v>268</v>
      </c>
      <c r="AN102" s="0" t="n">
        <v>310</v>
      </c>
      <c r="AO102" s="0" t="s">
        <v>418</v>
      </c>
      <c r="AP102" s="0" t="n">
        <v>251</v>
      </c>
      <c r="AQ102" s="0" t="n">
        <v>302</v>
      </c>
      <c r="AR102" s="0" t="s">
        <v>251</v>
      </c>
      <c r="AV102" s="0" t="n">
        <v>268</v>
      </c>
      <c r="AW102" s="0" t="n">
        <v>310</v>
      </c>
      <c r="AX102" s="0" t="s">
        <v>418</v>
      </c>
      <c r="AY102" s="0" t="n">
        <v>251</v>
      </c>
      <c r="AZ102" s="0" t="n">
        <v>302</v>
      </c>
      <c r="BA102" s="0" t="s">
        <v>251</v>
      </c>
      <c r="BE102" s="2" t="n">
        <v>43034</v>
      </c>
    </row>
    <row r="103" customFormat="false" ht="14.25" hidden="false" customHeight="false" outlineLevel="0" collapsed="false">
      <c r="A103" s="0" t="n">
        <v>102</v>
      </c>
      <c r="B103" s="1" t="s">
        <v>557</v>
      </c>
      <c r="C103" s="0" t="n">
        <v>457</v>
      </c>
      <c r="D103" s="0" t="n">
        <v>484</v>
      </c>
      <c r="E103" s="0" t="s">
        <v>160</v>
      </c>
      <c r="F103" s="0" t="n">
        <v>454</v>
      </c>
      <c r="G103" s="0" t="n">
        <v>469</v>
      </c>
      <c r="H103" s="0" t="s">
        <v>112</v>
      </c>
      <c r="I103" s="0" t="n">
        <v>45</v>
      </c>
      <c r="J103" s="0" t="n">
        <v>308</v>
      </c>
      <c r="K103" s="0" t="s">
        <v>558</v>
      </c>
      <c r="L103" s="0" t="n">
        <v>37</v>
      </c>
      <c r="M103" s="0" t="n">
        <v>359</v>
      </c>
      <c r="N103" s="0" t="s">
        <v>130</v>
      </c>
      <c r="AD103" s="0" t="n">
        <v>598</v>
      </c>
      <c r="AE103" s="0" t="n">
        <v>646</v>
      </c>
      <c r="AF103" s="0" t="s">
        <v>437</v>
      </c>
      <c r="AG103" s="0" t="n">
        <v>200</v>
      </c>
      <c r="AH103" s="0" t="n">
        <v>459</v>
      </c>
      <c r="AI103" s="0" t="s">
        <v>559</v>
      </c>
      <c r="AM103" s="0" t="n">
        <v>247</v>
      </c>
      <c r="AN103" s="0" t="n">
        <v>309</v>
      </c>
      <c r="AO103" s="0" t="s">
        <v>560</v>
      </c>
      <c r="AP103" s="0" t="n">
        <v>218</v>
      </c>
      <c r="AQ103" s="0" t="n">
        <v>301</v>
      </c>
      <c r="AR103" s="0" t="s">
        <v>561</v>
      </c>
      <c r="AV103" s="0" t="n">
        <v>247</v>
      </c>
      <c r="AW103" s="0" t="n">
        <v>309</v>
      </c>
      <c r="AX103" s="0" t="s">
        <v>560</v>
      </c>
      <c r="AY103" s="0" t="n">
        <v>218</v>
      </c>
      <c r="AZ103" s="0" t="n">
        <v>301</v>
      </c>
      <c r="BA103" s="0" t="s">
        <v>561</v>
      </c>
      <c r="BE103" s="2" t="n">
        <v>43035</v>
      </c>
    </row>
    <row r="104" customFormat="false" ht="14.25" hidden="false" customHeight="false" outlineLevel="0" collapsed="false">
      <c r="A104" s="0" t="n">
        <v>103</v>
      </c>
      <c r="B104" s="1" t="s">
        <v>562</v>
      </c>
      <c r="I104" s="0" t="n">
        <v>281</v>
      </c>
      <c r="J104" s="0" t="n">
        <v>325</v>
      </c>
      <c r="K104" s="0" t="s">
        <v>418</v>
      </c>
      <c r="BE104" s="2" t="n">
        <v>43037</v>
      </c>
    </row>
    <row r="105" customFormat="false" ht="14.25" hidden="false" customHeight="false" outlineLevel="0" collapsed="false">
      <c r="A105" s="0" t="n">
        <v>104</v>
      </c>
      <c r="B105" s="1" t="s">
        <v>563</v>
      </c>
      <c r="C105" s="0" t="n">
        <v>453</v>
      </c>
      <c r="D105" s="0" t="n">
        <v>483</v>
      </c>
      <c r="E105" s="0" t="s">
        <v>383</v>
      </c>
      <c r="F105" s="0" t="n">
        <v>416</v>
      </c>
      <c r="G105" s="0" t="n">
        <v>470</v>
      </c>
      <c r="H105" s="0" t="s">
        <v>414</v>
      </c>
      <c r="I105" s="0" t="n">
        <v>260</v>
      </c>
      <c r="J105" s="0" t="n">
        <v>2600</v>
      </c>
      <c r="K105" s="0" t="s">
        <v>169</v>
      </c>
      <c r="L105" s="0" t="n">
        <v>37</v>
      </c>
      <c r="M105" s="0" t="n">
        <v>359</v>
      </c>
      <c r="N105" s="0" t="s">
        <v>130</v>
      </c>
      <c r="AD105" s="0" t="n">
        <v>625</v>
      </c>
      <c r="AE105" s="0" t="n">
        <v>646</v>
      </c>
      <c r="AF105" s="0" t="s">
        <v>538</v>
      </c>
      <c r="AG105" s="0" t="n">
        <v>202</v>
      </c>
      <c r="AH105" s="0" t="n">
        <v>460</v>
      </c>
      <c r="AI105" s="0" t="s">
        <v>564</v>
      </c>
      <c r="AM105" s="0" t="n">
        <v>231</v>
      </c>
      <c r="AN105" s="0" t="n">
        <v>309</v>
      </c>
      <c r="AO105" s="0" t="s">
        <v>565</v>
      </c>
      <c r="AP105" s="0" t="n">
        <v>224</v>
      </c>
      <c r="AQ105" s="0" t="n">
        <v>302</v>
      </c>
      <c r="AR105" s="0" t="s">
        <v>298</v>
      </c>
      <c r="AV105" s="0" t="n">
        <v>231</v>
      </c>
      <c r="AW105" s="0" t="n">
        <v>309</v>
      </c>
      <c r="AX105" s="0" t="s">
        <v>565</v>
      </c>
      <c r="AY105" s="0" t="n">
        <v>224</v>
      </c>
      <c r="AZ105" s="0" t="n">
        <v>302</v>
      </c>
      <c r="BA105" s="0" t="s">
        <v>298</v>
      </c>
      <c r="BE105" s="2" t="n">
        <v>43038</v>
      </c>
    </row>
    <row r="106" customFormat="false" ht="14.25" hidden="false" customHeight="false" outlineLevel="0" collapsed="false">
      <c r="A106" s="0" t="n">
        <v>105</v>
      </c>
      <c r="B106" s="1" t="s">
        <v>566</v>
      </c>
      <c r="C106" s="0" t="n">
        <v>453</v>
      </c>
      <c r="D106" s="0" t="n">
        <v>473</v>
      </c>
      <c r="E106" s="0" t="s">
        <v>136</v>
      </c>
      <c r="F106" s="0" t="n">
        <v>419</v>
      </c>
      <c r="G106" s="0" t="n">
        <v>459</v>
      </c>
      <c r="H106" s="0" t="s">
        <v>174</v>
      </c>
      <c r="I106" s="0" t="n">
        <v>260</v>
      </c>
      <c r="J106" s="0" t="n">
        <v>2600</v>
      </c>
      <c r="K106" s="0" t="s">
        <v>169</v>
      </c>
      <c r="L106" s="0" t="n">
        <v>36</v>
      </c>
      <c r="M106" s="0" t="n">
        <v>360</v>
      </c>
      <c r="N106" s="0" t="s">
        <v>169</v>
      </c>
      <c r="AD106" s="0" t="n">
        <v>631</v>
      </c>
      <c r="AE106" s="0" t="n">
        <v>646</v>
      </c>
      <c r="AF106" s="0" t="s">
        <v>138</v>
      </c>
      <c r="AG106" s="0" t="n">
        <v>186</v>
      </c>
      <c r="AH106" s="0" t="n">
        <v>460</v>
      </c>
      <c r="AI106" s="0" t="s">
        <v>567</v>
      </c>
      <c r="AJ106" s="0" t="n">
        <v>1</v>
      </c>
      <c r="AM106" s="0" t="n">
        <v>251</v>
      </c>
      <c r="AN106" s="0" t="n">
        <v>309</v>
      </c>
      <c r="AO106" s="0" t="s">
        <v>268</v>
      </c>
      <c r="AP106" s="0" t="n">
        <v>214</v>
      </c>
      <c r="AQ106" s="0" t="n">
        <v>301</v>
      </c>
      <c r="AR106" s="0" t="s">
        <v>568</v>
      </c>
      <c r="AV106" s="0" t="n">
        <v>251</v>
      </c>
      <c r="AW106" s="0" t="n">
        <v>309</v>
      </c>
      <c r="AX106" s="0" t="s">
        <v>268</v>
      </c>
      <c r="AY106" s="0" t="n">
        <v>214</v>
      </c>
      <c r="AZ106" s="0" t="n">
        <v>301</v>
      </c>
      <c r="BA106" s="0" t="s">
        <v>568</v>
      </c>
      <c r="BE106" s="2" t="n">
        <v>43039</v>
      </c>
    </row>
    <row r="107" customFormat="false" ht="14.25" hidden="false" customHeight="false" outlineLevel="0" collapsed="false">
      <c r="A107" s="0" t="n">
        <v>106</v>
      </c>
      <c r="B107" s="1" t="s">
        <v>569</v>
      </c>
      <c r="C107" s="0" t="n">
        <v>450</v>
      </c>
      <c r="D107" s="0" t="n">
        <v>483</v>
      </c>
      <c r="E107" s="0" t="s">
        <v>491</v>
      </c>
      <c r="F107" s="0" t="n">
        <v>432</v>
      </c>
      <c r="G107" s="0" t="n">
        <v>470</v>
      </c>
      <c r="H107" s="0" t="s">
        <v>398</v>
      </c>
      <c r="I107" s="0" t="n">
        <v>260</v>
      </c>
      <c r="J107" s="0" t="n">
        <v>2600</v>
      </c>
      <c r="K107" s="0" t="s">
        <v>169</v>
      </c>
      <c r="L107" s="0" t="n">
        <v>36</v>
      </c>
      <c r="M107" s="0" t="n">
        <v>360</v>
      </c>
      <c r="N107" s="0" t="s">
        <v>169</v>
      </c>
      <c r="AD107" s="0" t="n">
        <v>636</v>
      </c>
      <c r="AE107" s="0" t="n">
        <v>646</v>
      </c>
      <c r="AF107" s="0" t="s">
        <v>120</v>
      </c>
      <c r="AG107" s="0" t="n">
        <v>204</v>
      </c>
      <c r="AH107" s="0" t="n">
        <v>459</v>
      </c>
      <c r="AI107" s="0" t="s">
        <v>527</v>
      </c>
      <c r="AM107" s="0" t="n">
        <v>269</v>
      </c>
      <c r="AN107" s="0" t="n">
        <v>310</v>
      </c>
      <c r="AO107" s="0" t="s">
        <v>199</v>
      </c>
      <c r="AP107" s="0" t="n">
        <v>248</v>
      </c>
      <c r="AQ107" s="0" t="n">
        <v>301</v>
      </c>
      <c r="AR107" s="0" t="s">
        <v>279</v>
      </c>
      <c r="AV107" s="0" t="n">
        <v>269</v>
      </c>
      <c r="AW107" s="0" t="n">
        <v>310</v>
      </c>
      <c r="AX107" s="0" t="s">
        <v>199</v>
      </c>
      <c r="AY107" s="0" t="n">
        <v>248</v>
      </c>
      <c r="AZ107" s="0" t="n">
        <v>301</v>
      </c>
      <c r="BA107" s="0" t="s">
        <v>279</v>
      </c>
      <c r="BE107" s="2" t="n">
        <v>43040</v>
      </c>
    </row>
    <row r="108" customFormat="false" ht="14.25" hidden="false" customHeight="false" outlineLevel="0" collapsed="false">
      <c r="A108" s="0" t="n">
        <v>107</v>
      </c>
      <c r="B108" s="1" t="s">
        <v>570</v>
      </c>
      <c r="I108" s="0" t="n">
        <v>241</v>
      </c>
      <c r="J108" s="0" t="n">
        <v>325</v>
      </c>
      <c r="K108" s="0" t="s">
        <v>298</v>
      </c>
      <c r="BE108" s="2" t="n">
        <v>43044</v>
      </c>
    </row>
    <row r="109" customFormat="false" ht="14.25" hidden="false" customHeight="false" outlineLevel="0" collapsed="false">
      <c r="A109" s="0" t="n">
        <v>108</v>
      </c>
      <c r="B109" s="1" t="s">
        <v>571</v>
      </c>
      <c r="C109" s="0" t="n">
        <v>425</v>
      </c>
      <c r="D109" s="0" t="n">
        <v>483</v>
      </c>
      <c r="E109" s="0" t="s">
        <v>158</v>
      </c>
      <c r="F109" s="0" t="n">
        <v>295</v>
      </c>
      <c r="G109" s="0" t="n">
        <v>469</v>
      </c>
      <c r="H109" s="0" t="s">
        <v>172</v>
      </c>
      <c r="I109" s="0" t="n">
        <v>264</v>
      </c>
      <c r="J109" s="0" t="n">
        <v>276</v>
      </c>
      <c r="K109" s="0" t="s">
        <v>144</v>
      </c>
      <c r="L109" s="0" t="n">
        <v>36</v>
      </c>
      <c r="M109" s="0" t="n">
        <v>360</v>
      </c>
      <c r="N109" s="0" t="s">
        <v>169</v>
      </c>
      <c r="AD109" s="0" t="n">
        <v>605</v>
      </c>
      <c r="AE109" s="0" t="n">
        <v>646</v>
      </c>
      <c r="AF109" s="0" t="s">
        <v>467</v>
      </c>
      <c r="AG109" s="0" t="n">
        <v>161</v>
      </c>
      <c r="AH109" s="0" t="n">
        <v>460</v>
      </c>
      <c r="AI109" s="0" t="s">
        <v>237</v>
      </c>
      <c r="AM109" s="0" t="n">
        <v>230</v>
      </c>
      <c r="AN109" s="0" t="n">
        <v>310</v>
      </c>
      <c r="AO109" s="0" t="s">
        <v>298</v>
      </c>
      <c r="AP109" s="0" t="n">
        <v>208</v>
      </c>
      <c r="AQ109" s="0" t="n">
        <v>302</v>
      </c>
      <c r="AR109" s="0" t="s">
        <v>333</v>
      </c>
      <c r="AV109" s="0" t="n">
        <v>230</v>
      </c>
      <c r="AW109" s="0" t="n">
        <v>310</v>
      </c>
      <c r="AX109" s="0" t="s">
        <v>298</v>
      </c>
      <c r="AY109" s="0" t="n">
        <v>208</v>
      </c>
      <c r="AZ109" s="0" t="n">
        <v>302</v>
      </c>
      <c r="BA109" s="0" t="s">
        <v>333</v>
      </c>
      <c r="BE109" s="2" t="n">
        <v>43045</v>
      </c>
    </row>
    <row r="110" customFormat="false" ht="14.25" hidden="false" customHeight="false" outlineLevel="0" collapsed="false">
      <c r="A110" s="0" t="n">
        <v>109</v>
      </c>
      <c r="B110" s="1" t="s">
        <v>572</v>
      </c>
      <c r="C110" s="0" t="n">
        <v>423</v>
      </c>
      <c r="D110" s="0" t="n">
        <v>472</v>
      </c>
      <c r="E110" s="0" t="s">
        <v>377</v>
      </c>
      <c r="F110" s="0" t="n">
        <v>388</v>
      </c>
      <c r="G110" s="0" t="n">
        <v>459</v>
      </c>
      <c r="H110" s="0" t="s">
        <v>573</v>
      </c>
      <c r="I110" s="0" t="n">
        <v>247</v>
      </c>
      <c r="J110" s="0" t="n">
        <v>276</v>
      </c>
      <c r="K110" s="0" t="s">
        <v>122</v>
      </c>
      <c r="L110" s="0" t="n">
        <v>36</v>
      </c>
      <c r="M110" s="0" t="n">
        <v>36</v>
      </c>
      <c r="N110" s="0" t="s">
        <v>110</v>
      </c>
      <c r="AD110" s="0" t="n">
        <v>558</v>
      </c>
      <c r="AE110" s="0" t="n">
        <v>625</v>
      </c>
      <c r="AF110" s="0" t="s">
        <v>574</v>
      </c>
      <c r="AG110" s="0" t="n">
        <v>162</v>
      </c>
      <c r="AH110" s="0" t="n">
        <v>459</v>
      </c>
      <c r="AI110" s="0" t="s">
        <v>575</v>
      </c>
      <c r="AM110" s="0" t="n">
        <v>232</v>
      </c>
      <c r="AN110" s="0" t="n">
        <v>309</v>
      </c>
      <c r="AO110" s="0" t="s">
        <v>576</v>
      </c>
      <c r="AP110" s="0" t="n">
        <v>249</v>
      </c>
      <c r="AQ110" s="0" t="n">
        <v>302</v>
      </c>
      <c r="AR110" s="0" t="s">
        <v>317</v>
      </c>
      <c r="AS110" s="0" t="n">
        <v>1</v>
      </c>
      <c r="AV110" s="0" t="n">
        <v>232</v>
      </c>
      <c r="AW110" s="0" t="n">
        <v>309</v>
      </c>
      <c r="AX110" s="0" t="s">
        <v>576</v>
      </c>
      <c r="AY110" s="0" t="n">
        <v>249</v>
      </c>
      <c r="AZ110" s="0" t="n">
        <v>302</v>
      </c>
      <c r="BA110" s="0" t="s">
        <v>317</v>
      </c>
      <c r="BB110" s="0" t="n">
        <v>1</v>
      </c>
      <c r="BE110" s="2" t="n">
        <v>43046</v>
      </c>
    </row>
    <row r="111" customFormat="false" ht="14.25" hidden="false" customHeight="false" outlineLevel="0" collapsed="false">
      <c r="A111" s="0" t="n">
        <v>110</v>
      </c>
      <c r="B111" s="1" t="s">
        <v>577</v>
      </c>
      <c r="C111" s="0" t="n">
        <v>447</v>
      </c>
      <c r="D111" s="0" t="n">
        <v>483</v>
      </c>
      <c r="E111" s="0" t="s">
        <v>578</v>
      </c>
      <c r="F111" s="0" t="n">
        <v>438</v>
      </c>
      <c r="G111" s="0" t="n">
        <v>470</v>
      </c>
      <c r="H111" s="0" t="s">
        <v>491</v>
      </c>
      <c r="I111" s="0" t="n">
        <v>254</v>
      </c>
      <c r="J111" s="0" t="n">
        <v>276</v>
      </c>
      <c r="K111" s="0" t="s">
        <v>168</v>
      </c>
      <c r="L111" s="0" t="n">
        <v>37</v>
      </c>
      <c r="M111" s="0" t="n">
        <v>359</v>
      </c>
      <c r="N111" s="0" t="s">
        <v>130</v>
      </c>
      <c r="AD111" s="0" t="n">
        <v>635</v>
      </c>
      <c r="AE111" s="0" t="n">
        <v>646</v>
      </c>
      <c r="AF111" s="0" t="s">
        <v>179</v>
      </c>
      <c r="AG111" s="0" t="n">
        <v>185</v>
      </c>
      <c r="AH111" s="0" t="n">
        <v>459</v>
      </c>
      <c r="AI111" s="0" t="s">
        <v>579</v>
      </c>
      <c r="AM111" s="0" t="n">
        <v>246</v>
      </c>
      <c r="AN111" s="0" t="n">
        <v>310</v>
      </c>
      <c r="AO111" s="0" t="s">
        <v>242</v>
      </c>
      <c r="AP111" s="0" t="n">
        <v>262</v>
      </c>
      <c r="AQ111" s="0" t="n">
        <v>302</v>
      </c>
      <c r="AR111" s="0" t="s">
        <v>199</v>
      </c>
      <c r="AV111" s="0" t="n">
        <v>246</v>
      </c>
      <c r="AW111" s="0" t="n">
        <v>310</v>
      </c>
      <c r="AX111" s="0" t="s">
        <v>242</v>
      </c>
      <c r="AY111" s="0" t="n">
        <v>262</v>
      </c>
      <c r="AZ111" s="0" t="n">
        <v>302</v>
      </c>
      <c r="BA111" s="0" t="s">
        <v>199</v>
      </c>
      <c r="BE111" s="2" t="n">
        <v>43047</v>
      </c>
    </row>
    <row r="112" customFormat="false" ht="14.25" hidden="false" customHeight="false" outlineLevel="0" collapsed="false">
      <c r="A112" s="0" t="n">
        <v>111</v>
      </c>
      <c r="B112" s="1" t="s">
        <v>580</v>
      </c>
      <c r="F112" s="0" t="n">
        <v>326</v>
      </c>
      <c r="G112" s="0" t="n">
        <v>345</v>
      </c>
      <c r="H112" s="0" t="s">
        <v>581</v>
      </c>
      <c r="BE112" s="2" t="n">
        <v>43051</v>
      </c>
    </row>
    <row r="113" customFormat="false" ht="14.25" hidden="false" customHeight="false" outlineLevel="0" collapsed="false">
      <c r="A113" s="0" t="n">
        <v>112</v>
      </c>
      <c r="B113" s="1" t="s">
        <v>582</v>
      </c>
      <c r="C113" s="0" t="n">
        <v>296</v>
      </c>
      <c r="D113" s="0" t="n">
        <v>321</v>
      </c>
      <c r="E113" s="0" t="s">
        <v>335</v>
      </c>
      <c r="F113" s="0" t="n">
        <v>267</v>
      </c>
      <c r="G113" s="0" t="n">
        <v>320</v>
      </c>
      <c r="H113" s="0" t="s">
        <v>393</v>
      </c>
      <c r="I113" s="0" t="n">
        <v>1</v>
      </c>
      <c r="L113" s="0" t="n">
        <v>24</v>
      </c>
      <c r="M113" s="0" t="n">
        <v>25</v>
      </c>
      <c r="N113" s="0" t="s">
        <v>438</v>
      </c>
      <c r="BE113" s="2" t="n">
        <v>43050</v>
      </c>
    </row>
    <row r="114" customFormat="false" ht="14.25" hidden="false" customHeight="false" outlineLevel="0" collapsed="false">
      <c r="A114" s="0" t="n">
        <v>113</v>
      </c>
      <c r="B114" s="1" t="s">
        <v>583</v>
      </c>
      <c r="C114" s="0" t="n">
        <v>258</v>
      </c>
      <c r="D114" s="0" t="n">
        <v>483</v>
      </c>
      <c r="E114" s="0" t="s">
        <v>536</v>
      </c>
      <c r="F114" s="0" t="n">
        <v>288</v>
      </c>
      <c r="G114" s="0" t="n">
        <v>469</v>
      </c>
      <c r="H114" s="0" t="s">
        <v>425</v>
      </c>
      <c r="I114" s="0" t="n">
        <v>317</v>
      </c>
      <c r="J114" s="0" t="n">
        <v>325</v>
      </c>
      <c r="K114" s="0" t="s">
        <v>370</v>
      </c>
      <c r="L114" s="0" t="n">
        <v>24</v>
      </c>
      <c r="M114" s="0" t="n">
        <v>35</v>
      </c>
      <c r="N114" s="0" t="s">
        <v>584</v>
      </c>
      <c r="AD114" s="0" t="n">
        <v>388</v>
      </c>
      <c r="BE114" s="2" t="n">
        <v>43049</v>
      </c>
    </row>
    <row r="115" customFormat="false" ht="14.25" hidden="false" customHeight="false" outlineLevel="0" collapsed="false">
      <c r="A115" s="0" t="n">
        <v>114</v>
      </c>
      <c r="B115" s="1" t="s">
        <v>585</v>
      </c>
      <c r="C115" s="0" t="n">
        <v>429</v>
      </c>
      <c r="D115" s="0" t="n">
        <v>483</v>
      </c>
      <c r="E115" s="0" t="s">
        <v>166</v>
      </c>
      <c r="F115" s="0" t="n">
        <v>436</v>
      </c>
      <c r="G115" s="0" t="n">
        <v>469</v>
      </c>
      <c r="H115" s="0" t="s">
        <v>586</v>
      </c>
      <c r="I115" s="0" t="n">
        <v>267</v>
      </c>
      <c r="J115" s="0" t="n">
        <v>277</v>
      </c>
      <c r="K115" s="0" t="s">
        <v>187</v>
      </c>
      <c r="L115" s="0" t="n">
        <v>36</v>
      </c>
      <c r="M115" s="0" t="n">
        <v>340</v>
      </c>
      <c r="N115" s="0" t="s">
        <v>152</v>
      </c>
      <c r="BE115" s="2" t="n">
        <v>43048</v>
      </c>
    </row>
    <row r="116" customFormat="false" ht="14.25" hidden="false" customHeight="false" outlineLevel="0" collapsed="false">
      <c r="A116" s="0" t="n">
        <v>115</v>
      </c>
      <c r="B116" s="1" t="s">
        <v>587</v>
      </c>
      <c r="C116" s="0" t="n">
        <v>446</v>
      </c>
      <c r="D116" s="0" t="n">
        <v>483</v>
      </c>
      <c r="E116" s="0" t="s">
        <v>193</v>
      </c>
      <c r="F116" s="0" t="n">
        <v>436</v>
      </c>
      <c r="G116" s="0" t="n">
        <v>469</v>
      </c>
      <c r="H116" s="0" t="s">
        <v>586</v>
      </c>
      <c r="I116" s="0" t="n">
        <v>277</v>
      </c>
      <c r="J116" s="0" t="n">
        <v>2770</v>
      </c>
      <c r="K116" s="0" t="s">
        <v>169</v>
      </c>
      <c r="L116" s="0" t="n">
        <v>36</v>
      </c>
      <c r="M116" s="0" t="n">
        <v>360</v>
      </c>
      <c r="N116" s="0" t="s">
        <v>169</v>
      </c>
      <c r="AD116" s="0" t="n">
        <v>534</v>
      </c>
      <c r="AE116" s="0" t="n">
        <v>647</v>
      </c>
      <c r="AF116" s="0" t="s">
        <v>317</v>
      </c>
      <c r="AG116" s="0" t="n">
        <v>205</v>
      </c>
      <c r="AH116" s="0" t="n">
        <v>459</v>
      </c>
      <c r="AI116" s="0" t="s">
        <v>512</v>
      </c>
      <c r="AM116" s="0" t="n">
        <v>223</v>
      </c>
      <c r="AN116" s="0" t="n">
        <v>309</v>
      </c>
      <c r="AO116" s="0" t="s">
        <v>213</v>
      </c>
      <c r="AP116" s="0" t="n">
        <v>267</v>
      </c>
      <c r="AQ116" s="0" t="n">
        <v>302</v>
      </c>
      <c r="AR116" s="0" t="s">
        <v>400</v>
      </c>
      <c r="AS116" s="0" t="n">
        <v>1</v>
      </c>
      <c r="AV116" s="0" t="n">
        <v>223</v>
      </c>
      <c r="AW116" s="0" t="n">
        <v>309</v>
      </c>
      <c r="AX116" s="0" t="s">
        <v>213</v>
      </c>
      <c r="AY116" s="0" t="n">
        <v>267</v>
      </c>
      <c r="AZ116" s="0" t="n">
        <v>302</v>
      </c>
      <c r="BA116" s="0" t="s">
        <v>400</v>
      </c>
      <c r="BB116" s="0" t="n">
        <v>1</v>
      </c>
      <c r="BE116" s="2" t="n">
        <v>43052</v>
      </c>
    </row>
    <row r="117" customFormat="false" ht="14.25" hidden="false" customHeight="false" outlineLevel="0" collapsed="false">
      <c r="A117" s="0" t="n">
        <v>116</v>
      </c>
      <c r="B117" s="1" t="s">
        <v>588</v>
      </c>
      <c r="C117" s="0" t="n">
        <v>415</v>
      </c>
      <c r="D117" s="0" t="n">
        <v>435</v>
      </c>
      <c r="E117" s="0" t="s">
        <v>188</v>
      </c>
      <c r="F117" s="0" t="n">
        <v>399</v>
      </c>
      <c r="G117" s="0" t="n">
        <v>422</v>
      </c>
      <c r="H117" s="0" t="s">
        <v>581</v>
      </c>
      <c r="I117" s="0" t="n">
        <v>273</v>
      </c>
      <c r="J117" s="0" t="n">
        <v>276</v>
      </c>
      <c r="K117" s="0" t="s">
        <v>143</v>
      </c>
      <c r="BE117" s="2" t="n">
        <v>43054</v>
      </c>
    </row>
    <row r="118" customFormat="false" ht="14.25" hidden="false" customHeight="false" outlineLevel="0" collapsed="false">
      <c r="A118" s="0" t="n">
        <v>117</v>
      </c>
      <c r="B118" s="1" t="s">
        <v>589</v>
      </c>
      <c r="C118" s="0" t="n">
        <v>447</v>
      </c>
      <c r="D118" s="0" t="n">
        <v>473</v>
      </c>
      <c r="E118" s="0" t="s">
        <v>581</v>
      </c>
      <c r="F118" s="0" t="n">
        <v>397</v>
      </c>
      <c r="G118" s="0" t="n">
        <v>460</v>
      </c>
      <c r="H118" s="0" t="s">
        <v>590</v>
      </c>
      <c r="I118" s="0" t="n">
        <v>273</v>
      </c>
      <c r="J118" s="0" t="n">
        <v>276</v>
      </c>
      <c r="K118" s="0" t="s">
        <v>143</v>
      </c>
      <c r="L118" s="0" t="n">
        <v>43</v>
      </c>
      <c r="M118" s="0" t="n">
        <v>418</v>
      </c>
      <c r="N118" s="0" t="s">
        <v>130</v>
      </c>
      <c r="AD118" s="0" t="n">
        <v>650</v>
      </c>
      <c r="AE118" s="0" t="n">
        <v>6470</v>
      </c>
      <c r="AF118" s="0" t="s">
        <v>169</v>
      </c>
      <c r="AG118" s="0" t="n">
        <v>194</v>
      </c>
      <c r="AH118" s="0" t="n">
        <v>460</v>
      </c>
      <c r="AI118" s="0" t="s">
        <v>532</v>
      </c>
      <c r="AM118" s="0" t="n">
        <v>236</v>
      </c>
      <c r="AN118" s="0" t="n">
        <v>309</v>
      </c>
      <c r="AO118" s="0" t="s">
        <v>290</v>
      </c>
      <c r="AP118" s="0" t="n">
        <v>290</v>
      </c>
      <c r="AQ118" s="0" t="n">
        <v>301</v>
      </c>
      <c r="AR118" s="0" t="s">
        <v>182</v>
      </c>
      <c r="AS118" s="0" t="n">
        <v>1</v>
      </c>
      <c r="AV118" s="0" t="n">
        <v>236</v>
      </c>
      <c r="AW118" s="0" t="n">
        <v>309</v>
      </c>
      <c r="AX118" s="0" t="s">
        <v>290</v>
      </c>
      <c r="AY118" s="0" t="n">
        <v>290</v>
      </c>
      <c r="AZ118" s="0" t="n">
        <v>301</v>
      </c>
      <c r="BA118" s="0" t="s">
        <v>182</v>
      </c>
      <c r="BB118" s="0" t="n">
        <v>1</v>
      </c>
      <c r="BE118" s="2" t="n">
        <v>43053</v>
      </c>
    </row>
    <row r="119" customFormat="false" ht="14.25" hidden="false" customHeight="false" outlineLevel="0" collapsed="false">
      <c r="A119" s="0" t="n">
        <v>118</v>
      </c>
      <c r="B119" s="1" t="s">
        <v>591</v>
      </c>
      <c r="I119" s="0" t="n">
        <v>286</v>
      </c>
      <c r="J119" s="0" t="n">
        <v>344</v>
      </c>
      <c r="K119" s="0" t="s">
        <v>251</v>
      </c>
      <c r="BE119" s="2" t="n">
        <v>43058</v>
      </c>
    </row>
    <row r="120" customFormat="false" ht="14.25" hidden="false" customHeight="false" outlineLevel="0" collapsed="false">
      <c r="A120" s="0" t="n">
        <v>119</v>
      </c>
      <c r="B120" s="1" t="s">
        <v>592</v>
      </c>
      <c r="C120" s="0" t="n">
        <v>442</v>
      </c>
      <c r="D120" s="0" t="n">
        <v>484</v>
      </c>
      <c r="E120" s="0" t="s">
        <v>174</v>
      </c>
      <c r="F120" s="0" t="n">
        <v>417</v>
      </c>
      <c r="G120" s="0" t="n">
        <v>470</v>
      </c>
      <c r="H120" s="0" t="s">
        <v>198</v>
      </c>
      <c r="I120" s="0" t="n">
        <v>324</v>
      </c>
      <c r="J120" s="0" t="n">
        <v>348</v>
      </c>
      <c r="K120" s="0" t="s">
        <v>151</v>
      </c>
      <c r="L120" s="0" t="n">
        <v>36</v>
      </c>
      <c r="M120" s="0" t="n">
        <v>360</v>
      </c>
      <c r="N120" s="0" t="s">
        <v>169</v>
      </c>
      <c r="AD120" s="0" t="n">
        <v>629</v>
      </c>
      <c r="AE120" s="0" t="n">
        <v>646</v>
      </c>
      <c r="AF120" s="0" t="s">
        <v>139</v>
      </c>
      <c r="AG120" s="0" t="n">
        <v>190</v>
      </c>
      <c r="AH120" s="0" t="n">
        <v>460</v>
      </c>
      <c r="AI120" s="0" t="s">
        <v>593</v>
      </c>
      <c r="AM120" s="0" t="n">
        <v>297</v>
      </c>
      <c r="AN120" s="0" t="n">
        <v>309</v>
      </c>
      <c r="AO120" s="0" t="s">
        <v>594</v>
      </c>
      <c r="AP120" s="0" t="n">
        <v>285</v>
      </c>
      <c r="AQ120" s="0" t="n">
        <v>302</v>
      </c>
      <c r="AR120" s="0" t="s">
        <v>160</v>
      </c>
      <c r="AV120" s="0" t="n">
        <v>297</v>
      </c>
      <c r="AW120" s="0" t="n">
        <v>309</v>
      </c>
      <c r="AX120" s="0" t="s">
        <v>594</v>
      </c>
      <c r="AY120" s="0" t="n">
        <v>285</v>
      </c>
      <c r="AZ120" s="0" t="n">
        <v>302</v>
      </c>
      <c r="BA120" s="0" t="s">
        <v>160</v>
      </c>
      <c r="BE120" s="2" t="n">
        <v>43056</v>
      </c>
    </row>
    <row r="121" customFormat="false" ht="14.25" hidden="false" customHeight="false" outlineLevel="0" collapsed="false">
      <c r="A121" s="0" t="n">
        <v>120</v>
      </c>
      <c r="B121" s="1" t="s">
        <v>595</v>
      </c>
      <c r="C121" s="0" t="n">
        <v>439</v>
      </c>
      <c r="D121" s="0" t="n">
        <v>484</v>
      </c>
      <c r="E121" s="0" t="s">
        <v>186</v>
      </c>
      <c r="F121" s="0" t="n">
        <v>413</v>
      </c>
      <c r="G121" s="0" t="n">
        <v>470</v>
      </c>
      <c r="H121" s="0" t="s">
        <v>311</v>
      </c>
      <c r="I121" s="0" t="n">
        <v>274</v>
      </c>
      <c r="J121" s="0" t="n">
        <v>276</v>
      </c>
      <c r="K121" s="0" t="s">
        <v>596</v>
      </c>
      <c r="L121" s="0" t="n">
        <v>37</v>
      </c>
      <c r="M121" s="0" t="n">
        <v>340</v>
      </c>
      <c r="N121" s="0" t="s">
        <v>353</v>
      </c>
      <c r="O121" s="0" t="n">
        <v>6</v>
      </c>
      <c r="AD121" s="0" t="n">
        <v>583</v>
      </c>
      <c r="AE121" s="0" t="n">
        <v>646</v>
      </c>
      <c r="AF121" s="0" t="s">
        <v>161</v>
      </c>
      <c r="AG121" s="0" t="n">
        <v>175</v>
      </c>
      <c r="AH121" s="0" t="n">
        <v>460</v>
      </c>
      <c r="AI121" s="0" t="s">
        <v>597</v>
      </c>
      <c r="AM121" s="0" t="n">
        <v>246</v>
      </c>
      <c r="AN121" s="0" t="n">
        <v>310</v>
      </c>
      <c r="AO121" s="0" t="s">
        <v>242</v>
      </c>
      <c r="AP121" s="0" t="n">
        <v>278</v>
      </c>
      <c r="AQ121" s="0" t="n">
        <v>302</v>
      </c>
      <c r="AR121" s="0" t="s">
        <v>598</v>
      </c>
      <c r="AS121" s="0" t="n">
        <v>2</v>
      </c>
      <c r="AV121" s="0" t="n">
        <v>246</v>
      </c>
      <c r="AW121" s="0" t="n">
        <v>310</v>
      </c>
      <c r="AX121" s="0" t="s">
        <v>242</v>
      </c>
      <c r="AY121" s="0" t="n">
        <v>278</v>
      </c>
      <c r="AZ121" s="0" t="n">
        <v>302</v>
      </c>
      <c r="BA121" s="0" t="s">
        <v>598</v>
      </c>
      <c r="BB121" s="0" t="n">
        <v>2</v>
      </c>
      <c r="BE121" s="2" t="n">
        <v>43055</v>
      </c>
    </row>
    <row r="122" customFormat="false" ht="14.25" hidden="false" customHeight="false" outlineLevel="0" collapsed="false">
      <c r="A122" s="0" t="n">
        <v>121</v>
      </c>
      <c r="B122" s="1" t="s">
        <v>599</v>
      </c>
      <c r="C122" s="0" t="n">
        <v>438</v>
      </c>
      <c r="D122" s="0" t="n">
        <v>483</v>
      </c>
      <c r="E122" s="0" t="s">
        <v>186</v>
      </c>
      <c r="F122" s="0" t="n">
        <v>433</v>
      </c>
      <c r="G122" s="0" t="n">
        <v>469</v>
      </c>
      <c r="H122" s="0" t="s">
        <v>193</v>
      </c>
      <c r="I122" s="0" t="n">
        <v>274</v>
      </c>
      <c r="J122" s="0" t="n">
        <v>279</v>
      </c>
      <c r="K122" s="0" t="s">
        <v>600</v>
      </c>
      <c r="L122" s="0" t="n">
        <v>37</v>
      </c>
      <c r="M122" s="0" t="n">
        <v>359</v>
      </c>
      <c r="N122" s="0" t="s">
        <v>130</v>
      </c>
      <c r="AD122" s="0" t="n">
        <v>574</v>
      </c>
      <c r="AE122" s="0" t="n">
        <v>646</v>
      </c>
      <c r="AF122" s="0" t="s">
        <v>394</v>
      </c>
      <c r="AG122" s="0" t="n">
        <v>181</v>
      </c>
      <c r="AH122" s="0" t="n">
        <v>459</v>
      </c>
      <c r="AI122" s="0" t="s">
        <v>519</v>
      </c>
      <c r="AM122" s="0" t="n">
        <v>192</v>
      </c>
      <c r="AN122" s="0" t="n">
        <v>309</v>
      </c>
      <c r="AO122" s="0" t="s">
        <v>601</v>
      </c>
      <c r="AP122" s="0" t="n">
        <v>232</v>
      </c>
      <c r="AQ122" s="0" t="n">
        <v>302</v>
      </c>
      <c r="AR122" s="0" t="s">
        <v>323</v>
      </c>
      <c r="AV122" s="0" t="n">
        <v>192</v>
      </c>
      <c r="AW122" s="0" t="n">
        <v>309</v>
      </c>
      <c r="AX122" s="0" t="s">
        <v>601</v>
      </c>
      <c r="AY122" s="0" t="n">
        <v>232</v>
      </c>
      <c r="AZ122" s="0" t="n">
        <v>302</v>
      </c>
      <c r="BA122" s="0" t="s">
        <v>323</v>
      </c>
      <c r="BE122" s="2" t="s">
        <v>602</v>
      </c>
    </row>
    <row r="123" customFormat="false" ht="14.25" hidden="false" customHeight="false" outlineLevel="0" collapsed="false">
      <c r="A123" s="0" t="n">
        <v>122</v>
      </c>
      <c r="B123" s="1" t="s">
        <v>603</v>
      </c>
      <c r="C123" s="0" t="n">
        <v>443</v>
      </c>
      <c r="D123" s="0" t="n">
        <v>472</v>
      </c>
      <c r="E123" s="0" t="s">
        <v>604</v>
      </c>
      <c r="F123" s="0" t="n">
        <v>431</v>
      </c>
      <c r="G123" s="0" t="n">
        <v>459</v>
      </c>
      <c r="H123" s="0" t="s">
        <v>604</v>
      </c>
      <c r="I123" s="0" t="n">
        <v>253</v>
      </c>
      <c r="J123" s="0" t="n">
        <v>276</v>
      </c>
      <c r="K123" s="0" t="s">
        <v>363</v>
      </c>
      <c r="L123" s="0" t="n">
        <v>35</v>
      </c>
      <c r="M123" s="0" t="n">
        <v>36</v>
      </c>
      <c r="N123" s="0" t="s">
        <v>128</v>
      </c>
      <c r="AD123" s="0" t="n">
        <v>598</v>
      </c>
      <c r="AE123" s="0" t="n">
        <v>648</v>
      </c>
      <c r="AF123" s="0" t="s">
        <v>193</v>
      </c>
      <c r="AG123" s="0" t="n">
        <v>180</v>
      </c>
      <c r="AH123" s="0" t="n">
        <v>460</v>
      </c>
      <c r="AI123" s="0" t="s">
        <v>605</v>
      </c>
      <c r="AM123" s="0" t="n">
        <v>239</v>
      </c>
      <c r="AN123" s="0" t="n">
        <v>309</v>
      </c>
      <c r="AO123" s="0" t="s">
        <v>155</v>
      </c>
      <c r="AP123" s="0" t="n">
        <v>287</v>
      </c>
      <c r="AQ123" s="0" t="n">
        <v>302</v>
      </c>
      <c r="AR123" s="0" t="s">
        <v>606</v>
      </c>
      <c r="AV123" s="0" t="n">
        <v>239</v>
      </c>
      <c r="AW123" s="0" t="n">
        <v>309</v>
      </c>
      <c r="AX123" s="0" t="s">
        <v>155</v>
      </c>
      <c r="AY123" s="0" t="n">
        <v>287</v>
      </c>
      <c r="AZ123" s="0" t="n">
        <v>302</v>
      </c>
      <c r="BA123" s="0" t="s">
        <v>606</v>
      </c>
      <c r="BE123" s="2" t="n">
        <v>43060</v>
      </c>
    </row>
    <row r="124" customFormat="false" ht="14.25" hidden="false" customHeight="false" outlineLevel="0" collapsed="false">
      <c r="A124" s="0" t="n">
        <v>123</v>
      </c>
      <c r="B124" s="1" t="s">
        <v>607</v>
      </c>
      <c r="C124" s="0" t="n">
        <v>437</v>
      </c>
      <c r="D124" s="0" t="n">
        <v>483</v>
      </c>
      <c r="E124" s="0" t="s">
        <v>608</v>
      </c>
      <c r="F124" s="0" t="n">
        <v>433</v>
      </c>
      <c r="G124" s="0" t="n">
        <v>469</v>
      </c>
      <c r="H124" s="0" t="s">
        <v>193</v>
      </c>
      <c r="I124" s="0" t="n">
        <v>267</v>
      </c>
      <c r="J124" s="0" t="n">
        <v>276</v>
      </c>
      <c r="K124" s="0" t="s">
        <v>538</v>
      </c>
      <c r="L124" s="0" t="n">
        <v>37</v>
      </c>
      <c r="M124" s="0" t="n">
        <v>359</v>
      </c>
      <c r="N124" s="0" t="s">
        <v>130</v>
      </c>
      <c r="AD124" s="0" t="n">
        <v>565</v>
      </c>
      <c r="AE124" s="0" t="n">
        <v>646</v>
      </c>
      <c r="AF124" s="0" t="s">
        <v>321</v>
      </c>
      <c r="AG124" s="0" t="n">
        <v>181</v>
      </c>
      <c r="AH124" s="0" t="n">
        <v>459</v>
      </c>
      <c r="AI124" s="0" t="s">
        <v>519</v>
      </c>
      <c r="AM124" s="0" t="n">
        <v>299</v>
      </c>
      <c r="AN124" s="0" t="n">
        <v>310</v>
      </c>
      <c r="AO124" s="0" t="s">
        <v>291</v>
      </c>
      <c r="AP124" s="0" t="n">
        <v>231</v>
      </c>
      <c r="AQ124" s="0" t="n">
        <v>302</v>
      </c>
      <c r="AR124" s="0" t="s">
        <v>205</v>
      </c>
      <c r="AS124" s="0" t="n">
        <v>1</v>
      </c>
      <c r="AV124" s="0" t="n">
        <v>299</v>
      </c>
      <c r="AW124" s="0" t="n">
        <v>310</v>
      </c>
      <c r="AX124" s="0" t="s">
        <v>291</v>
      </c>
      <c r="AY124" s="0" t="n">
        <v>231</v>
      </c>
      <c r="AZ124" s="0" t="n">
        <v>302</v>
      </c>
      <c r="BA124" s="0" t="s">
        <v>205</v>
      </c>
      <c r="BB124" s="0" t="n">
        <v>1</v>
      </c>
      <c r="BE124" s="2" t="n">
        <v>43061</v>
      </c>
    </row>
    <row r="125" customFormat="false" ht="14.25" hidden="false" customHeight="false" outlineLevel="0" collapsed="false">
      <c r="A125" s="0" t="n">
        <v>124</v>
      </c>
      <c r="B125" s="1" t="s">
        <v>609</v>
      </c>
      <c r="C125" s="0" t="n">
        <v>455</v>
      </c>
      <c r="D125" s="0" t="n">
        <v>483</v>
      </c>
      <c r="E125" s="0" t="s">
        <v>141</v>
      </c>
      <c r="F125" s="0" t="n">
        <v>422</v>
      </c>
      <c r="G125" s="0" t="n">
        <v>469</v>
      </c>
      <c r="H125" s="0" t="s">
        <v>415</v>
      </c>
      <c r="I125" s="0" t="n">
        <v>294</v>
      </c>
      <c r="J125" s="0" t="n">
        <v>276</v>
      </c>
      <c r="K125" s="0" t="s">
        <v>610</v>
      </c>
      <c r="L125" s="0" t="n">
        <v>37</v>
      </c>
      <c r="M125" s="0" t="n">
        <v>34</v>
      </c>
      <c r="N125" s="0" t="s">
        <v>611</v>
      </c>
      <c r="AD125" s="0" t="n">
        <v>658</v>
      </c>
      <c r="AE125" s="0" t="n">
        <v>647</v>
      </c>
      <c r="AF125" s="0" t="s">
        <v>612</v>
      </c>
      <c r="AG125" s="0" t="n">
        <v>166</v>
      </c>
      <c r="AH125" s="0" t="n">
        <v>459</v>
      </c>
      <c r="AI125" s="0" t="s">
        <v>613</v>
      </c>
      <c r="AM125" s="0" t="n">
        <v>280</v>
      </c>
      <c r="AN125" s="0" t="n">
        <v>310</v>
      </c>
      <c r="AO125" s="0" t="s">
        <v>373</v>
      </c>
      <c r="AP125" s="0" t="n">
        <v>283</v>
      </c>
      <c r="AQ125" s="0" t="n">
        <v>301</v>
      </c>
      <c r="AR125" s="0" t="s">
        <v>526</v>
      </c>
      <c r="AV125" s="0" t="n">
        <v>280</v>
      </c>
      <c r="AW125" s="0" t="n">
        <v>310</v>
      </c>
      <c r="AX125" s="0" t="s">
        <v>373</v>
      </c>
      <c r="AY125" s="0" t="n">
        <v>283</v>
      </c>
      <c r="AZ125" s="0" t="n">
        <v>301</v>
      </c>
      <c r="BA125" s="0" t="s">
        <v>526</v>
      </c>
      <c r="BE125" s="2" t="n">
        <v>43062</v>
      </c>
    </row>
    <row r="126" customFormat="false" ht="14.25" hidden="false" customHeight="false" outlineLevel="0" collapsed="false">
      <c r="A126" s="0" t="n">
        <v>125</v>
      </c>
      <c r="B126" s="1" t="s">
        <v>614</v>
      </c>
      <c r="C126" s="0" t="n">
        <v>426</v>
      </c>
      <c r="D126" s="0" t="n">
        <v>483</v>
      </c>
      <c r="E126" s="0" t="s">
        <v>216</v>
      </c>
      <c r="F126" s="0" t="n">
        <v>427</v>
      </c>
      <c r="G126" s="0" t="n">
        <v>470</v>
      </c>
      <c r="H126" s="0" t="s">
        <v>452</v>
      </c>
      <c r="I126" s="0" t="n">
        <v>339</v>
      </c>
      <c r="J126" s="0" t="n">
        <v>328</v>
      </c>
      <c r="K126" s="0" t="s">
        <v>615</v>
      </c>
      <c r="L126" s="0" t="n">
        <v>37</v>
      </c>
      <c r="M126" s="0" t="n">
        <v>35</v>
      </c>
      <c r="N126" s="0" t="s">
        <v>616</v>
      </c>
      <c r="AD126" s="0" t="n">
        <v>615</v>
      </c>
      <c r="AE126" s="0" t="n">
        <v>648</v>
      </c>
      <c r="AF126" s="0" t="s">
        <v>142</v>
      </c>
      <c r="AG126" s="0" t="n">
        <v>167</v>
      </c>
      <c r="AH126" s="0" t="n">
        <v>251</v>
      </c>
      <c r="AI126" s="0" t="s">
        <v>617</v>
      </c>
      <c r="AM126" s="0" t="n">
        <v>266</v>
      </c>
      <c r="AN126" s="0" t="n">
        <v>311</v>
      </c>
      <c r="AO126" s="0" t="s">
        <v>509</v>
      </c>
      <c r="AP126" s="0" t="n">
        <v>280</v>
      </c>
      <c r="AQ126" s="0" t="n">
        <v>302</v>
      </c>
      <c r="AR126" s="0" t="s">
        <v>618</v>
      </c>
      <c r="AS126" s="0" t="n">
        <v>46</v>
      </c>
      <c r="AV126" s="0" t="n">
        <v>266</v>
      </c>
      <c r="AW126" s="0" t="n">
        <v>311</v>
      </c>
      <c r="AX126" s="0" t="s">
        <v>509</v>
      </c>
      <c r="AY126" s="0" t="n">
        <v>280</v>
      </c>
      <c r="AZ126" s="0" t="n">
        <v>302</v>
      </c>
      <c r="BA126" s="0" t="s">
        <v>618</v>
      </c>
      <c r="BB126" s="0" t="n">
        <v>46</v>
      </c>
      <c r="BE126" s="2" t="n">
        <v>43063</v>
      </c>
    </row>
    <row r="127" customFormat="false" ht="14.25" hidden="false" customHeight="false" outlineLevel="0" collapsed="false">
      <c r="A127" s="0" t="n">
        <v>126</v>
      </c>
      <c r="B127" s="1" t="s">
        <v>619</v>
      </c>
      <c r="C127" s="0" t="n">
        <v>301</v>
      </c>
      <c r="D127" s="0" t="n">
        <v>318</v>
      </c>
      <c r="E127" s="0" t="s">
        <v>473</v>
      </c>
      <c r="F127" s="0" t="n">
        <v>287</v>
      </c>
      <c r="G127" s="0" t="n">
        <v>318</v>
      </c>
      <c r="H127" s="0" t="s">
        <v>373</v>
      </c>
      <c r="L127" s="0" t="n">
        <v>26</v>
      </c>
      <c r="M127" s="0" t="n">
        <v>26</v>
      </c>
      <c r="N127" s="0" t="s">
        <v>110</v>
      </c>
      <c r="BE127" s="2" t="n">
        <v>43064</v>
      </c>
    </row>
    <row r="128" customFormat="false" ht="14.25" hidden="false" customHeight="false" outlineLevel="0" collapsed="false">
      <c r="A128" s="0" t="n">
        <v>127</v>
      </c>
      <c r="B128" s="1" t="s">
        <v>620</v>
      </c>
      <c r="I128" s="0" t="n">
        <v>348</v>
      </c>
      <c r="J128" s="0" t="n">
        <v>344</v>
      </c>
      <c r="K128" s="0" t="s">
        <v>621</v>
      </c>
      <c r="BE128" s="2" t="n">
        <v>43065</v>
      </c>
    </row>
    <row r="129" customFormat="false" ht="14.25" hidden="false" customHeight="false" outlineLevel="0" collapsed="false">
      <c r="A129" s="0" t="n">
        <v>128</v>
      </c>
      <c r="B129" s="1" t="s">
        <v>622</v>
      </c>
      <c r="C129" s="0" t="n">
        <v>436</v>
      </c>
      <c r="D129" s="0" t="n">
        <v>484</v>
      </c>
      <c r="E129" s="0" t="s">
        <v>530</v>
      </c>
      <c r="F129" s="0" t="n">
        <v>436</v>
      </c>
      <c r="G129" s="0" t="n">
        <v>469</v>
      </c>
      <c r="H129" s="0" t="s">
        <v>586</v>
      </c>
      <c r="I129" s="0" t="n">
        <v>270</v>
      </c>
      <c r="J129" s="0" t="n">
        <v>309</v>
      </c>
      <c r="K129" s="0" t="s">
        <v>419</v>
      </c>
      <c r="L129" s="0" t="n">
        <v>36</v>
      </c>
      <c r="M129" s="0" t="n">
        <v>36</v>
      </c>
      <c r="N129" s="0" t="s">
        <v>110</v>
      </c>
      <c r="AD129" s="0" t="n">
        <v>632</v>
      </c>
      <c r="AE129" s="0" t="n">
        <v>633</v>
      </c>
      <c r="AF129" s="0" t="s">
        <v>623</v>
      </c>
      <c r="AG129" s="0" t="n">
        <v>174</v>
      </c>
      <c r="AH129" s="0" t="n">
        <v>179</v>
      </c>
      <c r="AI129" s="0" t="s">
        <v>128</v>
      </c>
      <c r="AJ129" s="0" t="n">
        <v>17</v>
      </c>
      <c r="AM129" s="0" t="n">
        <v>304</v>
      </c>
      <c r="AN129" s="0" t="n">
        <v>328</v>
      </c>
      <c r="AO129" s="0" t="s">
        <v>618</v>
      </c>
      <c r="AP129" s="0" t="n">
        <v>294</v>
      </c>
      <c r="AQ129" s="0" t="n">
        <v>302</v>
      </c>
      <c r="AR129" s="0" t="s">
        <v>139</v>
      </c>
      <c r="AV129" s="0" t="n">
        <v>304</v>
      </c>
      <c r="AW129" s="0" t="n">
        <v>328</v>
      </c>
      <c r="AX129" s="0" t="s">
        <v>618</v>
      </c>
      <c r="AY129" s="0" t="n">
        <v>294</v>
      </c>
      <c r="AZ129" s="0" t="n">
        <v>302</v>
      </c>
      <c r="BA129" s="0" t="s">
        <v>139</v>
      </c>
      <c r="BE129" s="2" t="n">
        <v>43066</v>
      </c>
    </row>
    <row r="130" customFormat="false" ht="14.25" hidden="false" customHeight="false" outlineLevel="0" collapsed="false">
      <c r="A130" s="0" t="n">
        <v>129</v>
      </c>
      <c r="B130" s="1" t="s">
        <v>624</v>
      </c>
      <c r="C130" s="0" t="n">
        <v>419</v>
      </c>
      <c r="D130" s="0" t="n">
        <v>473</v>
      </c>
      <c r="E130" s="0" t="s">
        <v>305</v>
      </c>
      <c r="F130" s="0" t="n">
        <v>407</v>
      </c>
      <c r="G130" s="0" t="n">
        <v>460</v>
      </c>
      <c r="H130" s="0" t="s">
        <v>414</v>
      </c>
      <c r="I130" s="0" t="n">
        <v>271</v>
      </c>
      <c r="J130" s="0" t="n">
        <v>307</v>
      </c>
      <c r="K130" s="0" t="s">
        <v>625</v>
      </c>
      <c r="L130" s="0" t="n">
        <v>35</v>
      </c>
      <c r="M130" s="0" t="n">
        <v>36</v>
      </c>
      <c r="N130" s="0" t="s">
        <v>128</v>
      </c>
      <c r="O130" s="0" t="n">
        <v>6</v>
      </c>
      <c r="AD130" s="0" t="n">
        <v>624</v>
      </c>
      <c r="AE130" s="0" t="n">
        <v>648</v>
      </c>
      <c r="AF130" s="0" t="s">
        <v>182</v>
      </c>
      <c r="AG130" s="0" t="n">
        <v>168</v>
      </c>
      <c r="AH130" s="0" t="n">
        <v>251</v>
      </c>
      <c r="AI130" s="0" t="s">
        <v>358</v>
      </c>
      <c r="AM130" s="0" t="n">
        <v>270</v>
      </c>
      <c r="AN130" s="0" t="n">
        <v>301</v>
      </c>
      <c r="AO130" s="0" t="s">
        <v>123</v>
      </c>
      <c r="AP130" s="0" t="n">
        <v>259</v>
      </c>
      <c r="AQ130" s="0" t="n">
        <v>302</v>
      </c>
      <c r="AR130" s="0" t="s">
        <v>272</v>
      </c>
      <c r="AS130" s="0" t="n">
        <v>1</v>
      </c>
      <c r="AV130" s="0" t="n">
        <v>270</v>
      </c>
      <c r="AW130" s="0" t="n">
        <v>301</v>
      </c>
      <c r="AX130" s="0" t="s">
        <v>123</v>
      </c>
      <c r="AY130" s="0" t="n">
        <v>259</v>
      </c>
      <c r="AZ130" s="0" t="n">
        <v>302</v>
      </c>
      <c r="BA130" s="0" t="s">
        <v>272</v>
      </c>
      <c r="BB130" s="0" t="n">
        <v>1</v>
      </c>
      <c r="BE130" s="2" t="n">
        <v>43067</v>
      </c>
    </row>
    <row r="131" customFormat="false" ht="14.25" hidden="false" customHeight="false" outlineLevel="0" collapsed="false">
      <c r="A131" s="0" t="n">
        <v>130</v>
      </c>
      <c r="B131" s="1" t="s">
        <v>626</v>
      </c>
      <c r="C131" s="0" t="n">
        <v>436</v>
      </c>
      <c r="D131" s="0" t="n">
        <v>484</v>
      </c>
      <c r="E131" s="0" t="s">
        <v>530</v>
      </c>
      <c r="F131" s="0" t="n">
        <v>442</v>
      </c>
      <c r="G131" s="0" t="n">
        <v>470</v>
      </c>
      <c r="H131" s="0" t="s">
        <v>526</v>
      </c>
      <c r="I131" s="0" t="n">
        <v>249</v>
      </c>
      <c r="J131" s="0" t="n">
        <v>310</v>
      </c>
      <c r="K131" s="0" t="s">
        <v>222</v>
      </c>
      <c r="L131" s="0" t="n">
        <v>36</v>
      </c>
      <c r="M131" s="0" t="n">
        <v>36</v>
      </c>
      <c r="N131" s="0" t="s">
        <v>110</v>
      </c>
      <c r="AD131" s="0" t="n">
        <v>624</v>
      </c>
      <c r="AE131" s="0" t="n">
        <v>648</v>
      </c>
      <c r="AF131" s="0" t="s">
        <v>182</v>
      </c>
      <c r="AG131" s="0" t="n">
        <v>168</v>
      </c>
      <c r="AH131" s="0" t="n">
        <v>252</v>
      </c>
      <c r="AI131" s="0" t="s">
        <v>627</v>
      </c>
      <c r="AM131" s="0" t="n">
        <v>291</v>
      </c>
      <c r="AN131" s="0" t="n">
        <v>310</v>
      </c>
      <c r="AO131" s="0" t="s">
        <v>604</v>
      </c>
      <c r="AP131" s="0" t="n">
        <v>295</v>
      </c>
      <c r="AQ131" s="0" t="n">
        <v>302</v>
      </c>
      <c r="AR131" s="0" t="s">
        <v>138</v>
      </c>
      <c r="AS131" s="0" t="n">
        <v>1</v>
      </c>
      <c r="AV131" s="0" t="n">
        <v>291</v>
      </c>
      <c r="AW131" s="0" t="n">
        <v>310</v>
      </c>
      <c r="AX131" s="0" t="s">
        <v>604</v>
      </c>
      <c r="AY131" s="0" t="n">
        <v>295</v>
      </c>
      <c r="AZ131" s="0" t="n">
        <v>302</v>
      </c>
      <c r="BA131" s="0" t="s">
        <v>138</v>
      </c>
      <c r="BB131" s="0" t="n">
        <v>1</v>
      </c>
      <c r="BE131" s="2" t="n">
        <v>43068</v>
      </c>
    </row>
    <row r="132" customFormat="false" ht="14.25" hidden="false" customHeight="false" outlineLevel="0" collapsed="false">
      <c r="A132" s="0" t="n">
        <v>131</v>
      </c>
      <c r="B132" s="1" t="s">
        <v>628</v>
      </c>
      <c r="I132" s="0" t="n">
        <v>341</v>
      </c>
      <c r="J132" s="0" t="n">
        <v>387</v>
      </c>
      <c r="K132" s="0" t="s">
        <v>429</v>
      </c>
      <c r="BE132" s="2" t="n">
        <v>43072</v>
      </c>
    </row>
    <row r="133" customFormat="false" ht="14.25" hidden="false" customHeight="false" outlineLevel="0" collapsed="false">
      <c r="A133" s="0" t="n">
        <v>132</v>
      </c>
      <c r="B133" s="1" t="s">
        <v>629</v>
      </c>
      <c r="C133" s="0" t="n">
        <v>451</v>
      </c>
      <c r="D133" s="0" t="n">
        <v>484</v>
      </c>
      <c r="E133" s="0" t="s">
        <v>491</v>
      </c>
      <c r="F133" s="0" t="n">
        <v>393</v>
      </c>
      <c r="G133" s="0" t="n">
        <v>470</v>
      </c>
      <c r="H133" s="0" t="s">
        <v>301</v>
      </c>
      <c r="I133" s="0" t="n">
        <v>336</v>
      </c>
      <c r="J133" s="0" t="n">
        <v>368</v>
      </c>
      <c r="K133" s="0" t="s">
        <v>174</v>
      </c>
      <c r="L133" s="0" t="n">
        <v>37</v>
      </c>
      <c r="M133" s="0" t="n">
        <v>36</v>
      </c>
      <c r="N133" s="0" t="s">
        <v>630</v>
      </c>
      <c r="AD133" s="0" t="n">
        <v>342</v>
      </c>
      <c r="AE133" s="0" t="n">
        <v>648</v>
      </c>
      <c r="AF133" s="0" t="s">
        <v>631</v>
      </c>
      <c r="AG133" s="0" t="n">
        <v>164</v>
      </c>
      <c r="AH133" s="0" t="n">
        <v>459</v>
      </c>
      <c r="AI133" s="0" t="s">
        <v>435</v>
      </c>
      <c r="AM133" s="0" t="n">
        <v>315</v>
      </c>
      <c r="AN133" s="0" t="n">
        <v>310</v>
      </c>
      <c r="AO133" s="0" t="s">
        <v>632</v>
      </c>
      <c r="AP133" s="0" t="n">
        <v>252</v>
      </c>
      <c r="AQ133" s="0" t="n">
        <v>302</v>
      </c>
      <c r="AR133" s="0" t="s">
        <v>393</v>
      </c>
      <c r="AS133" s="0" t="n">
        <v>1</v>
      </c>
      <c r="AV133" s="0" t="n">
        <v>315</v>
      </c>
      <c r="AW133" s="0" t="n">
        <v>310</v>
      </c>
      <c r="AX133" s="0" t="s">
        <v>632</v>
      </c>
      <c r="AY133" s="0" t="n">
        <v>252</v>
      </c>
      <c r="AZ133" s="0" t="n">
        <v>302</v>
      </c>
      <c r="BA133" s="0" t="s">
        <v>393</v>
      </c>
      <c r="BB133" s="0" t="n">
        <v>1</v>
      </c>
      <c r="BE133" s="2" t="n">
        <v>43070</v>
      </c>
    </row>
    <row r="134" customFormat="false" ht="14.25" hidden="false" customHeight="false" outlineLevel="0" collapsed="false">
      <c r="A134" s="0" t="n">
        <v>133</v>
      </c>
      <c r="B134" s="1" t="s">
        <v>633</v>
      </c>
      <c r="C134" s="0" t="n">
        <v>367</v>
      </c>
      <c r="D134" s="0" t="n">
        <v>484</v>
      </c>
      <c r="E134" s="0" t="s">
        <v>349</v>
      </c>
      <c r="F134" s="0" t="n">
        <v>440</v>
      </c>
      <c r="G134" s="0" t="n">
        <v>462</v>
      </c>
      <c r="H134" s="0" t="s">
        <v>634</v>
      </c>
      <c r="I134" s="0" t="n">
        <v>277</v>
      </c>
      <c r="J134" s="0" t="n">
        <v>310</v>
      </c>
      <c r="K134" s="0" t="s">
        <v>396</v>
      </c>
      <c r="L134" s="0" t="n">
        <v>39</v>
      </c>
      <c r="M134" s="0" t="n">
        <v>34</v>
      </c>
      <c r="N134" s="0" t="s">
        <v>635</v>
      </c>
      <c r="O134" s="0" t="n">
        <v>6</v>
      </c>
      <c r="AD134" s="0" t="n">
        <v>623</v>
      </c>
      <c r="AE134" s="0" t="n">
        <v>648</v>
      </c>
      <c r="AF134" s="0" t="s">
        <v>594</v>
      </c>
      <c r="AG134" s="0" t="n">
        <v>123</v>
      </c>
      <c r="AH134" s="0" t="n">
        <v>179</v>
      </c>
      <c r="AI134" s="0" t="s">
        <v>636</v>
      </c>
      <c r="AM134" s="0" t="n">
        <v>294</v>
      </c>
      <c r="AN134" s="0" t="n">
        <v>311</v>
      </c>
      <c r="AO134" s="0" t="s">
        <v>581</v>
      </c>
      <c r="AP134" s="0" t="n">
        <v>310</v>
      </c>
      <c r="AQ134" s="0" t="n">
        <v>310</v>
      </c>
      <c r="AR134" s="0" t="s">
        <v>110</v>
      </c>
      <c r="AV134" s="0" t="n">
        <v>294</v>
      </c>
      <c r="AW134" s="0" t="n">
        <v>311</v>
      </c>
      <c r="AX134" s="0" t="s">
        <v>581</v>
      </c>
      <c r="AY134" s="0" t="n">
        <v>310</v>
      </c>
      <c r="AZ134" s="0" t="n">
        <v>310</v>
      </c>
      <c r="BA134" s="0" t="s">
        <v>110</v>
      </c>
      <c r="BE134" s="2" t="n">
        <v>43069</v>
      </c>
    </row>
    <row r="135" customFormat="false" ht="14.25" hidden="false" customHeight="false" outlineLevel="0" collapsed="false">
      <c r="A135" s="0" t="n">
        <v>134</v>
      </c>
      <c r="B135" s="1" t="s">
        <v>637</v>
      </c>
      <c r="C135" s="0" t="n">
        <v>411</v>
      </c>
      <c r="D135" s="0" t="n">
        <v>484</v>
      </c>
      <c r="E135" s="0" t="s">
        <v>638</v>
      </c>
      <c r="F135" s="0" t="n">
        <v>432</v>
      </c>
      <c r="G135" s="0" t="n">
        <v>470</v>
      </c>
      <c r="H135" s="0" t="s">
        <v>398</v>
      </c>
      <c r="I135" s="0" t="n">
        <v>298</v>
      </c>
      <c r="J135" s="0" t="n">
        <v>310</v>
      </c>
      <c r="K135" s="0" t="s">
        <v>594</v>
      </c>
      <c r="L135" s="0" t="n">
        <v>36</v>
      </c>
      <c r="M135" s="0" t="n">
        <v>36</v>
      </c>
      <c r="N135" s="0" t="s">
        <v>110</v>
      </c>
      <c r="AD135" s="0" t="n">
        <v>560</v>
      </c>
      <c r="AE135" s="0" t="n">
        <v>647</v>
      </c>
      <c r="AF135" s="0" t="s">
        <v>296</v>
      </c>
      <c r="AG135" s="0" t="n">
        <v>166</v>
      </c>
      <c r="AH135" s="0" t="n">
        <v>460</v>
      </c>
      <c r="AI135" s="0" t="s">
        <v>639</v>
      </c>
      <c r="AM135" s="0" t="n">
        <v>286</v>
      </c>
      <c r="AN135" s="0" t="n">
        <v>310</v>
      </c>
      <c r="AO135" s="0" t="s">
        <v>193</v>
      </c>
      <c r="AP135" s="0" t="n">
        <v>283</v>
      </c>
      <c r="AQ135" s="0" t="n">
        <v>302</v>
      </c>
      <c r="AR135" s="0" t="s">
        <v>467</v>
      </c>
      <c r="AV135" s="0" t="n">
        <v>286</v>
      </c>
      <c r="AW135" s="0" t="n">
        <v>310</v>
      </c>
      <c r="AX135" s="0" t="s">
        <v>193</v>
      </c>
      <c r="AY135" s="0" t="n">
        <v>283</v>
      </c>
      <c r="AZ135" s="0" t="n">
        <v>302</v>
      </c>
      <c r="BA135" s="0" t="s">
        <v>467</v>
      </c>
      <c r="BE135" s="2" t="n">
        <v>43073</v>
      </c>
    </row>
    <row r="136" customFormat="false" ht="14.25" hidden="false" customHeight="false" outlineLevel="0" collapsed="false">
      <c r="A136" s="0" t="n">
        <v>135</v>
      </c>
      <c r="B136" s="1" t="s">
        <v>640</v>
      </c>
      <c r="C136" s="0" t="n">
        <v>407</v>
      </c>
      <c r="D136" s="0" t="n">
        <v>473</v>
      </c>
      <c r="E136" s="0" t="s">
        <v>504</v>
      </c>
      <c r="F136" s="0" t="n">
        <v>447</v>
      </c>
      <c r="G136" s="0" t="n">
        <v>460</v>
      </c>
      <c r="H136" s="0" t="s">
        <v>128</v>
      </c>
      <c r="I136" s="0" t="n">
        <v>273</v>
      </c>
      <c r="J136" s="0" t="n">
        <v>310</v>
      </c>
      <c r="K136" s="0" t="s">
        <v>429</v>
      </c>
      <c r="L136" s="0" t="n">
        <v>36</v>
      </c>
      <c r="M136" s="0" t="n">
        <v>36</v>
      </c>
      <c r="N136" s="0" t="s">
        <v>110</v>
      </c>
      <c r="O136" s="0" t="n">
        <v>6</v>
      </c>
      <c r="AD136" s="0" t="n">
        <v>588</v>
      </c>
      <c r="AE136" s="0" t="n">
        <v>626</v>
      </c>
      <c r="AF136" s="0" t="s">
        <v>604</v>
      </c>
      <c r="AG136" s="0" t="n">
        <v>166</v>
      </c>
      <c r="AH136" s="0" t="n">
        <v>460</v>
      </c>
      <c r="AI136" s="0" t="s">
        <v>639</v>
      </c>
      <c r="AM136" s="0" t="n">
        <v>278</v>
      </c>
      <c r="AN136" s="0" t="n">
        <v>300</v>
      </c>
      <c r="AO136" s="0" t="s">
        <v>618</v>
      </c>
      <c r="AP136" s="0" t="n">
        <v>284</v>
      </c>
      <c r="AQ136" s="0" t="n">
        <v>302</v>
      </c>
      <c r="AR136" s="0" t="s">
        <v>526</v>
      </c>
      <c r="AV136" s="0" t="n">
        <v>278</v>
      </c>
      <c r="AW136" s="0" t="n">
        <v>300</v>
      </c>
      <c r="AX136" s="0" t="s">
        <v>618</v>
      </c>
      <c r="AY136" s="0" t="n">
        <v>284</v>
      </c>
      <c r="AZ136" s="0" t="n">
        <v>302</v>
      </c>
      <c r="BA136" s="0" t="s">
        <v>526</v>
      </c>
      <c r="BE136" s="2" t="n">
        <v>43074</v>
      </c>
    </row>
    <row r="137" customFormat="false" ht="14.25" hidden="false" customHeight="false" outlineLevel="0" collapsed="false">
      <c r="A137" s="0" t="n">
        <v>136</v>
      </c>
      <c r="B137" s="1" t="s">
        <v>641</v>
      </c>
      <c r="C137" s="0" t="n">
        <v>337</v>
      </c>
      <c r="D137" s="0" t="n">
        <v>484</v>
      </c>
      <c r="E137" s="0" t="s">
        <v>642</v>
      </c>
      <c r="F137" s="0" t="n">
        <v>435</v>
      </c>
      <c r="G137" s="0" t="n">
        <v>470</v>
      </c>
      <c r="H137" s="0" t="s">
        <v>437</v>
      </c>
      <c r="I137" s="0" t="n">
        <v>300</v>
      </c>
      <c r="J137" s="0" t="n">
        <v>310</v>
      </c>
      <c r="K137" s="0" t="s">
        <v>112</v>
      </c>
      <c r="L137" s="0" t="n">
        <v>37</v>
      </c>
      <c r="M137" s="0" t="n">
        <v>36</v>
      </c>
      <c r="N137" s="0" t="s">
        <v>630</v>
      </c>
      <c r="AD137" s="0" t="n">
        <v>626</v>
      </c>
      <c r="AE137" s="0" t="n">
        <v>647</v>
      </c>
      <c r="AF137" s="0" t="s">
        <v>112</v>
      </c>
      <c r="AG137" s="0" t="n">
        <v>168</v>
      </c>
      <c r="AH137" s="0" t="n">
        <v>460</v>
      </c>
      <c r="AI137" s="0" t="s">
        <v>643</v>
      </c>
      <c r="AM137" s="0" t="n">
        <v>296</v>
      </c>
      <c r="AN137" s="0" t="n">
        <v>310</v>
      </c>
      <c r="AO137" s="0" t="s">
        <v>127</v>
      </c>
      <c r="AP137" s="0" t="n">
        <v>311</v>
      </c>
      <c r="AQ137" s="0" t="n">
        <v>302</v>
      </c>
      <c r="AR137" s="0" t="s">
        <v>644</v>
      </c>
      <c r="AS137" s="0" t="n">
        <v>1</v>
      </c>
      <c r="AV137" s="0" t="n">
        <v>296</v>
      </c>
      <c r="AW137" s="0" t="n">
        <v>310</v>
      </c>
      <c r="AX137" s="0" t="s">
        <v>127</v>
      </c>
      <c r="AY137" s="0" t="n">
        <v>311</v>
      </c>
      <c r="AZ137" s="0" t="n">
        <v>302</v>
      </c>
      <c r="BA137" s="0" t="s">
        <v>644</v>
      </c>
      <c r="BB137" s="0" t="n">
        <v>1</v>
      </c>
      <c r="BE137" s="2" t="n">
        <v>43075</v>
      </c>
    </row>
    <row r="138" customFormat="false" ht="14.25" hidden="false" customHeight="false" outlineLevel="0" collapsed="false">
      <c r="A138" s="0" t="n">
        <v>137</v>
      </c>
      <c r="B138" s="1" t="s">
        <v>645</v>
      </c>
      <c r="C138" s="0" t="n">
        <v>441</v>
      </c>
      <c r="D138" s="0" t="n">
        <v>484</v>
      </c>
      <c r="E138" s="0" t="s">
        <v>646</v>
      </c>
      <c r="F138" s="0" t="n">
        <v>450</v>
      </c>
      <c r="G138" s="0" t="n">
        <v>470</v>
      </c>
      <c r="H138" s="0" t="s">
        <v>144</v>
      </c>
      <c r="I138" s="0" t="n">
        <v>269</v>
      </c>
      <c r="J138" s="0" t="n">
        <v>368</v>
      </c>
      <c r="K138" s="0" t="s">
        <v>307</v>
      </c>
      <c r="L138" s="0" t="n">
        <v>37</v>
      </c>
      <c r="M138" s="0" t="n">
        <v>36</v>
      </c>
      <c r="N138" s="0" t="s">
        <v>630</v>
      </c>
      <c r="AD138" s="0" t="n">
        <v>546</v>
      </c>
      <c r="AE138" s="0" t="n">
        <v>647</v>
      </c>
      <c r="AF138" s="0" t="s">
        <v>480</v>
      </c>
      <c r="AG138" s="0" t="n">
        <v>7</v>
      </c>
      <c r="AH138" s="0" t="n">
        <v>14</v>
      </c>
      <c r="AI138" s="0" t="s">
        <v>219</v>
      </c>
      <c r="AM138" s="0" t="n">
        <v>266</v>
      </c>
      <c r="AN138" s="0" t="n">
        <v>310</v>
      </c>
      <c r="AO138" s="0" t="s">
        <v>272</v>
      </c>
      <c r="AP138" s="0" t="n">
        <v>249</v>
      </c>
      <c r="AQ138" s="0" t="n">
        <v>302</v>
      </c>
      <c r="AR138" s="0" t="s">
        <v>317</v>
      </c>
      <c r="AS138" s="0" t="n">
        <v>1</v>
      </c>
      <c r="AV138" s="0" t="n">
        <v>266</v>
      </c>
      <c r="AW138" s="0" t="n">
        <v>310</v>
      </c>
      <c r="AX138" s="0" t="s">
        <v>272</v>
      </c>
      <c r="AY138" s="0" t="n">
        <v>249</v>
      </c>
      <c r="AZ138" s="0" t="n">
        <v>302</v>
      </c>
      <c r="BA138" s="0" t="s">
        <v>317</v>
      </c>
      <c r="BB138" s="0" t="n">
        <v>1</v>
      </c>
      <c r="BE138" s="2" t="n">
        <v>43077</v>
      </c>
    </row>
    <row r="139" customFormat="false" ht="14.25" hidden="false" customHeight="false" outlineLevel="0" collapsed="false">
      <c r="A139" s="0" t="n">
        <v>138</v>
      </c>
      <c r="B139" s="1" t="s">
        <v>647</v>
      </c>
      <c r="C139" s="0" t="n">
        <v>434</v>
      </c>
      <c r="D139" s="0" t="n">
        <v>484</v>
      </c>
      <c r="E139" s="0" t="s">
        <v>123</v>
      </c>
      <c r="F139" s="0" t="n">
        <v>442</v>
      </c>
      <c r="G139" s="0" t="n">
        <v>470</v>
      </c>
      <c r="H139" s="0" t="s">
        <v>526</v>
      </c>
      <c r="I139" s="0" t="n">
        <v>293</v>
      </c>
      <c r="J139" s="0" t="n">
        <v>310</v>
      </c>
      <c r="K139" s="0" t="s">
        <v>581</v>
      </c>
      <c r="L139" s="0" t="n">
        <v>37</v>
      </c>
      <c r="M139" s="0" t="n">
        <v>34</v>
      </c>
      <c r="N139" s="0" t="s">
        <v>611</v>
      </c>
      <c r="O139" s="0" t="n">
        <v>6</v>
      </c>
      <c r="AD139" s="0" t="n">
        <v>632</v>
      </c>
      <c r="AE139" s="0" t="n">
        <v>647</v>
      </c>
      <c r="AF139" s="0" t="s">
        <v>138</v>
      </c>
      <c r="AG139" s="0" t="n">
        <v>163</v>
      </c>
      <c r="AH139" s="0" t="n">
        <v>460</v>
      </c>
      <c r="AI139" s="0" t="s">
        <v>648</v>
      </c>
      <c r="AM139" s="0" t="n">
        <v>302</v>
      </c>
      <c r="AN139" s="0" t="n">
        <v>310</v>
      </c>
      <c r="AO139" s="0" t="s">
        <v>139</v>
      </c>
      <c r="AP139" s="0" t="n">
        <v>273</v>
      </c>
      <c r="AQ139" s="0" t="n">
        <v>302</v>
      </c>
      <c r="AR139" s="0" t="s">
        <v>463</v>
      </c>
      <c r="AS139" s="0" t="n">
        <v>1</v>
      </c>
      <c r="AV139" s="0" t="n">
        <v>302</v>
      </c>
      <c r="AW139" s="0" t="n">
        <v>310</v>
      </c>
      <c r="AX139" s="0" t="s">
        <v>139</v>
      </c>
      <c r="AY139" s="0" t="n">
        <v>273</v>
      </c>
      <c r="AZ139" s="0" t="n">
        <v>302</v>
      </c>
      <c r="BA139" s="0" t="s">
        <v>463</v>
      </c>
      <c r="BB139" s="0" t="n">
        <v>1</v>
      </c>
      <c r="BE139" s="2" t="n">
        <v>43076</v>
      </c>
    </row>
    <row r="140" customFormat="false" ht="14.25" hidden="false" customHeight="false" outlineLevel="0" collapsed="false">
      <c r="A140" s="0" t="n">
        <v>139</v>
      </c>
      <c r="B140" s="1" t="s">
        <v>649</v>
      </c>
      <c r="C140" s="0" t="n">
        <v>429</v>
      </c>
      <c r="D140" s="0" t="n">
        <v>484</v>
      </c>
      <c r="E140" s="0" t="s">
        <v>305</v>
      </c>
      <c r="F140" s="0" t="n">
        <v>443</v>
      </c>
      <c r="G140" s="0" t="n">
        <v>470</v>
      </c>
      <c r="H140" s="0" t="s">
        <v>523</v>
      </c>
      <c r="I140" s="0" t="n">
        <v>300</v>
      </c>
      <c r="J140" s="0" t="n">
        <v>310</v>
      </c>
      <c r="K140" s="0" t="s">
        <v>112</v>
      </c>
      <c r="L140" s="0" t="n">
        <v>37</v>
      </c>
      <c r="M140" s="0" t="n">
        <v>36</v>
      </c>
      <c r="N140" s="0" t="s">
        <v>630</v>
      </c>
      <c r="AD140" s="0" t="n">
        <v>637</v>
      </c>
      <c r="AE140" s="0" t="n">
        <v>647</v>
      </c>
      <c r="AF140" s="0" t="s">
        <v>120</v>
      </c>
      <c r="AG140" s="0" t="n">
        <v>132</v>
      </c>
      <c r="AH140" s="0" t="n">
        <v>460</v>
      </c>
      <c r="AI140" s="0" t="s">
        <v>650</v>
      </c>
      <c r="AM140" s="0" t="n">
        <v>253</v>
      </c>
      <c r="AN140" s="0" t="n">
        <v>310</v>
      </c>
      <c r="AO140" s="0" t="s">
        <v>484</v>
      </c>
      <c r="AP140" s="0" t="n">
        <v>278</v>
      </c>
      <c r="AQ140" s="0" t="n">
        <v>302</v>
      </c>
      <c r="AR140" s="0" t="s">
        <v>598</v>
      </c>
      <c r="AS140" s="0" t="n">
        <v>1</v>
      </c>
      <c r="AV140" s="0" t="n">
        <v>253</v>
      </c>
      <c r="AW140" s="0" t="n">
        <v>310</v>
      </c>
      <c r="AX140" s="0" t="s">
        <v>484</v>
      </c>
      <c r="AY140" s="0" t="n">
        <v>278</v>
      </c>
      <c r="AZ140" s="0" t="n">
        <v>302</v>
      </c>
      <c r="BA140" s="0" t="s">
        <v>598</v>
      </c>
      <c r="BB140" s="0" t="n">
        <v>1</v>
      </c>
      <c r="BE140" s="2" t="n">
        <v>43080</v>
      </c>
    </row>
    <row r="141" customFormat="false" ht="14.25" hidden="false" customHeight="false" outlineLevel="0" collapsed="false">
      <c r="A141" s="0" t="n">
        <v>140</v>
      </c>
      <c r="B141" s="1" t="s">
        <v>651</v>
      </c>
      <c r="C141" s="0" t="n">
        <v>446</v>
      </c>
      <c r="D141" s="0" t="n">
        <v>473</v>
      </c>
      <c r="E141" s="0" t="s">
        <v>523</v>
      </c>
      <c r="F141" s="0" t="n">
        <v>450</v>
      </c>
      <c r="G141" s="0" t="n">
        <v>460</v>
      </c>
      <c r="H141" s="0" t="s">
        <v>652</v>
      </c>
      <c r="I141" s="0" t="n">
        <v>289</v>
      </c>
      <c r="J141" s="0" t="n">
        <v>310</v>
      </c>
      <c r="K141" s="0" t="s">
        <v>491</v>
      </c>
      <c r="L141" s="0" t="n">
        <v>37</v>
      </c>
      <c r="M141" s="0" t="n">
        <v>36</v>
      </c>
      <c r="N141" s="0" t="s">
        <v>630</v>
      </c>
      <c r="AD141" s="0" t="n">
        <v>600</v>
      </c>
      <c r="AE141" s="0" t="n">
        <v>647</v>
      </c>
      <c r="AF141" s="0" t="s">
        <v>618</v>
      </c>
      <c r="AG141" s="0" t="n">
        <v>1</v>
      </c>
      <c r="AM141" s="0" t="n">
        <v>293</v>
      </c>
      <c r="AN141" s="0" t="n">
        <v>310</v>
      </c>
      <c r="AO141" s="0" t="s">
        <v>581</v>
      </c>
      <c r="AP141" s="0" t="n">
        <v>306</v>
      </c>
      <c r="AQ141" s="0" t="n">
        <v>302</v>
      </c>
      <c r="AR141" s="0" t="s">
        <v>653</v>
      </c>
      <c r="AS141" s="0" t="n">
        <v>1</v>
      </c>
      <c r="AV141" s="0" t="n">
        <v>293</v>
      </c>
      <c r="AW141" s="0" t="n">
        <v>310</v>
      </c>
      <c r="AX141" s="0" t="s">
        <v>581</v>
      </c>
      <c r="AY141" s="0" t="n">
        <v>306</v>
      </c>
      <c r="AZ141" s="0" t="n">
        <v>302</v>
      </c>
      <c r="BA141" s="0" t="s">
        <v>653</v>
      </c>
      <c r="BB141" s="0" t="n">
        <v>1</v>
      </c>
      <c r="BE141" s="2" t="n">
        <v>43081</v>
      </c>
    </row>
    <row r="142" customFormat="false" ht="14.25" hidden="false" customHeight="false" outlineLevel="0" collapsed="false">
      <c r="A142" s="0" t="n">
        <v>141</v>
      </c>
      <c r="B142" s="1" t="s">
        <v>654</v>
      </c>
      <c r="C142" s="0" t="n">
        <v>405</v>
      </c>
      <c r="D142" s="0" t="n">
        <v>484</v>
      </c>
      <c r="E142" s="0" t="s">
        <v>655</v>
      </c>
      <c r="F142" s="0" t="n">
        <v>366</v>
      </c>
      <c r="G142" s="0" t="n">
        <v>470</v>
      </c>
      <c r="H142" s="0" t="s">
        <v>241</v>
      </c>
      <c r="I142" s="0" t="n">
        <v>312</v>
      </c>
      <c r="J142" s="0" t="n">
        <v>332</v>
      </c>
      <c r="K142" s="0" t="s">
        <v>526</v>
      </c>
      <c r="L142" s="0" t="n">
        <v>39</v>
      </c>
      <c r="M142" s="0" t="n">
        <v>36</v>
      </c>
      <c r="N142" s="0" t="s">
        <v>656</v>
      </c>
      <c r="AD142" s="0" t="n">
        <v>539</v>
      </c>
      <c r="AE142" s="0" t="n">
        <v>647</v>
      </c>
      <c r="AF142" s="0" t="s">
        <v>657</v>
      </c>
      <c r="AG142" s="0" t="n">
        <v>2</v>
      </c>
      <c r="AM142" s="0" t="n">
        <v>282</v>
      </c>
      <c r="AN142" s="0" t="n">
        <v>310</v>
      </c>
      <c r="AO142" s="0" t="s">
        <v>658</v>
      </c>
      <c r="AP142" s="0" t="n">
        <v>282</v>
      </c>
      <c r="AQ142" s="0" t="n">
        <v>302</v>
      </c>
      <c r="AR142" s="0" t="s">
        <v>659</v>
      </c>
      <c r="AS142" s="0" t="n">
        <v>1</v>
      </c>
      <c r="AV142" s="0" t="n">
        <v>282</v>
      </c>
      <c r="AW142" s="0" t="n">
        <v>310</v>
      </c>
      <c r="AX142" s="0" t="s">
        <v>658</v>
      </c>
      <c r="AY142" s="0" t="n">
        <v>282</v>
      </c>
      <c r="AZ142" s="0" t="n">
        <v>302</v>
      </c>
      <c r="BA142" s="0" t="s">
        <v>659</v>
      </c>
      <c r="BB142" s="0" t="n">
        <v>1</v>
      </c>
      <c r="BE142" s="2" t="n">
        <v>43082</v>
      </c>
    </row>
    <row r="143" customFormat="false" ht="14.25" hidden="false" customHeight="false" outlineLevel="0" collapsed="false">
      <c r="A143" s="0" t="n">
        <v>142</v>
      </c>
      <c r="B143" s="1" t="s">
        <v>660</v>
      </c>
      <c r="C143" s="0" t="n">
        <v>259</v>
      </c>
      <c r="D143" s="0" t="n">
        <v>484</v>
      </c>
      <c r="E143" s="0" t="s">
        <v>661</v>
      </c>
      <c r="F143" s="0" t="n">
        <v>197</v>
      </c>
      <c r="G143" s="0" t="n">
        <v>470</v>
      </c>
      <c r="H143" s="0" t="s">
        <v>662</v>
      </c>
      <c r="I143" s="0" t="n">
        <v>229</v>
      </c>
      <c r="J143" s="0" t="n">
        <v>332</v>
      </c>
      <c r="K143" s="0" t="s">
        <v>263</v>
      </c>
      <c r="L143" s="0" t="n">
        <v>29</v>
      </c>
      <c r="M143" s="0" t="n">
        <v>36</v>
      </c>
      <c r="N143" s="0" t="s">
        <v>466</v>
      </c>
      <c r="AD143" s="0" t="n">
        <v>349</v>
      </c>
      <c r="AE143" s="0" t="n">
        <v>647</v>
      </c>
      <c r="AF143" s="0" t="s">
        <v>663</v>
      </c>
      <c r="AG143" s="0" t="n">
        <v>86</v>
      </c>
      <c r="AH143" s="0" t="n">
        <v>459</v>
      </c>
      <c r="AI143" s="0" t="s">
        <v>664</v>
      </c>
      <c r="AM143" s="0" t="n">
        <v>192</v>
      </c>
      <c r="AN143" s="0" t="n">
        <v>310</v>
      </c>
      <c r="AO143" s="0" t="s">
        <v>226</v>
      </c>
      <c r="AP143" s="0" t="n">
        <v>169</v>
      </c>
      <c r="AQ143" s="0" t="n">
        <v>302</v>
      </c>
      <c r="AR143" s="0" t="s">
        <v>109</v>
      </c>
      <c r="AS143" s="0" t="n">
        <v>97</v>
      </c>
      <c r="AT143" s="0" t="n">
        <v>177</v>
      </c>
      <c r="AU143" s="0" t="s">
        <v>665</v>
      </c>
      <c r="AV143" s="0" t="n">
        <v>192</v>
      </c>
      <c r="AW143" s="0" t="n">
        <v>310</v>
      </c>
      <c r="AX143" s="0" t="s">
        <v>226</v>
      </c>
      <c r="AY143" s="0" t="n">
        <v>169</v>
      </c>
      <c r="AZ143" s="0" t="n">
        <v>302</v>
      </c>
      <c r="BA143" s="0" t="s">
        <v>109</v>
      </c>
      <c r="BB143" s="0" t="n">
        <v>97</v>
      </c>
      <c r="BC143" s="0" t="n">
        <v>177</v>
      </c>
      <c r="BD143" s="0" t="s">
        <v>665</v>
      </c>
      <c r="BE143" s="2" t="n">
        <v>42751</v>
      </c>
    </row>
    <row r="144" customFormat="false" ht="14.25" hidden="false" customHeight="false" outlineLevel="0" collapsed="false">
      <c r="A144" s="0" t="n">
        <v>143</v>
      </c>
      <c r="B144" s="1" t="s">
        <v>666</v>
      </c>
      <c r="C144" s="0" t="n">
        <v>261</v>
      </c>
      <c r="D144" s="0" t="n">
        <v>483</v>
      </c>
      <c r="E144" s="0" t="s">
        <v>667</v>
      </c>
      <c r="F144" s="0" t="n">
        <v>326</v>
      </c>
      <c r="G144" s="0" t="n">
        <v>470</v>
      </c>
      <c r="H144" s="0" t="s">
        <v>253</v>
      </c>
      <c r="I144" s="0" t="n">
        <v>246</v>
      </c>
      <c r="J144" s="0" t="n">
        <v>332</v>
      </c>
      <c r="K144" s="0" t="s">
        <v>221</v>
      </c>
      <c r="L144" s="0" t="n">
        <v>42</v>
      </c>
      <c r="M144" s="0" t="n">
        <v>45</v>
      </c>
      <c r="N144" s="0" t="s">
        <v>490</v>
      </c>
      <c r="AD144" s="0" t="n">
        <v>546</v>
      </c>
      <c r="AE144" s="0" t="n">
        <v>647</v>
      </c>
      <c r="AF144" s="0" t="s">
        <v>480</v>
      </c>
      <c r="AG144" s="0" t="n">
        <v>100</v>
      </c>
      <c r="AH144" s="0" t="n">
        <v>460</v>
      </c>
      <c r="AI144" s="0" t="s">
        <v>668</v>
      </c>
      <c r="AM144" s="0" t="n">
        <v>257</v>
      </c>
      <c r="AN144" s="0" t="n">
        <v>310</v>
      </c>
      <c r="AO144" s="0" t="s">
        <v>354</v>
      </c>
      <c r="AP144" s="0" t="n">
        <v>208</v>
      </c>
      <c r="AQ144" s="0" t="n">
        <v>302</v>
      </c>
      <c r="AR144" s="0" t="s">
        <v>333</v>
      </c>
      <c r="AS144" s="0" t="n">
        <v>97</v>
      </c>
      <c r="AT144" s="0" t="n">
        <v>177</v>
      </c>
      <c r="AU144" s="0" t="s">
        <v>665</v>
      </c>
      <c r="AV144" s="0" t="n">
        <v>257</v>
      </c>
      <c r="AW144" s="0" t="n">
        <v>310</v>
      </c>
      <c r="AX144" s="0" t="s">
        <v>354</v>
      </c>
      <c r="AY144" s="0" t="n">
        <v>208</v>
      </c>
      <c r="AZ144" s="0" t="n">
        <v>302</v>
      </c>
      <c r="BA144" s="0" t="s">
        <v>333</v>
      </c>
      <c r="BB144" s="0" t="n">
        <v>97</v>
      </c>
      <c r="BC144" s="0" t="n">
        <v>177</v>
      </c>
      <c r="BD144" s="0" t="s">
        <v>665</v>
      </c>
      <c r="BE144" s="2" t="n">
        <v>43117</v>
      </c>
    </row>
    <row r="145" customFormat="false" ht="14.25" hidden="false" customHeight="false" outlineLevel="0" collapsed="false">
      <c r="A145" s="0" t="n">
        <v>144</v>
      </c>
      <c r="B145" s="1" t="s">
        <v>669</v>
      </c>
      <c r="I145" s="0" t="n">
        <v>341</v>
      </c>
      <c r="J145" s="0" t="n">
        <v>415</v>
      </c>
      <c r="K145" s="0" t="s">
        <v>137</v>
      </c>
      <c r="BE145" s="2" t="n">
        <v>43121</v>
      </c>
    </row>
    <row r="146" customFormat="false" ht="14.25" hidden="false" customHeight="false" outlineLevel="0" collapsed="false">
      <c r="A146" s="0" t="n">
        <v>145</v>
      </c>
      <c r="B146" s="1" t="s">
        <v>670</v>
      </c>
      <c r="C146" s="0" t="n">
        <v>407</v>
      </c>
      <c r="D146" s="0" t="n">
        <v>484</v>
      </c>
      <c r="E146" s="0" t="s">
        <v>347</v>
      </c>
      <c r="F146" s="0" t="n">
        <v>349</v>
      </c>
      <c r="G146" s="0" t="n">
        <v>470</v>
      </c>
      <c r="H146" s="0" t="s">
        <v>278</v>
      </c>
      <c r="I146" s="0" t="n">
        <v>325</v>
      </c>
      <c r="J146" s="0" t="n">
        <v>394</v>
      </c>
      <c r="K146" s="0" t="s">
        <v>317</v>
      </c>
      <c r="L146" s="0" t="n">
        <v>45</v>
      </c>
      <c r="M146" s="0" t="n">
        <v>45</v>
      </c>
      <c r="N146" s="0" t="s">
        <v>110</v>
      </c>
      <c r="AD146" s="0" t="n">
        <v>615</v>
      </c>
      <c r="AE146" s="0" t="n">
        <v>647</v>
      </c>
      <c r="AF146" s="0" t="s">
        <v>210</v>
      </c>
      <c r="AG146" s="0" t="n">
        <v>84</v>
      </c>
      <c r="AH146" s="0" t="n">
        <v>460</v>
      </c>
      <c r="AI146" s="0" t="s">
        <v>671</v>
      </c>
      <c r="AM146" s="0" t="n">
        <v>266</v>
      </c>
      <c r="AN146" s="0" t="n">
        <v>310</v>
      </c>
      <c r="AO146" s="0" t="s">
        <v>272</v>
      </c>
      <c r="AP146" s="0" t="n">
        <v>221</v>
      </c>
      <c r="AQ146" s="0" t="n">
        <v>302</v>
      </c>
      <c r="AR146" s="0" t="s">
        <v>672</v>
      </c>
      <c r="AS146" s="0" t="n">
        <v>130</v>
      </c>
      <c r="AT146" s="0" t="n">
        <v>252</v>
      </c>
      <c r="AU146" s="0" t="s">
        <v>673</v>
      </c>
      <c r="AV146" s="0" t="n">
        <v>266</v>
      </c>
      <c r="AW146" s="0" t="n">
        <v>310</v>
      </c>
      <c r="AX146" s="0" t="s">
        <v>272</v>
      </c>
      <c r="AY146" s="0" t="n">
        <v>221</v>
      </c>
      <c r="AZ146" s="0" t="n">
        <v>302</v>
      </c>
      <c r="BA146" s="0" t="s">
        <v>672</v>
      </c>
      <c r="BB146" s="0" t="n">
        <v>130</v>
      </c>
      <c r="BC146" s="0" t="n">
        <v>252</v>
      </c>
      <c r="BD146" s="0" t="s">
        <v>673</v>
      </c>
      <c r="BE146" s="2" t="n">
        <v>43119</v>
      </c>
    </row>
    <row r="147" customFormat="false" ht="14.25" hidden="false" customHeight="false" outlineLevel="0" collapsed="false">
      <c r="A147" s="0" t="n">
        <v>146</v>
      </c>
      <c r="B147" s="1" t="s">
        <v>674</v>
      </c>
      <c r="C147" s="0" t="n">
        <v>387</v>
      </c>
      <c r="D147" s="0" t="n">
        <v>484</v>
      </c>
      <c r="E147" s="0" t="s">
        <v>230</v>
      </c>
      <c r="F147" s="0" t="n">
        <v>309</v>
      </c>
      <c r="G147" s="0" t="n">
        <v>470</v>
      </c>
      <c r="H147" s="0" t="s">
        <v>675</v>
      </c>
      <c r="I147" s="0" t="n">
        <v>263</v>
      </c>
      <c r="J147" s="0" t="n">
        <v>332</v>
      </c>
      <c r="K147" s="0" t="s">
        <v>676</v>
      </c>
      <c r="L147" s="0" t="n">
        <v>43</v>
      </c>
      <c r="M147" s="0" t="n">
        <v>45</v>
      </c>
      <c r="N147" s="0" t="s">
        <v>544</v>
      </c>
      <c r="O147" s="0" t="n">
        <v>1</v>
      </c>
      <c r="AD147" s="0" t="n">
        <v>639</v>
      </c>
      <c r="AE147" s="0" t="n">
        <v>647</v>
      </c>
      <c r="AF147" s="0" t="s">
        <v>153</v>
      </c>
      <c r="AG147" s="0" t="n">
        <v>84</v>
      </c>
      <c r="AH147" s="0" t="n">
        <v>460</v>
      </c>
      <c r="AI147" s="0" t="s">
        <v>671</v>
      </c>
      <c r="AM147" s="0" t="n">
        <v>242</v>
      </c>
      <c r="AN147" s="0" t="n">
        <v>310</v>
      </c>
      <c r="AO147" s="0" t="s">
        <v>133</v>
      </c>
      <c r="AP147" s="0" t="n">
        <v>232</v>
      </c>
      <c r="AQ147" s="0" t="n">
        <v>279</v>
      </c>
      <c r="AR147" s="0" t="s">
        <v>479</v>
      </c>
      <c r="AS147" s="0" t="n">
        <v>102</v>
      </c>
      <c r="AV147" s="0" t="n">
        <v>242</v>
      </c>
      <c r="AW147" s="0" t="n">
        <v>310</v>
      </c>
      <c r="AX147" s="0" t="s">
        <v>133</v>
      </c>
      <c r="AY147" s="0" t="n">
        <v>232</v>
      </c>
      <c r="AZ147" s="0" t="n">
        <v>279</v>
      </c>
      <c r="BA147" s="0" t="s">
        <v>479</v>
      </c>
      <c r="BB147" s="0" t="n">
        <v>102</v>
      </c>
      <c r="BE147" s="2" t="n">
        <v>43118</v>
      </c>
    </row>
    <row r="148" customFormat="false" ht="14.25" hidden="false" customHeight="false" outlineLevel="0" collapsed="false">
      <c r="A148" s="0" t="n">
        <v>147</v>
      </c>
      <c r="B148" s="1" t="s">
        <v>677</v>
      </c>
      <c r="C148" s="0" t="n">
        <v>418</v>
      </c>
      <c r="D148" s="0" t="n">
        <v>484</v>
      </c>
      <c r="E148" s="0" t="s">
        <v>167</v>
      </c>
      <c r="F148" s="0" t="n">
        <v>376</v>
      </c>
      <c r="G148" s="0" t="n">
        <v>470</v>
      </c>
      <c r="H148" s="0" t="s">
        <v>230</v>
      </c>
      <c r="I148" s="0" t="n">
        <v>287</v>
      </c>
      <c r="J148" s="0" t="n">
        <v>322</v>
      </c>
      <c r="K148" s="0" t="s">
        <v>421</v>
      </c>
      <c r="L148" s="0" t="n">
        <v>45</v>
      </c>
      <c r="M148" s="0" t="n">
        <v>45</v>
      </c>
      <c r="N148" s="0" t="s">
        <v>110</v>
      </c>
      <c r="AD148" s="0" t="n">
        <v>480</v>
      </c>
      <c r="AE148" s="0" t="n">
        <v>647</v>
      </c>
      <c r="AF148" s="0" t="s">
        <v>298</v>
      </c>
      <c r="AG148" s="0" t="n">
        <v>89</v>
      </c>
      <c r="AH148" s="0" t="n">
        <v>460</v>
      </c>
      <c r="AI148" s="0" t="s">
        <v>678</v>
      </c>
      <c r="AM148" s="0" t="n">
        <v>263</v>
      </c>
      <c r="AN148" s="0" t="n">
        <v>310</v>
      </c>
      <c r="AO148" s="0" t="s">
        <v>306</v>
      </c>
      <c r="AP148" s="0" t="n">
        <v>259</v>
      </c>
      <c r="AQ148" s="0" t="n">
        <v>302</v>
      </c>
      <c r="AR148" s="0" t="s">
        <v>272</v>
      </c>
      <c r="AS148" s="0" t="n">
        <v>98</v>
      </c>
      <c r="AT148" s="0" t="n">
        <v>183</v>
      </c>
      <c r="AU148" s="0" t="s">
        <v>679</v>
      </c>
      <c r="AV148" s="0" t="n">
        <v>263</v>
      </c>
      <c r="AW148" s="0" t="n">
        <v>310</v>
      </c>
      <c r="AX148" s="0" t="s">
        <v>306</v>
      </c>
      <c r="AY148" s="0" t="n">
        <v>259</v>
      </c>
      <c r="AZ148" s="0" t="n">
        <v>302</v>
      </c>
      <c r="BA148" s="0" t="s">
        <v>272</v>
      </c>
      <c r="BB148" s="0" t="n">
        <v>98</v>
      </c>
      <c r="BC148" s="0" t="n">
        <v>183</v>
      </c>
      <c r="BD148" s="0" t="s">
        <v>679</v>
      </c>
      <c r="BE148" s="2" t="n">
        <v>43122</v>
      </c>
    </row>
    <row r="149" customFormat="false" ht="14.25" hidden="false" customHeight="false" outlineLevel="0" collapsed="false">
      <c r="A149" s="0" t="n">
        <v>148</v>
      </c>
      <c r="B149" s="1" t="s">
        <v>680</v>
      </c>
      <c r="C149" s="0" t="n">
        <v>423</v>
      </c>
      <c r="D149" s="0" t="n">
        <v>473</v>
      </c>
      <c r="E149" s="0" t="s">
        <v>396</v>
      </c>
      <c r="F149" s="0" t="n">
        <v>377</v>
      </c>
      <c r="G149" s="0" t="n">
        <v>460</v>
      </c>
      <c r="H149" s="0" t="s">
        <v>248</v>
      </c>
      <c r="I149" s="0" t="n">
        <v>283</v>
      </c>
      <c r="J149" s="0" t="n">
        <v>332</v>
      </c>
      <c r="K149" s="0" t="s">
        <v>410</v>
      </c>
      <c r="L149" s="0" t="n">
        <v>45</v>
      </c>
      <c r="M149" s="0" t="n">
        <v>45</v>
      </c>
      <c r="N149" s="0" t="s">
        <v>110</v>
      </c>
      <c r="AD149" s="0" t="n">
        <v>531</v>
      </c>
      <c r="AE149" s="0" t="n">
        <v>647</v>
      </c>
      <c r="AF149" s="0" t="s">
        <v>681</v>
      </c>
      <c r="AG149" s="0" t="n">
        <v>113</v>
      </c>
      <c r="AH149" s="0" t="n">
        <v>459</v>
      </c>
      <c r="AI149" s="0" t="s">
        <v>682</v>
      </c>
      <c r="AM149" s="0" t="n">
        <v>289</v>
      </c>
      <c r="AN149" s="0" t="n">
        <v>310</v>
      </c>
      <c r="AO149" s="0" t="s">
        <v>491</v>
      </c>
      <c r="AP149" s="0" t="n">
        <v>270</v>
      </c>
      <c r="AQ149" s="0" t="n">
        <v>302</v>
      </c>
      <c r="AR149" s="0" t="s">
        <v>396</v>
      </c>
      <c r="AS149" s="0" t="n">
        <v>101</v>
      </c>
      <c r="AT149" s="0" t="n">
        <v>177</v>
      </c>
      <c r="AU149" s="0" t="s">
        <v>468</v>
      </c>
      <c r="AV149" s="0" t="n">
        <v>289</v>
      </c>
      <c r="AW149" s="0" t="n">
        <v>310</v>
      </c>
      <c r="AX149" s="0" t="s">
        <v>491</v>
      </c>
      <c r="AY149" s="0" t="n">
        <v>270</v>
      </c>
      <c r="AZ149" s="0" t="n">
        <v>302</v>
      </c>
      <c r="BA149" s="0" t="s">
        <v>396</v>
      </c>
      <c r="BB149" s="0" t="n">
        <v>101</v>
      </c>
      <c r="BC149" s="0" t="n">
        <v>177</v>
      </c>
      <c r="BD149" s="0" t="s">
        <v>468</v>
      </c>
      <c r="BE149" s="2" t="n">
        <v>43123</v>
      </c>
    </row>
    <row r="150" customFormat="false" ht="14.25" hidden="false" customHeight="false" outlineLevel="0" collapsed="false">
      <c r="A150" s="0" t="n">
        <v>149</v>
      </c>
      <c r="B150" s="1" t="s">
        <v>683</v>
      </c>
      <c r="C150" s="0" t="n">
        <v>404</v>
      </c>
      <c r="D150" s="0" t="n">
        <v>484</v>
      </c>
      <c r="E150" s="0" t="s">
        <v>684</v>
      </c>
      <c r="F150" s="0" t="n">
        <v>371</v>
      </c>
      <c r="G150" s="0" t="n">
        <v>470</v>
      </c>
      <c r="H150" s="0" t="s">
        <v>685</v>
      </c>
      <c r="I150" s="0" t="n">
        <v>286</v>
      </c>
      <c r="J150" s="0" t="n">
        <v>332</v>
      </c>
      <c r="K150" s="0" t="s">
        <v>283</v>
      </c>
      <c r="L150" s="0" t="n">
        <v>45</v>
      </c>
      <c r="M150" s="0" t="n">
        <v>45</v>
      </c>
      <c r="N150" s="0" t="s">
        <v>110</v>
      </c>
      <c r="AD150" s="0" t="n">
        <v>528</v>
      </c>
      <c r="AE150" s="0" t="n">
        <v>647</v>
      </c>
      <c r="AF150" s="0" t="s">
        <v>484</v>
      </c>
      <c r="AG150" s="0" t="n">
        <v>114</v>
      </c>
      <c r="AH150" s="0" t="n">
        <v>460</v>
      </c>
      <c r="AI150" s="0" t="s">
        <v>686</v>
      </c>
      <c r="AM150" s="0" t="n">
        <v>265</v>
      </c>
      <c r="AN150" s="0" t="n">
        <v>310</v>
      </c>
      <c r="AO150" s="0" t="s">
        <v>509</v>
      </c>
      <c r="AP150" s="0" t="n">
        <v>217</v>
      </c>
      <c r="AQ150" s="0" t="n">
        <v>302</v>
      </c>
      <c r="AR150" s="0" t="s">
        <v>687</v>
      </c>
      <c r="AS150" s="0" t="n">
        <v>108</v>
      </c>
      <c r="AT150" s="0" t="n">
        <v>177</v>
      </c>
      <c r="AU150" s="0" t="s">
        <v>257</v>
      </c>
      <c r="AV150" s="0" t="n">
        <v>265</v>
      </c>
      <c r="AW150" s="0" t="n">
        <v>310</v>
      </c>
      <c r="AX150" s="0" t="s">
        <v>509</v>
      </c>
      <c r="AY150" s="0" t="n">
        <v>217</v>
      </c>
      <c r="AZ150" s="0" t="n">
        <v>302</v>
      </c>
      <c r="BA150" s="0" t="s">
        <v>687</v>
      </c>
      <c r="BB150" s="0" t="n">
        <v>108</v>
      </c>
      <c r="BC150" s="0" t="n">
        <v>177</v>
      </c>
      <c r="BD150" s="0" t="s">
        <v>257</v>
      </c>
      <c r="BE150" s="2" t="n">
        <v>43124</v>
      </c>
    </row>
    <row r="151" customFormat="false" ht="14.25" hidden="false" customHeight="false" outlineLevel="0" collapsed="false">
      <c r="A151" s="0" t="n">
        <v>150</v>
      </c>
      <c r="B151" s="1" t="s">
        <v>688</v>
      </c>
      <c r="C151" s="0" t="n">
        <v>306</v>
      </c>
      <c r="D151" s="0" t="n">
        <v>484</v>
      </c>
      <c r="E151" s="0" t="s">
        <v>689</v>
      </c>
      <c r="F151" s="0" t="n">
        <v>418</v>
      </c>
      <c r="G151" s="0" t="n">
        <v>470</v>
      </c>
      <c r="H151" s="0" t="s">
        <v>394</v>
      </c>
      <c r="I151" s="0" t="n">
        <v>300</v>
      </c>
      <c r="J151" s="0" t="n">
        <v>332</v>
      </c>
      <c r="K151" s="0" t="s">
        <v>463</v>
      </c>
      <c r="L151" s="0" t="n">
        <v>45</v>
      </c>
      <c r="M151" s="0" t="n">
        <v>45</v>
      </c>
      <c r="N151" s="0" t="s">
        <v>110</v>
      </c>
      <c r="AD151" s="0" t="n">
        <v>591</v>
      </c>
      <c r="AE151" s="0" t="n">
        <v>647</v>
      </c>
      <c r="AF151" s="0" t="s">
        <v>174</v>
      </c>
      <c r="AG151" s="0" t="n">
        <v>92</v>
      </c>
      <c r="AH151" s="0" t="n">
        <v>460</v>
      </c>
      <c r="AI151" s="0" t="s">
        <v>690</v>
      </c>
      <c r="AM151" s="0" t="n">
        <v>296</v>
      </c>
      <c r="AN151" s="0" t="n">
        <v>315</v>
      </c>
      <c r="AO151" s="0" t="s">
        <v>526</v>
      </c>
      <c r="AP151" s="0" t="n">
        <v>257</v>
      </c>
      <c r="AQ151" s="0" t="n">
        <v>308</v>
      </c>
      <c r="AR151" s="0" t="s">
        <v>393</v>
      </c>
      <c r="AS151" s="0" t="n">
        <v>107</v>
      </c>
      <c r="AT151" s="0" t="n">
        <v>177</v>
      </c>
      <c r="AU151" s="0" t="s">
        <v>691</v>
      </c>
      <c r="AV151" s="0" t="n">
        <v>296</v>
      </c>
      <c r="AW151" s="0" t="n">
        <v>315</v>
      </c>
      <c r="AX151" s="0" t="s">
        <v>526</v>
      </c>
      <c r="AY151" s="0" t="n">
        <v>257</v>
      </c>
      <c r="AZ151" s="0" t="n">
        <v>308</v>
      </c>
      <c r="BA151" s="0" t="s">
        <v>393</v>
      </c>
      <c r="BB151" s="0" t="n">
        <v>107</v>
      </c>
      <c r="BC151" s="0" t="n">
        <v>177</v>
      </c>
      <c r="BD151" s="0" t="s">
        <v>691</v>
      </c>
      <c r="BE151" s="2" t="n">
        <v>43125</v>
      </c>
    </row>
    <row r="152" customFormat="false" ht="14.25" hidden="false" customHeight="false" outlineLevel="0" collapsed="false">
      <c r="A152" s="0" t="n">
        <v>151</v>
      </c>
      <c r="B152" s="1" t="s">
        <v>692</v>
      </c>
      <c r="C152" s="0" t="n">
        <v>283</v>
      </c>
      <c r="D152" s="0" t="n">
        <v>484</v>
      </c>
      <c r="E152" s="0" t="s">
        <v>693</v>
      </c>
      <c r="F152" s="0" t="n">
        <v>340</v>
      </c>
      <c r="G152" s="0" t="n">
        <v>470</v>
      </c>
      <c r="H152" s="0" t="s">
        <v>694</v>
      </c>
      <c r="I152" s="0" t="n">
        <v>358</v>
      </c>
      <c r="J152" s="0" t="n">
        <v>394</v>
      </c>
      <c r="K152" s="0" t="s">
        <v>452</v>
      </c>
      <c r="L152" s="0" t="n">
        <v>46</v>
      </c>
      <c r="M152" s="0" t="n">
        <v>45</v>
      </c>
      <c r="N152" s="0" t="s">
        <v>695</v>
      </c>
      <c r="AD152" s="0" t="n">
        <v>601</v>
      </c>
      <c r="AE152" s="0" t="n">
        <v>647</v>
      </c>
      <c r="AF152" s="0" t="s">
        <v>207</v>
      </c>
      <c r="AG152" s="0" t="n">
        <v>75</v>
      </c>
      <c r="AH152" s="0" t="n">
        <v>460</v>
      </c>
      <c r="AI152" s="0" t="s">
        <v>696</v>
      </c>
      <c r="AM152" s="0" t="n">
        <v>262</v>
      </c>
      <c r="AN152" s="0" t="n">
        <v>317</v>
      </c>
      <c r="AO152" s="0" t="s">
        <v>114</v>
      </c>
      <c r="AP152" s="0" t="n">
        <v>237</v>
      </c>
      <c r="AQ152" s="0" t="n">
        <v>308</v>
      </c>
      <c r="AR152" s="0" t="s">
        <v>250</v>
      </c>
      <c r="AS152" s="0" t="n">
        <v>147</v>
      </c>
      <c r="AT152" s="0" t="n">
        <v>252</v>
      </c>
      <c r="AU152" s="0" t="s">
        <v>697</v>
      </c>
      <c r="AV152" s="0" t="n">
        <v>262</v>
      </c>
      <c r="AW152" s="0" t="n">
        <v>317</v>
      </c>
      <c r="AX152" s="0" t="s">
        <v>114</v>
      </c>
      <c r="AY152" s="0" t="n">
        <v>237</v>
      </c>
      <c r="AZ152" s="0" t="n">
        <v>308</v>
      </c>
      <c r="BA152" s="0" t="s">
        <v>250</v>
      </c>
      <c r="BB152" s="0" t="n">
        <v>147</v>
      </c>
      <c r="BC152" s="0" t="n">
        <v>252</v>
      </c>
      <c r="BD152" s="0" t="s">
        <v>697</v>
      </c>
      <c r="BE152" s="2" t="n">
        <v>43126</v>
      </c>
    </row>
    <row r="153" customFormat="false" ht="14.25" hidden="false" customHeight="false" outlineLevel="0" collapsed="false">
      <c r="A153" s="0" t="n">
        <v>152</v>
      </c>
      <c r="B153" s="1" t="s">
        <v>698</v>
      </c>
      <c r="I153" s="0" t="n">
        <v>329</v>
      </c>
      <c r="J153" s="0" t="n">
        <v>415</v>
      </c>
      <c r="K153" s="0" t="s">
        <v>699</v>
      </c>
      <c r="BE153" s="2" t="n">
        <v>43128</v>
      </c>
    </row>
    <row r="154" customFormat="false" ht="14.25" hidden="false" customHeight="false" outlineLevel="0" collapsed="false">
      <c r="A154" s="0" t="n">
        <v>153</v>
      </c>
      <c r="B154" s="1" t="s">
        <v>700</v>
      </c>
      <c r="C154" s="0" t="n">
        <v>442</v>
      </c>
      <c r="D154" s="0" t="n">
        <v>484</v>
      </c>
      <c r="E154" s="0" t="s">
        <v>174</v>
      </c>
      <c r="F154" s="0" t="n">
        <v>424</v>
      </c>
      <c r="G154" s="0" t="n">
        <v>470</v>
      </c>
      <c r="H154" s="0" t="s">
        <v>161</v>
      </c>
      <c r="I154" s="0" t="n">
        <v>308</v>
      </c>
      <c r="J154" s="0" t="n">
        <v>322</v>
      </c>
      <c r="K154" s="0" t="s">
        <v>144</v>
      </c>
      <c r="L154" s="0" t="n">
        <v>45</v>
      </c>
      <c r="M154" s="0" t="n">
        <v>44</v>
      </c>
      <c r="N154" s="0" t="s">
        <v>701</v>
      </c>
      <c r="AD154" s="0" t="n">
        <v>548</v>
      </c>
      <c r="AE154" s="0" t="n">
        <v>647</v>
      </c>
      <c r="AF154" s="0" t="s">
        <v>316</v>
      </c>
      <c r="AG154" s="0" t="n">
        <v>4</v>
      </c>
      <c r="AH154" s="0" t="n">
        <v>459</v>
      </c>
      <c r="AI154" s="0" t="s">
        <v>702</v>
      </c>
      <c r="AM154" s="0" t="n">
        <v>246</v>
      </c>
      <c r="AN154" s="0" t="n">
        <v>317</v>
      </c>
      <c r="AO154" s="0" t="s">
        <v>703</v>
      </c>
      <c r="AP154" s="0" t="n">
        <v>257</v>
      </c>
      <c r="AQ154" s="0" t="n">
        <v>308</v>
      </c>
      <c r="AR154" s="0" t="s">
        <v>393</v>
      </c>
      <c r="AS154" s="0" t="n">
        <v>122</v>
      </c>
      <c r="AT154" s="0" t="n">
        <v>177</v>
      </c>
      <c r="AU154" s="0" t="s">
        <v>333</v>
      </c>
      <c r="AV154" s="0" t="n">
        <v>246</v>
      </c>
      <c r="AW154" s="0" t="n">
        <v>317</v>
      </c>
      <c r="AX154" s="0" t="s">
        <v>703</v>
      </c>
      <c r="AY154" s="0" t="n">
        <v>257</v>
      </c>
      <c r="AZ154" s="0" t="n">
        <v>308</v>
      </c>
      <c r="BA154" s="0" t="s">
        <v>393</v>
      </c>
      <c r="BB154" s="0" t="n">
        <v>122</v>
      </c>
      <c r="BC154" s="0" t="n">
        <v>177</v>
      </c>
      <c r="BD154" s="0" t="s">
        <v>333</v>
      </c>
      <c r="BE154" s="2" t="n">
        <v>43129</v>
      </c>
    </row>
    <row r="155" customFormat="false" ht="14.25" hidden="false" customHeight="false" outlineLevel="0" collapsed="false">
      <c r="A155" s="0" t="n">
        <v>154</v>
      </c>
      <c r="B155" s="1" t="s">
        <v>704</v>
      </c>
      <c r="C155" s="0" t="n">
        <v>442</v>
      </c>
      <c r="D155" s="0" t="n">
        <v>473</v>
      </c>
      <c r="E155" s="0" t="s">
        <v>659</v>
      </c>
      <c r="F155" s="0" t="n">
        <v>436</v>
      </c>
      <c r="G155" s="0" t="n">
        <v>460</v>
      </c>
      <c r="H155" s="0" t="s">
        <v>191</v>
      </c>
      <c r="I155" s="0" t="n">
        <v>312</v>
      </c>
      <c r="J155" s="0" t="n">
        <v>332</v>
      </c>
      <c r="K155" s="0" t="s">
        <v>526</v>
      </c>
      <c r="L155" s="0" t="n">
        <v>45</v>
      </c>
      <c r="M155" s="0" t="n">
        <v>45</v>
      </c>
      <c r="N155" s="0" t="s">
        <v>110</v>
      </c>
      <c r="AD155" s="0" t="n">
        <v>388</v>
      </c>
      <c r="AE155" s="0" t="n">
        <v>647</v>
      </c>
      <c r="AF155" s="0" t="s">
        <v>705</v>
      </c>
      <c r="AM155" s="0" t="n">
        <v>265</v>
      </c>
      <c r="AN155" s="0" t="n">
        <v>317</v>
      </c>
      <c r="AO155" s="0" t="s">
        <v>301</v>
      </c>
      <c r="AP155" s="0" t="n">
        <v>303</v>
      </c>
      <c r="AQ155" s="0" t="n">
        <v>308</v>
      </c>
      <c r="AR155" s="0" t="s">
        <v>706</v>
      </c>
      <c r="AS155" s="0" t="n">
        <v>123</v>
      </c>
      <c r="AT155" s="0" t="n">
        <v>177</v>
      </c>
      <c r="AU155" s="0" t="s">
        <v>707</v>
      </c>
      <c r="AV155" s="0" t="n">
        <v>265</v>
      </c>
      <c r="AW155" s="0" t="n">
        <v>317</v>
      </c>
      <c r="AX155" s="0" t="s">
        <v>301</v>
      </c>
      <c r="AY155" s="0" t="n">
        <v>303</v>
      </c>
      <c r="AZ155" s="0" t="n">
        <v>308</v>
      </c>
      <c r="BA155" s="0" t="s">
        <v>706</v>
      </c>
      <c r="BB155" s="0" t="n">
        <v>123</v>
      </c>
      <c r="BC155" s="0" t="n">
        <v>177</v>
      </c>
      <c r="BD155" s="0" t="s">
        <v>707</v>
      </c>
      <c r="BE155" s="2" t="n">
        <v>43130</v>
      </c>
    </row>
    <row r="156" customFormat="false" ht="14.25" hidden="false" customHeight="false" outlineLevel="0" collapsed="false">
      <c r="A156" s="0" t="n">
        <v>155</v>
      </c>
      <c r="B156" s="1" t="s">
        <v>708</v>
      </c>
      <c r="C156" s="0" t="n">
        <v>453</v>
      </c>
      <c r="D156" s="0" t="n">
        <v>484</v>
      </c>
      <c r="E156" s="0" t="s">
        <v>434</v>
      </c>
      <c r="F156" s="0" t="n">
        <v>437</v>
      </c>
      <c r="G156" s="0" t="n">
        <v>470</v>
      </c>
      <c r="H156" s="0" t="s">
        <v>586</v>
      </c>
      <c r="I156" s="0" t="n">
        <v>302</v>
      </c>
      <c r="J156" s="0" t="n">
        <v>332</v>
      </c>
      <c r="K156" s="0" t="s">
        <v>658</v>
      </c>
      <c r="L156" s="0" t="n">
        <v>46</v>
      </c>
      <c r="M156" s="0" t="n">
        <v>45</v>
      </c>
      <c r="N156" s="0" t="s">
        <v>695</v>
      </c>
      <c r="AD156" s="0" t="n">
        <v>594</v>
      </c>
      <c r="AE156" s="0" t="n">
        <v>647</v>
      </c>
      <c r="AF156" s="0" t="s">
        <v>709</v>
      </c>
      <c r="AG156" s="0" t="n">
        <v>1</v>
      </c>
      <c r="AH156" s="0" t="n">
        <v>454</v>
      </c>
      <c r="AI156" s="0" t="s">
        <v>710</v>
      </c>
      <c r="AM156" s="0" t="n">
        <v>286</v>
      </c>
      <c r="AN156" s="0" t="n">
        <v>317</v>
      </c>
      <c r="AO156" s="0" t="s">
        <v>161</v>
      </c>
      <c r="AP156" s="0" t="n">
        <v>285</v>
      </c>
      <c r="AQ156" s="0" t="n">
        <v>308</v>
      </c>
      <c r="AR156" s="0" t="s">
        <v>578</v>
      </c>
      <c r="AS156" s="0" t="n">
        <v>124</v>
      </c>
      <c r="AT156" s="0" t="n">
        <v>177</v>
      </c>
      <c r="AU156" s="0" t="s">
        <v>164</v>
      </c>
      <c r="AV156" s="0" t="n">
        <v>286</v>
      </c>
      <c r="AW156" s="0" t="n">
        <v>317</v>
      </c>
      <c r="AX156" s="0" t="s">
        <v>161</v>
      </c>
      <c r="AY156" s="0" t="n">
        <v>285</v>
      </c>
      <c r="AZ156" s="0" t="n">
        <v>308</v>
      </c>
      <c r="BA156" s="0" t="s">
        <v>578</v>
      </c>
      <c r="BB156" s="0" t="n">
        <v>124</v>
      </c>
      <c r="BC156" s="0" t="n">
        <v>177</v>
      </c>
      <c r="BD156" s="0" t="s">
        <v>164</v>
      </c>
      <c r="BE156" s="2" t="n">
        <v>43131</v>
      </c>
    </row>
    <row r="157" customFormat="false" ht="14.25" hidden="false" customHeight="false" outlineLevel="0" collapsed="false">
      <c r="A157" s="0" t="n">
        <v>156</v>
      </c>
      <c r="B157" s="1" t="s">
        <v>711</v>
      </c>
      <c r="C157" s="0" t="n">
        <v>453</v>
      </c>
      <c r="D157" s="0" t="n">
        <v>484</v>
      </c>
      <c r="E157" s="0" t="s">
        <v>434</v>
      </c>
      <c r="F157" s="0" t="n">
        <v>435</v>
      </c>
      <c r="G157" s="0" t="n">
        <v>470</v>
      </c>
      <c r="H157" s="0" t="s">
        <v>437</v>
      </c>
      <c r="I157" s="0" t="n">
        <v>307</v>
      </c>
      <c r="J157" s="0" t="n">
        <v>332</v>
      </c>
      <c r="K157" s="0" t="s">
        <v>578</v>
      </c>
      <c r="L157" s="0" t="n">
        <v>45</v>
      </c>
      <c r="M157" s="0" t="n">
        <v>45</v>
      </c>
      <c r="N157" s="0" t="s">
        <v>110</v>
      </c>
      <c r="AD157" s="0" t="n">
        <v>564</v>
      </c>
      <c r="AE157" s="0" t="n">
        <v>647</v>
      </c>
      <c r="AF157" s="0" t="s">
        <v>409</v>
      </c>
      <c r="AG157" s="0" t="n">
        <v>1</v>
      </c>
      <c r="AH157" s="0" t="n">
        <v>454</v>
      </c>
      <c r="AI157" s="0" t="s">
        <v>710</v>
      </c>
      <c r="AM157" s="0" t="n">
        <v>251</v>
      </c>
      <c r="AN157" s="0" t="n">
        <v>317</v>
      </c>
      <c r="AO157" s="0" t="s">
        <v>676</v>
      </c>
      <c r="AP157" s="0" t="n">
        <v>286</v>
      </c>
      <c r="AQ157" s="0" t="n">
        <v>308</v>
      </c>
      <c r="AR157" s="0" t="s">
        <v>207</v>
      </c>
      <c r="AS157" s="0" t="n">
        <v>123</v>
      </c>
      <c r="AT157" s="0" t="n">
        <v>177</v>
      </c>
      <c r="AU157" s="0" t="s">
        <v>707</v>
      </c>
      <c r="AV157" s="0" t="n">
        <v>251</v>
      </c>
      <c r="AW157" s="0" t="n">
        <v>317</v>
      </c>
      <c r="AX157" s="0" t="s">
        <v>676</v>
      </c>
      <c r="AY157" s="0" t="n">
        <v>286</v>
      </c>
      <c r="AZ157" s="0" t="n">
        <v>308</v>
      </c>
      <c r="BA157" s="0" t="s">
        <v>207</v>
      </c>
      <c r="BB157" s="0" t="n">
        <v>123</v>
      </c>
      <c r="BC157" s="0" t="n">
        <v>177</v>
      </c>
      <c r="BD157" s="0" t="s">
        <v>707</v>
      </c>
      <c r="BE157" s="2" t="n">
        <v>43132</v>
      </c>
    </row>
    <row r="158" customFormat="false" ht="14.25" hidden="false" customHeight="false" outlineLevel="0" collapsed="false">
      <c r="A158" s="0" t="n">
        <v>157</v>
      </c>
      <c r="B158" s="1" t="s">
        <v>712</v>
      </c>
      <c r="C158" s="0" t="n">
        <v>447</v>
      </c>
      <c r="D158" s="0" t="n">
        <v>484</v>
      </c>
      <c r="E158" s="0" t="s">
        <v>447</v>
      </c>
      <c r="F158" s="0" t="n">
        <v>449</v>
      </c>
      <c r="G158" s="0" t="n">
        <v>470</v>
      </c>
      <c r="H158" s="0" t="s">
        <v>127</v>
      </c>
      <c r="I158" s="0" t="n">
        <v>371</v>
      </c>
      <c r="J158" s="0" t="n">
        <v>394</v>
      </c>
      <c r="K158" s="0" t="s">
        <v>141</v>
      </c>
      <c r="L158" s="0" t="n">
        <v>46</v>
      </c>
      <c r="M158" s="0" t="n">
        <v>45</v>
      </c>
      <c r="N158" s="0" t="s">
        <v>695</v>
      </c>
      <c r="AD158" s="0" t="n">
        <v>628</v>
      </c>
      <c r="AE158" s="0" t="n">
        <v>647</v>
      </c>
      <c r="AF158" s="0" t="s">
        <v>492</v>
      </c>
      <c r="AG158" s="0" t="n">
        <v>1</v>
      </c>
      <c r="AH158" s="0" t="n">
        <v>454</v>
      </c>
      <c r="AI158" s="0" t="s">
        <v>710</v>
      </c>
      <c r="AM158" s="0" t="n">
        <v>284</v>
      </c>
      <c r="AN158" s="0" t="n">
        <v>317</v>
      </c>
      <c r="AO158" s="0" t="s">
        <v>377</v>
      </c>
      <c r="AP158" s="0" t="n">
        <v>288</v>
      </c>
      <c r="AQ158" s="0" t="n">
        <v>308</v>
      </c>
      <c r="AR158" s="0" t="s">
        <v>713</v>
      </c>
      <c r="AS158" s="0" t="n">
        <v>130</v>
      </c>
      <c r="AT158" s="0" t="n">
        <v>252</v>
      </c>
      <c r="AU158" s="0" t="s">
        <v>673</v>
      </c>
      <c r="AV158" s="0" t="n">
        <v>284</v>
      </c>
      <c r="AW158" s="0" t="n">
        <v>317</v>
      </c>
      <c r="AX158" s="0" t="s">
        <v>377</v>
      </c>
      <c r="AY158" s="0" t="n">
        <v>288</v>
      </c>
      <c r="AZ158" s="0" t="n">
        <v>308</v>
      </c>
      <c r="BA158" s="0" t="s">
        <v>713</v>
      </c>
      <c r="BB158" s="0" t="n">
        <v>130</v>
      </c>
      <c r="BC158" s="0" t="n">
        <v>252</v>
      </c>
      <c r="BD158" s="0" t="s">
        <v>673</v>
      </c>
      <c r="BE158" s="2" t="n">
        <v>43133</v>
      </c>
    </row>
    <row r="159" customFormat="false" ht="14.25" hidden="false" customHeight="false" outlineLevel="0" collapsed="false">
      <c r="A159" s="0" t="n">
        <v>158</v>
      </c>
      <c r="B159" s="1" t="s">
        <v>714</v>
      </c>
      <c r="I159" s="0" t="n">
        <v>265</v>
      </c>
      <c r="J159" s="0" t="n">
        <v>415</v>
      </c>
      <c r="K159" s="0" t="s">
        <v>314</v>
      </c>
      <c r="BE159" s="2" t="n">
        <v>43135</v>
      </c>
    </row>
    <row r="160" customFormat="false" ht="14.25" hidden="false" customHeight="false" outlineLevel="0" collapsed="false">
      <c r="A160" s="0" t="n">
        <v>159</v>
      </c>
      <c r="B160" s="1" t="s">
        <v>715</v>
      </c>
      <c r="C160" s="0" t="n">
        <v>310</v>
      </c>
      <c r="D160" s="0" t="n">
        <v>484</v>
      </c>
      <c r="E160" s="0" t="s">
        <v>716</v>
      </c>
      <c r="F160" s="0" t="n">
        <v>341</v>
      </c>
      <c r="G160" s="0" t="n">
        <v>470</v>
      </c>
      <c r="H160" s="0" t="s">
        <v>183</v>
      </c>
      <c r="I160" s="0" t="n">
        <v>300</v>
      </c>
      <c r="J160" s="0" t="n">
        <v>322</v>
      </c>
      <c r="K160" s="0" t="s">
        <v>491</v>
      </c>
      <c r="L160" s="0" t="n">
        <v>45</v>
      </c>
      <c r="M160" s="0" t="n">
        <v>45</v>
      </c>
      <c r="N160" s="0" t="s">
        <v>110</v>
      </c>
      <c r="AD160" s="0" t="n">
        <v>591</v>
      </c>
      <c r="AE160" s="0" t="n">
        <v>647</v>
      </c>
      <c r="AF160" s="0" t="s">
        <v>174</v>
      </c>
      <c r="AG160" s="0" t="n">
        <v>2</v>
      </c>
      <c r="AH160" s="0" t="n">
        <v>465</v>
      </c>
      <c r="AI160" s="0" t="s">
        <v>717</v>
      </c>
      <c r="AM160" s="0" t="n">
        <v>273</v>
      </c>
      <c r="AN160" s="0" t="n">
        <v>317</v>
      </c>
      <c r="AO160" s="0" t="s">
        <v>283</v>
      </c>
      <c r="AP160" s="0" t="n">
        <v>255</v>
      </c>
      <c r="AQ160" s="0" t="n">
        <v>308</v>
      </c>
      <c r="AR160" s="0" t="s">
        <v>175</v>
      </c>
      <c r="AS160" s="0" t="n">
        <v>108</v>
      </c>
      <c r="AT160" s="0" t="n">
        <v>177</v>
      </c>
      <c r="AU160" s="0" t="s">
        <v>257</v>
      </c>
      <c r="AV160" s="0" t="n">
        <v>273</v>
      </c>
      <c r="AW160" s="0" t="n">
        <v>317</v>
      </c>
      <c r="AX160" s="0" t="s">
        <v>283</v>
      </c>
      <c r="AY160" s="0" t="n">
        <v>255</v>
      </c>
      <c r="AZ160" s="0" t="n">
        <v>308</v>
      </c>
      <c r="BA160" s="0" t="s">
        <v>175</v>
      </c>
      <c r="BB160" s="0" t="n">
        <v>108</v>
      </c>
      <c r="BC160" s="0" t="n">
        <v>177</v>
      </c>
      <c r="BD160" s="0" t="s">
        <v>257</v>
      </c>
      <c r="BE160" s="2" t="n">
        <v>43136</v>
      </c>
    </row>
    <row r="161" customFormat="false" ht="14.25" hidden="false" customHeight="false" outlineLevel="0" collapsed="false">
      <c r="A161" s="0" t="n">
        <v>160</v>
      </c>
      <c r="B161" s="1" t="s">
        <v>718</v>
      </c>
      <c r="C161" s="0" t="n">
        <v>438</v>
      </c>
      <c r="D161" s="0" t="n">
        <v>483</v>
      </c>
      <c r="E161" s="0" t="s">
        <v>186</v>
      </c>
      <c r="F161" s="0" t="n">
        <v>404</v>
      </c>
      <c r="G161" s="0" t="n">
        <v>470</v>
      </c>
      <c r="H161" s="0" t="s">
        <v>504</v>
      </c>
      <c r="I161" s="0" t="n">
        <v>217</v>
      </c>
      <c r="J161" s="0" t="n">
        <v>332</v>
      </c>
      <c r="K161" s="0" t="s">
        <v>719</v>
      </c>
      <c r="L161" s="0" t="n">
        <v>45</v>
      </c>
      <c r="M161" s="0" t="n">
        <v>45</v>
      </c>
      <c r="N161" s="0" t="s">
        <v>110</v>
      </c>
      <c r="AD161" s="0" t="n">
        <v>389</v>
      </c>
      <c r="AE161" s="0" t="n">
        <v>647</v>
      </c>
      <c r="AF161" s="0" t="s">
        <v>218</v>
      </c>
      <c r="AM161" s="0" t="n">
        <v>279</v>
      </c>
      <c r="AN161" s="0" t="n">
        <v>317</v>
      </c>
      <c r="AO161" s="0" t="s">
        <v>158</v>
      </c>
      <c r="AP161" s="0" t="n">
        <v>270</v>
      </c>
      <c r="AQ161" s="0" t="n">
        <v>308</v>
      </c>
      <c r="AR161" s="0" t="s">
        <v>386</v>
      </c>
      <c r="AS161" s="0" t="n">
        <v>89</v>
      </c>
      <c r="AT161" s="0" t="n">
        <v>177</v>
      </c>
      <c r="AU161" s="0" t="s">
        <v>506</v>
      </c>
      <c r="AV161" s="0" t="n">
        <v>279</v>
      </c>
      <c r="AW161" s="0" t="n">
        <v>317</v>
      </c>
      <c r="AX161" s="0" t="s">
        <v>158</v>
      </c>
      <c r="AY161" s="0" t="n">
        <v>270</v>
      </c>
      <c r="AZ161" s="0" t="n">
        <v>308</v>
      </c>
      <c r="BA161" s="0" t="s">
        <v>386</v>
      </c>
      <c r="BB161" s="0" t="n">
        <v>89</v>
      </c>
      <c r="BC161" s="0" t="n">
        <v>177</v>
      </c>
      <c r="BD161" s="0" t="s">
        <v>506</v>
      </c>
      <c r="BE161" s="2" t="n">
        <v>43137</v>
      </c>
    </row>
    <row r="162" customFormat="false" ht="14.25" hidden="false" customHeight="false" outlineLevel="0" collapsed="false">
      <c r="A162" s="0" t="n">
        <v>161</v>
      </c>
      <c r="B162" s="1" t="s">
        <v>720</v>
      </c>
      <c r="C162" s="0" t="n">
        <v>369</v>
      </c>
      <c r="D162" s="0" t="n">
        <v>484</v>
      </c>
      <c r="E162" s="0" t="s">
        <v>721</v>
      </c>
      <c r="F162" s="0" t="n">
        <v>452</v>
      </c>
      <c r="G162" s="0" t="n">
        <v>470</v>
      </c>
      <c r="H162" s="0" t="s">
        <v>200</v>
      </c>
      <c r="I162" s="0" t="n">
        <v>301</v>
      </c>
      <c r="J162" s="0" t="n">
        <v>332</v>
      </c>
      <c r="K162" s="0" t="s">
        <v>186</v>
      </c>
      <c r="L162" s="0" t="n">
        <v>45</v>
      </c>
      <c r="M162" s="0" t="n">
        <v>45</v>
      </c>
      <c r="N162" s="0" t="s">
        <v>110</v>
      </c>
      <c r="AD162" s="0" t="n">
        <v>585</v>
      </c>
      <c r="AE162" s="0" t="n">
        <v>646</v>
      </c>
      <c r="AF162" s="0" t="s">
        <v>722</v>
      </c>
      <c r="AG162" s="0" t="n">
        <v>1</v>
      </c>
      <c r="AH162" s="0" t="n">
        <v>454</v>
      </c>
      <c r="AI162" s="0" t="s">
        <v>710</v>
      </c>
      <c r="AJ162" s="0" t="n">
        <v>3</v>
      </c>
      <c r="AM162" s="0" t="n">
        <v>251</v>
      </c>
      <c r="AN162" s="0" t="n">
        <v>317</v>
      </c>
      <c r="AO162" s="0" t="s">
        <v>676</v>
      </c>
      <c r="AP162" s="0" t="n">
        <v>307</v>
      </c>
      <c r="AQ162" s="0" t="n">
        <v>308</v>
      </c>
      <c r="AR162" s="0" t="s">
        <v>723</v>
      </c>
      <c r="AS162" s="0" t="n">
        <v>109</v>
      </c>
      <c r="AT162" s="0" t="n">
        <v>177</v>
      </c>
      <c r="AU162" s="0" t="s">
        <v>374</v>
      </c>
      <c r="AV162" s="0" t="n">
        <v>251</v>
      </c>
      <c r="AW162" s="0" t="n">
        <v>317</v>
      </c>
      <c r="AX162" s="0" t="s">
        <v>676</v>
      </c>
      <c r="AY162" s="0" t="n">
        <v>307</v>
      </c>
      <c r="AZ162" s="0" t="n">
        <v>308</v>
      </c>
      <c r="BA162" s="0" t="s">
        <v>723</v>
      </c>
      <c r="BB162" s="0" t="n">
        <v>109</v>
      </c>
      <c r="BC162" s="0" t="n">
        <v>177</v>
      </c>
      <c r="BD162" s="0" t="s">
        <v>374</v>
      </c>
      <c r="BE162" s="2" t="n">
        <v>43138</v>
      </c>
    </row>
    <row r="163" customFormat="false" ht="14.25" hidden="false" customHeight="false" outlineLevel="0" collapsed="false">
      <c r="A163" s="0" t="n">
        <v>162</v>
      </c>
      <c r="B163" s="1" t="s">
        <v>724</v>
      </c>
      <c r="C163" s="0" t="n">
        <v>460</v>
      </c>
      <c r="D163" s="0" t="n">
        <v>484</v>
      </c>
      <c r="E163" s="0" t="s">
        <v>606</v>
      </c>
      <c r="F163" s="0" t="n">
        <v>453</v>
      </c>
      <c r="G163" s="0" t="n">
        <v>470</v>
      </c>
      <c r="H163" s="0" t="s">
        <v>187</v>
      </c>
      <c r="I163" s="0" t="n">
        <v>318</v>
      </c>
      <c r="J163" s="0" t="n">
        <v>332</v>
      </c>
      <c r="K163" s="0" t="s">
        <v>136</v>
      </c>
      <c r="L163" s="0" t="n">
        <v>43</v>
      </c>
      <c r="M163" s="0" t="n">
        <v>45</v>
      </c>
      <c r="N163" s="0" t="s">
        <v>544</v>
      </c>
      <c r="AD163" s="0" t="n">
        <v>624</v>
      </c>
      <c r="AE163" s="0" t="n">
        <v>647</v>
      </c>
      <c r="AF163" s="0" t="s">
        <v>187</v>
      </c>
      <c r="AG163" s="0" t="n">
        <v>1</v>
      </c>
      <c r="AH163" s="0" t="n">
        <v>454</v>
      </c>
      <c r="AI163" s="0" t="s">
        <v>710</v>
      </c>
      <c r="AJ163" s="0" t="n">
        <v>25</v>
      </c>
      <c r="AM163" s="0" t="n">
        <v>289</v>
      </c>
      <c r="AN163" s="0" t="n">
        <v>317</v>
      </c>
      <c r="AO163" s="0" t="s">
        <v>176</v>
      </c>
      <c r="AP163" s="0" t="n">
        <v>274</v>
      </c>
      <c r="AQ163" s="0" t="n">
        <v>301</v>
      </c>
      <c r="AR163" s="0" t="s">
        <v>658</v>
      </c>
      <c r="AV163" s="0" t="n">
        <v>289</v>
      </c>
      <c r="AW163" s="0" t="n">
        <v>317</v>
      </c>
      <c r="AX163" s="0" t="s">
        <v>176</v>
      </c>
      <c r="AY163" s="0" t="n">
        <v>274</v>
      </c>
      <c r="AZ163" s="0" t="n">
        <v>301</v>
      </c>
      <c r="BA163" s="0" t="s">
        <v>658</v>
      </c>
      <c r="BE163" s="2" t="n">
        <v>43139</v>
      </c>
    </row>
    <row r="164" customFormat="false" ht="14.25" hidden="false" customHeight="false" outlineLevel="0" collapsed="false">
      <c r="A164" s="0" t="n">
        <v>163</v>
      </c>
      <c r="B164" s="1" t="s">
        <v>725</v>
      </c>
      <c r="C164" s="0" t="n">
        <v>474</v>
      </c>
      <c r="D164" s="0" t="n">
        <v>484</v>
      </c>
      <c r="E164" s="0" t="s">
        <v>551</v>
      </c>
      <c r="F164" s="0" t="n">
        <v>424</v>
      </c>
      <c r="G164" s="0" t="n">
        <v>470</v>
      </c>
      <c r="H164" s="0" t="s">
        <v>161</v>
      </c>
      <c r="I164" s="0" t="n">
        <v>371</v>
      </c>
      <c r="J164" s="0" t="n">
        <v>394</v>
      </c>
      <c r="K164" s="0" t="s">
        <v>141</v>
      </c>
      <c r="L164" s="0" t="n">
        <v>45</v>
      </c>
      <c r="M164" s="0" t="n">
        <v>45</v>
      </c>
      <c r="N164" s="0" t="s">
        <v>110</v>
      </c>
      <c r="AD164" s="0" t="n">
        <v>625</v>
      </c>
      <c r="AE164" s="0" t="n">
        <v>647</v>
      </c>
      <c r="AF164" s="0" t="s">
        <v>119</v>
      </c>
      <c r="AG164" s="0" t="n">
        <v>1</v>
      </c>
      <c r="AH164" s="0" t="n">
        <v>454</v>
      </c>
      <c r="AI164" s="0" t="s">
        <v>710</v>
      </c>
      <c r="AM164" s="0" t="n">
        <v>294</v>
      </c>
      <c r="AN164" s="0" t="n">
        <v>317</v>
      </c>
      <c r="AO164" s="0" t="s">
        <v>618</v>
      </c>
      <c r="AP164" s="0" t="n">
        <v>265</v>
      </c>
      <c r="AQ164" s="0" t="n">
        <v>308</v>
      </c>
      <c r="AR164" s="0" t="s">
        <v>504</v>
      </c>
      <c r="AV164" s="0" t="n">
        <v>294</v>
      </c>
      <c r="AW164" s="0" t="n">
        <v>317</v>
      </c>
      <c r="AX164" s="0" t="s">
        <v>618</v>
      </c>
      <c r="AY164" s="0" t="n">
        <v>265</v>
      </c>
      <c r="AZ164" s="0" t="n">
        <v>308</v>
      </c>
      <c r="BA164" s="0" t="s">
        <v>504</v>
      </c>
      <c r="BE164" s="2" t="n">
        <v>43140</v>
      </c>
    </row>
    <row r="165" customFormat="false" ht="14.25" hidden="false" customHeight="false" outlineLevel="0" collapsed="false">
      <c r="A165" s="0" t="n">
        <v>164</v>
      </c>
      <c r="B165" s="1" t="s">
        <v>726</v>
      </c>
      <c r="I165" s="0" t="n">
        <v>197</v>
      </c>
      <c r="J165" s="0" t="n">
        <v>332</v>
      </c>
      <c r="K165" s="0" t="s">
        <v>326</v>
      </c>
      <c r="BE165" s="2" t="n">
        <v>43144</v>
      </c>
    </row>
    <row r="166" customFormat="false" ht="14.25" hidden="false" customHeight="false" outlineLevel="0" collapsed="false">
      <c r="A166" s="0" t="n">
        <v>165</v>
      </c>
      <c r="B166" s="1" t="s">
        <v>727</v>
      </c>
      <c r="C166" s="0" t="n">
        <v>116</v>
      </c>
      <c r="D166" s="0" t="n">
        <v>555</v>
      </c>
      <c r="E166" s="0" t="s">
        <v>728</v>
      </c>
      <c r="F166" s="0" t="n">
        <v>470</v>
      </c>
      <c r="G166" s="0" t="n">
        <v>759</v>
      </c>
      <c r="H166" s="0" t="s">
        <v>226</v>
      </c>
      <c r="I166" s="0" t="n">
        <v>313</v>
      </c>
      <c r="J166" s="0" t="n">
        <v>332</v>
      </c>
      <c r="K166" s="0" t="s">
        <v>523</v>
      </c>
      <c r="L166" s="0" t="n">
        <v>46</v>
      </c>
      <c r="M166" s="0" t="n">
        <v>45</v>
      </c>
      <c r="N166" s="0" t="s">
        <v>695</v>
      </c>
      <c r="AD166" s="0" t="n">
        <v>625</v>
      </c>
      <c r="AE166" s="0" t="n">
        <v>647</v>
      </c>
      <c r="AF166" s="0" t="s">
        <v>119</v>
      </c>
      <c r="AG166" s="0" t="n">
        <v>2</v>
      </c>
      <c r="AH166" s="0" t="n">
        <v>465</v>
      </c>
      <c r="AI166" s="0" t="s">
        <v>717</v>
      </c>
      <c r="AM166" s="0" t="n">
        <v>177</v>
      </c>
      <c r="AN166" s="0" t="n">
        <v>317</v>
      </c>
      <c r="AO166" s="0" t="s">
        <v>729</v>
      </c>
      <c r="AP166" s="0" t="n">
        <v>229</v>
      </c>
      <c r="AQ166" s="0" t="n">
        <v>308</v>
      </c>
      <c r="AR166" s="0" t="s">
        <v>730</v>
      </c>
      <c r="AS166" s="0" t="n">
        <v>85</v>
      </c>
      <c r="AT166" s="0" t="n">
        <v>177</v>
      </c>
      <c r="AU166" s="0" t="s">
        <v>731</v>
      </c>
      <c r="AV166" s="0" t="n">
        <v>177</v>
      </c>
      <c r="AW166" s="0" t="n">
        <v>317</v>
      </c>
      <c r="AX166" s="0" t="s">
        <v>729</v>
      </c>
      <c r="AY166" s="0" t="n">
        <v>229</v>
      </c>
      <c r="AZ166" s="0" t="n">
        <v>308</v>
      </c>
      <c r="BA166" s="0" t="s">
        <v>730</v>
      </c>
      <c r="BB166" s="0" t="n">
        <v>85</v>
      </c>
      <c r="BC166" s="0" t="n">
        <v>177</v>
      </c>
      <c r="BD166" s="0" t="s">
        <v>731</v>
      </c>
      <c r="BE166" s="2" t="n">
        <v>43145</v>
      </c>
    </row>
    <row r="167" customFormat="false" ht="14.25" hidden="false" customHeight="false" outlineLevel="0" collapsed="false">
      <c r="A167" s="0" t="n">
        <v>166</v>
      </c>
      <c r="B167" s="1" t="s">
        <v>732</v>
      </c>
      <c r="C167" s="0" t="n">
        <v>453</v>
      </c>
      <c r="D167" s="0" t="n">
        <v>484</v>
      </c>
      <c r="E167" s="0" t="s">
        <v>434</v>
      </c>
      <c r="F167" s="0" t="n">
        <v>410</v>
      </c>
      <c r="G167" s="0" t="n">
        <v>470</v>
      </c>
      <c r="H167" s="0" t="s">
        <v>409</v>
      </c>
      <c r="I167" s="0" t="n">
        <v>303</v>
      </c>
      <c r="J167" s="0" t="n">
        <v>322</v>
      </c>
      <c r="K167" s="0" t="s">
        <v>448</v>
      </c>
      <c r="L167" s="0" t="n">
        <v>46</v>
      </c>
      <c r="M167" s="0" t="n">
        <v>45</v>
      </c>
      <c r="N167" s="0" t="s">
        <v>695</v>
      </c>
      <c r="AD167" s="0" t="n">
        <v>623</v>
      </c>
      <c r="AE167" s="0" t="n">
        <v>648</v>
      </c>
      <c r="AF167" s="0" t="s">
        <v>594</v>
      </c>
      <c r="AM167" s="0" t="n">
        <v>221</v>
      </c>
      <c r="AN167" s="0" t="n">
        <v>317</v>
      </c>
      <c r="AO167" s="0" t="s">
        <v>733</v>
      </c>
      <c r="AP167" s="0" t="n">
        <v>264</v>
      </c>
      <c r="AQ167" s="0" t="n">
        <v>308</v>
      </c>
      <c r="AR167" s="0" t="s">
        <v>381</v>
      </c>
      <c r="AS167" s="0" t="n">
        <v>99</v>
      </c>
      <c r="AT167" s="0" t="n">
        <v>177</v>
      </c>
      <c r="AU167" s="0" t="s">
        <v>734</v>
      </c>
      <c r="AV167" s="0" t="n">
        <v>221</v>
      </c>
      <c r="AW167" s="0" t="n">
        <v>317</v>
      </c>
      <c r="AX167" s="0" t="s">
        <v>733</v>
      </c>
      <c r="AY167" s="0" t="n">
        <v>264</v>
      </c>
      <c r="AZ167" s="0" t="n">
        <v>308</v>
      </c>
      <c r="BA167" s="0" t="s">
        <v>381</v>
      </c>
      <c r="BB167" s="0" t="n">
        <v>99</v>
      </c>
      <c r="BC167" s="0" t="n">
        <v>177</v>
      </c>
      <c r="BD167" s="0" t="s">
        <v>734</v>
      </c>
      <c r="BE167" s="2" t="n">
        <v>43150</v>
      </c>
    </row>
    <row r="168" customFormat="false" ht="14.25" hidden="false" customHeight="false" outlineLevel="0" collapsed="false">
      <c r="A168" s="0" t="n">
        <v>167</v>
      </c>
      <c r="B168" s="1" t="s">
        <v>735</v>
      </c>
      <c r="C168" s="0" t="n">
        <v>441</v>
      </c>
      <c r="D168" s="0" t="n">
        <v>485</v>
      </c>
      <c r="E168" s="0" t="s">
        <v>452</v>
      </c>
      <c r="F168" s="0" t="n">
        <v>449</v>
      </c>
      <c r="G168" s="0" t="n">
        <v>469</v>
      </c>
      <c r="H168" s="0" t="s">
        <v>144</v>
      </c>
      <c r="I168" s="0" t="n">
        <v>379</v>
      </c>
      <c r="J168" s="0" t="n">
        <v>394</v>
      </c>
      <c r="K168" s="0" t="s">
        <v>200</v>
      </c>
      <c r="L168" s="0" t="n">
        <v>45</v>
      </c>
      <c r="M168" s="0" t="n">
        <v>45</v>
      </c>
      <c r="N168" s="0" t="s">
        <v>110</v>
      </c>
      <c r="AD168" s="0" t="n">
        <v>630</v>
      </c>
      <c r="AE168" s="0" t="n">
        <v>648</v>
      </c>
      <c r="AF168" s="0" t="s">
        <v>128</v>
      </c>
      <c r="AM168" s="0" t="n">
        <v>234</v>
      </c>
      <c r="AN168" s="0" t="n">
        <v>317</v>
      </c>
      <c r="AO168" s="0" t="s">
        <v>259</v>
      </c>
      <c r="AP168" s="0" t="n">
        <v>288</v>
      </c>
      <c r="AQ168" s="0" t="n">
        <v>308</v>
      </c>
      <c r="AR168" s="0" t="s">
        <v>713</v>
      </c>
      <c r="AS168" s="0" t="n">
        <v>120</v>
      </c>
      <c r="AT168" s="0" t="n">
        <v>252</v>
      </c>
      <c r="AU168" s="0" t="s">
        <v>736</v>
      </c>
      <c r="AV168" s="0" t="n">
        <v>234</v>
      </c>
      <c r="AW168" s="0" t="n">
        <v>317</v>
      </c>
      <c r="AX168" s="0" t="s">
        <v>259</v>
      </c>
      <c r="AY168" s="0" t="n">
        <v>288</v>
      </c>
      <c r="AZ168" s="0" t="n">
        <v>308</v>
      </c>
      <c r="BA168" s="0" t="s">
        <v>713</v>
      </c>
      <c r="BB168" s="0" t="n">
        <v>120</v>
      </c>
      <c r="BC168" s="0" t="n">
        <v>252</v>
      </c>
      <c r="BD168" s="0" t="s">
        <v>736</v>
      </c>
      <c r="BE168" s="2" t="n">
        <v>43147</v>
      </c>
    </row>
    <row r="169" customFormat="false" ht="14.25" hidden="false" customHeight="false" outlineLevel="0" collapsed="false">
      <c r="A169" s="0" t="n">
        <v>168</v>
      </c>
      <c r="B169" s="1" t="s">
        <v>737</v>
      </c>
      <c r="C169" s="0" t="n">
        <v>314</v>
      </c>
      <c r="D169" s="0" t="n">
        <v>319</v>
      </c>
      <c r="E169" s="0" t="s">
        <v>706</v>
      </c>
      <c r="F169" s="0" t="n">
        <v>297</v>
      </c>
      <c r="G169" s="0" t="n">
        <v>319</v>
      </c>
      <c r="H169" s="0" t="s">
        <v>151</v>
      </c>
      <c r="BE169" s="2" t="n">
        <v>43148</v>
      </c>
    </row>
    <row r="170" customFormat="false" ht="14.25" hidden="false" customHeight="false" outlineLevel="0" collapsed="false">
      <c r="A170" s="0" t="n">
        <v>169</v>
      </c>
      <c r="B170" s="1" t="s">
        <v>738</v>
      </c>
      <c r="I170" s="0" t="n">
        <v>432</v>
      </c>
      <c r="J170" s="0" t="n">
        <v>454</v>
      </c>
      <c r="K170" s="0" t="s">
        <v>634</v>
      </c>
      <c r="BE170" s="2" t="n">
        <v>43149</v>
      </c>
    </row>
    <row r="171" customFormat="false" ht="14.25" hidden="false" customHeight="false" outlineLevel="0" collapsed="false">
      <c r="A171" s="0" t="n">
        <v>170</v>
      </c>
      <c r="B171" s="1" t="s">
        <v>739</v>
      </c>
      <c r="C171" s="0" t="n">
        <v>451</v>
      </c>
      <c r="D171" s="0" t="n">
        <v>484</v>
      </c>
      <c r="E171" s="0" t="s">
        <v>491</v>
      </c>
      <c r="F171" s="0" t="n">
        <v>422</v>
      </c>
      <c r="G171" s="0" t="n">
        <v>460</v>
      </c>
      <c r="H171" s="0" t="s">
        <v>363</v>
      </c>
      <c r="I171" s="0" t="n">
        <v>290</v>
      </c>
      <c r="J171" s="0" t="n">
        <v>332</v>
      </c>
      <c r="K171" s="0" t="s">
        <v>501</v>
      </c>
      <c r="L171" s="0" t="n">
        <v>44</v>
      </c>
      <c r="M171" s="0" t="n">
        <v>45</v>
      </c>
      <c r="N171" s="0" t="s">
        <v>652</v>
      </c>
      <c r="AD171" s="0" t="n">
        <v>521</v>
      </c>
      <c r="AE171" s="0" t="n">
        <v>648</v>
      </c>
      <c r="AF171" s="0" t="s">
        <v>472</v>
      </c>
      <c r="AM171" s="0" t="n">
        <v>297</v>
      </c>
      <c r="AN171" s="0" t="n">
        <v>317</v>
      </c>
      <c r="AO171" s="0" t="s">
        <v>467</v>
      </c>
      <c r="AP171" s="0" t="n">
        <v>269</v>
      </c>
      <c r="AQ171" s="0" t="n">
        <v>308</v>
      </c>
      <c r="AR171" s="0" t="s">
        <v>501</v>
      </c>
      <c r="AS171" s="0" t="n">
        <v>102</v>
      </c>
      <c r="AT171" s="0" t="n">
        <v>177</v>
      </c>
      <c r="AU171" s="0" t="s">
        <v>502</v>
      </c>
      <c r="AV171" s="0" t="n">
        <v>297</v>
      </c>
      <c r="AW171" s="0" t="n">
        <v>317</v>
      </c>
      <c r="AX171" s="0" t="s">
        <v>467</v>
      </c>
      <c r="AY171" s="0" t="n">
        <v>269</v>
      </c>
      <c r="AZ171" s="0" t="n">
        <v>308</v>
      </c>
      <c r="BA171" s="0" t="s">
        <v>501</v>
      </c>
      <c r="BB171" s="0" t="n">
        <v>102</v>
      </c>
      <c r="BC171" s="0" t="n">
        <v>177</v>
      </c>
      <c r="BD171" s="0" t="s">
        <v>502</v>
      </c>
      <c r="BE171" s="2" t="n">
        <v>43151</v>
      </c>
    </row>
    <row r="172" customFormat="false" ht="14.25" hidden="false" customHeight="false" outlineLevel="0" collapsed="false">
      <c r="A172" s="0" t="n">
        <v>171</v>
      </c>
      <c r="B172" s="1" t="s">
        <v>740</v>
      </c>
      <c r="C172" s="0" t="n">
        <v>359</v>
      </c>
      <c r="D172" s="0" t="n">
        <v>484</v>
      </c>
      <c r="E172" s="0" t="s">
        <v>298</v>
      </c>
      <c r="F172" s="0" t="n">
        <v>444</v>
      </c>
      <c r="G172" s="0" t="n">
        <v>470</v>
      </c>
      <c r="H172" s="0" t="s">
        <v>581</v>
      </c>
      <c r="I172" s="0" t="n">
        <v>163</v>
      </c>
      <c r="J172" s="0" t="n">
        <v>332</v>
      </c>
      <c r="K172" s="0" t="s">
        <v>741</v>
      </c>
      <c r="L172" s="0" t="n">
        <v>46</v>
      </c>
      <c r="M172" s="0" t="n">
        <v>45</v>
      </c>
      <c r="N172" s="0" t="s">
        <v>695</v>
      </c>
      <c r="AD172" s="0" t="n">
        <v>620</v>
      </c>
      <c r="AE172" s="0" t="n">
        <v>647</v>
      </c>
      <c r="AF172" s="0" t="s">
        <v>136</v>
      </c>
      <c r="AM172" s="0" t="n">
        <v>263</v>
      </c>
      <c r="AN172" s="0" t="n">
        <v>317</v>
      </c>
      <c r="AO172" s="0" t="s">
        <v>742</v>
      </c>
      <c r="AP172" s="0" t="n">
        <v>288</v>
      </c>
      <c r="AQ172" s="0" t="n">
        <v>308</v>
      </c>
      <c r="AR172" s="0" t="s">
        <v>713</v>
      </c>
      <c r="AS172" s="0" t="n">
        <v>104</v>
      </c>
      <c r="AT172" s="0" t="n">
        <v>177</v>
      </c>
      <c r="AU172" s="0" t="s">
        <v>184</v>
      </c>
      <c r="AV172" s="0" t="n">
        <v>263</v>
      </c>
      <c r="AW172" s="0" t="n">
        <v>317</v>
      </c>
      <c r="AX172" s="0" t="s">
        <v>742</v>
      </c>
      <c r="AY172" s="0" t="n">
        <v>288</v>
      </c>
      <c r="AZ172" s="0" t="n">
        <v>308</v>
      </c>
      <c r="BA172" s="0" t="s">
        <v>713</v>
      </c>
      <c r="BB172" s="0" t="n">
        <v>104</v>
      </c>
      <c r="BC172" s="0" t="n">
        <v>177</v>
      </c>
      <c r="BD172" s="0" t="s">
        <v>184</v>
      </c>
      <c r="BE172" s="2" t="n">
        <v>43146</v>
      </c>
    </row>
    <row r="173" customFormat="false" ht="14.25" hidden="false" customHeight="false" outlineLevel="0" collapsed="false">
      <c r="A173" s="0" t="n">
        <v>172</v>
      </c>
      <c r="B173" s="1" t="s">
        <v>743</v>
      </c>
      <c r="C173" s="0" t="n">
        <v>471</v>
      </c>
      <c r="D173" s="0" t="n">
        <v>484</v>
      </c>
      <c r="E173" s="0" t="s">
        <v>149</v>
      </c>
      <c r="F173" s="0" t="n">
        <v>453</v>
      </c>
      <c r="G173" s="0" t="n">
        <v>470</v>
      </c>
      <c r="H173" s="0" t="s">
        <v>187</v>
      </c>
      <c r="I173" s="0" t="n">
        <v>312</v>
      </c>
      <c r="J173" s="0" t="n">
        <v>332</v>
      </c>
      <c r="K173" s="0" t="s">
        <v>526</v>
      </c>
      <c r="L173" s="0" t="n">
        <v>46</v>
      </c>
      <c r="M173" s="0" t="n">
        <v>45</v>
      </c>
      <c r="N173" s="0" t="s">
        <v>695</v>
      </c>
      <c r="AD173" s="0" t="n">
        <v>638</v>
      </c>
      <c r="AE173" s="0" t="n">
        <v>649</v>
      </c>
      <c r="AF173" s="0" t="s">
        <v>179</v>
      </c>
      <c r="AM173" s="0" t="n">
        <v>287</v>
      </c>
      <c r="AN173" s="0" t="n">
        <v>317</v>
      </c>
      <c r="AO173" s="0" t="s">
        <v>608</v>
      </c>
      <c r="AP173" s="0" t="n">
        <v>280</v>
      </c>
      <c r="AQ173" s="0" t="n">
        <v>308</v>
      </c>
      <c r="AR173" s="0" t="s">
        <v>452</v>
      </c>
      <c r="AV173" s="0" t="n">
        <v>287</v>
      </c>
      <c r="AW173" s="0" t="n">
        <v>317</v>
      </c>
      <c r="AX173" s="0" t="s">
        <v>608</v>
      </c>
      <c r="AY173" s="0" t="n">
        <v>280</v>
      </c>
      <c r="AZ173" s="0" t="n">
        <v>308</v>
      </c>
      <c r="BA173" s="0" t="s">
        <v>452</v>
      </c>
      <c r="BE173" s="2" t="n">
        <v>43152</v>
      </c>
    </row>
    <row r="174" customFormat="false" ht="14.25" hidden="false" customHeight="false" outlineLevel="0" collapsed="false">
      <c r="A174" s="0" t="n">
        <v>173</v>
      </c>
      <c r="B174" s="1" t="s">
        <v>744</v>
      </c>
      <c r="C174" s="0" t="n">
        <v>463</v>
      </c>
      <c r="D174" s="0" t="n">
        <v>484</v>
      </c>
      <c r="E174" s="0" t="s">
        <v>144</v>
      </c>
      <c r="F174" s="0" t="n">
        <v>453</v>
      </c>
      <c r="G174" s="0" t="n">
        <v>470</v>
      </c>
      <c r="H174" s="0" t="s">
        <v>187</v>
      </c>
      <c r="I174" s="0" t="n">
        <v>311</v>
      </c>
      <c r="J174" s="0" t="n">
        <v>332</v>
      </c>
      <c r="K174" s="0" t="s">
        <v>467</v>
      </c>
      <c r="L174" s="0" t="n">
        <v>46</v>
      </c>
      <c r="M174" s="0" t="n">
        <v>45</v>
      </c>
      <c r="N174" s="0" t="s">
        <v>695</v>
      </c>
      <c r="AD174" s="0" t="n">
        <v>650</v>
      </c>
      <c r="AE174" s="0" t="n">
        <v>650</v>
      </c>
      <c r="AF174" s="0" t="s">
        <v>110</v>
      </c>
      <c r="AM174" s="0" t="n">
        <v>44</v>
      </c>
      <c r="AN174" s="0" t="n">
        <v>317</v>
      </c>
      <c r="AO174" s="0" t="s">
        <v>745</v>
      </c>
      <c r="AP174" s="0" t="n">
        <v>289</v>
      </c>
      <c r="AQ174" s="0" t="n">
        <v>308</v>
      </c>
      <c r="AR174" s="0" t="s">
        <v>383</v>
      </c>
      <c r="AS174" s="0" t="n">
        <v>133</v>
      </c>
      <c r="AT174" s="0" t="n">
        <v>177</v>
      </c>
      <c r="AU174" s="0" t="s">
        <v>576</v>
      </c>
      <c r="AV174" s="0" t="n">
        <v>44</v>
      </c>
      <c r="AW174" s="0" t="n">
        <v>317</v>
      </c>
      <c r="AX174" s="0" t="s">
        <v>745</v>
      </c>
      <c r="AY174" s="0" t="n">
        <v>289</v>
      </c>
      <c r="AZ174" s="0" t="n">
        <v>308</v>
      </c>
      <c r="BA174" s="0" t="s">
        <v>383</v>
      </c>
      <c r="BB174" s="0" t="n">
        <v>133</v>
      </c>
      <c r="BC174" s="0" t="n">
        <v>177</v>
      </c>
      <c r="BD174" s="0" t="s">
        <v>576</v>
      </c>
      <c r="BE174" s="2" t="n">
        <v>43153</v>
      </c>
    </row>
    <row r="175" customFormat="false" ht="14.25" hidden="false" customHeight="false" outlineLevel="0" collapsed="false">
      <c r="A175" s="0" t="n">
        <v>174</v>
      </c>
      <c r="B175" s="1" t="s">
        <v>746</v>
      </c>
      <c r="C175" s="0" t="n">
        <v>400</v>
      </c>
      <c r="D175" s="0" t="n">
        <v>484</v>
      </c>
      <c r="E175" s="0" t="s">
        <v>114</v>
      </c>
      <c r="F175" s="0" t="n">
        <v>390</v>
      </c>
      <c r="G175" s="0" t="n">
        <v>470</v>
      </c>
      <c r="H175" s="0" t="s">
        <v>742</v>
      </c>
      <c r="I175" s="0" t="n">
        <v>387</v>
      </c>
      <c r="J175" s="0" t="n">
        <v>394</v>
      </c>
      <c r="K175" s="0" t="s">
        <v>600</v>
      </c>
      <c r="L175" s="0" t="n">
        <v>45</v>
      </c>
      <c r="M175" s="0" t="n">
        <v>45</v>
      </c>
      <c r="N175" s="0" t="s">
        <v>110</v>
      </c>
      <c r="AD175" s="0" t="n">
        <v>644</v>
      </c>
      <c r="AE175" s="0" t="n">
        <v>644</v>
      </c>
      <c r="AF175" s="0" t="s">
        <v>110</v>
      </c>
      <c r="AM175" s="0" t="n">
        <v>288</v>
      </c>
      <c r="AN175" s="0" t="n">
        <v>317</v>
      </c>
      <c r="AO175" s="0" t="s">
        <v>452</v>
      </c>
      <c r="AP175" s="0" t="n">
        <v>268</v>
      </c>
      <c r="AQ175" s="0" t="n">
        <v>308</v>
      </c>
      <c r="AR175" s="0" t="s">
        <v>747</v>
      </c>
      <c r="AS175" s="0" t="n">
        <v>132</v>
      </c>
      <c r="AT175" s="0" t="n">
        <v>252</v>
      </c>
      <c r="AU175" s="0" t="s">
        <v>748</v>
      </c>
      <c r="AV175" s="0" t="n">
        <v>288</v>
      </c>
      <c r="AW175" s="0" t="n">
        <v>317</v>
      </c>
      <c r="AX175" s="0" t="s">
        <v>452</v>
      </c>
      <c r="AY175" s="0" t="n">
        <v>268</v>
      </c>
      <c r="AZ175" s="0" t="n">
        <v>308</v>
      </c>
      <c r="BA175" s="0" t="s">
        <v>747</v>
      </c>
      <c r="BB175" s="0" t="n">
        <v>132</v>
      </c>
      <c r="BC175" s="0" t="n">
        <v>252</v>
      </c>
      <c r="BD175" s="0" t="s">
        <v>748</v>
      </c>
      <c r="BE175" s="2" t="n">
        <v>43154</v>
      </c>
    </row>
    <row r="176" customFormat="false" ht="14.25" hidden="false" customHeight="false" outlineLevel="0" collapsed="false">
      <c r="A176" s="0" t="n">
        <v>175</v>
      </c>
      <c r="B176" s="1" t="s">
        <v>749</v>
      </c>
      <c r="C176" s="0" t="n">
        <v>423</v>
      </c>
      <c r="D176" s="0" t="n">
        <v>442</v>
      </c>
      <c r="E176" s="0" t="s">
        <v>144</v>
      </c>
      <c r="F176" s="0" t="n">
        <v>414</v>
      </c>
      <c r="G176" s="0" t="n">
        <v>442</v>
      </c>
      <c r="H176" s="0" t="s">
        <v>467</v>
      </c>
      <c r="BE176" s="2" t="n">
        <v>43155</v>
      </c>
    </row>
    <row r="177" customFormat="false" ht="14.25" hidden="false" customHeight="false" outlineLevel="0" collapsed="false">
      <c r="A177" s="0" t="n">
        <v>176</v>
      </c>
      <c r="B177" s="1" t="s">
        <v>750</v>
      </c>
      <c r="I177" s="0" t="n">
        <v>387</v>
      </c>
      <c r="J177" s="0" t="n">
        <v>415</v>
      </c>
      <c r="K177" s="0" t="s">
        <v>490</v>
      </c>
      <c r="BE177" s="2" t="n">
        <v>43156</v>
      </c>
    </row>
    <row r="178" customFormat="false" ht="14.25" hidden="false" customHeight="false" outlineLevel="0" collapsed="false">
      <c r="A178" s="0" t="n">
        <v>177</v>
      </c>
      <c r="B178" s="1" t="s">
        <v>751</v>
      </c>
      <c r="C178" s="0" t="n">
        <v>443</v>
      </c>
      <c r="D178" s="0" t="n">
        <v>484</v>
      </c>
      <c r="E178" s="0" t="s">
        <v>204</v>
      </c>
      <c r="F178" s="0" t="n">
        <v>450</v>
      </c>
      <c r="G178" s="0" t="n">
        <v>470</v>
      </c>
      <c r="H178" s="0" t="s">
        <v>144</v>
      </c>
      <c r="I178" s="0" t="n">
        <v>288</v>
      </c>
      <c r="J178" s="0" t="n">
        <v>322</v>
      </c>
      <c r="K178" s="0" t="s">
        <v>396</v>
      </c>
      <c r="L178" s="0" t="n">
        <v>45</v>
      </c>
      <c r="M178" s="0" t="n">
        <v>45</v>
      </c>
      <c r="N178" s="0" t="s">
        <v>110</v>
      </c>
      <c r="AD178" s="0" t="n">
        <v>631</v>
      </c>
      <c r="AE178" s="0" t="n">
        <v>648</v>
      </c>
      <c r="AF178" s="0" t="s">
        <v>139</v>
      </c>
      <c r="AM178" s="0" t="n">
        <v>284</v>
      </c>
      <c r="AN178" s="0" t="n">
        <v>317</v>
      </c>
      <c r="AO178" s="0" t="s">
        <v>377</v>
      </c>
      <c r="AP178" s="0" t="n">
        <v>292</v>
      </c>
      <c r="AQ178" s="0" t="n">
        <v>308</v>
      </c>
      <c r="AR178" s="0" t="s">
        <v>191</v>
      </c>
      <c r="AV178" s="0" t="n">
        <v>284</v>
      </c>
      <c r="AW178" s="0" t="n">
        <v>317</v>
      </c>
      <c r="AX178" s="0" t="s">
        <v>377</v>
      </c>
      <c r="AY178" s="0" t="n">
        <v>292</v>
      </c>
      <c r="AZ178" s="0" t="n">
        <v>308</v>
      </c>
      <c r="BA178" s="0" t="s">
        <v>191</v>
      </c>
      <c r="BE178" s="2" t="n">
        <v>43157</v>
      </c>
    </row>
    <row r="179" customFormat="false" ht="14.25" hidden="false" customHeight="false" outlineLevel="0" collapsed="false">
      <c r="A179" s="0" t="n">
        <v>178</v>
      </c>
      <c r="B179" s="1" t="s">
        <v>752</v>
      </c>
      <c r="C179" s="0" t="n">
        <v>452</v>
      </c>
      <c r="D179" s="0" t="n">
        <v>484</v>
      </c>
      <c r="E179" s="0" t="s">
        <v>659</v>
      </c>
      <c r="F179" s="0" t="n">
        <v>448</v>
      </c>
      <c r="G179" s="0" t="n">
        <v>470</v>
      </c>
      <c r="H179" s="0" t="s">
        <v>753</v>
      </c>
      <c r="I179" s="0" t="n">
        <v>323</v>
      </c>
      <c r="J179" s="0" t="n">
        <v>332</v>
      </c>
      <c r="K179" s="0" t="s">
        <v>149</v>
      </c>
      <c r="L179" s="0" t="n">
        <v>45</v>
      </c>
      <c r="M179" s="0" t="n">
        <v>45</v>
      </c>
      <c r="N179" s="0" t="s">
        <v>110</v>
      </c>
      <c r="AM179" s="0" t="n">
        <v>311</v>
      </c>
      <c r="AN179" s="0" t="n">
        <v>317</v>
      </c>
      <c r="AO179" s="0" t="s">
        <v>457</v>
      </c>
      <c r="AP179" s="0" t="n">
        <v>249</v>
      </c>
      <c r="AQ179" s="0" t="n">
        <v>308</v>
      </c>
      <c r="AR179" s="0" t="s">
        <v>482</v>
      </c>
      <c r="AS179" s="0" t="n">
        <v>120</v>
      </c>
      <c r="AT179" s="0" t="n">
        <v>177</v>
      </c>
      <c r="AU179" s="0" t="s">
        <v>196</v>
      </c>
      <c r="AV179" s="0" t="n">
        <v>311</v>
      </c>
      <c r="AW179" s="0" t="n">
        <v>317</v>
      </c>
      <c r="AX179" s="0" t="s">
        <v>457</v>
      </c>
      <c r="AY179" s="0" t="n">
        <v>249</v>
      </c>
      <c r="AZ179" s="0" t="n">
        <v>308</v>
      </c>
      <c r="BA179" s="0" t="s">
        <v>482</v>
      </c>
      <c r="BB179" s="0" t="n">
        <v>120</v>
      </c>
      <c r="BC179" s="0" t="n">
        <v>177</v>
      </c>
      <c r="BD179" s="0" t="s">
        <v>196</v>
      </c>
      <c r="BE179" s="2" t="n">
        <v>43158</v>
      </c>
    </row>
    <row r="180" customFormat="false" ht="14.25" hidden="false" customHeight="false" outlineLevel="0" collapsed="false">
      <c r="A180" s="0" t="n">
        <v>179</v>
      </c>
      <c r="B180" s="1" t="s">
        <v>754</v>
      </c>
      <c r="C180" s="0" t="n">
        <v>465</v>
      </c>
      <c r="D180" s="0" t="n">
        <v>484</v>
      </c>
      <c r="E180" s="0" t="s">
        <v>594</v>
      </c>
      <c r="F180" s="0" t="n">
        <v>398</v>
      </c>
      <c r="G180" s="0" t="n">
        <v>470</v>
      </c>
      <c r="H180" s="0" t="s">
        <v>316</v>
      </c>
      <c r="I180" s="0" t="n">
        <v>277</v>
      </c>
      <c r="J180" s="0" t="n">
        <v>332</v>
      </c>
      <c r="K180" s="0" t="s">
        <v>393</v>
      </c>
      <c r="L180" s="0" t="n">
        <v>45</v>
      </c>
      <c r="M180" s="0" t="n">
        <v>45</v>
      </c>
      <c r="N180" s="0" t="s">
        <v>110</v>
      </c>
      <c r="AD180" s="0" t="n">
        <v>668</v>
      </c>
      <c r="AE180" s="0" t="n">
        <v>681</v>
      </c>
      <c r="AF180" s="0" t="s">
        <v>457</v>
      </c>
      <c r="AG180" s="0" t="n">
        <v>2</v>
      </c>
      <c r="AM180" s="0" t="n">
        <v>260</v>
      </c>
      <c r="AN180" s="0" t="n">
        <v>317</v>
      </c>
      <c r="AO180" s="0" t="s">
        <v>248</v>
      </c>
      <c r="AP180" s="0" t="n">
        <v>245</v>
      </c>
      <c r="AQ180" s="0" t="n">
        <v>308</v>
      </c>
      <c r="AR180" s="0" t="s">
        <v>181</v>
      </c>
      <c r="AS180" s="0" t="n">
        <v>99</v>
      </c>
      <c r="AT180" s="0" t="n">
        <v>177</v>
      </c>
      <c r="AU180" s="0" t="s">
        <v>734</v>
      </c>
      <c r="AV180" s="0" t="n">
        <v>260</v>
      </c>
      <c r="AW180" s="0" t="n">
        <v>317</v>
      </c>
      <c r="AX180" s="0" t="s">
        <v>248</v>
      </c>
      <c r="AY180" s="0" t="n">
        <v>245</v>
      </c>
      <c r="AZ180" s="0" t="n">
        <v>308</v>
      </c>
      <c r="BA180" s="0" t="s">
        <v>181</v>
      </c>
      <c r="BB180" s="0" t="n">
        <v>99</v>
      </c>
      <c r="BC180" s="0" t="n">
        <v>177</v>
      </c>
      <c r="BD180" s="0" t="s">
        <v>734</v>
      </c>
      <c r="BE180" s="2" t="n">
        <v>43160</v>
      </c>
    </row>
    <row r="181" customFormat="false" ht="14.25" hidden="false" customHeight="false" outlineLevel="0" collapsed="false">
      <c r="A181" s="0" t="n">
        <v>180</v>
      </c>
      <c r="B181" s="1" t="s">
        <v>755</v>
      </c>
      <c r="C181" s="0" t="n">
        <v>462</v>
      </c>
      <c r="D181" s="0" t="n">
        <v>484</v>
      </c>
      <c r="E181" s="0" t="s">
        <v>127</v>
      </c>
      <c r="F181" s="0" t="n">
        <v>456</v>
      </c>
      <c r="G181" s="0" t="n">
        <v>470</v>
      </c>
      <c r="H181" s="0" t="s">
        <v>756</v>
      </c>
      <c r="I181" s="0" t="n">
        <v>382</v>
      </c>
      <c r="J181" s="0" t="n">
        <v>394</v>
      </c>
      <c r="K181" s="0" t="s">
        <v>756</v>
      </c>
      <c r="L181" s="0" t="n">
        <v>46</v>
      </c>
      <c r="M181" s="0" t="n">
        <v>45</v>
      </c>
      <c r="N181" s="0" t="s">
        <v>695</v>
      </c>
      <c r="AD181" s="0" t="n">
        <v>614</v>
      </c>
      <c r="AE181" s="0" t="n">
        <v>647</v>
      </c>
      <c r="AF181" s="0" t="s">
        <v>142</v>
      </c>
      <c r="AG181" s="0" t="n">
        <v>1</v>
      </c>
      <c r="AM181" s="0" t="n">
        <v>303</v>
      </c>
      <c r="AN181" s="0" t="n">
        <v>317</v>
      </c>
      <c r="AO181" s="0" t="s">
        <v>544</v>
      </c>
      <c r="AP181" s="0" t="n">
        <v>282</v>
      </c>
      <c r="AQ181" s="0" t="n">
        <v>308</v>
      </c>
      <c r="AR181" s="0" t="s">
        <v>292</v>
      </c>
      <c r="AS181" s="0" t="n">
        <v>136</v>
      </c>
      <c r="AT181" s="0" t="n">
        <v>252</v>
      </c>
      <c r="AU181" s="0" t="s">
        <v>667</v>
      </c>
      <c r="AV181" s="0" t="n">
        <v>303</v>
      </c>
      <c r="AW181" s="0" t="n">
        <v>317</v>
      </c>
      <c r="AX181" s="0" t="s">
        <v>544</v>
      </c>
      <c r="AY181" s="0" t="n">
        <v>282</v>
      </c>
      <c r="AZ181" s="0" t="n">
        <v>308</v>
      </c>
      <c r="BA181" s="0" t="s">
        <v>292</v>
      </c>
      <c r="BB181" s="0" t="n">
        <v>136</v>
      </c>
      <c r="BC181" s="0" t="n">
        <v>252</v>
      </c>
      <c r="BD181" s="0" t="s">
        <v>667</v>
      </c>
      <c r="BE181" s="2" t="n">
        <v>43161</v>
      </c>
    </row>
    <row r="182" customFormat="false" ht="14.25" hidden="false" customHeight="false" outlineLevel="0" collapsed="false">
      <c r="A182" s="0" t="n">
        <v>181</v>
      </c>
      <c r="B182" s="1" t="s">
        <v>757</v>
      </c>
      <c r="C182" s="0" t="n">
        <v>309</v>
      </c>
      <c r="D182" s="0" t="n">
        <v>319</v>
      </c>
      <c r="E182" s="0" t="s">
        <v>758</v>
      </c>
      <c r="F182" s="0" t="n">
        <v>284</v>
      </c>
      <c r="G182" s="0" t="n">
        <v>319</v>
      </c>
      <c r="H182" s="0" t="s">
        <v>431</v>
      </c>
      <c r="L182" s="0" t="n">
        <v>30</v>
      </c>
      <c r="M182" s="0" t="n">
        <v>33</v>
      </c>
      <c r="N182" s="0" t="s">
        <v>452</v>
      </c>
      <c r="BE182" s="2" t="n">
        <v>43162</v>
      </c>
    </row>
    <row r="183" customFormat="false" ht="14.25" hidden="false" customHeight="false" outlineLevel="0" collapsed="false">
      <c r="A183" s="0" t="n">
        <v>182</v>
      </c>
      <c r="B183" s="1" t="s">
        <v>759</v>
      </c>
      <c r="I183" s="0" t="n">
        <v>369</v>
      </c>
      <c r="J183" s="0" t="n">
        <v>415</v>
      </c>
      <c r="K183" s="0" t="s">
        <v>394</v>
      </c>
      <c r="BE183" s="2" t="n">
        <v>43163</v>
      </c>
    </row>
    <row r="184" customFormat="false" ht="14.25" hidden="false" customHeight="false" outlineLevel="0" collapsed="false">
      <c r="A184" s="0" t="n">
        <v>183</v>
      </c>
      <c r="B184" s="1" t="s">
        <v>760</v>
      </c>
      <c r="C184" s="0" t="n">
        <v>460</v>
      </c>
      <c r="D184" s="0" t="n">
        <v>484</v>
      </c>
      <c r="E184" s="0" t="s">
        <v>606</v>
      </c>
      <c r="F184" s="0" t="n">
        <v>384</v>
      </c>
      <c r="G184" s="0" t="n">
        <v>470</v>
      </c>
      <c r="H184" s="0" t="s">
        <v>407</v>
      </c>
      <c r="I184" s="0" t="n">
        <v>315</v>
      </c>
      <c r="J184" s="0" t="n">
        <v>332</v>
      </c>
      <c r="K184" s="0" t="s">
        <v>142</v>
      </c>
      <c r="L184" s="0" t="n">
        <v>46</v>
      </c>
      <c r="M184" s="0" t="n">
        <v>45</v>
      </c>
      <c r="N184" s="0" t="s">
        <v>695</v>
      </c>
      <c r="AD184" s="0" t="n">
        <v>620</v>
      </c>
      <c r="AE184" s="0" t="n">
        <v>647</v>
      </c>
      <c r="AF184" s="0" t="s">
        <v>136</v>
      </c>
      <c r="AG184" s="0" t="n">
        <v>2</v>
      </c>
      <c r="AM184" s="0" t="n">
        <v>282</v>
      </c>
      <c r="AN184" s="0" t="n">
        <v>317</v>
      </c>
      <c r="AO184" s="0" t="s">
        <v>431</v>
      </c>
      <c r="AP184" s="0" t="n">
        <v>266</v>
      </c>
      <c r="AQ184" s="0" t="n">
        <v>308</v>
      </c>
      <c r="AR184" s="0" t="s">
        <v>167</v>
      </c>
      <c r="AS184" s="0" t="n">
        <v>115</v>
      </c>
      <c r="AT184" s="0" t="n">
        <v>177</v>
      </c>
      <c r="AU184" s="0" t="s">
        <v>761</v>
      </c>
      <c r="AV184" s="0" t="n">
        <v>282</v>
      </c>
      <c r="AW184" s="0" t="n">
        <v>317</v>
      </c>
      <c r="AX184" s="0" t="s">
        <v>431</v>
      </c>
      <c r="AY184" s="0" t="n">
        <v>266</v>
      </c>
      <c r="AZ184" s="0" t="n">
        <v>308</v>
      </c>
      <c r="BA184" s="0" t="s">
        <v>167</v>
      </c>
      <c r="BB184" s="0" t="n">
        <v>115</v>
      </c>
      <c r="BC184" s="0" t="n">
        <v>177</v>
      </c>
      <c r="BD184" s="0" t="s">
        <v>761</v>
      </c>
      <c r="BE184" s="2" t="n">
        <v>43164</v>
      </c>
    </row>
    <row r="185" customFormat="false" ht="14.25" hidden="false" customHeight="false" outlineLevel="0" collapsed="false">
      <c r="A185" s="0" t="n">
        <v>184</v>
      </c>
      <c r="B185" s="1" t="s">
        <v>762</v>
      </c>
      <c r="C185" s="0" t="n">
        <v>427</v>
      </c>
      <c r="D185" s="0" t="n">
        <v>472</v>
      </c>
      <c r="E185" s="0" t="s">
        <v>608</v>
      </c>
      <c r="F185" s="0" t="n">
        <v>434</v>
      </c>
      <c r="G185" s="0" t="n">
        <v>460</v>
      </c>
      <c r="H185" s="0" t="s">
        <v>523</v>
      </c>
      <c r="I185" s="0" t="n">
        <v>293</v>
      </c>
      <c r="J185" s="0" t="n">
        <v>332</v>
      </c>
      <c r="K185" s="0" t="s">
        <v>625</v>
      </c>
      <c r="L185" s="0" t="n">
        <v>45</v>
      </c>
      <c r="M185" s="0" t="n">
        <v>45</v>
      </c>
      <c r="N185" s="0" t="s">
        <v>110</v>
      </c>
      <c r="AD185" s="0" t="n">
        <v>647</v>
      </c>
      <c r="AE185" s="0" t="n">
        <v>647</v>
      </c>
      <c r="AF185" s="0" t="s">
        <v>110</v>
      </c>
      <c r="AG185" s="0" t="n">
        <v>2</v>
      </c>
      <c r="AM185" s="0" t="n">
        <v>286</v>
      </c>
      <c r="AN185" s="0" t="n">
        <v>317</v>
      </c>
      <c r="AO185" s="0" t="s">
        <v>161</v>
      </c>
      <c r="AP185" s="0" t="n">
        <v>275</v>
      </c>
      <c r="AQ185" s="0" t="n">
        <v>308</v>
      </c>
      <c r="AR185" s="0" t="s">
        <v>574</v>
      </c>
      <c r="AS185" s="0" t="n">
        <v>133</v>
      </c>
      <c r="AT185" s="0" t="n">
        <v>177</v>
      </c>
      <c r="AU185" s="0" t="s">
        <v>576</v>
      </c>
      <c r="AV185" s="0" t="n">
        <v>286</v>
      </c>
      <c r="AW185" s="0" t="n">
        <v>317</v>
      </c>
      <c r="AX185" s="0" t="s">
        <v>161</v>
      </c>
      <c r="AY185" s="0" t="n">
        <v>275</v>
      </c>
      <c r="AZ185" s="0" t="n">
        <v>308</v>
      </c>
      <c r="BA185" s="0" t="s">
        <v>574</v>
      </c>
      <c r="BB185" s="0" t="n">
        <v>133</v>
      </c>
      <c r="BC185" s="0" t="n">
        <v>177</v>
      </c>
      <c r="BD185" s="0" t="s">
        <v>576</v>
      </c>
      <c r="BE185" s="2" t="n">
        <v>43165</v>
      </c>
    </row>
    <row r="186" customFormat="false" ht="14.25" hidden="false" customHeight="false" outlineLevel="0" collapsed="false">
      <c r="A186" s="0" t="n">
        <v>185</v>
      </c>
      <c r="B186" s="1" t="s">
        <v>763</v>
      </c>
      <c r="C186" s="0" t="n">
        <v>414</v>
      </c>
      <c r="D186" s="0" t="n">
        <v>484</v>
      </c>
      <c r="E186" s="0" t="s">
        <v>509</v>
      </c>
      <c r="F186" s="0" t="n">
        <v>416</v>
      </c>
      <c r="G186" s="0" t="n">
        <v>470</v>
      </c>
      <c r="H186" s="0" t="s">
        <v>414</v>
      </c>
      <c r="I186" s="0" t="n">
        <v>152</v>
      </c>
      <c r="J186" s="0" t="n">
        <v>332</v>
      </c>
      <c r="K186" s="0" t="s">
        <v>514</v>
      </c>
      <c r="L186" s="0" t="n">
        <v>46</v>
      </c>
      <c r="M186" s="0" t="n">
        <v>45</v>
      </c>
      <c r="N186" s="0" t="s">
        <v>695</v>
      </c>
      <c r="AD186" s="0" t="n">
        <v>625</v>
      </c>
      <c r="AG186" s="0" t="n">
        <v>10</v>
      </c>
      <c r="AM186" s="0" t="n">
        <v>283</v>
      </c>
      <c r="AP186" s="0" t="n">
        <v>281</v>
      </c>
      <c r="AS186" s="0" t="n">
        <v>119</v>
      </c>
      <c r="AV186" s="0" t="n">
        <v>283</v>
      </c>
      <c r="AY186" s="0" t="n">
        <v>281</v>
      </c>
      <c r="BB186" s="0" t="n">
        <v>119</v>
      </c>
      <c r="BE186" s="2" t="n">
        <v>43166</v>
      </c>
    </row>
    <row r="187" customFormat="false" ht="14.25" hidden="false" customHeight="false" outlineLevel="0" collapsed="false">
      <c r="A187" s="0" t="n">
        <v>186</v>
      </c>
      <c r="B187" s="1" t="s">
        <v>764</v>
      </c>
      <c r="I187" s="0" t="n">
        <v>376</v>
      </c>
      <c r="J187" s="0" t="n">
        <v>415</v>
      </c>
      <c r="K187" s="0" t="s">
        <v>722</v>
      </c>
      <c r="BE187" s="2" t="n">
        <v>43170</v>
      </c>
    </row>
    <row r="188" customFormat="false" ht="14.25" hidden="false" customHeight="false" outlineLevel="0" collapsed="false">
      <c r="A188" s="0" t="n">
        <v>187</v>
      </c>
      <c r="B188" s="1" t="s">
        <v>765</v>
      </c>
      <c r="C188" s="0" t="n">
        <v>468</v>
      </c>
      <c r="D188" s="0" t="n">
        <v>484</v>
      </c>
      <c r="E188" s="0" t="s">
        <v>538</v>
      </c>
      <c r="F188" s="0" t="n">
        <v>451</v>
      </c>
      <c r="G188" s="0" t="n">
        <v>470</v>
      </c>
      <c r="H188" s="0" t="s">
        <v>438</v>
      </c>
      <c r="I188" s="0" t="n">
        <v>359</v>
      </c>
      <c r="J188" s="0" t="n">
        <v>394</v>
      </c>
      <c r="K188" s="0" t="s">
        <v>646</v>
      </c>
      <c r="L188" s="0" t="n">
        <v>45</v>
      </c>
      <c r="M188" s="0" t="n">
        <v>45</v>
      </c>
      <c r="N188" s="0" t="s">
        <v>110</v>
      </c>
      <c r="AD188" s="0" t="n">
        <v>629</v>
      </c>
      <c r="AE188" s="0" t="n">
        <v>647</v>
      </c>
      <c r="AF188" s="0" t="s">
        <v>128</v>
      </c>
      <c r="AG188" s="0" t="n">
        <v>3</v>
      </c>
      <c r="AM188" s="0" t="n">
        <v>281</v>
      </c>
      <c r="AN188" s="0" t="n">
        <v>317</v>
      </c>
      <c r="AO188" s="0" t="s">
        <v>305</v>
      </c>
      <c r="AP188" s="0" t="n">
        <v>292</v>
      </c>
      <c r="AQ188" s="0" t="n">
        <v>308</v>
      </c>
      <c r="AR188" s="0" t="s">
        <v>191</v>
      </c>
      <c r="AS188" s="0" t="n">
        <v>141</v>
      </c>
      <c r="AT188" s="0" t="n">
        <v>252</v>
      </c>
      <c r="AU188" s="0" t="s">
        <v>109</v>
      </c>
      <c r="AV188" s="0" t="n">
        <v>281</v>
      </c>
      <c r="AW188" s="0" t="n">
        <v>317</v>
      </c>
      <c r="AX188" s="0" t="s">
        <v>305</v>
      </c>
      <c r="AY188" s="0" t="n">
        <v>292</v>
      </c>
      <c r="AZ188" s="0" t="n">
        <v>308</v>
      </c>
      <c r="BA188" s="0" t="s">
        <v>191</v>
      </c>
      <c r="BB188" s="0" t="n">
        <v>141</v>
      </c>
      <c r="BC188" s="0" t="n">
        <v>252</v>
      </c>
      <c r="BD188" s="0" t="s">
        <v>109</v>
      </c>
      <c r="BE188" s="2" t="n">
        <v>43168</v>
      </c>
    </row>
    <row r="189" customFormat="false" ht="14.25" hidden="false" customHeight="false" outlineLevel="0" collapsed="false">
      <c r="A189" s="0" t="n">
        <v>188</v>
      </c>
      <c r="B189" s="1" t="s">
        <v>766</v>
      </c>
      <c r="C189" s="0" t="n">
        <v>274</v>
      </c>
      <c r="D189" s="0" t="n">
        <v>484</v>
      </c>
      <c r="E189" s="0" t="s">
        <v>767</v>
      </c>
      <c r="F189" s="0" t="n">
        <v>454</v>
      </c>
      <c r="G189" s="0" t="n">
        <v>470</v>
      </c>
      <c r="H189" s="0" t="s">
        <v>119</v>
      </c>
      <c r="I189" s="0" t="n">
        <v>317</v>
      </c>
      <c r="J189" s="0" t="n">
        <v>332</v>
      </c>
      <c r="K189" s="0" t="s">
        <v>127</v>
      </c>
      <c r="L189" s="0" t="n">
        <v>44</v>
      </c>
      <c r="M189" s="0" t="n">
        <v>45</v>
      </c>
      <c r="N189" s="0" t="s">
        <v>652</v>
      </c>
      <c r="AD189" s="0" t="n">
        <v>648</v>
      </c>
      <c r="AE189" s="0" t="n">
        <v>648</v>
      </c>
      <c r="AF189" s="0" t="s">
        <v>110</v>
      </c>
      <c r="AG189" s="0" t="n">
        <v>8</v>
      </c>
      <c r="AM189" s="0" t="n">
        <v>277</v>
      </c>
      <c r="AN189" s="0" t="n">
        <v>312</v>
      </c>
      <c r="AO189" s="0" t="s">
        <v>166</v>
      </c>
      <c r="AP189" s="0" t="n">
        <v>286</v>
      </c>
      <c r="AQ189" s="0" t="n">
        <v>308</v>
      </c>
      <c r="AR189" s="0" t="s">
        <v>207</v>
      </c>
      <c r="AS189" s="0" t="n">
        <v>117</v>
      </c>
      <c r="AT189" s="0" t="n">
        <v>177</v>
      </c>
      <c r="AU189" s="0" t="s">
        <v>768</v>
      </c>
      <c r="AV189" s="0" t="n">
        <v>277</v>
      </c>
      <c r="AW189" s="0" t="n">
        <v>312</v>
      </c>
      <c r="AX189" s="0" t="s">
        <v>166</v>
      </c>
      <c r="AY189" s="0" t="n">
        <v>286</v>
      </c>
      <c r="AZ189" s="0" t="n">
        <v>308</v>
      </c>
      <c r="BA189" s="0" t="s">
        <v>207</v>
      </c>
      <c r="BB189" s="0" t="n">
        <v>117</v>
      </c>
      <c r="BC189" s="0" t="n">
        <v>177</v>
      </c>
      <c r="BD189" s="0" t="s">
        <v>768</v>
      </c>
      <c r="BE189" s="2" t="n">
        <v>43167</v>
      </c>
    </row>
    <row r="190" customFormat="false" ht="14.25" hidden="false" customHeight="false" outlineLevel="0" collapsed="false">
      <c r="A190" s="0" t="n">
        <v>189</v>
      </c>
      <c r="B190" s="1" t="s">
        <v>769</v>
      </c>
      <c r="C190" s="0" t="n">
        <v>445</v>
      </c>
      <c r="D190" s="0" t="n">
        <v>484</v>
      </c>
      <c r="E190" s="0" t="s">
        <v>398</v>
      </c>
      <c r="F190" s="0" t="n">
        <v>443</v>
      </c>
      <c r="G190" s="0" t="n">
        <v>470</v>
      </c>
      <c r="H190" s="0" t="s">
        <v>523</v>
      </c>
      <c r="I190" s="0" t="n">
        <v>311</v>
      </c>
      <c r="J190" s="0" t="n">
        <v>332</v>
      </c>
      <c r="K190" s="0" t="s">
        <v>467</v>
      </c>
      <c r="L190" s="0" t="n">
        <v>44</v>
      </c>
      <c r="M190" s="0" t="n">
        <v>45</v>
      </c>
      <c r="N190" s="0" t="s">
        <v>652</v>
      </c>
      <c r="O190" s="0" t="n">
        <v>1</v>
      </c>
      <c r="AD190" s="0" t="n">
        <v>599</v>
      </c>
      <c r="AE190" s="0" t="n">
        <v>647</v>
      </c>
      <c r="AF190" s="0" t="s">
        <v>437</v>
      </c>
      <c r="AG190" s="0" t="n">
        <v>2</v>
      </c>
      <c r="AM190" s="0" t="n">
        <v>298</v>
      </c>
      <c r="AN190" s="0" t="n">
        <v>317</v>
      </c>
      <c r="AO190" s="0" t="s">
        <v>526</v>
      </c>
      <c r="AP190" s="0" t="n">
        <v>284</v>
      </c>
      <c r="AQ190" s="0" t="n">
        <v>308</v>
      </c>
      <c r="AR190" s="0" t="s">
        <v>335</v>
      </c>
      <c r="AS190" s="0" t="n">
        <v>92</v>
      </c>
      <c r="AT190" s="0" t="n">
        <v>177</v>
      </c>
      <c r="AU190" s="0" t="s">
        <v>770</v>
      </c>
      <c r="AV190" s="0" t="n">
        <v>298</v>
      </c>
      <c r="AW190" s="0" t="n">
        <v>317</v>
      </c>
      <c r="AX190" s="0" t="s">
        <v>526</v>
      </c>
      <c r="AY190" s="0" t="n">
        <v>284</v>
      </c>
      <c r="AZ190" s="0" t="n">
        <v>308</v>
      </c>
      <c r="BA190" s="0" t="s">
        <v>335</v>
      </c>
      <c r="BB190" s="0" t="n">
        <v>92</v>
      </c>
      <c r="BC190" s="0" t="n">
        <v>177</v>
      </c>
      <c r="BD190" s="0" t="s">
        <v>770</v>
      </c>
      <c r="BE190" s="2" t="n">
        <v>43171</v>
      </c>
    </row>
    <row r="191" customFormat="false" ht="14.25" hidden="false" customHeight="false" outlineLevel="0" collapsed="false">
      <c r="A191" s="0" t="n">
        <v>190</v>
      </c>
      <c r="B191" s="1" t="s">
        <v>771</v>
      </c>
      <c r="C191" s="0" t="n">
        <v>454</v>
      </c>
      <c r="D191" s="0" t="n">
        <v>484</v>
      </c>
      <c r="E191" s="0" t="s">
        <v>383</v>
      </c>
      <c r="F191" s="0" t="n">
        <v>452</v>
      </c>
      <c r="G191" s="0" t="n">
        <v>470</v>
      </c>
      <c r="H191" s="0" t="s">
        <v>200</v>
      </c>
      <c r="I191" s="0" t="n">
        <v>314</v>
      </c>
      <c r="J191" s="0" t="n">
        <v>332</v>
      </c>
      <c r="K191" s="0" t="s">
        <v>332</v>
      </c>
      <c r="L191" s="0" t="n">
        <v>45</v>
      </c>
      <c r="M191" s="0" t="n">
        <v>45</v>
      </c>
      <c r="N191" s="0" t="s">
        <v>110</v>
      </c>
      <c r="AD191" s="0" t="n">
        <v>448</v>
      </c>
      <c r="AE191" s="0" t="n">
        <v>646</v>
      </c>
      <c r="AF191" s="0" t="s">
        <v>280</v>
      </c>
      <c r="AG191" s="0" t="n">
        <v>2</v>
      </c>
      <c r="AM191" s="0" t="n">
        <v>288</v>
      </c>
      <c r="AN191" s="0" t="n">
        <v>317</v>
      </c>
      <c r="AO191" s="0" t="s">
        <v>452</v>
      </c>
      <c r="AP191" s="0" t="n">
        <v>276</v>
      </c>
      <c r="AQ191" s="0" t="n">
        <v>308</v>
      </c>
      <c r="AR191" s="0" t="s">
        <v>377</v>
      </c>
      <c r="AS191" s="0" t="n">
        <v>118</v>
      </c>
      <c r="AT191" s="0" t="n">
        <v>177</v>
      </c>
      <c r="AU191" s="0" t="s">
        <v>627</v>
      </c>
      <c r="AV191" s="0" t="n">
        <v>288</v>
      </c>
      <c r="AW191" s="0" t="n">
        <v>317</v>
      </c>
      <c r="AX191" s="0" t="s">
        <v>452</v>
      </c>
      <c r="AY191" s="0" t="n">
        <v>276</v>
      </c>
      <c r="AZ191" s="0" t="n">
        <v>308</v>
      </c>
      <c r="BA191" s="0" t="s">
        <v>377</v>
      </c>
      <c r="BB191" s="0" t="n">
        <v>118</v>
      </c>
      <c r="BC191" s="0" t="n">
        <v>177</v>
      </c>
      <c r="BD191" s="0" t="s">
        <v>627</v>
      </c>
      <c r="BE191" s="2" t="n">
        <v>43172</v>
      </c>
    </row>
    <row r="192" customFormat="false" ht="14.25" hidden="false" customHeight="false" outlineLevel="0" collapsed="false">
      <c r="A192" s="0" t="n">
        <v>191</v>
      </c>
      <c r="B192" s="1" t="s">
        <v>772</v>
      </c>
      <c r="C192" s="0" t="n">
        <v>465</v>
      </c>
      <c r="D192" s="0" t="n">
        <v>484</v>
      </c>
      <c r="E192" s="0" t="s">
        <v>594</v>
      </c>
      <c r="F192" s="0" t="n">
        <v>444</v>
      </c>
      <c r="G192" s="0" t="n">
        <v>470</v>
      </c>
      <c r="H192" s="0" t="s">
        <v>581</v>
      </c>
      <c r="I192" s="0" t="n">
        <v>321</v>
      </c>
      <c r="J192" s="0" t="n">
        <v>332</v>
      </c>
      <c r="K192" s="0" t="s">
        <v>538</v>
      </c>
      <c r="L192" s="0" t="n">
        <v>45</v>
      </c>
      <c r="M192" s="0" t="n">
        <v>45</v>
      </c>
      <c r="N192" s="0" t="s">
        <v>110</v>
      </c>
      <c r="AD192" s="0" t="n">
        <v>67</v>
      </c>
      <c r="AE192" s="0" t="n">
        <v>629</v>
      </c>
      <c r="AF192" s="0" t="s">
        <v>773</v>
      </c>
      <c r="AM192" s="0" t="n">
        <v>277</v>
      </c>
      <c r="AN192" s="0" t="n">
        <v>317</v>
      </c>
      <c r="AO192" s="0" t="s">
        <v>419</v>
      </c>
      <c r="AP192" s="0" t="n">
        <v>300</v>
      </c>
      <c r="AQ192" s="0" t="n">
        <v>308</v>
      </c>
      <c r="AR192" s="0" t="s">
        <v>139</v>
      </c>
      <c r="AS192" s="0" t="n">
        <v>127</v>
      </c>
      <c r="AT192" s="0" t="n">
        <v>177</v>
      </c>
      <c r="AU192" s="0" t="s">
        <v>150</v>
      </c>
      <c r="AV192" s="0" t="n">
        <v>277</v>
      </c>
      <c r="AW192" s="0" t="n">
        <v>317</v>
      </c>
      <c r="AX192" s="0" t="s">
        <v>419</v>
      </c>
      <c r="AY192" s="0" t="n">
        <v>300</v>
      </c>
      <c r="AZ192" s="0" t="n">
        <v>308</v>
      </c>
      <c r="BA192" s="0" t="s">
        <v>139</v>
      </c>
      <c r="BB192" s="0" t="n">
        <v>127</v>
      </c>
      <c r="BC192" s="0" t="n">
        <v>177</v>
      </c>
      <c r="BD192" s="0" t="s">
        <v>150</v>
      </c>
      <c r="BE192" s="2" t="n">
        <v>43173</v>
      </c>
    </row>
    <row r="193" customFormat="false" ht="14.25" hidden="false" customHeight="false" outlineLevel="0" collapsed="false">
      <c r="A193" s="0" t="n">
        <v>192</v>
      </c>
      <c r="B193" s="1" t="s">
        <v>774</v>
      </c>
      <c r="C193" s="0" t="n">
        <v>378</v>
      </c>
      <c r="D193" s="0" t="n">
        <v>435</v>
      </c>
      <c r="E193" s="0" t="s">
        <v>246</v>
      </c>
      <c r="F193" s="0" t="n">
        <v>398</v>
      </c>
      <c r="G193" s="0" t="n">
        <v>423</v>
      </c>
      <c r="H193" s="0" t="s">
        <v>448</v>
      </c>
      <c r="I193" s="0" t="n">
        <v>274</v>
      </c>
      <c r="J193" s="0" t="n">
        <v>322</v>
      </c>
      <c r="K193" s="0" t="s">
        <v>365</v>
      </c>
      <c r="AM193" s="0" t="n">
        <v>278</v>
      </c>
      <c r="AV193" s="0" t="n">
        <v>278</v>
      </c>
      <c r="BE193" s="2" t="n">
        <v>43178</v>
      </c>
    </row>
    <row r="194" customFormat="false" ht="14.25" hidden="false" customHeight="false" outlineLevel="0" collapsed="false">
      <c r="A194" s="0" t="n">
        <v>193</v>
      </c>
      <c r="B194" s="1" t="s">
        <v>775</v>
      </c>
      <c r="C194" s="0" t="n">
        <v>312</v>
      </c>
      <c r="D194" s="0" t="n">
        <v>319</v>
      </c>
      <c r="E194" s="0" t="s">
        <v>652</v>
      </c>
      <c r="F194" s="0" t="n">
        <v>319</v>
      </c>
      <c r="G194" s="0" t="n">
        <v>329</v>
      </c>
      <c r="H194" s="0" t="s">
        <v>756</v>
      </c>
      <c r="BE194" s="2" t="n">
        <v>43176</v>
      </c>
    </row>
    <row r="195" customFormat="false" ht="14.25" hidden="false" customHeight="false" outlineLevel="0" collapsed="false">
      <c r="A195" s="0" t="n">
        <v>194</v>
      </c>
      <c r="B195" s="1" t="s">
        <v>776</v>
      </c>
      <c r="C195" s="0" t="n">
        <v>447</v>
      </c>
      <c r="D195" s="0" t="n">
        <v>484</v>
      </c>
      <c r="E195" s="0" t="s">
        <v>447</v>
      </c>
      <c r="F195" s="0" t="n">
        <v>438</v>
      </c>
      <c r="G195" s="0" t="n">
        <v>470</v>
      </c>
      <c r="H195" s="0" t="s">
        <v>491</v>
      </c>
      <c r="I195" s="0" t="n">
        <v>378</v>
      </c>
      <c r="J195" s="0" t="n">
        <v>394</v>
      </c>
      <c r="K195" s="0" t="s">
        <v>777</v>
      </c>
      <c r="L195" s="0" t="n">
        <v>46</v>
      </c>
      <c r="M195" s="0" t="n">
        <v>45</v>
      </c>
      <c r="N195" s="0" t="s">
        <v>695</v>
      </c>
      <c r="AD195" s="0" t="n">
        <v>651</v>
      </c>
      <c r="AE195" s="0" t="n">
        <v>649</v>
      </c>
      <c r="AF195" s="0" t="s">
        <v>778</v>
      </c>
      <c r="AM195" s="0" t="n">
        <v>276</v>
      </c>
      <c r="AN195" s="0" t="n">
        <v>317</v>
      </c>
      <c r="AO195" s="0" t="s">
        <v>401</v>
      </c>
      <c r="AP195" s="0" t="n">
        <v>286</v>
      </c>
      <c r="AQ195" s="0" t="n">
        <v>309</v>
      </c>
      <c r="AR195" s="0" t="s">
        <v>437</v>
      </c>
      <c r="AS195" s="0" t="n">
        <v>112</v>
      </c>
      <c r="AT195" s="0" t="n">
        <v>129</v>
      </c>
      <c r="AU195" s="0" t="s">
        <v>199</v>
      </c>
      <c r="AV195" s="0" t="n">
        <v>276</v>
      </c>
      <c r="AW195" s="0" t="n">
        <v>317</v>
      </c>
      <c r="AX195" s="0" t="s">
        <v>401</v>
      </c>
      <c r="AY195" s="0" t="n">
        <v>286</v>
      </c>
      <c r="AZ195" s="0" t="n">
        <v>309</v>
      </c>
      <c r="BA195" s="0" t="s">
        <v>437</v>
      </c>
      <c r="BB195" s="0" t="n">
        <v>112</v>
      </c>
      <c r="BC195" s="0" t="n">
        <v>129</v>
      </c>
      <c r="BD195" s="0" t="s">
        <v>199</v>
      </c>
      <c r="BE195" s="2" t="n">
        <v>43175</v>
      </c>
    </row>
    <row r="196" customFormat="false" ht="14.25" hidden="false" customHeight="false" outlineLevel="0" collapsed="false">
      <c r="A196" s="0" t="n">
        <v>195</v>
      </c>
      <c r="B196" s="1" t="s">
        <v>779</v>
      </c>
      <c r="C196" s="0" t="n">
        <v>452</v>
      </c>
      <c r="D196" s="0" t="n">
        <v>484</v>
      </c>
      <c r="E196" s="0" t="s">
        <v>659</v>
      </c>
      <c r="F196" s="0" t="n">
        <v>455</v>
      </c>
      <c r="G196" s="0" t="n">
        <v>470</v>
      </c>
      <c r="H196" s="0" t="s">
        <v>112</v>
      </c>
      <c r="I196" s="0" t="n">
        <v>321</v>
      </c>
      <c r="J196" s="0" t="n">
        <v>332</v>
      </c>
      <c r="K196" s="0" t="s">
        <v>538</v>
      </c>
      <c r="L196" s="0" t="n">
        <v>45</v>
      </c>
      <c r="M196" s="0" t="n">
        <v>45</v>
      </c>
      <c r="N196" s="0" t="s">
        <v>110</v>
      </c>
      <c r="AD196" s="0" t="n">
        <v>618</v>
      </c>
      <c r="AE196" s="0" t="n">
        <v>647</v>
      </c>
      <c r="AF196" s="0" t="s">
        <v>127</v>
      </c>
      <c r="AG196" s="0" t="n">
        <v>2</v>
      </c>
      <c r="AM196" s="0" t="n">
        <v>297</v>
      </c>
      <c r="AN196" s="0" t="n">
        <v>317</v>
      </c>
      <c r="AO196" s="0" t="s">
        <v>467</v>
      </c>
      <c r="AP196" s="0" t="n">
        <v>296</v>
      </c>
      <c r="AQ196" s="0" t="n">
        <v>308</v>
      </c>
      <c r="AR196" s="0" t="s">
        <v>594</v>
      </c>
      <c r="AS196" s="0" t="n">
        <v>116</v>
      </c>
      <c r="AT196" s="0" t="n">
        <v>177</v>
      </c>
      <c r="AU196" s="0" t="s">
        <v>469</v>
      </c>
      <c r="AV196" s="0" t="n">
        <v>297</v>
      </c>
      <c r="AW196" s="0" t="n">
        <v>317</v>
      </c>
      <c r="AX196" s="0" t="s">
        <v>467</v>
      </c>
      <c r="AY196" s="0" t="n">
        <v>296</v>
      </c>
      <c r="AZ196" s="0" t="n">
        <v>308</v>
      </c>
      <c r="BA196" s="0" t="s">
        <v>594</v>
      </c>
      <c r="BB196" s="0" t="n">
        <v>116</v>
      </c>
      <c r="BC196" s="0" t="n">
        <v>177</v>
      </c>
      <c r="BD196" s="0" t="s">
        <v>469</v>
      </c>
      <c r="BE196" s="2" t="n">
        <v>43174</v>
      </c>
    </row>
    <row r="197" customFormat="false" ht="14.25" hidden="false" customHeight="false" outlineLevel="0" collapsed="false">
      <c r="A197" s="0" t="n">
        <v>196</v>
      </c>
      <c r="B197" s="1" t="s">
        <v>780</v>
      </c>
      <c r="C197" s="0" t="n">
        <v>462</v>
      </c>
      <c r="D197" s="0" t="n">
        <v>484</v>
      </c>
      <c r="E197" s="0" t="s">
        <v>127</v>
      </c>
      <c r="F197" s="0" t="n">
        <v>457</v>
      </c>
      <c r="G197" s="0" t="n">
        <v>460</v>
      </c>
      <c r="H197" s="0" t="s">
        <v>596</v>
      </c>
      <c r="I197" s="0" t="n">
        <v>317</v>
      </c>
      <c r="J197" s="0" t="n">
        <v>332</v>
      </c>
      <c r="K197" s="0" t="s">
        <v>127</v>
      </c>
      <c r="AD197" s="0" t="n">
        <v>633</v>
      </c>
      <c r="AE197" s="0" t="n">
        <v>648</v>
      </c>
      <c r="AF197" s="0" t="s">
        <v>138</v>
      </c>
      <c r="AM197" s="0" t="n">
        <v>317</v>
      </c>
      <c r="AN197" s="0" t="n">
        <v>317</v>
      </c>
      <c r="AO197" s="0" t="s">
        <v>110</v>
      </c>
      <c r="AP197" s="0" t="n">
        <v>297</v>
      </c>
      <c r="AQ197" s="0" t="n">
        <v>297</v>
      </c>
      <c r="AR197" s="0" t="s">
        <v>110</v>
      </c>
      <c r="AS197" s="0" t="n">
        <v>109</v>
      </c>
      <c r="AT197" s="0" t="n">
        <v>129</v>
      </c>
      <c r="AU197" s="0" t="s">
        <v>573</v>
      </c>
      <c r="AV197" s="0" t="n">
        <v>317</v>
      </c>
      <c r="AW197" s="0" t="n">
        <v>317</v>
      </c>
      <c r="AX197" s="0" t="s">
        <v>110</v>
      </c>
      <c r="AY197" s="0" t="n">
        <v>297</v>
      </c>
      <c r="AZ197" s="0" t="n">
        <v>297</v>
      </c>
      <c r="BA197" s="0" t="s">
        <v>110</v>
      </c>
      <c r="BB197" s="0" t="n">
        <v>109</v>
      </c>
      <c r="BC197" s="0" t="n">
        <v>129</v>
      </c>
      <c r="BD197" s="0" t="s">
        <v>573</v>
      </c>
      <c r="BE197" s="2" t="n">
        <v>43179</v>
      </c>
    </row>
    <row r="198" customFormat="false" ht="14.25" hidden="false" customHeight="false" outlineLevel="0" collapsed="false">
      <c r="A198" s="0" t="n">
        <v>197</v>
      </c>
      <c r="B198" s="1" t="s">
        <v>781</v>
      </c>
      <c r="C198" s="0" t="n">
        <v>461</v>
      </c>
      <c r="D198" s="0" t="n">
        <v>484</v>
      </c>
      <c r="E198" s="0" t="s">
        <v>634</v>
      </c>
      <c r="F198" s="0" t="n">
        <v>447</v>
      </c>
      <c r="G198" s="0" t="n">
        <v>480</v>
      </c>
      <c r="H198" s="0" t="s">
        <v>151</v>
      </c>
      <c r="I198" s="0" t="n">
        <v>312</v>
      </c>
      <c r="J198" s="0" t="n">
        <v>332</v>
      </c>
      <c r="K198" s="0" t="s">
        <v>526</v>
      </c>
      <c r="AD198" s="0" t="n">
        <v>629</v>
      </c>
      <c r="AE198" s="0" t="n">
        <v>648</v>
      </c>
      <c r="AF198" s="0" t="s">
        <v>492</v>
      </c>
      <c r="AM198" s="0" t="n">
        <v>309</v>
      </c>
      <c r="AN198" s="0" t="n">
        <v>317</v>
      </c>
      <c r="AO198" s="0" t="s">
        <v>370</v>
      </c>
      <c r="AP198" s="0" t="n">
        <v>300</v>
      </c>
      <c r="AQ198" s="0" t="n">
        <v>308</v>
      </c>
      <c r="AR198" s="0" t="s">
        <v>139</v>
      </c>
      <c r="AS198" s="0" t="n">
        <v>111</v>
      </c>
      <c r="AT198" s="0" t="n">
        <v>130</v>
      </c>
      <c r="AU198" s="0" t="s">
        <v>318</v>
      </c>
      <c r="AV198" s="0" t="n">
        <v>309</v>
      </c>
      <c r="AW198" s="0" t="n">
        <v>317</v>
      </c>
      <c r="AX198" s="0" t="s">
        <v>370</v>
      </c>
      <c r="AY198" s="0" t="n">
        <v>300</v>
      </c>
      <c r="AZ198" s="0" t="n">
        <v>308</v>
      </c>
      <c r="BA198" s="0" t="s">
        <v>139</v>
      </c>
      <c r="BB198" s="0" t="n">
        <v>111</v>
      </c>
      <c r="BC198" s="0" t="n">
        <v>130</v>
      </c>
      <c r="BD198" s="0" t="s">
        <v>318</v>
      </c>
      <c r="BE198" s="2" t="n">
        <v>43180</v>
      </c>
    </row>
    <row r="199" customFormat="false" ht="14.25" hidden="false" customHeight="false" outlineLevel="0" collapsed="false">
      <c r="A199" s="0" t="n">
        <v>198</v>
      </c>
      <c r="B199" s="1" t="s">
        <v>782</v>
      </c>
      <c r="C199" s="0" t="n">
        <v>463</v>
      </c>
      <c r="D199" s="0" t="n">
        <v>484</v>
      </c>
      <c r="E199" s="0" t="s">
        <v>144</v>
      </c>
      <c r="F199" s="0" t="n">
        <v>452</v>
      </c>
      <c r="G199" s="0" t="n">
        <v>470</v>
      </c>
      <c r="H199" s="0" t="s">
        <v>200</v>
      </c>
      <c r="I199" s="0" t="n">
        <v>304</v>
      </c>
      <c r="J199" s="0" t="n">
        <v>332</v>
      </c>
      <c r="K199" s="0" t="s">
        <v>292</v>
      </c>
      <c r="L199" s="0" t="n">
        <v>46</v>
      </c>
      <c r="M199" s="0" t="n">
        <v>45</v>
      </c>
      <c r="N199" s="0" t="s">
        <v>695</v>
      </c>
      <c r="AD199" s="0" t="n">
        <v>653</v>
      </c>
      <c r="AE199" s="0" t="n">
        <v>654</v>
      </c>
      <c r="AF199" s="0" t="s">
        <v>623</v>
      </c>
      <c r="AM199" s="0" t="n">
        <v>293</v>
      </c>
      <c r="AN199" s="0" t="n">
        <v>317</v>
      </c>
      <c r="AO199" s="0" t="s">
        <v>447</v>
      </c>
      <c r="AP199" s="0" t="n">
        <v>297</v>
      </c>
      <c r="AQ199" s="0" t="n">
        <v>308</v>
      </c>
      <c r="AR199" s="0" t="s">
        <v>187</v>
      </c>
      <c r="AS199" s="0" t="n">
        <v>102</v>
      </c>
      <c r="AT199" s="0" t="n">
        <v>130</v>
      </c>
      <c r="AU199" s="0" t="s">
        <v>325</v>
      </c>
      <c r="AV199" s="0" t="n">
        <v>293</v>
      </c>
      <c r="AW199" s="0" t="n">
        <v>317</v>
      </c>
      <c r="AX199" s="0" t="s">
        <v>447</v>
      </c>
      <c r="AY199" s="0" t="n">
        <v>297</v>
      </c>
      <c r="AZ199" s="0" t="n">
        <v>308</v>
      </c>
      <c r="BA199" s="0" t="s">
        <v>187</v>
      </c>
      <c r="BB199" s="0" t="n">
        <v>102</v>
      </c>
      <c r="BC199" s="0" t="n">
        <v>130</v>
      </c>
      <c r="BD199" s="0" t="s">
        <v>325</v>
      </c>
      <c r="BE199" s="2" t="n">
        <v>43181</v>
      </c>
    </row>
    <row r="200" customFormat="false" ht="14.25" hidden="false" customHeight="false" outlineLevel="0" collapsed="false">
      <c r="A200" s="0" t="n">
        <v>199</v>
      </c>
      <c r="B200" s="1" t="s">
        <v>783</v>
      </c>
      <c r="C200" s="0" t="n">
        <v>448</v>
      </c>
      <c r="D200" s="0" t="n">
        <v>484</v>
      </c>
      <c r="E200" s="0" t="s">
        <v>437</v>
      </c>
      <c r="F200" s="0" t="n">
        <v>442</v>
      </c>
      <c r="G200" s="0" t="n">
        <v>470</v>
      </c>
      <c r="H200" s="0" t="s">
        <v>526</v>
      </c>
      <c r="I200" s="0" t="n">
        <v>382</v>
      </c>
      <c r="J200" s="0" t="n">
        <v>394</v>
      </c>
      <c r="K200" s="0" t="s">
        <v>756</v>
      </c>
      <c r="L200" s="0" t="n">
        <v>44</v>
      </c>
      <c r="M200" s="0" t="n">
        <v>45</v>
      </c>
      <c r="N200" s="0" t="s">
        <v>652</v>
      </c>
      <c r="AD200" s="0" t="n">
        <v>582</v>
      </c>
      <c r="AE200" s="0" t="n">
        <v>648</v>
      </c>
      <c r="AF200" s="0" t="s">
        <v>403</v>
      </c>
      <c r="AP200" s="0" t="n">
        <v>275</v>
      </c>
      <c r="AQ200" s="0" t="n">
        <v>285</v>
      </c>
      <c r="AR200" s="0" t="s">
        <v>291</v>
      </c>
      <c r="AY200" s="0" t="n">
        <v>275</v>
      </c>
      <c r="AZ200" s="0" t="n">
        <v>285</v>
      </c>
      <c r="BA200" s="0" t="s">
        <v>291</v>
      </c>
      <c r="BE200" s="2" t="n">
        <v>43182</v>
      </c>
    </row>
    <row r="201" customFormat="false" ht="14.25" hidden="false" customHeight="false" outlineLevel="0" collapsed="false">
      <c r="A201" s="0" t="n">
        <v>200</v>
      </c>
      <c r="B201" s="1" t="s">
        <v>784</v>
      </c>
      <c r="C201" s="0" t="n">
        <v>427</v>
      </c>
      <c r="D201" s="0" t="n">
        <v>435</v>
      </c>
      <c r="E201" s="0" t="s">
        <v>600</v>
      </c>
      <c r="F201" s="0" t="n">
        <v>409</v>
      </c>
      <c r="G201" s="0" t="n">
        <v>423</v>
      </c>
      <c r="H201" s="0" t="s">
        <v>538</v>
      </c>
      <c r="L201" s="0" t="n">
        <v>42</v>
      </c>
      <c r="M201" s="0" t="n">
        <v>41</v>
      </c>
      <c r="N201" s="0" t="s">
        <v>785</v>
      </c>
      <c r="BE201" s="2" t="n">
        <v>43183</v>
      </c>
    </row>
    <row r="202" customFormat="false" ht="14.25" hidden="false" customHeight="false" outlineLevel="0" collapsed="false">
      <c r="A202" s="0" t="n">
        <v>201</v>
      </c>
      <c r="B202" s="1" t="s">
        <v>786</v>
      </c>
      <c r="C202" s="0" t="n">
        <v>468</v>
      </c>
      <c r="D202" s="0" t="n">
        <v>479</v>
      </c>
      <c r="E202" s="0" t="s">
        <v>138</v>
      </c>
      <c r="F202" s="0" t="n">
        <v>446</v>
      </c>
      <c r="G202" s="0" t="n">
        <v>458</v>
      </c>
      <c r="H202" s="0" t="s">
        <v>139</v>
      </c>
      <c r="I202" s="0" t="n">
        <v>291</v>
      </c>
      <c r="J202" s="0" t="n">
        <v>332</v>
      </c>
      <c r="K202" s="0" t="s">
        <v>386</v>
      </c>
      <c r="L202" s="0" t="n">
        <v>46</v>
      </c>
      <c r="M202" s="0" t="n">
        <v>45</v>
      </c>
      <c r="N202" s="0" t="s">
        <v>695</v>
      </c>
      <c r="AD202" s="0" t="n">
        <v>612</v>
      </c>
      <c r="AE202" s="0" t="n">
        <v>648</v>
      </c>
      <c r="AF202" s="0" t="s">
        <v>160</v>
      </c>
      <c r="AG202" s="0" t="n">
        <v>106</v>
      </c>
      <c r="AH202" s="0" t="n">
        <v>130</v>
      </c>
      <c r="AI202" s="0" t="s">
        <v>487</v>
      </c>
      <c r="AS202" s="0" t="n">
        <v>77</v>
      </c>
      <c r="AT202" s="0" t="n">
        <v>86</v>
      </c>
      <c r="AU202" s="0" t="s">
        <v>122</v>
      </c>
      <c r="BB202" s="0" t="n">
        <v>77</v>
      </c>
      <c r="BC202" s="0" t="n">
        <v>86</v>
      </c>
      <c r="BD202" s="0" t="s">
        <v>122</v>
      </c>
      <c r="BE202" s="2" t="n">
        <v>43186</v>
      </c>
    </row>
    <row r="203" customFormat="false" ht="14.25" hidden="false" customHeight="false" outlineLevel="0" collapsed="false">
      <c r="A203" s="0" t="n">
        <v>202</v>
      </c>
      <c r="B203" s="1" t="s">
        <v>787</v>
      </c>
      <c r="C203" s="0" t="n">
        <v>454</v>
      </c>
      <c r="D203" s="0" t="n">
        <v>484</v>
      </c>
      <c r="E203" s="0" t="s">
        <v>383</v>
      </c>
      <c r="F203" s="0" t="n">
        <v>459</v>
      </c>
      <c r="G203" s="0" t="n">
        <v>470</v>
      </c>
      <c r="H203" s="0" t="s">
        <v>138</v>
      </c>
      <c r="I203" s="0" t="n">
        <v>322</v>
      </c>
      <c r="J203" s="0" t="n">
        <v>332</v>
      </c>
      <c r="K203" s="0" t="s">
        <v>756</v>
      </c>
      <c r="L203" s="0" t="n">
        <v>46</v>
      </c>
      <c r="M203" s="0" t="n">
        <v>45</v>
      </c>
      <c r="N203" s="0" t="s">
        <v>695</v>
      </c>
      <c r="AD203" s="0" t="n">
        <v>648</v>
      </c>
      <c r="AE203" s="0" t="n">
        <v>648</v>
      </c>
      <c r="AF203" s="0" t="s">
        <v>110</v>
      </c>
      <c r="AG203" s="0" t="n">
        <v>132</v>
      </c>
      <c r="AH203" s="0" t="n">
        <v>140</v>
      </c>
      <c r="AI203" s="0" t="s">
        <v>523</v>
      </c>
      <c r="AM203" s="0" t="n">
        <v>309</v>
      </c>
      <c r="AN203" s="0" t="n">
        <v>309</v>
      </c>
      <c r="AO203" s="0" t="s">
        <v>110</v>
      </c>
      <c r="AP203" s="0" t="n">
        <v>266</v>
      </c>
      <c r="AQ203" s="0" t="n">
        <v>302</v>
      </c>
      <c r="AR203" s="0" t="s">
        <v>429</v>
      </c>
      <c r="AS203" s="0" t="n">
        <v>75</v>
      </c>
      <c r="AT203" s="0" t="n">
        <v>85</v>
      </c>
      <c r="AU203" s="0" t="s">
        <v>216</v>
      </c>
      <c r="AV203" s="0" t="n">
        <v>309</v>
      </c>
      <c r="AW203" s="0" t="n">
        <v>309</v>
      </c>
      <c r="AX203" s="0" t="s">
        <v>110</v>
      </c>
      <c r="AY203" s="0" t="n">
        <v>266</v>
      </c>
      <c r="AZ203" s="0" t="n">
        <v>302</v>
      </c>
      <c r="BA203" s="0" t="s">
        <v>429</v>
      </c>
      <c r="BB203" s="0" t="n">
        <v>75</v>
      </c>
      <c r="BC203" s="0" t="n">
        <v>85</v>
      </c>
      <c r="BD203" s="0" t="s">
        <v>216</v>
      </c>
      <c r="BE203" s="2" t="n">
        <v>43187</v>
      </c>
    </row>
    <row r="204" customFormat="false" ht="14.25" hidden="false" customHeight="false" outlineLevel="0" collapsed="false">
      <c r="A204" s="0" t="n">
        <v>203</v>
      </c>
      <c r="B204" s="1" t="s">
        <v>788</v>
      </c>
      <c r="C204" s="0" t="n">
        <v>455</v>
      </c>
      <c r="D204" s="0" t="n">
        <v>484</v>
      </c>
      <c r="E204" s="0" t="s">
        <v>526</v>
      </c>
      <c r="F204" s="0" t="n">
        <v>464</v>
      </c>
      <c r="G204" s="0" t="n">
        <v>470</v>
      </c>
      <c r="H204" s="0" t="s">
        <v>789</v>
      </c>
      <c r="I204" s="0" t="n">
        <v>319</v>
      </c>
      <c r="J204" s="0" t="n">
        <v>332</v>
      </c>
      <c r="K204" s="0" t="s">
        <v>594</v>
      </c>
      <c r="L204" s="0" t="n">
        <v>45</v>
      </c>
      <c r="M204" s="0" t="n">
        <v>45</v>
      </c>
      <c r="N204" s="0" t="s">
        <v>110</v>
      </c>
      <c r="AD204" s="0" t="n">
        <v>639</v>
      </c>
      <c r="AE204" s="0" t="n">
        <v>648</v>
      </c>
      <c r="AF204" s="0" t="s">
        <v>790</v>
      </c>
      <c r="AG204" s="0" t="n">
        <v>182</v>
      </c>
      <c r="AH204" s="0" t="n">
        <v>182</v>
      </c>
      <c r="AI204" s="0" t="s">
        <v>110</v>
      </c>
      <c r="AM204" s="0" t="n">
        <v>312</v>
      </c>
      <c r="AN204" s="0" t="n">
        <v>312</v>
      </c>
      <c r="AO204" s="0" t="s">
        <v>110</v>
      </c>
      <c r="AS204" s="0" t="n">
        <v>68</v>
      </c>
      <c r="AT204" s="0" t="n">
        <v>85</v>
      </c>
      <c r="AU204" s="0" t="s">
        <v>230</v>
      </c>
      <c r="AV204" s="0" t="n">
        <v>312</v>
      </c>
      <c r="AW204" s="0" t="n">
        <v>312</v>
      </c>
      <c r="AX204" s="0" t="s">
        <v>110</v>
      </c>
      <c r="BB204" s="0" t="n">
        <v>68</v>
      </c>
      <c r="BC204" s="0" t="n">
        <v>85</v>
      </c>
      <c r="BD204" s="0" t="s">
        <v>230</v>
      </c>
      <c r="BE204" s="2" t="n">
        <v>43188</v>
      </c>
    </row>
    <row r="205" customFormat="false" ht="14.25" hidden="false" customHeight="false" outlineLevel="0" collapsed="false">
      <c r="A205" s="0" t="n">
        <v>204</v>
      </c>
      <c r="B205" s="1" t="s">
        <v>791</v>
      </c>
      <c r="C205" s="0" t="n">
        <v>393</v>
      </c>
      <c r="D205" s="0" t="n">
        <v>484</v>
      </c>
      <c r="E205" s="0" t="s">
        <v>268</v>
      </c>
      <c r="F205" s="0" t="n">
        <v>405</v>
      </c>
      <c r="G205" s="0" t="n">
        <v>470</v>
      </c>
      <c r="H205" s="0" t="s">
        <v>534</v>
      </c>
      <c r="I205" s="0" t="n">
        <v>297</v>
      </c>
      <c r="J205" s="0" t="n">
        <v>321</v>
      </c>
      <c r="K205" s="0" t="s">
        <v>578</v>
      </c>
      <c r="L205" s="0" t="n">
        <v>46</v>
      </c>
      <c r="M205" s="0" t="n">
        <v>45</v>
      </c>
      <c r="N205" s="0" t="s">
        <v>695</v>
      </c>
      <c r="AD205" s="0" t="n">
        <v>553</v>
      </c>
      <c r="AE205" s="0" t="n">
        <v>648</v>
      </c>
      <c r="AF205" s="0" t="s">
        <v>390</v>
      </c>
      <c r="AG205" s="0" t="n">
        <v>162</v>
      </c>
      <c r="AH205" s="0" t="n">
        <v>170</v>
      </c>
      <c r="AI205" s="0" t="s">
        <v>753</v>
      </c>
      <c r="AP205" s="0" t="n">
        <v>274</v>
      </c>
      <c r="AQ205" s="0" t="n">
        <v>302</v>
      </c>
      <c r="AR205" s="0" t="s">
        <v>186</v>
      </c>
      <c r="AY205" s="0" t="n">
        <v>274</v>
      </c>
      <c r="AZ205" s="0" t="n">
        <v>302</v>
      </c>
      <c r="BA205" s="0" t="s">
        <v>186</v>
      </c>
      <c r="BE205" s="2" t="n">
        <v>43192</v>
      </c>
    </row>
    <row r="206" customFormat="false" ht="14.25" hidden="false" customHeight="false" outlineLevel="0" collapsed="false">
      <c r="A206" s="0" t="n">
        <v>205</v>
      </c>
      <c r="B206" s="1" t="s">
        <v>792</v>
      </c>
      <c r="C206" s="0" t="n">
        <v>287</v>
      </c>
      <c r="D206" s="0" t="n">
        <v>473</v>
      </c>
      <c r="E206" s="0" t="s">
        <v>793</v>
      </c>
      <c r="F206" s="0" t="n">
        <v>394</v>
      </c>
      <c r="G206" s="0" t="n">
        <v>460</v>
      </c>
      <c r="H206" s="0" t="s">
        <v>381</v>
      </c>
      <c r="I206" s="0" t="n">
        <v>296</v>
      </c>
      <c r="J206" s="0" t="n">
        <v>332</v>
      </c>
      <c r="K206" s="0" t="s">
        <v>124</v>
      </c>
      <c r="AD206" s="0" t="n">
        <v>561</v>
      </c>
      <c r="AE206" s="0" t="n">
        <v>648</v>
      </c>
      <c r="AF206" s="0" t="s">
        <v>296</v>
      </c>
      <c r="AG206" s="0" t="n">
        <v>170</v>
      </c>
      <c r="AH206" s="0" t="n">
        <v>170</v>
      </c>
      <c r="AI206" s="0" t="s">
        <v>110</v>
      </c>
      <c r="AM206" s="0" t="n">
        <v>303</v>
      </c>
      <c r="AN206" s="0" t="n">
        <v>311</v>
      </c>
      <c r="AO206" s="0" t="s">
        <v>139</v>
      </c>
      <c r="AS206" s="0" t="n">
        <v>82</v>
      </c>
      <c r="AT206" s="0" t="n">
        <v>85</v>
      </c>
      <c r="AU206" s="0" t="s">
        <v>291</v>
      </c>
      <c r="AV206" s="0" t="n">
        <v>303</v>
      </c>
      <c r="AW206" s="0" t="n">
        <v>311</v>
      </c>
      <c r="AX206" s="0" t="s">
        <v>139</v>
      </c>
      <c r="BB206" s="0" t="n">
        <v>82</v>
      </c>
      <c r="BC206" s="0" t="n">
        <v>85</v>
      </c>
      <c r="BD206" s="0" t="s">
        <v>291</v>
      </c>
      <c r="BE206" s="2" t="n">
        <v>43193</v>
      </c>
    </row>
    <row r="207" customFormat="false" ht="14.25" hidden="false" customHeight="false" outlineLevel="0" collapsed="false">
      <c r="A207" s="0" t="n">
        <v>206</v>
      </c>
      <c r="B207" s="1" t="s">
        <v>794</v>
      </c>
      <c r="C207" s="0" t="n">
        <v>440</v>
      </c>
      <c r="D207" s="0" t="n">
        <v>487</v>
      </c>
      <c r="E207" s="0" t="s">
        <v>373</v>
      </c>
      <c r="F207" s="0" t="n">
        <v>401</v>
      </c>
      <c r="G207" s="0" t="n">
        <v>470</v>
      </c>
      <c r="H207" s="0" t="s">
        <v>390</v>
      </c>
      <c r="I207" s="0" t="n">
        <v>317</v>
      </c>
      <c r="J207" s="0" t="n">
        <v>332</v>
      </c>
      <c r="K207" s="0" t="s">
        <v>127</v>
      </c>
      <c r="L207" s="0" t="n">
        <v>45</v>
      </c>
      <c r="M207" s="0" t="n">
        <v>45</v>
      </c>
      <c r="N207" s="0" t="s">
        <v>110</v>
      </c>
      <c r="AD207" s="0" t="n">
        <v>657</v>
      </c>
      <c r="AE207" s="0" t="n">
        <v>657</v>
      </c>
      <c r="AF207" s="0" t="s">
        <v>110</v>
      </c>
      <c r="AJ207" s="0" t="n">
        <v>196</v>
      </c>
      <c r="AK207" s="0" t="n">
        <v>196</v>
      </c>
      <c r="AL207" s="0" t="s">
        <v>110</v>
      </c>
      <c r="AM207" s="0" t="n">
        <v>303</v>
      </c>
      <c r="AN207" s="0" t="n">
        <v>310</v>
      </c>
      <c r="AO207" s="0" t="s">
        <v>138</v>
      </c>
      <c r="AP207" s="0" t="n">
        <v>276</v>
      </c>
      <c r="AQ207" s="0" t="n">
        <v>302</v>
      </c>
      <c r="AR207" s="0" t="s">
        <v>795</v>
      </c>
      <c r="AS207" s="0" t="n">
        <v>82</v>
      </c>
      <c r="AT207" s="0" t="n">
        <v>85</v>
      </c>
      <c r="AU207" s="0" t="s">
        <v>291</v>
      </c>
      <c r="AV207" s="0" t="n">
        <v>303</v>
      </c>
      <c r="AW207" s="0" t="n">
        <v>310</v>
      </c>
      <c r="AX207" s="0" t="s">
        <v>138</v>
      </c>
      <c r="AY207" s="0" t="n">
        <v>276</v>
      </c>
      <c r="AZ207" s="0" t="n">
        <v>302</v>
      </c>
      <c r="BA207" s="0" t="s">
        <v>795</v>
      </c>
      <c r="BB207" s="0" t="n">
        <v>82</v>
      </c>
      <c r="BC207" s="0" t="n">
        <v>85</v>
      </c>
      <c r="BD207" s="0" t="s">
        <v>291</v>
      </c>
      <c r="BE207" s="2" t="n">
        <v>43194</v>
      </c>
    </row>
    <row r="208" customFormat="false" ht="14.25" hidden="false" customHeight="false" outlineLevel="0" collapsed="false">
      <c r="A208" s="0" t="n">
        <v>207</v>
      </c>
      <c r="B208" s="1" t="s">
        <v>796</v>
      </c>
      <c r="C208" s="0" t="n">
        <v>340</v>
      </c>
      <c r="D208" s="0" t="n">
        <v>355</v>
      </c>
      <c r="E208" s="0" t="s">
        <v>136</v>
      </c>
      <c r="F208" s="0" t="n">
        <v>337</v>
      </c>
      <c r="G208" s="0" t="n">
        <v>355</v>
      </c>
      <c r="H208" s="0" t="s">
        <v>142</v>
      </c>
      <c r="BE208" s="2" t="n">
        <v>43197</v>
      </c>
    </row>
    <row r="209" customFormat="false" ht="14.25" hidden="false" customHeight="false" outlineLevel="0" collapsed="false">
      <c r="A209" s="0" t="n">
        <v>208</v>
      </c>
      <c r="B209" s="1" t="s">
        <v>797</v>
      </c>
      <c r="C209" s="0" t="n">
        <v>440</v>
      </c>
      <c r="D209" s="0" t="n">
        <v>484</v>
      </c>
      <c r="E209" s="0" t="s">
        <v>452</v>
      </c>
      <c r="F209" s="0" t="n">
        <v>315</v>
      </c>
      <c r="G209" s="0" t="n">
        <v>470</v>
      </c>
      <c r="H209" s="0" t="s">
        <v>331</v>
      </c>
      <c r="I209" s="0" t="n">
        <v>320</v>
      </c>
      <c r="J209" s="0" t="n">
        <v>394</v>
      </c>
      <c r="K209" s="0" t="s">
        <v>268</v>
      </c>
      <c r="L209" s="0" t="n">
        <v>46</v>
      </c>
      <c r="M209" s="0" t="n">
        <v>45</v>
      </c>
      <c r="N209" s="0" t="s">
        <v>695</v>
      </c>
      <c r="AD209" s="0" t="n">
        <v>612</v>
      </c>
      <c r="AE209" s="0" t="n">
        <v>612</v>
      </c>
      <c r="AF209" s="0" t="s">
        <v>110</v>
      </c>
      <c r="AG209" s="0" t="n">
        <v>164</v>
      </c>
      <c r="AH209" s="0" t="n">
        <v>180</v>
      </c>
      <c r="AI209" s="0" t="s">
        <v>646</v>
      </c>
      <c r="AJ209" s="0" t="n">
        <v>21</v>
      </c>
      <c r="AM209" s="0" t="n">
        <v>313</v>
      </c>
      <c r="AN209" s="0" t="n">
        <v>313</v>
      </c>
      <c r="AO209" s="0" t="s">
        <v>110</v>
      </c>
      <c r="AP209" s="0" t="n">
        <v>231</v>
      </c>
      <c r="AQ209" s="0" t="n">
        <v>235</v>
      </c>
      <c r="AR209" s="0" t="s">
        <v>179</v>
      </c>
      <c r="AS209" s="0" t="n">
        <v>114</v>
      </c>
      <c r="AT209" s="0" t="n">
        <v>115</v>
      </c>
      <c r="AU209" s="0" t="s">
        <v>798</v>
      </c>
      <c r="AV209" s="0" t="n">
        <v>313</v>
      </c>
      <c r="AW209" s="0" t="n">
        <v>313</v>
      </c>
      <c r="AX209" s="0" t="s">
        <v>110</v>
      </c>
      <c r="AY209" s="0" t="n">
        <v>231</v>
      </c>
      <c r="AZ209" s="0" t="n">
        <v>235</v>
      </c>
      <c r="BA209" s="0" t="s">
        <v>179</v>
      </c>
      <c r="BB209" s="0" t="n">
        <v>114</v>
      </c>
      <c r="BC209" s="0" t="n">
        <v>115</v>
      </c>
      <c r="BD209" s="0" t="s">
        <v>798</v>
      </c>
      <c r="BE209" s="2" t="n">
        <v>43196</v>
      </c>
    </row>
    <row r="210" customFormat="false" ht="14.25" hidden="false" customHeight="false" outlineLevel="0" collapsed="false">
      <c r="A210" s="0" t="n">
        <v>209</v>
      </c>
      <c r="B210" s="1" t="s">
        <v>799</v>
      </c>
      <c r="C210" s="0" t="n">
        <v>434</v>
      </c>
      <c r="D210" s="0" t="n">
        <v>484</v>
      </c>
      <c r="E210" s="0" t="s">
        <v>123</v>
      </c>
      <c r="F210" s="0" t="n">
        <v>462</v>
      </c>
      <c r="G210" s="0" t="n">
        <v>470</v>
      </c>
      <c r="H210" s="0" t="s">
        <v>179</v>
      </c>
      <c r="I210" s="0" t="n">
        <v>314</v>
      </c>
      <c r="J210" s="0" t="n">
        <v>332</v>
      </c>
      <c r="K210" s="0" t="s">
        <v>332</v>
      </c>
      <c r="L210" s="0" t="n">
        <v>46</v>
      </c>
      <c r="M210" s="0" t="n">
        <v>45</v>
      </c>
      <c r="N210" s="0" t="s">
        <v>695</v>
      </c>
      <c r="AD210" s="0" t="n">
        <v>651</v>
      </c>
      <c r="AE210" s="0" t="n">
        <v>651</v>
      </c>
      <c r="AF210" s="0" t="s">
        <v>110</v>
      </c>
      <c r="AG210" s="0" t="n">
        <v>203</v>
      </c>
      <c r="AH210" s="0" t="n">
        <v>203</v>
      </c>
      <c r="AI210" s="0" t="s">
        <v>110</v>
      </c>
      <c r="AJ210" s="0" t="n">
        <v>20</v>
      </c>
      <c r="AM210" s="0" t="n">
        <v>305</v>
      </c>
      <c r="AN210" s="0" t="n">
        <v>311</v>
      </c>
      <c r="AO210" s="0" t="s">
        <v>457</v>
      </c>
      <c r="AP210" s="0" t="n">
        <v>291</v>
      </c>
      <c r="AQ210" s="0" t="n">
        <v>291</v>
      </c>
      <c r="AR210" s="0" t="s">
        <v>110</v>
      </c>
      <c r="AS210" s="0" t="n">
        <v>109</v>
      </c>
      <c r="AT210" s="0" t="n">
        <v>110</v>
      </c>
      <c r="AU210" s="0" t="s">
        <v>798</v>
      </c>
      <c r="AV210" s="0" t="n">
        <v>305</v>
      </c>
      <c r="AW210" s="0" t="n">
        <v>311</v>
      </c>
      <c r="AX210" s="0" t="s">
        <v>457</v>
      </c>
      <c r="AY210" s="0" t="n">
        <v>291</v>
      </c>
      <c r="AZ210" s="0" t="n">
        <v>291</v>
      </c>
      <c r="BA210" s="0" t="s">
        <v>110</v>
      </c>
      <c r="BB210" s="0" t="n">
        <v>109</v>
      </c>
      <c r="BC210" s="0" t="n">
        <v>110</v>
      </c>
      <c r="BD210" s="0" t="s">
        <v>798</v>
      </c>
      <c r="BE210" s="2" t="n">
        <v>43195</v>
      </c>
    </row>
    <row r="211" customFormat="false" ht="14.25" hidden="false" customHeight="false" outlineLevel="0" collapsed="false">
      <c r="A211" s="0" t="n">
        <v>210</v>
      </c>
      <c r="B211" s="1" t="s">
        <v>800</v>
      </c>
      <c r="I211" s="0" t="n">
        <v>384</v>
      </c>
      <c r="J211" s="0" t="n">
        <v>415</v>
      </c>
      <c r="K211" s="0" t="s">
        <v>578</v>
      </c>
      <c r="BE211" s="2" t="n">
        <v>43198</v>
      </c>
    </row>
    <row r="212" customFormat="false" ht="14.25" hidden="false" customHeight="false" outlineLevel="0" collapsed="false">
      <c r="A212" s="0" t="n">
        <v>211</v>
      </c>
      <c r="B212" s="1" t="s">
        <v>801</v>
      </c>
      <c r="C212" s="0" t="n">
        <v>434</v>
      </c>
      <c r="D212" s="0" t="n">
        <v>484</v>
      </c>
      <c r="E212" s="0" t="s">
        <v>123</v>
      </c>
      <c r="F212" s="0" t="n">
        <v>417</v>
      </c>
      <c r="G212" s="0" t="n">
        <v>470</v>
      </c>
      <c r="H212" s="0" t="s">
        <v>198</v>
      </c>
      <c r="I212" s="0" t="n">
        <v>297</v>
      </c>
      <c r="J212" s="0" t="n">
        <v>332</v>
      </c>
      <c r="K212" s="0" t="s">
        <v>122</v>
      </c>
      <c r="L212" s="0" t="n">
        <v>45</v>
      </c>
      <c r="M212" s="0" t="n">
        <v>45</v>
      </c>
      <c r="N212" s="0" t="s">
        <v>110</v>
      </c>
      <c r="AD212" s="0" t="n">
        <v>258</v>
      </c>
      <c r="AE212" s="0" t="n">
        <v>280</v>
      </c>
      <c r="AF212" s="0" t="s">
        <v>598</v>
      </c>
      <c r="AG212" s="0" t="n">
        <v>237</v>
      </c>
      <c r="AH212" s="0" t="n">
        <v>653</v>
      </c>
      <c r="AI212" s="0" t="s">
        <v>802</v>
      </c>
      <c r="AJ212" s="0" t="n">
        <v>118</v>
      </c>
      <c r="AK212" s="0" t="n">
        <v>171</v>
      </c>
      <c r="AL212" s="0" t="s">
        <v>263</v>
      </c>
      <c r="AM212" s="0" t="n">
        <v>597</v>
      </c>
      <c r="AN212" s="0" t="n">
        <v>734</v>
      </c>
      <c r="AO212" s="0" t="s">
        <v>302</v>
      </c>
      <c r="AP212" s="0" t="n">
        <v>167</v>
      </c>
      <c r="AQ212" s="0" t="n">
        <v>217</v>
      </c>
      <c r="AR212" s="0" t="s">
        <v>803</v>
      </c>
      <c r="AS212" s="0" t="n">
        <v>16</v>
      </c>
      <c r="AT212" s="0" t="n">
        <v>28</v>
      </c>
      <c r="AU212" s="0" t="s">
        <v>468</v>
      </c>
      <c r="AV212" s="0" t="n">
        <v>597</v>
      </c>
      <c r="AW212" s="0" t="n">
        <v>734</v>
      </c>
      <c r="AX212" s="0" t="s">
        <v>302</v>
      </c>
      <c r="AY212" s="0" t="n">
        <v>167</v>
      </c>
      <c r="AZ212" s="0" t="n">
        <v>217</v>
      </c>
      <c r="BA212" s="0" t="s">
        <v>803</v>
      </c>
      <c r="BB212" s="0" t="n">
        <v>16</v>
      </c>
      <c r="BC212" s="0" t="n">
        <v>28</v>
      </c>
      <c r="BD212" s="0" t="s">
        <v>468</v>
      </c>
      <c r="BE212" s="2" t="n">
        <v>43199</v>
      </c>
    </row>
    <row r="213" customFormat="false" ht="14.25" hidden="false" customHeight="false" outlineLevel="0" collapsed="false">
      <c r="A213" s="0" t="n">
        <v>212</v>
      </c>
      <c r="B213" s="1" t="s">
        <v>804</v>
      </c>
      <c r="C213" s="0" t="n">
        <v>339</v>
      </c>
      <c r="D213" s="0" t="n">
        <v>484</v>
      </c>
      <c r="E213" s="0" t="s">
        <v>330</v>
      </c>
      <c r="F213" s="0" t="n">
        <v>462</v>
      </c>
      <c r="G213" s="0" t="n">
        <v>470</v>
      </c>
      <c r="H213" s="0" t="s">
        <v>179</v>
      </c>
      <c r="I213" s="0" t="n">
        <v>315</v>
      </c>
      <c r="J213" s="0" t="n">
        <v>332</v>
      </c>
      <c r="K213" s="0" t="s">
        <v>142</v>
      </c>
      <c r="L213" s="0" t="n">
        <v>46</v>
      </c>
      <c r="M213" s="0" t="n">
        <v>45</v>
      </c>
      <c r="N213" s="0" t="s">
        <v>695</v>
      </c>
      <c r="AD213" s="0" t="n">
        <v>650</v>
      </c>
      <c r="AE213" s="0" t="n">
        <v>651</v>
      </c>
      <c r="AF213" s="0" t="s">
        <v>623</v>
      </c>
      <c r="AG213" s="0" t="n">
        <v>184</v>
      </c>
      <c r="AH213" s="0" t="n">
        <v>185</v>
      </c>
      <c r="AI213" s="0" t="s">
        <v>516</v>
      </c>
      <c r="AJ213" s="0" t="n">
        <v>20</v>
      </c>
      <c r="AM213" s="0" t="n">
        <v>320</v>
      </c>
      <c r="AN213" s="0" t="n">
        <v>320</v>
      </c>
      <c r="AO213" s="0" t="s">
        <v>110</v>
      </c>
      <c r="AP213" s="0" t="n">
        <v>255</v>
      </c>
      <c r="AQ213" s="0" t="n">
        <v>308</v>
      </c>
      <c r="AR213" s="0" t="s">
        <v>175</v>
      </c>
      <c r="AS213" s="0" t="n">
        <v>114</v>
      </c>
      <c r="AT213" s="0" t="n">
        <v>115</v>
      </c>
      <c r="AU213" s="0" t="s">
        <v>798</v>
      </c>
      <c r="AV213" s="0" t="n">
        <v>320</v>
      </c>
      <c r="AW213" s="0" t="n">
        <v>320</v>
      </c>
      <c r="AX213" s="0" t="s">
        <v>110</v>
      </c>
      <c r="AY213" s="0" t="n">
        <v>255</v>
      </c>
      <c r="AZ213" s="0" t="n">
        <v>308</v>
      </c>
      <c r="BA213" s="0" t="s">
        <v>175</v>
      </c>
      <c r="BB213" s="0" t="n">
        <v>114</v>
      </c>
      <c r="BC213" s="0" t="n">
        <v>115</v>
      </c>
      <c r="BD213" s="0" t="s">
        <v>798</v>
      </c>
      <c r="BE213" s="2" t="n">
        <v>43200</v>
      </c>
    </row>
    <row r="214" customFormat="false" ht="14.25" hidden="false" customHeight="false" outlineLevel="0" collapsed="false">
      <c r="A214" s="0" t="n">
        <v>213</v>
      </c>
      <c r="B214" s="1" t="s">
        <v>805</v>
      </c>
      <c r="C214" s="0" t="n">
        <v>467</v>
      </c>
      <c r="D214" s="0" t="n">
        <v>484</v>
      </c>
      <c r="E214" s="0" t="s">
        <v>291</v>
      </c>
      <c r="F214" s="0" t="n">
        <v>452</v>
      </c>
      <c r="G214" s="0" t="n">
        <v>470</v>
      </c>
      <c r="H214" s="0" t="s">
        <v>200</v>
      </c>
      <c r="I214" s="0" t="n">
        <v>303</v>
      </c>
      <c r="J214" s="0" t="n">
        <v>332</v>
      </c>
      <c r="K214" s="0" t="s">
        <v>174</v>
      </c>
      <c r="L214" s="0" t="n">
        <v>45</v>
      </c>
      <c r="M214" s="0" t="n">
        <v>45</v>
      </c>
      <c r="N214" s="0" t="s">
        <v>110</v>
      </c>
      <c r="AD214" s="0" t="n">
        <v>637</v>
      </c>
      <c r="AE214" s="0" t="n">
        <v>647</v>
      </c>
      <c r="AF214" s="0" t="s">
        <v>120</v>
      </c>
      <c r="AG214" s="0" t="n">
        <v>180</v>
      </c>
      <c r="AH214" s="0" t="n">
        <v>460</v>
      </c>
      <c r="AI214" s="0" t="s">
        <v>605</v>
      </c>
      <c r="AM214" s="0" t="n">
        <v>293</v>
      </c>
      <c r="AN214" s="0" t="n">
        <v>317</v>
      </c>
      <c r="AO214" s="0" t="s">
        <v>447</v>
      </c>
      <c r="AP214" s="0" t="n">
        <v>293</v>
      </c>
      <c r="AQ214" s="0" t="n">
        <v>308</v>
      </c>
      <c r="AR214" s="0" t="s">
        <v>210</v>
      </c>
      <c r="AS214" s="0" t="n">
        <v>92</v>
      </c>
      <c r="AT214" s="0" t="n">
        <v>177</v>
      </c>
      <c r="AU214" s="0" t="s">
        <v>770</v>
      </c>
      <c r="AV214" s="0" t="n">
        <v>293</v>
      </c>
      <c r="AW214" s="0" t="n">
        <v>317</v>
      </c>
      <c r="AX214" s="0" t="s">
        <v>447</v>
      </c>
      <c r="AY214" s="0" t="n">
        <v>293</v>
      </c>
      <c r="AZ214" s="0" t="n">
        <v>308</v>
      </c>
      <c r="BA214" s="0" t="s">
        <v>210</v>
      </c>
      <c r="BB214" s="0" t="n">
        <v>92</v>
      </c>
      <c r="BC214" s="0" t="n">
        <v>177</v>
      </c>
      <c r="BD214" s="0" t="s">
        <v>770</v>
      </c>
      <c r="BE214" s="2" t="n">
        <v>43201</v>
      </c>
    </row>
    <row r="215" customFormat="false" ht="14.25" hidden="false" customHeight="false" outlineLevel="0" collapsed="false">
      <c r="A215" s="0" t="n">
        <v>214</v>
      </c>
      <c r="B215" s="1" t="s">
        <v>806</v>
      </c>
      <c r="BE215" s="2" t="n">
        <v>43202</v>
      </c>
    </row>
    <row r="216" customFormat="false" ht="14.25" hidden="false" customHeight="false" outlineLevel="0" collapsed="false">
      <c r="A216" s="0" t="n">
        <v>215</v>
      </c>
      <c r="B216" s="1" t="s">
        <v>807</v>
      </c>
      <c r="BE216" s="2" t="n">
        <v>43203</v>
      </c>
    </row>
    <row r="217" customFormat="false" ht="14.25" hidden="false" customHeight="false" outlineLevel="0" collapsed="false">
      <c r="A217" s="0" t="n">
        <v>216</v>
      </c>
      <c r="B217" s="1" t="s">
        <v>808</v>
      </c>
      <c r="C217" s="0" t="n">
        <v>377</v>
      </c>
      <c r="D217" s="0" t="n">
        <v>478</v>
      </c>
      <c r="E217" s="0" t="s">
        <v>685</v>
      </c>
      <c r="F217" s="0" t="n">
        <v>460</v>
      </c>
      <c r="G217" s="0" t="n">
        <v>470</v>
      </c>
      <c r="H217" s="0" t="s">
        <v>551</v>
      </c>
      <c r="I217" s="0" t="n">
        <v>315</v>
      </c>
      <c r="J217" s="0" t="n">
        <v>332</v>
      </c>
      <c r="K217" s="0" t="s">
        <v>142</v>
      </c>
      <c r="L217" s="0" t="n">
        <v>46</v>
      </c>
      <c r="M217" s="0" t="n">
        <v>45</v>
      </c>
      <c r="N217" s="0" t="s">
        <v>695</v>
      </c>
      <c r="AD217" s="0" t="n">
        <v>628</v>
      </c>
      <c r="AE217" s="0" t="n">
        <v>648</v>
      </c>
      <c r="AF217" s="0" t="s">
        <v>758</v>
      </c>
      <c r="AG217" s="0" t="n">
        <v>162</v>
      </c>
      <c r="AH217" s="0" t="n">
        <v>170</v>
      </c>
      <c r="AI217" s="0" t="s">
        <v>753</v>
      </c>
      <c r="AJ217" s="0" t="n">
        <v>790</v>
      </c>
      <c r="AK217" s="0" t="n">
        <v>815</v>
      </c>
      <c r="AL217" s="0" t="s">
        <v>758</v>
      </c>
      <c r="AM217" s="0" t="n">
        <v>294</v>
      </c>
      <c r="AN217" s="0" t="n">
        <v>311</v>
      </c>
      <c r="AO217" s="0" t="s">
        <v>581</v>
      </c>
      <c r="AP217" s="0" t="n">
        <v>275</v>
      </c>
      <c r="AQ217" s="0" t="n">
        <v>302</v>
      </c>
      <c r="AR217" s="0" t="s">
        <v>646</v>
      </c>
      <c r="AV217" s="0" t="n">
        <v>294</v>
      </c>
      <c r="AW217" s="0" t="n">
        <v>311</v>
      </c>
      <c r="AX217" s="0" t="s">
        <v>581</v>
      </c>
      <c r="AY217" s="0" t="n">
        <v>275</v>
      </c>
      <c r="AZ217" s="0" t="n">
        <v>302</v>
      </c>
      <c r="BA217" s="0" t="s">
        <v>646</v>
      </c>
      <c r="BE217" s="2" t="n">
        <v>43206</v>
      </c>
    </row>
    <row r="218" customFormat="false" ht="14.25" hidden="false" customHeight="false" outlineLevel="0" collapsed="false">
      <c r="A218" s="0" t="n">
        <v>217</v>
      </c>
      <c r="B218" s="1" t="s">
        <v>809</v>
      </c>
      <c r="C218" s="0" t="n">
        <v>468</v>
      </c>
      <c r="D218" s="0" t="n">
        <v>484</v>
      </c>
      <c r="E218" s="0" t="s">
        <v>538</v>
      </c>
      <c r="F218" s="0" t="n">
        <v>462</v>
      </c>
      <c r="G218" s="0" t="n">
        <v>470</v>
      </c>
      <c r="H218" s="0" t="s">
        <v>179</v>
      </c>
      <c r="I218" s="0" t="n">
        <v>325</v>
      </c>
      <c r="J218" s="0" t="n">
        <v>332</v>
      </c>
      <c r="K218" s="0" t="s">
        <v>551</v>
      </c>
      <c r="L218" s="0" t="n">
        <v>45</v>
      </c>
      <c r="M218" s="0" t="n">
        <v>45</v>
      </c>
      <c r="N218" s="0" t="s">
        <v>110</v>
      </c>
      <c r="AD218" s="0" t="n">
        <v>633</v>
      </c>
      <c r="AE218" s="0" t="n">
        <v>648</v>
      </c>
      <c r="AF218" s="0" t="s">
        <v>138</v>
      </c>
      <c r="AG218" s="0" t="n">
        <v>150</v>
      </c>
      <c r="AH218" s="0" t="n">
        <v>170</v>
      </c>
      <c r="AI218" s="0" t="s">
        <v>216</v>
      </c>
      <c r="AM218" s="0" t="n">
        <v>222</v>
      </c>
      <c r="AN218" s="0" t="n">
        <v>311</v>
      </c>
      <c r="AO218" s="0" t="s">
        <v>810</v>
      </c>
      <c r="AP218" s="0" t="n">
        <v>210</v>
      </c>
      <c r="AQ218" s="0" t="n">
        <v>302</v>
      </c>
      <c r="AR218" s="0" t="s">
        <v>707</v>
      </c>
      <c r="AV218" s="0" t="n">
        <v>222</v>
      </c>
      <c r="AW218" s="0" t="n">
        <v>311</v>
      </c>
      <c r="AX218" s="0" t="s">
        <v>810</v>
      </c>
      <c r="AY218" s="0" t="n">
        <v>210</v>
      </c>
      <c r="AZ218" s="0" t="n">
        <v>302</v>
      </c>
      <c r="BA218" s="0" t="s">
        <v>707</v>
      </c>
      <c r="BE218" s="2" t="n">
        <v>43207</v>
      </c>
    </row>
    <row r="219" customFormat="false" ht="14.25" hidden="false" customHeight="false" outlineLevel="0" collapsed="false">
      <c r="A219" s="0" t="n">
        <v>218</v>
      </c>
      <c r="B219" s="1" t="s">
        <v>811</v>
      </c>
      <c r="C219" s="0" t="n">
        <v>457</v>
      </c>
      <c r="D219" s="0" t="n">
        <v>484</v>
      </c>
      <c r="E219" s="0" t="s">
        <v>160</v>
      </c>
      <c r="F219" s="0" t="n">
        <v>434</v>
      </c>
      <c r="G219" s="0" t="n">
        <v>470</v>
      </c>
      <c r="H219" s="0" t="s">
        <v>193</v>
      </c>
      <c r="L219" s="0" t="n">
        <v>45</v>
      </c>
      <c r="M219" s="0" t="n">
        <v>45</v>
      </c>
      <c r="N219" s="0" t="s">
        <v>110</v>
      </c>
      <c r="AD219" s="0" t="n">
        <v>617</v>
      </c>
      <c r="AE219" s="0" t="n">
        <v>648</v>
      </c>
      <c r="AF219" s="0" t="s">
        <v>634</v>
      </c>
      <c r="AG219" s="0" t="n">
        <v>160</v>
      </c>
      <c r="AH219" s="0" t="n">
        <v>170</v>
      </c>
      <c r="AI219" s="0" t="s">
        <v>448</v>
      </c>
      <c r="AM219" s="0" t="n">
        <v>291</v>
      </c>
      <c r="AN219" s="0" t="n">
        <v>311</v>
      </c>
      <c r="AO219" s="0" t="s">
        <v>434</v>
      </c>
      <c r="AP219" s="0" t="n">
        <v>303</v>
      </c>
      <c r="AQ219" s="0" t="n">
        <v>303</v>
      </c>
      <c r="AR219" s="0" t="s">
        <v>110</v>
      </c>
      <c r="AV219" s="0" t="n">
        <v>291</v>
      </c>
      <c r="AW219" s="0" t="n">
        <v>311</v>
      </c>
      <c r="AX219" s="0" t="s">
        <v>434</v>
      </c>
      <c r="AY219" s="0" t="n">
        <v>303</v>
      </c>
      <c r="AZ219" s="0" t="n">
        <v>303</v>
      </c>
      <c r="BA219" s="0" t="s">
        <v>110</v>
      </c>
      <c r="BE219" s="2" t="n">
        <v>43210</v>
      </c>
    </row>
    <row r="220" customFormat="false" ht="14.25" hidden="false" customHeight="false" outlineLevel="0" collapsed="false">
      <c r="A220" s="0" t="n">
        <v>219</v>
      </c>
      <c r="B220" s="1" t="s">
        <v>812</v>
      </c>
      <c r="C220" s="0" t="n">
        <v>478</v>
      </c>
      <c r="D220" s="0" t="n">
        <v>484</v>
      </c>
      <c r="E220" s="0" t="s">
        <v>153</v>
      </c>
      <c r="F220" s="0" t="n">
        <v>331</v>
      </c>
      <c r="G220" s="0" t="n">
        <v>470</v>
      </c>
      <c r="H220" s="0" t="s">
        <v>299</v>
      </c>
      <c r="I220" s="0" t="n">
        <v>325</v>
      </c>
      <c r="J220" s="0" t="n">
        <v>332</v>
      </c>
      <c r="K220" s="0" t="s">
        <v>551</v>
      </c>
      <c r="L220" s="0" t="n">
        <v>45</v>
      </c>
      <c r="M220" s="0" t="n">
        <v>45</v>
      </c>
      <c r="N220" s="0" t="s">
        <v>110</v>
      </c>
      <c r="AD220" s="0" t="n">
        <v>650</v>
      </c>
      <c r="AE220" s="0" t="n">
        <v>651</v>
      </c>
      <c r="AF220" s="0" t="s">
        <v>623</v>
      </c>
      <c r="AG220" s="0" t="n">
        <v>148</v>
      </c>
      <c r="AH220" s="0" t="n">
        <v>170</v>
      </c>
      <c r="AI220" s="0" t="s">
        <v>401</v>
      </c>
      <c r="AM220" s="0" t="n">
        <v>303</v>
      </c>
      <c r="AN220" s="0" t="n">
        <v>311</v>
      </c>
      <c r="AO220" s="0" t="s">
        <v>139</v>
      </c>
      <c r="AP220" s="0" t="n">
        <v>286</v>
      </c>
      <c r="AQ220" s="0" t="n">
        <v>302</v>
      </c>
      <c r="AR220" s="0" t="s">
        <v>473</v>
      </c>
      <c r="AV220" s="0" t="n">
        <v>303</v>
      </c>
      <c r="AW220" s="0" t="n">
        <v>311</v>
      </c>
      <c r="AX220" s="0" t="s">
        <v>139</v>
      </c>
      <c r="AY220" s="0" t="n">
        <v>286</v>
      </c>
      <c r="AZ220" s="0" t="n">
        <v>302</v>
      </c>
      <c r="BA220" s="0" t="s">
        <v>473</v>
      </c>
      <c r="BE220" s="2" t="n">
        <v>43209</v>
      </c>
    </row>
    <row r="221" customFormat="false" ht="14.25" hidden="false" customHeight="false" outlineLevel="0" collapsed="false">
      <c r="A221" s="0" t="n">
        <v>220</v>
      </c>
      <c r="B221" s="1" t="s">
        <v>813</v>
      </c>
      <c r="C221" s="0" t="n">
        <v>189</v>
      </c>
      <c r="D221" s="0" t="n">
        <v>319</v>
      </c>
      <c r="E221" s="0" t="s">
        <v>814</v>
      </c>
      <c r="F221" s="0" t="n">
        <v>256</v>
      </c>
      <c r="G221" s="0" t="n">
        <v>264</v>
      </c>
      <c r="H221" s="0" t="s">
        <v>756</v>
      </c>
      <c r="BE221" s="2" t="n">
        <v>43211</v>
      </c>
    </row>
    <row r="222" customFormat="false" ht="14.25" hidden="false" customHeight="false" outlineLevel="0" collapsed="false">
      <c r="A222" s="0" t="n">
        <v>221</v>
      </c>
      <c r="B222" s="1" t="s">
        <v>815</v>
      </c>
      <c r="BE222" s="2" t="n">
        <v>43212</v>
      </c>
    </row>
    <row r="223" customFormat="false" ht="14.25" hidden="false" customHeight="false" outlineLevel="0" collapsed="false">
      <c r="A223" s="0" t="n">
        <v>222</v>
      </c>
      <c r="B223" s="1" t="s">
        <v>816</v>
      </c>
      <c r="BE223" s="2" t="n">
        <v>43214</v>
      </c>
    </row>
    <row r="224" customFormat="false" ht="14.25" hidden="false" customHeight="false" outlineLevel="0" collapsed="false">
      <c r="A224" s="0" t="n">
        <v>223</v>
      </c>
      <c r="B224" s="1" t="s">
        <v>817</v>
      </c>
      <c r="C224" s="0" t="n">
        <v>470</v>
      </c>
      <c r="D224" s="0" t="n">
        <v>484</v>
      </c>
      <c r="E224" s="0" t="s">
        <v>492</v>
      </c>
      <c r="F224" s="0" t="n">
        <v>363</v>
      </c>
      <c r="G224" s="0" t="n">
        <v>470</v>
      </c>
      <c r="H224" s="0" t="s">
        <v>240</v>
      </c>
      <c r="I224" s="0" t="n">
        <v>347</v>
      </c>
      <c r="J224" s="0" t="n">
        <v>394</v>
      </c>
      <c r="K224" s="0" t="s">
        <v>429</v>
      </c>
      <c r="L224" s="0" t="n">
        <v>45</v>
      </c>
      <c r="M224" s="0" t="n">
        <v>45</v>
      </c>
      <c r="N224" s="0" t="s">
        <v>110</v>
      </c>
      <c r="AD224" s="0" t="n">
        <v>643</v>
      </c>
      <c r="AE224" s="0" t="n">
        <v>644</v>
      </c>
      <c r="AF224" s="0" t="s">
        <v>623</v>
      </c>
      <c r="AG224" s="0" t="n">
        <v>140</v>
      </c>
      <c r="AH224" s="0" t="n">
        <v>161</v>
      </c>
      <c r="AI224" s="0" t="s">
        <v>747</v>
      </c>
      <c r="AM224" s="0" t="n">
        <v>313</v>
      </c>
      <c r="AN224" s="0" t="n">
        <v>313</v>
      </c>
      <c r="AO224" s="0" t="s">
        <v>110</v>
      </c>
      <c r="AP224" s="0" t="n">
        <v>268</v>
      </c>
      <c r="AQ224" s="0" t="n">
        <v>268</v>
      </c>
      <c r="AR224" s="0" t="s">
        <v>110</v>
      </c>
      <c r="AS224" s="0" t="n">
        <v>28</v>
      </c>
      <c r="AV224" s="0" t="n">
        <v>313</v>
      </c>
      <c r="AW224" s="0" t="n">
        <v>313</v>
      </c>
      <c r="AX224" s="0" t="s">
        <v>110</v>
      </c>
      <c r="AY224" s="0" t="n">
        <v>268</v>
      </c>
      <c r="AZ224" s="0" t="n">
        <v>268</v>
      </c>
      <c r="BA224" s="0" t="s">
        <v>110</v>
      </c>
      <c r="BB224" s="0" t="n">
        <v>28</v>
      </c>
      <c r="BE224" s="2" t="n">
        <v>43217</v>
      </c>
    </row>
    <row r="225" customFormat="false" ht="14.25" hidden="false" customHeight="false" outlineLevel="0" collapsed="false">
      <c r="A225" s="0" t="n">
        <v>224</v>
      </c>
      <c r="B225" s="1" t="s">
        <v>818</v>
      </c>
      <c r="BE225" s="2" t="n">
        <v>43219</v>
      </c>
    </row>
    <row r="226" customFormat="false" ht="14.25" hidden="false" customHeight="false" outlineLevel="0" collapsed="false">
      <c r="A226" s="0" t="n">
        <v>225</v>
      </c>
      <c r="B226" s="1" t="s">
        <v>819</v>
      </c>
      <c r="I226" s="0" t="n">
        <v>303</v>
      </c>
      <c r="J226" s="0" t="n">
        <v>332</v>
      </c>
      <c r="K226" s="0" t="s">
        <v>174</v>
      </c>
      <c r="BE226" s="2" t="n">
        <v>43221</v>
      </c>
    </row>
    <row r="227" customFormat="false" ht="14.25" hidden="false" customHeight="false" outlineLevel="0" collapsed="false">
      <c r="A227" s="0" t="n">
        <v>226</v>
      </c>
      <c r="B227" s="1" t="s">
        <v>820</v>
      </c>
      <c r="I227" s="0" t="n">
        <v>299</v>
      </c>
      <c r="J227" s="0" t="n">
        <v>332</v>
      </c>
      <c r="K227" s="0" t="s">
        <v>530</v>
      </c>
      <c r="BE227" s="2" t="n">
        <v>43227</v>
      </c>
    </row>
    <row r="228" customFormat="false" ht="14.25" hidden="false" customHeight="false" outlineLevel="0" collapsed="false">
      <c r="A228" s="0" t="n">
        <v>227</v>
      </c>
      <c r="B228" s="1" t="s">
        <v>821</v>
      </c>
      <c r="C228" s="0" t="n">
        <v>469</v>
      </c>
      <c r="D228" s="0" t="n">
        <v>484</v>
      </c>
      <c r="E228" s="0" t="s">
        <v>758</v>
      </c>
      <c r="F228" s="0" t="n">
        <v>456</v>
      </c>
      <c r="G228" s="0" t="n">
        <v>470</v>
      </c>
      <c r="H228" s="0" t="s">
        <v>756</v>
      </c>
      <c r="I228" s="0" t="n">
        <v>314</v>
      </c>
      <c r="J228" s="0" t="n">
        <v>332</v>
      </c>
      <c r="K228" s="0" t="s">
        <v>332</v>
      </c>
      <c r="L228" s="0" t="n">
        <v>47</v>
      </c>
      <c r="M228" s="0" t="n">
        <v>45</v>
      </c>
      <c r="N228" s="0" t="s">
        <v>822</v>
      </c>
      <c r="AD228" s="0" t="n">
        <v>581</v>
      </c>
      <c r="AE228" s="0" t="n">
        <v>628</v>
      </c>
      <c r="AF228" s="0" t="s">
        <v>578</v>
      </c>
      <c r="AG228" s="0" t="n">
        <v>131</v>
      </c>
      <c r="AH228" s="0" t="n">
        <v>161</v>
      </c>
      <c r="AI228" s="0" t="s">
        <v>352</v>
      </c>
      <c r="AM228" s="0" t="n">
        <v>298</v>
      </c>
      <c r="AN228" s="0" t="n">
        <v>304</v>
      </c>
      <c r="AO228" s="0" t="s">
        <v>131</v>
      </c>
      <c r="AP228" s="0" t="n">
        <v>304</v>
      </c>
      <c r="AQ228" s="0" t="n">
        <v>304</v>
      </c>
      <c r="AR228" s="0" t="s">
        <v>110</v>
      </c>
      <c r="AV228" s="0" t="n">
        <v>298</v>
      </c>
      <c r="AW228" s="0" t="n">
        <v>304</v>
      </c>
      <c r="AX228" s="0" t="s">
        <v>131</v>
      </c>
      <c r="AY228" s="0" t="n">
        <v>304</v>
      </c>
      <c r="AZ228" s="0" t="n">
        <v>304</v>
      </c>
      <c r="BA228" s="0" t="s">
        <v>110</v>
      </c>
      <c r="BE228" s="2" t="n">
        <v>43228</v>
      </c>
    </row>
    <row r="229" customFormat="false" ht="14.25" hidden="false" customHeight="false" outlineLevel="0" collapsed="false">
      <c r="A229" s="0" t="n">
        <v>228</v>
      </c>
      <c r="B229" s="1" t="s">
        <v>823</v>
      </c>
      <c r="C229" s="0" t="n">
        <v>471</v>
      </c>
      <c r="D229" s="0" t="n">
        <v>484</v>
      </c>
      <c r="E229" s="0" t="s">
        <v>149</v>
      </c>
      <c r="F229" s="0" t="n">
        <v>467</v>
      </c>
      <c r="G229" s="0" t="n">
        <v>470</v>
      </c>
      <c r="H229" s="0" t="s">
        <v>824</v>
      </c>
      <c r="I229" s="0" t="n">
        <v>323</v>
      </c>
      <c r="J229" s="0" t="n">
        <v>332</v>
      </c>
      <c r="K229" s="0" t="s">
        <v>149</v>
      </c>
      <c r="L229" s="0" t="n">
        <v>47</v>
      </c>
      <c r="M229" s="0" t="n">
        <v>45</v>
      </c>
      <c r="N229" s="0" t="s">
        <v>822</v>
      </c>
      <c r="AD229" s="0" t="n">
        <v>619</v>
      </c>
      <c r="AE229" s="0" t="n">
        <v>648</v>
      </c>
      <c r="AF229" s="0" t="s">
        <v>127</v>
      </c>
      <c r="AG229" s="0" t="n">
        <v>158</v>
      </c>
      <c r="AH229" s="0" t="n">
        <v>158</v>
      </c>
      <c r="AI229" s="0" t="s">
        <v>110</v>
      </c>
      <c r="AM229" s="0" t="n">
        <v>307</v>
      </c>
      <c r="AN229" s="0" t="n">
        <v>329</v>
      </c>
      <c r="AO229" s="0" t="s">
        <v>490</v>
      </c>
      <c r="AP229" s="0" t="n">
        <v>308</v>
      </c>
      <c r="AQ229" s="0" t="n">
        <v>319</v>
      </c>
      <c r="AR229" s="0" t="s">
        <v>119</v>
      </c>
      <c r="AV229" s="0" t="n">
        <v>307</v>
      </c>
      <c r="AW229" s="0" t="n">
        <v>329</v>
      </c>
      <c r="AX229" s="0" t="s">
        <v>490</v>
      </c>
      <c r="AY229" s="0" t="n">
        <v>308</v>
      </c>
      <c r="AZ229" s="0" t="n">
        <v>319</v>
      </c>
      <c r="BA229" s="0" t="s">
        <v>119</v>
      </c>
      <c r="BE229" s="2" t="n">
        <v>43229</v>
      </c>
    </row>
    <row r="230" customFormat="false" ht="14.25" hidden="false" customHeight="false" outlineLevel="0" collapsed="false">
      <c r="A230" s="0" t="n">
        <v>229</v>
      </c>
      <c r="B230" s="1" t="s">
        <v>825</v>
      </c>
      <c r="C230" s="0" t="n">
        <v>467</v>
      </c>
      <c r="D230" s="0" t="n">
        <v>484</v>
      </c>
      <c r="E230" s="0" t="s">
        <v>291</v>
      </c>
      <c r="F230" s="0" t="n">
        <v>461</v>
      </c>
      <c r="G230" s="0" t="n">
        <v>470</v>
      </c>
      <c r="H230" s="0" t="s">
        <v>457</v>
      </c>
      <c r="I230" s="0" t="n">
        <v>327</v>
      </c>
      <c r="J230" s="0" t="n">
        <v>332</v>
      </c>
      <c r="K230" s="0" t="s">
        <v>120</v>
      </c>
      <c r="L230" s="0" t="n">
        <v>46</v>
      </c>
      <c r="M230" s="0" t="n">
        <v>45</v>
      </c>
      <c r="N230" s="0" t="s">
        <v>695</v>
      </c>
      <c r="AD230" s="0" t="n">
        <v>587</v>
      </c>
      <c r="AE230" s="0" t="n">
        <v>647</v>
      </c>
      <c r="AF230" s="0" t="s">
        <v>186</v>
      </c>
      <c r="AG230" s="0" t="n">
        <v>158</v>
      </c>
      <c r="AH230" s="0" t="n">
        <v>460</v>
      </c>
      <c r="AI230" s="0" t="s">
        <v>826</v>
      </c>
      <c r="AJ230" s="0" t="n">
        <v>22</v>
      </c>
      <c r="AM230" s="0" t="n">
        <v>309</v>
      </c>
      <c r="AN230" s="0" t="n">
        <v>329</v>
      </c>
      <c r="AO230" s="0" t="s">
        <v>604</v>
      </c>
      <c r="AP230" s="0" t="n">
        <v>249</v>
      </c>
      <c r="AQ230" s="0" t="n">
        <v>319</v>
      </c>
      <c r="AR230" s="0" t="s">
        <v>133</v>
      </c>
      <c r="AS230" s="0" t="n">
        <v>35</v>
      </c>
      <c r="AT230" s="0" t="n">
        <v>188</v>
      </c>
      <c r="AU230" s="0" t="s">
        <v>827</v>
      </c>
      <c r="AV230" s="0" t="n">
        <v>309</v>
      </c>
      <c r="AW230" s="0" t="n">
        <v>329</v>
      </c>
      <c r="AX230" s="0" t="s">
        <v>604</v>
      </c>
      <c r="AY230" s="0" t="n">
        <v>249</v>
      </c>
      <c r="AZ230" s="0" t="n">
        <v>319</v>
      </c>
      <c r="BA230" s="0" t="s">
        <v>133</v>
      </c>
      <c r="BB230" s="0" t="n">
        <v>35</v>
      </c>
      <c r="BC230" s="0" t="n">
        <v>188</v>
      </c>
      <c r="BD230" s="0" t="s">
        <v>827</v>
      </c>
      <c r="BE230" s="2" t="n">
        <v>43230</v>
      </c>
    </row>
    <row r="231" customFormat="false" ht="14.25" hidden="false" customHeight="false" outlineLevel="0" collapsed="false">
      <c r="A231" s="0" t="n">
        <v>230</v>
      </c>
      <c r="B231" s="1" t="s">
        <v>828</v>
      </c>
      <c r="C231" s="0" t="n">
        <v>461</v>
      </c>
      <c r="D231" s="0" t="n">
        <v>484</v>
      </c>
      <c r="E231" s="0" t="s">
        <v>634</v>
      </c>
      <c r="F231" s="0" t="n">
        <v>435</v>
      </c>
      <c r="G231" s="0" t="n">
        <v>470</v>
      </c>
      <c r="H231" s="0" t="s">
        <v>437</v>
      </c>
      <c r="I231" s="0" t="n">
        <v>380</v>
      </c>
      <c r="J231" s="0" t="n">
        <v>394</v>
      </c>
      <c r="K231" s="0" t="s">
        <v>187</v>
      </c>
      <c r="L231" s="0" t="n">
        <v>46</v>
      </c>
      <c r="M231" s="0" t="n">
        <v>45</v>
      </c>
      <c r="N231" s="0" t="s">
        <v>695</v>
      </c>
      <c r="AD231" s="0" t="n">
        <v>654</v>
      </c>
      <c r="AE231" s="0" t="n">
        <v>647</v>
      </c>
      <c r="AF231" s="0" t="s">
        <v>829</v>
      </c>
      <c r="AG231" s="0" t="n">
        <v>146</v>
      </c>
      <c r="AH231" s="0" t="n">
        <v>460</v>
      </c>
      <c r="AI231" s="0" t="s">
        <v>830</v>
      </c>
      <c r="AM231" s="0" t="n">
        <v>304</v>
      </c>
      <c r="AN231" s="0" t="n">
        <v>329</v>
      </c>
      <c r="AO231" s="0" t="s">
        <v>447</v>
      </c>
      <c r="AP231" s="0" t="n">
        <v>285</v>
      </c>
      <c r="AQ231" s="0" t="n">
        <v>319</v>
      </c>
      <c r="AR231" s="0" t="s">
        <v>574</v>
      </c>
      <c r="AV231" s="0" t="n">
        <v>304</v>
      </c>
      <c r="AW231" s="0" t="n">
        <v>329</v>
      </c>
      <c r="AX231" s="0" t="s">
        <v>447</v>
      </c>
      <c r="AY231" s="0" t="n">
        <v>285</v>
      </c>
      <c r="AZ231" s="0" t="n">
        <v>319</v>
      </c>
      <c r="BA231" s="0" t="s">
        <v>574</v>
      </c>
      <c r="BE231" s="2" t="n">
        <v>43231</v>
      </c>
    </row>
    <row r="232" customFormat="false" ht="14.25" hidden="false" customHeight="false" outlineLevel="0" collapsed="false">
      <c r="A232" s="0" t="n">
        <v>231</v>
      </c>
      <c r="B232" s="1" t="s">
        <v>831</v>
      </c>
      <c r="C232" s="0" t="n">
        <v>315</v>
      </c>
      <c r="D232" s="0" t="n">
        <v>319</v>
      </c>
      <c r="E232" s="0" t="s">
        <v>789</v>
      </c>
      <c r="F232" s="0" t="n">
        <v>309</v>
      </c>
      <c r="G232" s="0" t="n">
        <v>319</v>
      </c>
      <c r="H232" s="0" t="s">
        <v>758</v>
      </c>
      <c r="L232" s="0" t="n">
        <v>33</v>
      </c>
      <c r="M232" s="0" t="n">
        <v>33</v>
      </c>
      <c r="N232" s="0" t="s">
        <v>110</v>
      </c>
      <c r="AD232" s="0" t="n">
        <v>429</v>
      </c>
      <c r="AE232" s="0" t="n">
        <v>429</v>
      </c>
      <c r="AF232" s="0" t="s">
        <v>110</v>
      </c>
      <c r="AG232" s="0" t="n">
        <v>96</v>
      </c>
      <c r="AH232" s="0" t="n">
        <v>101</v>
      </c>
      <c r="AI232" s="0" t="s">
        <v>606</v>
      </c>
      <c r="AN232" s="0" t="n">
        <v>272</v>
      </c>
      <c r="AQ232" s="0" t="n">
        <v>176</v>
      </c>
      <c r="AW232" s="0" t="n">
        <v>272</v>
      </c>
      <c r="AZ232" s="0" t="n">
        <v>176</v>
      </c>
      <c r="BE232" s="2" t="n">
        <v>43232</v>
      </c>
    </row>
    <row r="233" customFormat="false" ht="14.25" hidden="false" customHeight="false" outlineLevel="0" collapsed="false">
      <c r="A233" s="0" t="n">
        <v>232</v>
      </c>
      <c r="B233" s="1" t="s">
        <v>832</v>
      </c>
      <c r="I233" s="0" t="n">
        <v>314</v>
      </c>
      <c r="J233" s="0" t="n">
        <v>332</v>
      </c>
      <c r="K233" s="0" t="s">
        <v>332</v>
      </c>
      <c r="BE233" s="2" t="n">
        <v>43233</v>
      </c>
    </row>
    <row r="234" customFormat="false" ht="14.25" hidden="false" customHeight="false" outlineLevel="0" collapsed="false">
      <c r="A234" s="0" t="n">
        <v>233</v>
      </c>
      <c r="B234" s="1" t="s">
        <v>833</v>
      </c>
      <c r="C234" s="0" t="n">
        <v>462</v>
      </c>
      <c r="D234" s="0" t="n">
        <v>484</v>
      </c>
      <c r="E234" s="0" t="s">
        <v>127</v>
      </c>
      <c r="F234" s="0" t="n">
        <v>460</v>
      </c>
      <c r="G234" s="0" t="n">
        <v>470</v>
      </c>
      <c r="H234" s="0" t="s">
        <v>551</v>
      </c>
      <c r="I234" s="0" t="n">
        <v>316</v>
      </c>
      <c r="J234" s="0" t="n">
        <v>322</v>
      </c>
      <c r="K234" s="0" t="s">
        <v>457</v>
      </c>
      <c r="L234" s="0" t="n">
        <v>45</v>
      </c>
      <c r="M234" s="0" t="n">
        <v>45</v>
      </c>
      <c r="N234" s="0" t="s">
        <v>110</v>
      </c>
      <c r="AD234" s="0" t="n">
        <v>666</v>
      </c>
      <c r="AE234" s="0" t="n">
        <v>667</v>
      </c>
      <c r="AF234" s="0" t="s">
        <v>834</v>
      </c>
      <c r="AG234" s="0" t="n">
        <v>168</v>
      </c>
      <c r="AH234" s="0" t="n">
        <v>168</v>
      </c>
      <c r="AI234" s="0" t="s">
        <v>110</v>
      </c>
      <c r="AM234" s="0" t="n">
        <v>287</v>
      </c>
      <c r="AN234" s="0" t="n">
        <v>322</v>
      </c>
      <c r="AO234" s="0" t="s">
        <v>421</v>
      </c>
      <c r="AP234" s="0" t="n">
        <v>304</v>
      </c>
      <c r="AQ234" s="0" t="n">
        <v>313</v>
      </c>
      <c r="AR234" s="0" t="s">
        <v>492</v>
      </c>
      <c r="AV234" s="0" t="n">
        <v>287</v>
      </c>
      <c r="AW234" s="0" t="n">
        <v>322</v>
      </c>
      <c r="AX234" s="0" t="s">
        <v>421</v>
      </c>
      <c r="AY234" s="0" t="n">
        <v>304</v>
      </c>
      <c r="AZ234" s="0" t="n">
        <v>313</v>
      </c>
      <c r="BA234" s="0" t="s">
        <v>492</v>
      </c>
      <c r="BE234" s="2" t="n">
        <v>43234</v>
      </c>
    </row>
    <row r="235" customFormat="false" ht="14.25" hidden="false" customHeight="false" outlineLevel="0" collapsed="false">
      <c r="A235" s="0" t="n">
        <v>234</v>
      </c>
      <c r="B235" s="1" t="s">
        <v>835</v>
      </c>
      <c r="C235" s="0" t="n">
        <v>470</v>
      </c>
      <c r="D235" s="0" t="n">
        <v>484</v>
      </c>
      <c r="E235" s="0" t="s">
        <v>492</v>
      </c>
      <c r="F235" s="0" t="n">
        <v>453</v>
      </c>
      <c r="G235" s="0" t="n">
        <v>470</v>
      </c>
      <c r="H235" s="0" t="s">
        <v>187</v>
      </c>
      <c r="I235" s="0" t="n">
        <v>324</v>
      </c>
      <c r="J235" s="0" t="n">
        <v>332</v>
      </c>
      <c r="K235" s="0" t="s">
        <v>497</v>
      </c>
      <c r="L235" s="0" t="n">
        <v>43</v>
      </c>
      <c r="M235" s="0" t="n">
        <v>45</v>
      </c>
      <c r="N235" s="0" t="s">
        <v>544</v>
      </c>
      <c r="AD235" s="0" t="n">
        <v>624</v>
      </c>
      <c r="AE235" s="0" t="n">
        <v>648</v>
      </c>
      <c r="AF235" s="0" t="s">
        <v>182</v>
      </c>
      <c r="AG235" s="0" t="n">
        <v>156</v>
      </c>
      <c r="AH235" s="0" t="n">
        <v>168</v>
      </c>
      <c r="AI235" s="0" t="s">
        <v>207</v>
      </c>
      <c r="AJ235" s="0" t="n">
        <v>17</v>
      </c>
      <c r="AM235" s="0" t="n">
        <v>330</v>
      </c>
      <c r="AN235" s="0" t="n">
        <v>330</v>
      </c>
      <c r="AO235" s="0" t="s">
        <v>110</v>
      </c>
      <c r="AP235" s="0" t="n">
        <v>326</v>
      </c>
      <c r="AQ235" s="0" t="n">
        <v>326</v>
      </c>
      <c r="AR235" s="0" t="s">
        <v>110</v>
      </c>
      <c r="AV235" s="0" t="n">
        <v>330</v>
      </c>
      <c r="AW235" s="0" t="n">
        <v>330</v>
      </c>
      <c r="AX235" s="0" t="s">
        <v>110</v>
      </c>
      <c r="AY235" s="0" t="n">
        <v>326</v>
      </c>
      <c r="AZ235" s="0" t="n">
        <v>326</v>
      </c>
      <c r="BA235" s="0" t="s">
        <v>110</v>
      </c>
      <c r="BE235" s="2" t="n">
        <v>43237</v>
      </c>
    </row>
    <row r="236" customFormat="false" ht="14.25" hidden="false" customHeight="false" outlineLevel="0" collapsed="false">
      <c r="A236" s="0" t="n">
        <v>235</v>
      </c>
      <c r="B236" s="1" t="s">
        <v>836</v>
      </c>
      <c r="I236" s="0" t="n">
        <v>330</v>
      </c>
      <c r="J236" s="0" t="n">
        <v>415</v>
      </c>
      <c r="K236" s="0" t="s">
        <v>181</v>
      </c>
      <c r="BE236" s="2" t="n">
        <v>43240</v>
      </c>
    </row>
    <row r="237" customFormat="false" ht="14.25" hidden="false" customHeight="false" outlineLevel="0" collapsed="false">
      <c r="A237" s="0" t="n">
        <v>236</v>
      </c>
      <c r="B237" s="1" t="s">
        <v>837</v>
      </c>
      <c r="C237" s="0" t="n">
        <v>338</v>
      </c>
      <c r="D237" s="0" t="n">
        <v>484</v>
      </c>
      <c r="E237" s="0" t="s">
        <v>275</v>
      </c>
      <c r="F237" s="0" t="n">
        <v>291</v>
      </c>
      <c r="G237" s="0" t="n">
        <v>470</v>
      </c>
      <c r="H237" s="0" t="s">
        <v>226</v>
      </c>
      <c r="I237" s="0" t="n">
        <v>295</v>
      </c>
      <c r="J237" s="0" t="n">
        <v>312</v>
      </c>
      <c r="K237" s="0" t="s">
        <v>332</v>
      </c>
      <c r="L237" s="0" t="n">
        <v>46</v>
      </c>
      <c r="M237" s="0" t="n">
        <v>45</v>
      </c>
      <c r="N237" s="0" t="s">
        <v>695</v>
      </c>
      <c r="AD237" s="0" t="n">
        <v>591</v>
      </c>
      <c r="AE237" s="0" t="n">
        <v>648</v>
      </c>
      <c r="AF237" s="0" t="s">
        <v>176</v>
      </c>
      <c r="AG237" s="0" t="n">
        <v>158</v>
      </c>
      <c r="AH237" s="0" t="n">
        <v>170</v>
      </c>
      <c r="AI237" s="0" t="s">
        <v>207</v>
      </c>
      <c r="AM237" s="0" t="n">
        <v>264</v>
      </c>
      <c r="AN237" s="0" t="n">
        <v>322</v>
      </c>
      <c r="AO237" s="0" t="s">
        <v>248</v>
      </c>
      <c r="AP237" s="0" t="n">
        <v>325</v>
      </c>
      <c r="AQ237" s="0" t="n">
        <v>325</v>
      </c>
      <c r="AR237" s="0" t="s">
        <v>110</v>
      </c>
      <c r="AV237" s="0" t="n">
        <v>264</v>
      </c>
      <c r="AW237" s="0" t="n">
        <v>322</v>
      </c>
      <c r="AX237" s="0" t="s">
        <v>248</v>
      </c>
      <c r="AY237" s="0" t="n">
        <v>325</v>
      </c>
      <c r="AZ237" s="0" t="n">
        <v>325</v>
      </c>
      <c r="BA237" s="0" t="s">
        <v>110</v>
      </c>
      <c r="BE237" s="2" t="n">
        <v>43241</v>
      </c>
    </row>
    <row r="238" customFormat="false" ht="14.25" hidden="false" customHeight="false" outlineLevel="0" collapsed="false">
      <c r="A238" s="0" t="n">
        <v>237</v>
      </c>
      <c r="B238" s="1" t="s">
        <v>838</v>
      </c>
      <c r="C238" s="0" t="n">
        <v>412</v>
      </c>
      <c r="D238" s="0" t="n">
        <v>473</v>
      </c>
      <c r="E238" s="0" t="s">
        <v>401</v>
      </c>
      <c r="F238" s="0" t="n">
        <v>433</v>
      </c>
      <c r="G238" s="0" t="n">
        <v>460</v>
      </c>
      <c r="H238" s="0" t="s">
        <v>448</v>
      </c>
      <c r="I238" s="0" t="n">
        <v>309</v>
      </c>
      <c r="J238" s="0" t="n">
        <v>332</v>
      </c>
      <c r="K238" s="0" t="s">
        <v>151</v>
      </c>
      <c r="L238" s="0" t="n">
        <v>45</v>
      </c>
      <c r="M238" s="0" t="n">
        <v>45</v>
      </c>
      <c r="N238" s="0" t="s">
        <v>110</v>
      </c>
      <c r="AD238" s="0" t="n">
        <v>640</v>
      </c>
      <c r="AE238" s="0" t="n">
        <v>641</v>
      </c>
      <c r="AF238" s="0" t="s">
        <v>623</v>
      </c>
      <c r="AG238" s="0" t="n">
        <v>177</v>
      </c>
      <c r="AH238" s="0" t="n">
        <v>177</v>
      </c>
      <c r="AI238" s="0" t="s">
        <v>110</v>
      </c>
      <c r="AM238" s="0" t="n">
        <v>300</v>
      </c>
      <c r="AN238" s="0" t="n">
        <v>318</v>
      </c>
      <c r="AO238" s="0" t="s">
        <v>523</v>
      </c>
      <c r="AP238" s="0" t="n">
        <v>310</v>
      </c>
      <c r="AQ238" s="0" t="n">
        <v>310</v>
      </c>
      <c r="AR238" s="0" t="s">
        <v>110</v>
      </c>
      <c r="AV238" s="0" t="n">
        <v>300</v>
      </c>
      <c r="AW238" s="0" t="n">
        <v>318</v>
      </c>
      <c r="AX238" s="0" t="s">
        <v>523</v>
      </c>
      <c r="AY238" s="0" t="n">
        <v>310</v>
      </c>
      <c r="AZ238" s="0" t="n">
        <v>310</v>
      </c>
      <c r="BA238" s="0" t="s">
        <v>110</v>
      </c>
      <c r="BE238" s="2" t="n">
        <v>43242</v>
      </c>
    </row>
    <row r="239" customFormat="false" ht="14.25" hidden="false" customHeight="false" outlineLevel="0" collapsed="false">
      <c r="A239" s="0" t="n">
        <v>238</v>
      </c>
      <c r="B239" s="1" t="s">
        <v>839</v>
      </c>
      <c r="L239" s="0" t="n">
        <v>45</v>
      </c>
      <c r="M239" s="0" t="n">
        <v>47</v>
      </c>
      <c r="N239" s="0" t="s">
        <v>144</v>
      </c>
      <c r="AD239" s="0" t="n">
        <v>625</v>
      </c>
      <c r="AE239" s="0" t="n">
        <v>640</v>
      </c>
      <c r="AF239" s="0" t="s">
        <v>138</v>
      </c>
      <c r="AG239" s="0" t="n">
        <v>160</v>
      </c>
      <c r="AH239" s="0" t="n">
        <v>166</v>
      </c>
      <c r="AI239" s="0" t="s">
        <v>187</v>
      </c>
      <c r="AM239" s="0" t="n">
        <v>269</v>
      </c>
      <c r="AN239" s="0" t="n">
        <v>322</v>
      </c>
      <c r="AO239" s="0" t="s">
        <v>684</v>
      </c>
      <c r="AP239" s="0" t="n">
        <v>220</v>
      </c>
      <c r="AQ239" s="0" t="n">
        <v>313</v>
      </c>
      <c r="AR239" s="0" t="s">
        <v>327</v>
      </c>
      <c r="AV239" s="0" t="n">
        <v>269</v>
      </c>
      <c r="AW239" s="0" t="n">
        <v>322</v>
      </c>
      <c r="AX239" s="0" t="s">
        <v>684</v>
      </c>
      <c r="AY239" s="0" t="n">
        <v>220</v>
      </c>
      <c r="AZ239" s="0" t="n">
        <v>313</v>
      </c>
      <c r="BA239" s="0" t="s">
        <v>327</v>
      </c>
      <c r="BE239" s="2" t="n">
        <v>43243</v>
      </c>
    </row>
    <row r="240" customFormat="false" ht="14.25" hidden="false" customHeight="false" outlineLevel="0" collapsed="false">
      <c r="A240" s="0" t="n">
        <v>239</v>
      </c>
      <c r="B240" s="1" t="s">
        <v>840</v>
      </c>
      <c r="I240" s="0" t="n">
        <v>385</v>
      </c>
      <c r="J240" s="0" t="n">
        <v>415</v>
      </c>
      <c r="K240" s="0" t="s">
        <v>475</v>
      </c>
      <c r="BE240" s="2" t="n">
        <v>43254</v>
      </c>
    </row>
    <row r="241" customFormat="false" ht="14.25" hidden="false" customHeight="false" outlineLevel="0" collapsed="false">
      <c r="A241" s="0" t="n">
        <v>240</v>
      </c>
      <c r="B241" s="1" t="s">
        <v>841</v>
      </c>
      <c r="I241" s="0" t="n">
        <v>321</v>
      </c>
      <c r="J241" s="0" t="n">
        <v>332</v>
      </c>
      <c r="K241" s="0" t="s">
        <v>538</v>
      </c>
      <c r="BE241" s="2" t="n">
        <v>43251</v>
      </c>
    </row>
    <row r="242" customFormat="false" ht="14.25" hidden="false" customHeight="false" outlineLevel="0" collapsed="false">
      <c r="A242" s="0" t="n">
        <v>241</v>
      </c>
      <c r="B242" s="1" t="s">
        <v>842</v>
      </c>
      <c r="C242" s="0" t="n">
        <v>463</v>
      </c>
      <c r="D242" s="0" t="n">
        <v>484</v>
      </c>
      <c r="E242" s="0" t="s">
        <v>144</v>
      </c>
      <c r="F242" s="0" t="n">
        <v>456</v>
      </c>
      <c r="G242" s="0" t="n">
        <v>470</v>
      </c>
      <c r="H242" s="0" t="s">
        <v>756</v>
      </c>
      <c r="I242" s="0" t="n">
        <v>384</v>
      </c>
      <c r="J242" s="0" t="n">
        <v>394</v>
      </c>
      <c r="K242" s="0" t="s">
        <v>370</v>
      </c>
      <c r="L242" s="0" t="n">
        <v>47</v>
      </c>
      <c r="M242" s="0" t="n">
        <v>45</v>
      </c>
      <c r="N242" s="0" t="s">
        <v>822</v>
      </c>
      <c r="BE242" s="2" t="n">
        <v>43252</v>
      </c>
    </row>
    <row r="243" customFormat="false" ht="14.25" hidden="false" customHeight="false" outlineLevel="0" collapsed="false">
      <c r="A243" s="0" t="n">
        <v>242</v>
      </c>
      <c r="B243" s="1" t="s">
        <v>843</v>
      </c>
      <c r="C243" s="0" t="n">
        <v>454</v>
      </c>
      <c r="D243" s="0" t="n">
        <v>484</v>
      </c>
      <c r="E243" s="0" t="s">
        <v>383</v>
      </c>
      <c r="F243" s="0" t="n">
        <v>406</v>
      </c>
      <c r="G243" s="0" t="n">
        <v>470</v>
      </c>
      <c r="H243" s="0" t="s">
        <v>167</v>
      </c>
      <c r="I243" s="0" t="n">
        <v>332</v>
      </c>
      <c r="J243" s="0" t="n">
        <v>332</v>
      </c>
      <c r="K243" s="0" t="s">
        <v>110</v>
      </c>
      <c r="L243" s="0" t="n">
        <v>47</v>
      </c>
      <c r="M243" s="0" t="n">
        <v>45</v>
      </c>
      <c r="N243" s="0" t="s">
        <v>822</v>
      </c>
      <c r="AD243" s="0" t="n">
        <v>532</v>
      </c>
      <c r="AE243" s="0" t="n">
        <v>648</v>
      </c>
      <c r="AF243" s="0" t="s">
        <v>681</v>
      </c>
      <c r="AG243" s="0" t="n">
        <v>163</v>
      </c>
      <c r="AH243" s="0" t="n">
        <v>170</v>
      </c>
      <c r="AI243" s="0" t="s">
        <v>777</v>
      </c>
      <c r="AM243" s="0" t="n">
        <v>280</v>
      </c>
      <c r="AN243" s="0" t="n">
        <v>322</v>
      </c>
      <c r="AO243" s="0" t="s">
        <v>747</v>
      </c>
      <c r="AP243" s="0" t="n">
        <v>288</v>
      </c>
      <c r="AQ243" s="0" t="n">
        <v>313</v>
      </c>
      <c r="AR243" s="0" t="s">
        <v>168</v>
      </c>
      <c r="AV243" s="0" t="n">
        <v>280</v>
      </c>
      <c r="AW243" s="0" t="n">
        <v>322</v>
      </c>
      <c r="AX243" s="0" t="s">
        <v>747</v>
      </c>
      <c r="AY243" s="0" t="n">
        <v>288</v>
      </c>
      <c r="AZ243" s="0" t="n">
        <v>313</v>
      </c>
      <c r="BA243" s="0" t="s">
        <v>168</v>
      </c>
      <c r="BE243" s="2" t="n">
        <v>43255</v>
      </c>
    </row>
    <row r="244" customFormat="false" ht="14.25" hidden="false" customHeight="false" outlineLevel="0" collapsed="false">
      <c r="A244" s="0" t="n">
        <v>243</v>
      </c>
      <c r="B244" s="1" t="s">
        <v>844</v>
      </c>
      <c r="C244" s="0" t="n">
        <v>466</v>
      </c>
      <c r="D244" s="0" t="n">
        <v>484</v>
      </c>
      <c r="E244" s="0" t="s">
        <v>182</v>
      </c>
      <c r="F244" s="0" t="n">
        <v>434</v>
      </c>
      <c r="G244" s="0" t="n">
        <v>470</v>
      </c>
      <c r="H244" s="0" t="s">
        <v>193</v>
      </c>
      <c r="I244" s="0" t="n">
        <v>313</v>
      </c>
      <c r="J244" s="0" t="n">
        <v>332</v>
      </c>
      <c r="K244" s="0" t="s">
        <v>523</v>
      </c>
      <c r="L244" s="0" t="n">
        <v>46</v>
      </c>
      <c r="M244" s="0" t="n">
        <v>44</v>
      </c>
      <c r="N244" s="0" t="s">
        <v>845</v>
      </c>
      <c r="AD244" s="0" t="n">
        <v>651</v>
      </c>
      <c r="AE244" s="0" t="n">
        <v>652</v>
      </c>
      <c r="AF244" s="0" t="s">
        <v>623</v>
      </c>
      <c r="AG244" s="0" t="n">
        <v>170</v>
      </c>
      <c r="AH244" s="0" t="n">
        <v>170</v>
      </c>
      <c r="AI244" s="0" t="s">
        <v>110</v>
      </c>
      <c r="AM244" s="0" t="n">
        <v>301</v>
      </c>
      <c r="AN244" s="0" t="n">
        <v>318</v>
      </c>
      <c r="AO244" s="0" t="s">
        <v>473</v>
      </c>
      <c r="AP244" s="0" t="n">
        <v>298</v>
      </c>
      <c r="AQ244" s="0" t="n">
        <v>313</v>
      </c>
      <c r="AR244" s="0" t="s">
        <v>634</v>
      </c>
      <c r="AV244" s="0" t="n">
        <v>301</v>
      </c>
      <c r="AW244" s="0" t="n">
        <v>318</v>
      </c>
      <c r="AX244" s="0" t="s">
        <v>473</v>
      </c>
      <c r="AY244" s="0" t="n">
        <v>298</v>
      </c>
      <c r="AZ244" s="0" t="n">
        <v>313</v>
      </c>
      <c r="BA244" s="0" t="s">
        <v>634</v>
      </c>
      <c r="BE244" s="2" t="n">
        <v>43256</v>
      </c>
    </row>
    <row r="245" customFormat="false" ht="14.25" hidden="false" customHeight="false" outlineLevel="0" collapsed="false">
      <c r="A245" s="0" t="n">
        <v>244</v>
      </c>
      <c r="B245" s="1" t="s">
        <v>846</v>
      </c>
      <c r="C245" s="0" t="n">
        <v>466</v>
      </c>
      <c r="D245" s="0" t="n">
        <v>484</v>
      </c>
      <c r="E245" s="0" t="s">
        <v>182</v>
      </c>
      <c r="F245" s="0" t="n">
        <v>449</v>
      </c>
      <c r="G245" s="0" t="n">
        <v>470</v>
      </c>
      <c r="H245" s="0" t="s">
        <v>127</v>
      </c>
      <c r="I245" s="0" t="n">
        <v>328</v>
      </c>
      <c r="J245" s="0" t="n">
        <v>332</v>
      </c>
      <c r="K245" s="0" t="s">
        <v>153</v>
      </c>
      <c r="L245" s="0" t="n">
        <v>46</v>
      </c>
      <c r="M245" s="0" t="n">
        <v>45</v>
      </c>
      <c r="N245" s="0" t="s">
        <v>695</v>
      </c>
      <c r="AD245" s="0" t="n">
        <v>654</v>
      </c>
      <c r="AE245" s="0" t="n">
        <v>655</v>
      </c>
      <c r="AF245" s="0" t="s">
        <v>623</v>
      </c>
      <c r="AG245" s="0" t="n">
        <v>170</v>
      </c>
      <c r="AH245" s="0" t="n">
        <v>170</v>
      </c>
      <c r="AI245" s="0" t="s">
        <v>110</v>
      </c>
      <c r="AM245" s="0" t="n">
        <v>309</v>
      </c>
      <c r="AN245" s="0" t="n">
        <v>322</v>
      </c>
      <c r="AO245" s="0" t="s">
        <v>438</v>
      </c>
      <c r="AP245" s="0" t="n">
        <v>306</v>
      </c>
      <c r="AQ245" s="0" t="n">
        <v>316</v>
      </c>
      <c r="AR245" s="0" t="s">
        <v>112</v>
      </c>
      <c r="AV245" s="0" t="n">
        <v>309</v>
      </c>
      <c r="AW245" s="0" t="n">
        <v>322</v>
      </c>
      <c r="AX245" s="0" t="s">
        <v>438</v>
      </c>
      <c r="AY245" s="0" t="n">
        <v>306</v>
      </c>
      <c r="AZ245" s="0" t="n">
        <v>316</v>
      </c>
      <c r="BA245" s="0" t="s">
        <v>112</v>
      </c>
      <c r="BE245" s="2" t="n">
        <v>43257</v>
      </c>
    </row>
    <row r="246" customFormat="false" ht="14.25" hidden="false" customHeight="false" outlineLevel="0" collapsed="false">
      <c r="A246" s="0" t="n">
        <v>245</v>
      </c>
      <c r="B246" s="1" t="s">
        <v>847</v>
      </c>
      <c r="C246" s="0" t="n">
        <v>468</v>
      </c>
      <c r="D246" s="0" t="n">
        <v>484</v>
      </c>
      <c r="E246" s="0" t="s">
        <v>538</v>
      </c>
      <c r="F246" s="0" t="n">
        <v>446</v>
      </c>
      <c r="G246" s="0" t="n">
        <v>470</v>
      </c>
      <c r="H246" s="0" t="s">
        <v>142</v>
      </c>
      <c r="I246" s="0" t="n">
        <v>323</v>
      </c>
      <c r="J246" s="0" t="n">
        <v>332</v>
      </c>
      <c r="K246" s="0" t="s">
        <v>149</v>
      </c>
      <c r="AD246" s="0" t="n">
        <v>665</v>
      </c>
      <c r="AE246" s="0" t="n">
        <v>666</v>
      </c>
      <c r="AF246" s="0" t="s">
        <v>623</v>
      </c>
      <c r="AG246" s="0" t="n">
        <v>162</v>
      </c>
      <c r="AH246" s="0" t="n">
        <v>170</v>
      </c>
      <c r="AI246" s="0" t="s">
        <v>753</v>
      </c>
      <c r="AM246" s="0" t="n">
        <v>310</v>
      </c>
      <c r="AN246" s="0" t="n">
        <v>328</v>
      </c>
      <c r="AO246" s="0" t="s">
        <v>581</v>
      </c>
      <c r="AP246" s="0" t="n">
        <v>299</v>
      </c>
      <c r="AQ246" s="0" t="n">
        <v>312</v>
      </c>
      <c r="AR246" s="0" t="s">
        <v>136</v>
      </c>
      <c r="AV246" s="0" t="n">
        <v>310</v>
      </c>
      <c r="AW246" s="0" t="n">
        <v>328</v>
      </c>
      <c r="AX246" s="0" t="s">
        <v>581</v>
      </c>
      <c r="AY246" s="0" t="n">
        <v>299</v>
      </c>
      <c r="AZ246" s="0" t="n">
        <v>312</v>
      </c>
      <c r="BA246" s="0" t="s">
        <v>136</v>
      </c>
      <c r="BE246" s="2" t="n">
        <v>43258</v>
      </c>
    </row>
    <row r="247" customFormat="false" ht="14.25" hidden="false" customHeight="false" outlineLevel="0" collapsed="false">
      <c r="A247" s="0" t="n">
        <v>246</v>
      </c>
      <c r="B247" s="1" t="s">
        <v>848</v>
      </c>
      <c r="I247" s="0" t="n">
        <v>399</v>
      </c>
      <c r="J247" s="0" t="n">
        <v>415</v>
      </c>
      <c r="K247" s="0" t="s">
        <v>594</v>
      </c>
      <c r="BE247" s="2" t="n">
        <v>43261</v>
      </c>
    </row>
    <row r="248" customFormat="false" ht="14.25" hidden="false" customHeight="false" outlineLevel="0" collapsed="false">
      <c r="A248" s="0" t="n">
        <v>247</v>
      </c>
      <c r="B248" s="1" t="s">
        <v>849</v>
      </c>
      <c r="C248" s="0" t="n">
        <v>469</v>
      </c>
      <c r="D248" s="0" t="n">
        <v>538</v>
      </c>
      <c r="E248" s="0" t="s">
        <v>409</v>
      </c>
      <c r="F248" s="0" t="n">
        <v>422</v>
      </c>
      <c r="G248" s="0" t="n">
        <v>426</v>
      </c>
      <c r="H248" s="0" t="s">
        <v>798</v>
      </c>
      <c r="I248" s="0" t="n">
        <v>355</v>
      </c>
      <c r="J248" s="0" t="n">
        <v>394</v>
      </c>
      <c r="K248" s="0" t="s">
        <v>530</v>
      </c>
      <c r="L248" s="0" t="n">
        <v>34</v>
      </c>
      <c r="M248" s="0" t="n">
        <v>34</v>
      </c>
      <c r="N248" s="0" t="s">
        <v>110</v>
      </c>
      <c r="AD248" s="0" t="n">
        <v>648</v>
      </c>
      <c r="AE248" s="0" t="n">
        <v>649</v>
      </c>
      <c r="AF248" s="0" t="s">
        <v>623</v>
      </c>
      <c r="AG248" s="0" t="n">
        <v>149</v>
      </c>
      <c r="AH248" s="0" t="n">
        <v>170</v>
      </c>
      <c r="AI248" s="0" t="s">
        <v>339</v>
      </c>
      <c r="AM248" s="0" t="n">
        <v>267</v>
      </c>
      <c r="AN248" s="0" t="n">
        <v>322</v>
      </c>
      <c r="AO248" s="0" t="s">
        <v>354</v>
      </c>
      <c r="AP248" s="0" t="n">
        <v>273</v>
      </c>
      <c r="AQ248" s="0" t="n">
        <v>313</v>
      </c>
      <c r="AR248" s="0" t="s">
        <v>409</v>
      </c>
      <c r="AV248" s="0" t="n">
        <v>267</v>
      </c>
      <c r="AW248" s="0" t="n">
        <v>322</v>
      </c>
      <c r="AX248" s="0" t="s">
        <v>354</v>
      </c>
      <c r="AY248" s="0" t="n">
        <v>273</v>
      </c>
      <c r="AZ248" s="0" t="n">
        <v>313</v>
      </c>
      <c r="BA248" s="0" t="s">
        <v>409</v>
      </c>
      <c r="BE248" s="2" t="n">
        <v>43259</v>
      </c>
    </row>
    <row r="249" customFormat="false" ht="14.25" hidden="false" customHeight="false" outlineLevel="0" collapsed="false">
      <c r="A249" s="0" t="n">
        <v>248</v>
      </c>
      <c r="B249" s="1" t="s">
        <v>850</v>
      </c>
      <c r="C249" s="0" t="n">
        <v>337</v>
      </c>
      <c r="D249" s="0" t="n">
        <v>320</v>
      </c>
      <c r="E249" s="0" t="s">
        <v>851</v>
      </c>
      <c r="F249" s="0" t="n">
        <v>338</v>
      </c>
      <c r="G249" s="0" t="n">
        <v>319</v>
      </c>
      <c r="H249" s="0" t="s">
        <v>852</v>
      </c>
      <c r="L249" s="0" t="n">
        <v>34</v>
      </c>
      <c r="M249" s="0" t="n">
        <v>33</v>
      </c>
      <c r="N249" s="0" t="s">
        <v>644</v>
      </c>
      <c r="AD249" s="0" t="n">
        <v>399</v>
      </c>
      <c r="AE249" s="0" t="n">
        <v>431</v>
      </c>
      <c r="AF249" s="0" t="s">
        <v>437</v>
      </c>
      <c r="AG249" s="0" t="n">
        <v>119</v>
      </c>
      <c r="AH249" s="0" t="n">
        <v>129</v>
      </c>
      <c r="AI249" s="0" t="s">
        <v>335</v>
      </c>
      <c r="AM249" s="0" t="n">
        <v>212</v>
      </c>
      <c r="AN249" s="0" t="n">
        <v>238</v>
      </c>
      <c r="AO249" s="0" t="s">
        <v>421</v>
      </c>
      <c r="AP249" s="0" t="n">
        <v>225</v>
      </c>
      <c r="AQ249" s="0" t="n">
        <v>238</v>
      </c>
      <c r="AR249" s="0" t="s">
        <v>581</v>
      </c>
      <c r="AV249" s="0" t="n">
        <v>212</v>
      </c>
      <c r="AW249" s="0" t="n">
        <v>238</v>
      </c>
      <c r="AX249" s="0" t="s">
        <v>421</v>
      </c>
      <c r="AY249" s="0" t="n">
        <v>225</v>
      </c>
      <c r="AZ249" s="0" t="n">
        <v>238</v>
      </c>
      <c r="BA249" s="0" t="s">
        <v>581</v>
      </c>
      <c r="BE249" s="2" t="n">
        <v>43260</v>
      </c>
    </row>
    <row r="250" customFormat="false" ht="14.25" hidden="false" customHeight="false" outlineLevel="0" collapsed="false">
      <c r="A250" s="0" t="n">
        <v>249</v>
      </c>
      <c r="B250" s="1" t="s">
        <v>853</v>
      </c>
      <c r="C250" s="0" t="n">
        <v>456</v>
      </c>
      <c r="D250" s="0" t="n">
        <v>484</v>
      </c>
      <c r="E250" s="0" t="s">
        <v>141</v>
      </c>
      <c r="F250" s="0" t="n">
        <v>444</v>
      </c>
      <c r="G250" s="0" t="n">
        <v>470</v>
      </c>
      <c r="H250" s="0" t="s">
        <v>581</v>
      </c>
      <c r="I250" s="0" t="n">
        <v>325</v>
      </c>
      <c r="J250" s="0" t="n">
        <v>332</v>
      </c>
      <c r="K250" s="0" t="s">
        <v>551</v>
      </c>
      <c r="L250" s="0" t="n">
        <v>45</v>
      </c>
      <c r="M250" s="0" t="n">
        <v>45</v>
      </c>
      <c r="N250" s="0" t="s">
        <v>110</v>
      </c>
      <c r="AD250" s="0" t="n">
        <v>655</v>
      </c>
      <c r="AE250" s="0" t="n">
        <v>656</v>
      </c>
      <c r="AF250" s="0" t="s">
        <v>623</v>
      </c>
      <c r="AG250" s="0" t="n">
        <v>172</v>
      </c>
      <c r="AH250" s="0" t="n">
        <v>172</v>
      </c>
      <c r="AI250" s="0" t="s">
        <v>110</v>
      </c>
      <c r="AM250" s="0" t="n">
        <v>301</v>
      </c>
      <c r="AN250" s="0" t="n">
        <v>322</v>
      </c>
      <c r="AO250" s="0" t="s">
        <v>713</v>
      </c>
      <c r="AP250" s="0" t="n">
        <v>302</v>
      </c>
      <c r="AQ250" s="0" t="n">
        <v>313</v>
      </c>
      <c r="AR250" s="0" t="s">
        <v>291</v>
      </c>
      <c r="AV250" s="0" t="n">
        <v>301</v>
      </c>
      <c r="AW250" s="0" t="n">
        <v>322</v>
      </c>
      <c r="AX250" s="0" t="s">
        <v>713</v>
      </c>
      <c r="AY250" s="0" t="n">
        <v>302</v>
      </c>
      <c r="AZ250" s="0" t="n">
        <v>313</v>
      </c>
      <c r="BA250" s="0" t="s">
        <v>291</v>
      </c>
      <c r="BE250" s="2" t="n">
        <v>43262</v>
      </c>
    </row>
    <row r="251" customFormat="false" ht="14.25" hidden="false" customHeight="false" outlineLevel="0" collapsed="false">
      <c r="A251" s="0" t="n">
        <v>250</v>
      </c>
      <c r="B251" s="1" t="s">
        <v>854</v>
      </c>
      <c r="C251" s="0" t="n">
        <v>460</v>
      </c>
      <c r="D251" s="0" t="n">
        <v>473</v>
      </c>
      <c r="E251" s="0" t="s">
        <v>149</v>
      </c>
      <c r="F251" s="0" t="n">
        <v>435</v>
      </c>
      <c r="G251" s="0" t="n">
        <v>460</v>
      </c>
      <c r="H251" s="0" t="s">
        <v>332</v>
      </c>
      <c r="I251" s="0" t="n">
        <v>315</v>
      </c>
      <c r="J251" s="0" t="n">
        <v>332</v>
      </c>
      <c r="K251" s="0" t="s">
        <v>142</v>
      </c>
      <c r="L251" s="0" t="n">
        <v>45</v>
      </c>
      <c r="M251" s="0" t="n">
        <v>45</v>
      </c>
      <c r="N251" s="0" t="s">
        <v>110</v>
      </c>
      <c r="AD251" s="0" t="n">
        <v>633</v>
      </c>
      <c r="AE251" s="0" t="n">
        <v>645</v>
      </c>
      <c r="AF251" s="0" t="s">
        <v>457</v>
      </c>
      <c r="AG251" s="0" t="n">
        <v>155</v>
      </c>
      <c r="AH251" s="0" t="n">
        <v>175</v>
      </c>
      <c r="AI251" s="0" t="s">
        <v>305</v>
      </c>
      <c r="AM251" s="0" t="n">
        <v>298</v>
      </c>
      <c r="AN251" s="0" t="n">
        <v>315</v>
      </c>
      <c r="AO251" s="0" t="s">
        <v>332</v>
      </c>
      <c r="AP251" s="0" t="n">
        <v>316</v>
      </c>
      <c r="AQ251" s="0" t="n">
        <v>316</v>
      </c>
      <c r="AR251" s="0" t="s">
        <v>110</v>
      </c>
      <c r="AV251" s="0" t="n">
        <v>298</v>
      </c>
      <c r="AW251" s="0" t="n">
        <v>315</v>
      </c>
      <c r="AX251" s="0" t="s">
        <v>332</v>
      </c>
      <c r="AY251" s="0" t="n">
        <v>316</v>
      </c>
      <c r="AZ251" s="0" t="n">
        <v>316</v>
      </c>
      <c r="BA251" s="0" t="s">
        <v>110</v>
      </c>
      <c r="BE251" s="2" t="n">
        <v>43263</v>
      </c>
    </row>
    <row r="252" customFormat="false" ht="14.25" hidden="false" customHeight="false" outlineLevel="0" collapsed="false">
      <c r="A252" s="0" t="n">
        <v>251</v>
      </c>
      <c r="B252" s="1" t="s">
        <v>855</v>
      </c>
      <c r="C252" s="0" t="n">
        <v>469</v>
      </c>
      <c r="D252" s="0" t="n">
        <v>484</v>
      </c>
      <c r="E252" s="0" t="s">
        <v>758</v>
      </c>
      <c r="F252" s="0" t="n">
        <v>449</v>
      </c>
      <c r="G252" s="0" t="n">
        <v>470</v>
      </c>
      <c r="H252" s="0" t="s">
        <v>127</v>
      </c>
      <c r="I252" s="0" t="n">
        <v>317</v>
      </c>
      <c r="J252" s="0" t="n">
        <v>332</v>
      </c>
      <c r="K252" s="0" t="s">
        <v>127</v>
      </c>
      <c r="L252" s="0" t="n">
        <v>47</v>
      </c>
      <c r="M252" s="0" t="n">
        <v>45</v>
      </c>
      <c r="N252" s="0" t="s">
        <v>822</v>
      </c>
      <c r="AD252" s="0" t="n">
        <v>657</v>
      </c>
      <c r="AE252" s="0" t="n">
        <v>666</v>
      </c>
      <c r="AF252" s="0" t="s">
        <v>790</v>
      </c>
      <c r="AG252" s="0" t="n">
        <v>170</v>
      </c>
      <c r="AH252" s="0" t="n">
        <v>171</v>
      </c>
      <c r="AI252" s="0" t="s">
        <v>824</v>
      </c>
      <c r="AM252" s="0" t="n">
        <v>309</v>
      </c>
      <c r="AN252" s="0" t="n">
        <v>322</v>
      </c>
      <c r="AO252" s="0" t="s">
        <v>438</v>
      </c>
      <c r="AP252" s="0" t="n">
        <v>301</v>
      </c>
      <c r="AQ252" s="0" t="n">
        <v>313</v>
      </c>
      <c r="AR252" s="0" t="s">
        <v>200</v>
      </c>
      <c r="AV252" s="0" t="n">
        <v>309</v>
      </c>
      <c r="AW252" s="0" t="n">
        <v>322</v>
      </c>
      <c r="AX252" s="0" t="s">
        <v>438</v>
      </c>
      <c r="AY252" s="0" t="n">
        <v>301</v>
      </c>
      <c r="AZ252" s="0" t="n">
        <v>313</v>
      </c>
      <c r="BA252" s="0" t="s">
        <v>200</v>
      </c>
      <c r="BE252" s="2" t="n">
        <v>43264</v>
      </c>
    </row>
    <row r="253" customFormat="false" ht="14.25" hidden="false" customHeight="false" outlineLevel="0" collapsed="false">
      <c r="A253" s="0" t="n">
        <v>252</v>
      </c>
      <c r="B253" s="1" t="s">
        <v>856</v>
      </c>
      <c r="C253" s="0" t="n">
        <v>469</v>
      </c>
      <c r="D253" s="0" t="n">
        <v>484</v>
      </c>
      <c r="E253" s="0" t="s">
        <v>758</v>
      </c>
      <c r="F253" s="0" t="n">
        <v>448</v>
      </c>
      <c r="G253" s="0" t="n">
        <v>470</v>
      </c>
      <c r="H253" s="0" t="s">
        <v>753</v>
      </c>
      <c r="I253" s="0" t="n">
        <v>332</v>
      </c>
      <c r="J253" s="0" t="n">
        <v>332</v>
      </c>
      <c r="K253" s="0" t="s">
        <v>110</v>
      </c>
      <c r="L253" s="0" t="n">
        <v>46</v>
      </c>
      <c r="M253" s="0" t="n">
        <v>45</v>
      </c>
      <c r="N253" s="0" t="s">
        <v>695</v>
      </c>
      <c r="AD253" s="0" t="n">
        <v>657</v>
      </c>
      <c r="AE253" s="0" t="n">
        <v>666</v>
      </c>
      <c r="AF253" s="0" t="s">
        <v>790</v>
      </c>
      <c r="AG253" s="0" t="n">
        <v>172</v>
      </c>
      <c r="AH253" s="0" t="n">
        <v>175</v>
      </c>
      <c r="AI253" s="0" t="s">
        <v>179</v>
      </c>
      <c r="AM253" s="0" t="n">
        <v>342</v>
      </c>
      <c r="AN253" s="0" t="n">
        <v>342</v>
      </c>
      <c r="AO253" s="0" t="s">
        <v>110</v>
      </c>
      <c r="AP253" s="0" t="n">
        <v>317</v>
      </c>
      <c r="AQ253" s="0" t="n">
        <v>317</v>
      </c>
      <c r="AR253" s="0" t="s">
        <v>110</v>
      </c>
      <c r="AV253" s="0" t="n">
        <v>342</v>
      </c>
      <c r="AW253" s="0" t="n">
        <v>342</v>
      </c>
      <c r="AX253" s="0" t="s">
        <v>110</v>
      </c>
      <c r="AY253" s="0" t="n">
        <v>317</v>
      </c>
      <c r="AZ253" s="0" t="n">
        <v>317</v>
      </c>
      <c r="BA253" s="0" t="s">
        <v>110</v>
      </c>
      <c r="BE253" s="2" t="n">
        <v>43265</v>
      </c>
    </row>
    <row r="254" customFormat="false" ht="14.25" hidden="false" customHeight="false" outlineLevel="0" collapsed="false">
      <c r="A254" s="0" t="n">
        <v>253</v>
      </c>
      <c r="B254" s="1" t="s">
        <v>857</v>
      </c>
      <c r="I254" s="0" t="n">
        <v>383</v>
      </c>
      <c r="J254" s="0" t="n">
        <v>415</v>
      </c>
      <c r="K254" s="0" t="s">
        <v>193</v>
      </c>
      <c r="BE254" s="2" t="n">
        <v>43268</v>
      </c>
    </row>
    <row r="255" customFormat="false" ht="14.25" hidden="false" customHeight="false" outlineLevel="0" collapsed="false">
      <c r="A255" s="0" t="n">
        <v>254</v>
      </c>
      <c r="B255" s="1" t="s">
        <v>858</v>
      </c>
      <c r="C255" s="0" t="n">
        <v>302</v>
      </c>
      <c r="D255" s="0" t="n">
        <v>296</v>
      </c>
      <c r="E255" s="0" t="s">
        <v>859</v>
      </c>
      <c r="F255" s="0" t="n">
        <v>315</v>
      </c>
      <c r="G255" s="0" t="n">
        <v>296</v>
      </c>
      <c r="H255" s="0" t="s">
        <v>860</v>
      </c>
      <c r="BE255" s="2" t="n">
        <v>43267</v>
      </c>
    </row>
    <row r="256" customFormat="false" ht="14.25" hidden="false" customHeight="false" outlineLevel="0" collapsed="false">
      <c r="A256" s="0" t="n">
        <v>255</v>
      </c>
      <c r="B256" s="1" t="s">
        <v>861</v>
      </c>
      <c r="C256" s="0" t="n">
        <v>467</v>
      </c>
      <c r="D256" s="0" t="n">
        <v>484</v>
      </c>
      <c r="E256" s="0" t="s">
        <v>291</v>
      </c>
      <c r="F256" s="0" t="n">
        <v>457</v>
      </c>
      <c r="G256" s="0" t="n">
        <v>470</v>
      </c>
      <c r="H256" s="0" t="s">
        <v>128</v>
      </c>
      <c r="I256" s="0" t="n">
        <v>326</v>
      </c>
      <c r="J256" s="0" t="n">
        <v>332</v>
      </c>
      <c r="K256" s="0" t="s">
        <v>600</v>
      </c>
      <c r="L256" s="0" t="n">
        <v>46</v>
      </c>
      <c r="M256" s="0" t="n">
        <v>45</v>
      </c>
      <c r="N256" s="0" t="s">
        <v>695</v>
      </c>
      <c r="AD256" s="0" t="n">
        <v>654</v>
      </c>
      <c r="AE256" s="0" t="n">
        <v>667</v>
      </c>
      <c r="AF256" s="0" t="s">
        <v>457</v>
      </c>
      <c r="AG256" s="0" t="n">
        <v>171</v>
      </c>
      <c r="AH256" s="0" t="n">
        <v>175</v>
      </c>
      <c r="AI256" s="0" t="s">
        <v>138</v>
      </c>
      <c r="AM256" s="0" t="n">
        <v>296</v>
      </c>
      <c r="AN256" s="0" t="n">
        <v>322</v>
      </c>
      <c r="AO256" s="0" t="s">
        <v>398</v>
      </c>
      <c r="AP256" s="0" t="n">
        <v>306</v>
      </c>
      <c r="AQ256" s="0" t="n">
        <v>313</v>
      </c>
      <c r="AR256" s="0" t="s">
        <v>652</v>
      </c>
      <c r="AV256" s="0" t="n">
        <v>296</v>
      </c>
      <c r="AW256" s="0" t="n">
        <v>322</v>
      </c>
      <c r="AX256" s="0" t="s">
        <v>398</v>
      </c>
      <c r="AY256" s="0" t="n">
        <v>306</v>
      </c>
      <c r="AZ256" s="0" t="n">
        <v>313</v>
      </c>
      <c r="BA256" s="0" t="s">
        <v>652</v>
      </c>
      <c r="BE256" s="2" t="n">
        <v>43269</v>
      </c>
    </row>
    <row r="257" customFormat="false" ht="14.25" hidden="false" customHeight="false" outlineLevel="0" collapsed="false">
      <c r="A257" s="0" t="n">
        <v>256</v>
      </c>
      <c r="B257" s="1" t="s">
        <v>862</v>
      </c>
      <c r="C257" s="0" t="n">
        <v>469</v>
      </c>
      <c r="D257" s="0" t="n">
        <v>473</v>
      </c>
      <c r="E257" s="0" t="s">
        <v>863</v>
      </c>
      <c r="F257" s="0" t="n">
        <v>437</v>
      </c>
      <c r="G257" s="0" t="n">
        <v>470</v>
      </c>
      <c r="H257" s="0" t="s">
        <v>586</v>
      </c>
      <c r="I257" s="0" t="n">
        <v>327</v>
      </c>
      <c r="J257" s="0" t="n">
        <v>332</v>
      </c>
      <c r="K257" s="0" t="s">
        <v>120</v>
      </c>
      <c r="L257" s="0" t="n">
        <v>46</v>
      </c>
      <c r="M257" s="0" t="n">
        <v>45</v>
      </c>
      <c r="N257" s="0" t="s">
        <v>695</v>
      </c>
      <c r="AD257" s="0" t="n">
        <v>649</v>
      </c>
      <c r="AE257" s="0" t="n">
        <v>666</v>
      </c>
      <c r="AF257" s="0" t="s">
        <v>139</v>
      </c>
      <c r="AG257" s="0" t="n">
        <v>150</v>
      </c>
      <c r="AH257" s="0" t="n">
        <v>175</v>
      </c>
      <c r="AI257" s="0" t="s">
        <v>381</v>
      </c>
      <c r="AM257" s="0" t="n">
        <v>304</v>
      </c>
      <c r="AN257" s="0" t="n">
        <v>322</v>
      </c>
      <c r="AO257" s="0" t="s">
        <v>160</v>
      </c>
      <c r="AP257" s="0" t="n">
        <v>296</v>
      </c>
      <c r="AQ257" s="0" t="n">
        <v>313</v>
      </c>
      <c r="AR257" s="0" t="s">
        <v>332</v>
      </c>
      <c r="AV257" s="0" t="n">
        <v>304</v>
      </c>
      <c r="AW257" s="0" t="n">
        <v>322</v>
      </c>
      <c r="AX257" s="0" t="s">
        <v>160</v>
      </c>
      <c r="AY257" s="0" t="n">
        <v>296</v>
      </c>
      <c r="AZ257" s="0" t="n">
        <v>313</v>
      </c>
      <c r="BA257" s="0" t="s">
        <v>332</v>
      </c>
      <c r="BE257" s="2" t="n">
        <v>43270</v>
      </c>
    </row>
    <row r="258" customFormat="false" ht="14.25" hidden="false" customHeight="false" outlineLevel="0" collapsed="false">
      <c r="A258" s="0" t="n">
        <v>257</v>
      </c>
      <c r="B258" s="1" t="s">
        <v>864</v>
      </c>
      <c r="C258" s="0" t="n">
        <v>461</v>
      </c>
      <c r="D258" s="0" t="n">
        <v>484</v>
      </c>
      <c r="E258" s="0" t="s">
        <v>634</v>
      </c>
      <c r="F258" s="0" t="n">
        <v>462</v>
      </c>
      <c r="G258" s="0" t="n">
        <v>470</v>
      </c>
      <c r="H258" s="0" t="s">
        <v>179</v>
      </c>
      <c r="I258" s="0" t="n">
        <v>317</v>
      </c>
      <c r="J258" s="0" t="n">
        <v>332</v>
      </c>
      <c r="K258" s="0" t="s">
        <v>127</v>
      </c>
      <c r="L258" s="0" t="n">
        <v>47</v>
      </c>
      <c r="M258" s="0" t="n">
        <v>45</v>
      </c>
      <c r="N258" s="0" t="s">
        <v>822</v>
      </c>
      <c r="AD258" s="0" t="n">
        <v>628</v>
      </c>
      <c r="AE258" s="0" t="n">
        <v>667</v>
      </c>
      <c r="AF258" s="0" t="s">
        <v>141</v>
      </c>
      <c r="AG258" s="0" t="n">
        <v>142</v>
      </c>
      <c r="AH258" s="0" t="n">
        <v>175</v>
      </c>
      <c r="AI258" s="0" t="s">
        <v>312</v>
      </c>
      <c r="AM258" s="0" t="n">
        <v>301</v>
      </c>
      <c r="AN258" s="0" t="n">
        <v>322</v>
      </c>
      <c r="AO258" s="0" t="s">
        <v>713</v>
      </c>
      <c r="AP258" s="0" t="n">
        <v>292</v>
      </c>
      <c r="AQ258" s="0" t="n">
        <v>313</v>
      </c>
      <c r="AR258" s="0" t="s">
        <v>490</v>
      </c>
      <c r="AV258" s="0" t="n">
        <v>301</v>
      </c>
      <c r="AW258" s="0" t="n">
        <v>322</v>
      </c>
      <c r="AX258" s="0" t="s">
        <v>713</v>
      </c>
      <c r="AY258" s="0" t="n">
        <v>292</v>
      </c>
      <c r="AZ258" s="0" t="n">
        <v>313</v>
      </c>
      <c r="BA258" s="0" t="s">
        <v>490</v>
      </c>
      <c r="BE258" s="2" t="n">
        <v>43271</v>
      </c>
    </row>
    <row r="259" customFormat="false" ht="14.25" hidden="false" customHeight="false" outlineLevel="0" collapsed="false">
      <c r="A259" s="0" t="n">
        <v>258</v>
      </c>
      <c r="B259" s="1" t="s">
        <v>865</v>
      </c>
      <c r="C259" s="0" t="n">
        <v>446</v>
      </c>
      <c r="D259" s="0" t="n">
        <v>484</v>
      </c>
      <c r="E259" s="0" t="s">
        <v>598</v>
      </c>
      <c r="F259" s="0" t="n">
        <v>465</v>
      </c>
      <c r="G259" s="0" t="n">
        <v>470</v>
      </c>
      <c r="H259" s="0" t="s">
        <v>143</v>
      </c>
      <c r="I259" s="0" t="n">
        <v>318</v>
      </c>
      <c r="J259" s="0" t="n">
        <v>332</v>
      </c>
      <c r="K259" s="0" t="s">
        <v>136</v>
      </c>
      <c r="L259" s="0" t="n">
        <v>46</v>
      </c>
      <c r="M259" s="0" t="n">
        <v>45</v>
      </c>
      <c r="N259" s="0" t="s">
        <v>695</v>
      </c>
      <c r="AD259" s="0" t="n">
        <v>659</v>
      </c>
      <c r="AE259" s="0" t="n">
        <v>666</v>
      </c>
      <c r="AF259" s="0" t="s">
        <v>143</v>
      </c>
      <c r="AG259" s="0" t="n">
        <v>141</v>
      </c>
      <c r="AH259" s="0" t="n">
        <v>175</v>
      </c>
      <c r="AI259" s="0" t="s">
        <v>466</v>
      </c>
      <c r="AM259" s="0" t="n">
        <v>310</v>
      </c>
      <c r="AN259" s="0" t="n">
        <v>322</v>
      </c>
      <c r="AO259" s="0" t="s">
        <v>182</v>
      </c>
      <c r="AP259" s="0" t="n">
        <v>304</v>
      </c>
      <c r="AQ259" s="0" t="n">
        <v>312</v>
      </c>
      <c r="AR259" s="0" t="s">
        <v>139</v>
      </c>
      <c r="AV259" s="0" t="n">
        <v>310</v>
      </c>
      <c r="AW259" s="0" t="n">
        <v>322</v>
      </c>
      <c r="AX259" s="0" t="s">
        <v>182</v>
      </c>
      <c r="AY259" s="0" t="n">
        <v>304</v>
      </c>
      <c r="AZ259" s="0" t="n">
        <v>312</v>
      </c>
      <c r="BA259" s="0" t="s">
        <v>139</v>
      </c>
      <c r="BE259" s="2" t="n">
        <v>43272</v>
      </c>
    </row>
    <row r="260" customFormat="false" ht="14.25" hidden="false" customHeight="false" outlineLevel="0" collapsed="false">
      <c r="A260" s="0" t="n">
        <v>259</v>
      </c>
      <c r="B260" s="1" t="s">
        <v>866</v>
      </c>
      <c r="BE260" s="2" t="n">
        <v>43273</v>
      </c>
    </row>
    <row r="261" customFormat="false" ht="14.25" hidden="false" customHeight="false" outlineLevel="0" collapsed="false">
      <c r="A261" s="0" t="n">
        <v>260</v>
      </c>
      <c r="B261" s="1" t="s">
        <v>867</v>
      </c>
      <c r="BE261" s="2" t="n">
        <v>43274</v>
      </c>
    </row>
    <row r="262" customFormat="false" ht="14.25" hidden="false" customHeight="false" outlineLevel="0" collapsed="false">
      <c r="A262" s="0" t="n">
        <v>261</v>
      </c>
      <c r="B262" s="1" t="s">
        <v>868</v>
      </c>
      <c r="I262" s="0" t="n">
        <v>395</v>
      </c>
      <c r="J262" s="0" t="n">
        <v>415</v>
      </c>
      <c r="K262" s="0" t="s">
        <v>634</v>
      </c>
      <c r="BE262" s="2" t="n">
        <v>43275</v>
      </c>
    </row>
    <row r="263" customFormat="false" ht="14.25" hidden="false" customHeight="false" outlineLevel="0" collapsed="false">
      <c r="A263" s="0" t="n">
        <v>262</v>
      </c>
      <c r="B263" s="1" t="s">
        <v>869</v>
      </c>
      <c r="C263" s="0" t="n">
        <v>462</v>
      </c>
      <c r="D263" s="0" t="n">
        <v>484</v>
      </c>
      <c r="E263" s="0" t="s">
        <v>127</v>
      </c>
      <c r="F263" s="0" t="n">
        <v>437</v>
      </c>
      <c r="G263" s="0" t="n">
        <v>470</v>
      </c>
      <c r="H263" s="0" t="s">
        <v>586</v>
      </c>
      <c r="I263" s="0" t="n">
        <v>325</v>
      </c>
      <c r="J263" s="0" t="n">
        <v>332</v>
      </c>
      <c r="K263" s="0" t="s">
        <v>551</v>
      </c>
      <c r="L263" s="0" t="n">
        <v>46</v>
      </c>
      <c r="M263" s="0" t="n">
        <v>45</v>
      </c>
      <c r="N263" s="0" t="s">
        <v>695</v>
      </c>
      <c r="AD263" s="0" t="n">
        <v>605</v>
      </c>
      <c r="AE263" s="0" t="n">
        <v>666</v>
      </c>
      <c r="AF263" s="0" t="s">
        <v>113</v>
      </c>
      <c r="AG263" s="0" t="n">
        <v>141</v>
      </c>
      <c r="AH263" s="0" t="n">
        <v>175</v>
      </c>
      <c r="AI263" s="0" t="s">
        <v>466</v>
      </c>
      <c r="AM263" s="0" t="n">
        <v>314</v>
      </c>
      <c r="AN263" s="0" t="n">
        <v>322</v>
      </c>
      <c r="AO263" s="0" t="s">
        <v>370</v>
      </c>
      <c r="AP263" s="0" t="n">
        <v>309</v>
      </c>
      <c r="AQ263" s="0" t="n">
        <v>312</v>
      </c>
      <c r="AR263" s="0" t="s">
        <v>870</v>
      </c>
      <c r="AV263" s="0" t="n">
        <v>314</v>
      </c>
      <c r="AW263" s="0" t="n">
        <v>322</v>
      </c>
      <c r="AX263" s="0" t="s">
        <v>370</v>
      </c>
      <c r="AY263" s="0" t="n">
        <v>309</v>
      </c>
      <c r="AZ263" s="0" t="n">
        <v>312</v>
      </c>
      <c r="BA263" s="0" t="s">
        <v>870</v>
      </c>
      <c r="BE263" s="2" t="n">
        <v>43276</v>
      </c>
    </row>
    <row r="264" customFormat="false" ht="14.25" hidden="false" customHeight="false" outlineLevel="0" collapsed="false">
      <c r="A264" s="0" t="n">
        <v>263</v>
      </c>
      <c r="B264" s="1" t="s">
        <v>871</v>
      </c>
      <c r="C264" s="0" t="n">
        <v>461</v>
      </c>
      <c r="D264" s="0" t="n">
        <v>484</v>
      </c>
      <c r="E264" s="0" t="s">
        <v>634</v>
      </c>
      <c r="F264" s="0" t="n">
        <v>463</v>
      </c>
      <c r="G264" s="0" t="n">
        <v>470</v>
      </c>
      <c r="H264" s="0" t="s">
        <v>120</v>
      </c>
      <c r="I264" s="0" t="n">
        <v>304</v>
      </c>
      <c r="J264" s="0" t="n">
        <v>332</v>
      </c>
      <c r="K264" s="0" t="s">
        <v>292</v>
      </c>
      <c r="L264" s="0" t="n">
        <v>46</v>
      </c>
      <c r="M264" s="0" t="n">
        <v>45</v>
      </c>
      <c r="N264" s="0" t="s">
        <v>695</v>
      </c>
      <c r="AD264" s="0" t="n">
        <v>635</v>
      </c>
      <c r="AE264" s="0" t="n">
        <v>666</v>
      </c>
      <c r="AF264" s="0" t="s">
        <v>753</v>
      </c>
      <c r="AG264" s="0" t="n">
        <v>136</v>
      </c>
      <c r="AH264" s="0" t="n">
        <v>175</v>
      </c>
      <c r="AI264" s="0" t="s">
        <v>252</v>
      </c>
      <c r="AM264" s="0" t="n">
        <v>281</v>
      </c>
      <c r="AN264" s="0" t="n">
        <v>322</v>
      </c>
      <c r="AO264" s="0" t="s">
        <v>501</v>
      </c>
      <c r="AP264" s="0" t="n">
        <v>324</v>
      </c>
      <c r="AQ264" s="0" t="n">
        <v>324</v>
      </c>
      <c r="AR264" s="0" t="s">
        <v>110</v>
      </c>
      <c r="AV264" s="0" t="n">
        <v>281</v>
      </c>
      <c r="AW264" s="0" t="n">
        <v>322</v>
      </c>
      <c r="AX264" s="0" t="s">
        <v>501</v>
      </c>
      <c r="AY264" s="0" t="n">
        <v>324</v>
      </c>
      <c r="AZ264" s="0" t="n">
        <v>324</v>
      </c>
      <c r="BA264" s="0" t="s">
        <v>110</v>
      </c>
      <c r="BE264" s="2" t="n">
        <v>43277</v>
      </c>
    </row>
    <row r="265" customFormat="false" ht="14.25" hidden="false" customHeight="false" outlineLevel="0" collapsed="false">
      <c r="A265" s="0" t="n">
        <v>264</v>
      </c>
      <c r="B265" s="1" t="s">
        <v>872</v>
      </c>
      <c r="C265" s="0" t="n">
        <v>473</v>
      </c>
      <c r="D265" s="0" t="n">
        <v>484</v>
      </c>
      <c r="E265" s="0" t="s">
        <v>138</v>
      </c>
      <c r="F265" s="0" t="n">
        <v>458</v>
      </c>
      <c r="G265" s="0" t="n">
        <v>470</v>
      </c>
      <c r="H265" s="0" t="s">
        <v>139</v>
      </c>
      <c r="I265" s="0" t="n">
        <v>297</v>
      </c>
      <c r="J265" s="0" t="n">
        <v>332</v>
      </c>
      <c r="K265" s="0" t="s">
        <v>122</v>
      </c>
      <c r="L265" s="0" t="n">
        <v>47</v>
      </c>
      <c r="M265" s="0" t="n">
        <v>45</v>
      </c>
      <c r="N265" s="0" t="s">
        <v>822</v>
      </c>
      <c r="AD265" s="0" t="n">
        <v>659</v>
      </c>
      <c r="AE265" s="0" t="n">
        <v>660</v>
      </c>
      <c r="AF265" s="0" t="s">
        <v>623</v>
      </c>
      <c r="AG265" s="0" t="n">
        <v>135</v>
      </c>
      <c r="AH265" s="0" t="n">
        <v>175</v>
      </c>
      <c r="AI265" s="0" t="s">
        <v>873</v>
      </c>
      <c r="AM265" s="0" t="n">
        <v>325</v>
      </c>
      <c r="AN265" s="0" t="n">
        <v>325</v>
      </c>
      <c r="AO265" s="0" t="s">
        <v>110</v>
      </c>
      <c r="AP265" s="0" t="n">
        <v>302</v>
      </c>
      <c r="AQ265" s="0" t="n">
        <v>313</v>
      </c>
      <c r="AR265" s="0" t="s">
        <v>291</v>
      </c>
      <c r="AV265" s="0" t="n">
        <v>325</v>
      </c>
      <c r="AW265" s="0" t="n">
        <v>325</v>
      </c>
      <c r="AX265" s="0" t="s">
        <v>110</v>
      </c>
      <c r="AY265" s="0" t="n">
        <v>302</v>
      </c>
      <c r="AZ265" s="0" t="n">
        <v>313</v>
      </c>
      <c r="BA265" s="0" t="s">
        <v>291</v>
      </c>
      <c r="BE265" s="2" t="n">
        <v>43278</v>
      </c>
    </row>
    <row r="266" customFormat="false" ht="14.25" hidden="false" customHeight="false" outlineLevel="0" collapsed="false">
      <c r="A266" s="0" t="n">
        <v>265</v>
      </c>
      <c r="B266" s="1" t="s">
        <v>874</v>
      </c>
      <c r="AD266" s="0" t="n">
        <v>600</v>
      </c>
      <c r="AE266" s="0" t="n">
        <v>645</v>
      </c>
      <c r="AF266" s="0" t="s">
        <v>586</v>
      </c>
      <c r="AG266" s="0" t="n">
        <v>138</v>
      </c>
      <c r="AH266" s="0" t="n">
        <v>175</v>
      </c>
      <c r="AI266" s="0" t="s">
        <v>685</v>
      </c>
      <c r="AM266" s="0" t="n">
        <v>307</v>
      </c>
      <c r="AN266" s="0" t="n">
        <v>330</v>
      </c>
      <c r="AO266" s="0" t="s">
        <v>586</v>
      </c>
      <c r="AP266" s="0" t="n">
        <v>313</v>
      </c>
      <c r="AQ266" s="0" t="n">
        <v>320</v>
      </c>
      <c r="AR266" s="0" t="s">
        <v>652</v>
      </c>
      <c r="AV266" s="0" t="n">
        <v>307</v>
      </c>
      <c r="AW266" s="0" t="n">
        <v>330</v>
      </c>
      <c r="AX266" s="0" t="s">
        <v>586</v>
      </c>
      <c r="AY266" s="0" t="n">
        <v>313</v>
      </c>
      <c r="AZ266" s="0" t="n">
        <v>320</v>
      </c>
      <c r="BA266" s="0" t="s">
        <v>652</v>
      </c>
      <c r="BE266" s="2" t="n">
        <v>43284</v>
      </c>
    </row>
    <row r="267" customFormat="false" ht="14.25" hidden="false" customHeight="false" outlineLevel="0" collapsed="false">
      <c r="A267" s="0" t="n">
        <v>266</v>
      </c>
      <c r="B267" s="1" t="s">
        <v>875</v>
      </c>
      <c r="C267" s="0" t="n">
        <v>464</v>
      </c>
      <c r="D267" s="0" t="n">
        <v>484</v>
      </c>
      <c r="E267" s="0" t="s">
        <v>777</v>
      </c>
      <c r="F267" s="0" t="n">
        <v>453</v>
      </c>
      <c r="G267" s="0" t="n">
        <v>470</v>
      </c>
      <c r="H267" s="0" t="s">
        <v>187</v>
      </c>
      <c r="I267" s="0" t="n">
        <v>324</v>
      </c>
      <c r="J267" s="0" t="n">
        <v>332</v>
      </c>
      <c r="K267" s="0" t="s">
        <v>497</v>
      </c>
      <c r="AD267" s="0" t="n">
        <v>654</v>
      </c>
      <c r="AE267" s="0" t="n">
        <v>667</v>
      </c>
      <c r="AF267" s="0" t="s">
        <v>457</v>
      </c>
      <c r="AG267" s="0" t="n">
        <v>137</v>
      </c>
      <c r="AH267" s="0" t="n">
        <v>175</v>
      </c>
      <c r="AI267" s="0" t="s">
        <v>876</v>
      </c>
      <c r="AM267" s="0" t="n">
        <v>311</v>
      </c>
      <c r="AN267" s="0" t="n">
        <v>341</v>
      </c>
      <c r="AO267" s="0" t="s">
        <v>176</v>
      </c>
      <c r="AP267" s="0" t="n">
        <v>318</v>
      </c>
      <c r="AQ267" s="0" t="n">
        <v>331</v>
      </c>
      <c r="AR267" s="0" t="s">
        <v>594</v>
      </c>
      <c r="AV267" s="0" t="n">
        <v>311</v>
      </c>
      <c r="AW267" s="0" t="n">
        <v>341</v>
      </c>
      <c r="AX267" s="0" t="s">
        <v>176</v>
      </c>
      <c r="AY267" s="0" t="n">
        <v>318</v>
      </c>
      <c r="AZ267" s="0" t="n">
        <v>331</v>
      </c>
      <c r="BA267" s="0" t="s">
        <v>594</v>
      </c>
      <c r="BE267" s="2" t="n">
        <v>43285</v>
      </c>
    </row>
    <row r="268" customFormat="false" ht="14.25" hidden="false" customHeight="false" outlineLevel="0" collapsed="false">
      <c r="A268" s="0" t="n">
        <v>267</v>
      </c>
      <c r="B268" s="1" t="s">
        <v>877</v>
      </c>
      <c r="C268" s="0" t="n">
        <v>472</v>
      </c>
      <c r="D268" s="0" t="n">
        <v>484</v>
      </c>
      <c r="E268" s="0" t="s">
        <v>370</v>
      </c>
      <c r="F268" s="0" t="n">
        <v>454</v>
      </c>
      <c r="G268" s="0" t="n">
        <v>470</v>
      </c>
      <c r="H268" s="0" t="s">
        <v>119</v>
      </c>
      <c r="I268" s="0" t="n">
        <v>301</v>
      </c>
      <c r="J268" s="0" t="n">
        <v>332</v>
      </c>
      <c r="K268" s="0" t="s">
        <v>186</v>
      </c>
      <c r="L268" s="0" t="n">
        <v>47</v>
      </c>
      <c r="M268" s="0" t="n">
        <v>45</v>
      </c>
      <c r="N268" s="0" t="s">
        <v>822</v>
      </c>
      <c r="AD268" s="0" t="n">
        <v>667</v>
      </c>
      <c r="AE268" s="0" t="n">
        <v>706</v>
      </c>
      <c r="AF268" s="0" t="s">
        <v>581</v>
      </c>
      <c r="AG268" s="0" t="n">
        <v>175</v>
      </c>
      <c r="AH268" s="0" t="n">
        <v>205</v>
      </c>
      <c r="AI268" s="0" t="s">
        <v>318</v>
      </c>
      <c r="AP268" s="0" t="n">
        <v>316</v>
      </c>
      <c r="AQ268" s="0" t="n">
        <v>327</v>
      </c>
      <c r="AR268" s="0" t="s">
        <v>119</v>
      </c>
      <c r="AY268" s="0" t="n">
        <v>316</v>
      </c>
      <c r="AZ268" s="0" t="n">
        <v>327</v>
      </c>
      <c r="BA268" s="0" t="s">
        <v>119</v>
      </c>
      <c r="BE268" s="2" t="n">
        <v>43286</v>
      </c>
    </row>
    <row r="269" customFormat="false" ht="14.25" hidden="false" customHeight="false" outlineLevel="0" collapsed="false">
      <c r="A269" s="0" t="n">
        <v>268</v>
      </c>
      <c r="B269" s="1" t="s">
        <v>878</v>
      </c>
      <c r="I269" s="0" t="n">
        <v>404</v>
      </c>
      <c r="J269" s="0" t="n">
        <v>415</v>
      </c>
      <c r="K269" s="0" t="s">
        <v>149</v>
      </c>
      <c r="BE269" s="2" t="n">
        <v>43289</v>
      </c>
    </row>
    <row r="270" customFormat="false" ht="14.25" hidden="false" customHeight="false" outlineLevel="0" collapsed="false">
      <c r="A270" s="0" t="n">
        <v>269</v>
      </c>
      <c r="B270" s="1" t="s">
        <v>879</v>
      </c>
      <c r="C270" s="0" t="n">
        <v>472</v>
      </c>
      <c r="D270" s="0" t="n">
        <v>484</v>
      </c>
      <c r="E270" s="0" t="s">
        <v>370</v>
      </c>
      <c r="F270" s="0" t="n">
        <v>327</v>
      </c>
      <c r="G270" s="0" t="n">
        <v>344</v>
      </c>
      <c r="H270" s="0" t="s">
        <v>210</v>
      </c>
      <c r="I270" s="0" t="n">
        <v>269</v>
      </c>
      <c r="J270" s="0" t="n">
        <v>394</v>
      </c>
      <c r="K270" s="0" t="s">
        <v>261</v>
      </c>
      <c r="L270" s="0" t="n">
        <v>40</v>
      </c>
      <c r="M270" s="0" t="n">
        <v>39</v>
      </c>
      <c r="N270" s="0" t="s">
        <v>880</v>
      </c>
      <c r="AD270" s="0" t="n">
        <v>567</v>
      </c>
      <c r="AE270" s="0" t="n">
        <v>580</v>
      </c>
      <c r="AF270" s="0" t="s">
        <v>652</v>
      </c>
      <c r="AG270" s="0" t="n">
        <v>130</v>
      </c>
      <c r="AH270" s="0" t="n">
        <v>175</v>
      </c>
      <c r="AI270" s="0" t="s">
        <v>278</v>
      </c>
      <c r="AM270" s="0" t="n">
        <v>283</v>
      </c>
      <c r="AN270" s="0" t="n">
        <v>288</v>
      </c>
      <c r="AO270" s="0" t="s">
        <v>179</v>
      </c>
      <c r="AP270" s="0" t="n">
        <v>273</v>
      </c>
      <c r="AQ270" s="0" t="n">
        <v>278</v>
      </c>
      <c r="AR270" s="0" t="s">
        <v>600</v>
      </c>
      <c r="AV270" s="0" t="n">
        <v>283</v>
      </c>
      <c r="AW270" s="0" t="n">
        <v>288</v>
      </c>
      <c r="AX270" s="0" t="s">
        <v>179</v>
      </c>
      <c r="AY270" s="0" t="n">
        <v>273</v>
      </c>
      <c r="AZ270" s="0" t="n">
        <v>278</v>
      </c>
      <c r="BA270" s="0" t="s">
        <v>600</v>
      </c>
      <c r="BE270" s="2" t="n">
        <v>43287</v>
      </c>
    </row>
    <row r="271" customFormat="false" ht="14.25" hidden="false" customHeight="false" outlineLevel="0" collapsed="false">
      <c r="A271" s="0" t="n">
        <v>270</v>
      </c>
      <c r="B271" s="1" t="s">
        <v>881</v>
      </c>
      <c r="C271" s="0" t="n">
        <v>446</v>
      </c>
      <c r="D271" s="0" t="n">
        <v>473</v>
      </c>
      <c r="E271" s="0" t="s">
        <v>523</v>
      </c>
      <c r="F271" s="0" t="n">
        <v>468</v>
      </c>
      <c r="G271" s="0" t="n">
        <v>460</v>
      </c>
      <c r="H271" s="0" t="s">
        <v>612</v>
      </c>
      <c r="I271" s="0" t="n">
        <v>321</v>
      </c>
      <c r="J271" s="0" t="n">
        <v>332</v>
      </c>
      <c r="K271" s="0" t="s">
        <v>538</v>
      </c>
      <c r="L271" s="0" t="n">
        <v>46</v>
      </c>
      <c r="M271" s="0" t="n">
        <v>45</v>
      </c>
      <c r="N271" s="0" t="s">
        <v>695</v>
      </c>
      <c r="AD271" s="0" t="n">
        <v>589</v>
      </c>
      <c r="AE271" s="0" t="n">
        <v>676</v>
      </c>
      <c r="AF271" s="0" t="s">
        <v>401</v>
      </c>
      <c r="AG271" s="0" t="n">
        <v>170</v>
      </c>
      <c r="AH271" s="0" t="n">
        <v>177</v>
      </c>
      <c r="AI271" s="0" t="s">
        <v>438</v>
      </c>
      <c r="AM271" s="0" t="n">
        <v>308</v>
      </c>
      <c r="AN271" s="0" t="n">
        <v>341</v>
      </c>
      <c r="AO271" s="0" t="s">
        <v>373</v>
      </c>
      <c r="AP271" s="0" t="n">
        <v>313</v>
      </c>
      <c r="AQ271" s="0" t="n">
        <v>331</v>
      </c>
      <c r="AR271" s="0" t="s">
        <v>332</v>
      </c>
      <c r="AV271" s="0" t="n">
        <v>308</v>
      </c>
      <c r="AW271" s="0" t="n">
        <v>341</v>
      </c>
      <c r="AX271" s="0" t="s">
        <v>373</v>
      </c>
      <c r="AY271" s="0" t="n">
        <v>313</v>
      </c>
      <c r="AZ271" s="0" t="n">
        <v>331</v>
      </c>
      <c r="BA271" s="0" t="s">
        <v>332</v>
      </c>
      <c r="BE271" s="2" t="n">
        <v>43291</v>
      </c>
    </row>
    <row r="272" customFormat="false" ht="14.25" hidden="false" customHeight="false" outlineLevel="0" collapsed="false">
      <c r="A272" s="0" t="n">
        <v>271</v>
      </c>
      <c r="B272" s="1" t="s">
        <v>882</v>
      </c>
      <c r="C272" s="0" t="n">
        <v>463</v>
      </c>
      <c r="D272" s="0" t="n">
        <v>484</v>
      </c>
      <c r="E272" s="0" t="s">
        <v>144</v>
      </c>
      <c r="F272" s="0" t="n">
        <v>458</v>
      </c>
      <c r="G272" s="0" t="n">
        <v>470</v>
      </c>
      <c r="H272" s="0" t="s">
        <v>139</v>
      </c>
      <c r="I272" s="0" t="n">
        <v>326</v>
      </c>
      <c r="J272" s="0" t="n">
        <v>332</v>
      </c>
      <c r="K272" s="0" t="s">
        <v>600</v>
      </c>
      <c r="L272" s="0" t="n">
        <v>46</v>
      </c>
      <c r="M272" s="0" t="n">
        <v>45</v>
      </c>
      <c r="N272" s="0" t="s">
        <v>695</v>
      </c>
      <c r="AD272" s="0" t="n">
        <v>548</v>
      </c>
      <c r="AE272" s="0" t="n">
        <v>677</v>
      </c>
      <c r="AF272" s="0" t="s">
        <v>211</v>
      </c>
      <c r="AG272" s="0" t="n">
        <v>160</v>
      </c>
      <c r="AH272" s="0" t="n">
        <v>178</v>
      </c>
      <c r="AI272" s="0" t="s">
        <v>489</v>
      </c>
      <c r="AM272" s="0" t="n">
        <v>298</v>
      </c>
      <c r="AN272" s="0" t="n">
        <v>341</v>
      </c>
      <c r="AO272" s="0" t="s">
        <v>419</v>
      </c>
      <c r="AP272" s="0" t="n">
        <v>318</v>
      </c>
      <c r="AQ272" s="0" t="n">
        <v>331</v>
      </c>
      <c r="AR272" s="0" t="s">
        <v>594</v>
      </c>
      <c r="AV272" s="0" t="n">
        <v>298</v>
      </c>
      <c r="AW272" s="0" t="n">
        <v>341</v>
      </c>
      <c r="AX272" s="0" t="s">
        <v>419</v>
      </c>
      <c r="AY272" s="0" t="n">
        <v>318</v>
      </c>
      <c r="AZ272" s="0" t="n">
        <v>331</v>
      </c>
      <c r="BA272" s="0" t="s">
        <v>594</v>
      </c>
      <c r="BE272" s="2" t="n">
        <v>43292</v>
      </c>
    </row>
    <row r="273" customFormat="false" ht="14.25" hidden="false" customHeight="false" outlineLevel="0" collapsed="false">
      <c r="A273" s="0" t="n">
        <v>272</v>
      </c>
      <c r="B273" s="1" t="s">
        <v>883</v>
      </c>
      <c r="C273" s="0" t="n">
        <v>460</v>
      </c>
      <c r="D273" s="0" t="n">
        <v>484</v>
      </c>
      <c r="E273" s="0" t="s">
        <v>606</v>
      </c>
      <c r="F273" s="0" t="n">
        <v>465</v>
      </c>
      <c r="G273" s="0" t="n">
        <v>470</v>
      </c>
      <c r="H273" s="0" t="s">
        <v>143</v>
      </c>
      <c r="I273" s="0" t="n">
        <v>326</v>
      </c>
      <c r="J273" s="0" t="n">
        <v>332</v>
      </c>
      <c r="K273" s="0" t="s">
        <v>600</v>
      </c>
      <c r="L273" s="0" t="n">
        <v>46</v>
      </c>
      <c r="M273" s="0" t="n">
        <v>45</v>
      </c>
      <c r="N273" s="0" t="s">
        <v>695</v>
      </c>
      <c r="AD273" s="0" t="n">
        <v>618</v>
      </c>
      <c r="AE273" s="0" t="n">
        <v>676</v>
      </c>
      <c r="AF273" s="0" t="s">
        <v>795</v>
      </c>
      <c r="AG273" s="0" t="n">
        <v>145</v>
      </c>
      <c r="AH273" s="0" t="n">
        <v>177</v>
      </c>
      <c r="AI273" s="0" t="s">
        <v>477</v>
      </c>
      <c r="AM273" s="0" t="n">
        <v>301</v>
      </c>
      <c r="AN273" s="0" t="n">
        <v>331</v>
      </c>
      <c r="AO273" s="0" t="s">
        <v>452</v>
      </c>
      <c r="AP273" s="0" t="n">
        <v>327</v>
      </c>
      <c r="AQ273" s="0" t="n">
        <v>327</v>
      </c>
      <c r="AR273" s="0" t="s">
        <v>110</v>
      </c>
      <c r="AV273" s="0" t="n">
        <v>301</v>
      </c>
      <c r="AW273" s="0" t="n">
        <v>331</v>
      </c>
      <c r="AX273" s="0" t="s">
        <v>452</v>
      </c>
      <c r="AY273" s="0" t="n">
        <v>327</v>
      </c>
      <c r="AZ273" s="0" t="n">
        <v>327</v>
      </c>
      <c r="BA273" s="0" t="s">
        <v>110</v>
      </c>
      <c r="BE273" s="2" t="n">
        <v>43293</v>
      </c>
    </row>
    <row r="274" customFormat="false" ht="14.25" hidden="false" customHeight="false" outlineLevel="0" collapsed="false">
      <c r="A274" s="0" t="n">
        <v>273</v>
      </c>
      <c r="B274" s="1" t="s">
        <v>884</v>
      </c>
      <c r="C274" s="0" t="n">
        <v>472</v>
      </c>
      <c r="D274" s="0" t="n">
        <v>484</v>
      </c>
      <c r="E274" s="0" t="s">
        <v>370</v>
      </c>
      <c r="F274" s="0" t="n">
        <v>461</v>
      </c>
      <c r="G274" s="0" t="n">
        <v>470</v>
      </c>
      <c r="H274" s="0" t="s">
        <v>457</v>
      </c>
      <c r="I274" s="0" t="n">
        <v>383</v>
      </c>
      <c r="J274" s="0" t="n">
        <v>394</v>
      </c>
      <c r="K274" s="0" t="s">
        <v>128</v>
      </c>
      <c r="L274" s="0" t="n">
        <v>46</v>
      </c>
      <c r="M274" s="0" t="n">
        <v>45</v>
      </c>
      <c r="N274" s="0" t="s">
        <v>695</v>
      </c>
      <c r="AD274" s="0" t="n">
        <v>632</v>
      </c>
      <c r="AE274" s="0" t="n">
        <v>647</v>
      </c>
      <c r="AF274" s="0" t="s">
        <v>138</v>
      </c>
      <c r="AG274" s="0" t="n">
        <v>149</v>
      </c>
      <c r="AH274" s="0" t="n">
        <v>460</v>
      </c>
      <c r="AI274" s="0" t="s">
        <v>885</v>
      </c>
      <c r="AM274" s="0" t="n">
        <v>338</v>
      </c>
      <c r="AN274" s="0" t="n">
        <v>341</v>
      </c>
      <c r="AO274" s="0" t="s">
        <v>798</v>
      </c>
      <c r="AP274" s="0" t="n">
        <v>320</v>
      </c>
      <c r="AQ274" s="0" t="n">
        <v>331</v>
      </c>
      <c r="AR274" s="0" t="s">
        <v>538</v>
      </c>
      <c r="AV274" s="0" t="n">
        <v>338</v>
      </c>
      <c r="AW274" s="0" t="n">
        <v>341</v>
      </c>
      <c r="AX274" s="0" t="s">
        <v>798</v>
      </c>
      <c r="AY274" s="0" t="n">
        <v>320</v>
      </c>
      <c r="AZ274" s="0" t="n">
        <v>331</v>
      </c>
      <c r="BA274" s="0" t="s">
        <v>538</v>
      </c>
      <c r="BE274" s="2" t="n">
        <v>43294</v>
      </c>
    </row>
    <row r="275" customFormat="false" ht="14.25" hidden="false" customHeight="false" outlineLevel="0" collapsed="false">
      <c r="A275" s="0" t="n">
        <v>274</v>
      </c>
      <c r="B275" s="1" t="s">
        <v>886</v>
      </c>
      <c r="C275" s="0" t="n">
        <v>342</v>
      </c>
      <c r="D275" s="0" t="n">
        <v>355</v>
      </c>
      <c r="E275" s="0" t="s">
        <v>182</v>
      </c>
      <c r="F275" s="0" t="n">
        <v>249</v>
      </c>
      <c r="G275" s="0" t="n">
        <v>275</v>
      </c>
      <c r="H275" s="0" t="s">
        <v>608</v>
      </c>
      <c r="AD275" s="0" t="n">
        <v>434</v>
      </c>
      <c r="AE275" s="0" t="n">
        <v>493</v>
      </c>
      <c r="AF275" s="0" t="s">
        <v>158</v>
      </c>
      <c r="AG275" s="0" t="n">
        <v>106</v>
      </c>
      <c r="AH275" s="0" t="n">
        <v>133</v>
      </c>
      <c r="AI275" s="0" t="s">
        <v>445</v>
      </c>
      <c r="AM275" s="0" t="n">
        <v>208</v>
      </c>
      <c r="AN275" s="0" t="n">
        <v>232</v>
      </c>
      <c r="AO275" s="0" t="s">
        <v>123</v>
      </c>
      <c r="AP275" s="0" t="n">
        <v>212</v>
      </c>
      <c r="AQ275" s="0" t="n">
        <v>232</v>
      </c>
      <c r="AR275" s="0" t="s">
        <v>795</v>
      </c>
      <c r="AV275" s="0" t="n">
        <v>208</v>
      </c>
      <c r="AW275" s="0" t="n">
        <v>232</v>
      </c>
      <c r="AX275" s="0" t="s">
        <v>123</v>
      </c>
      <c r="AY275" s="0" t="n">
        <v>212</v>
      </c>
      <c r="AZ275" s="0" t="n">
        <v>232</v>
      </c>
      <c r="BA275" s="0" t="s">
        <v>795</v>
      </c>
      <c r="BE275" s="2" t="n">
        <v>43295</v>
      </c>
    </row>
    <row r="276" customFormat="false" ht="14.25" hidden="false" customHeight="false" outlineLevel="0" collapsed="false">
      <c r="A276" s="0" t="n">
        <v>275</v>
      </c>
      <c r="B276" s="1" t="s">
        <v>887</v>
      </c>
      <c r="I276" s="0" t="n">
        <v>389</v>
      </c>
      <c r="J276" s="0" t="n">
        <v>415</v>
      </c>
      <c r="K276" s="0" t="s">
        <v>467</v>
      </c>
      <c r="BE276" s="2" t="n">
        <v>43296</v>
      </c>
    </row>
    <row r="277" customFormat="false" ht="14.25" hidden="false" customHeight="false" outlineLevel="0" collapsed="false">
      <c r="A277" s="0" t="n">
        <v>276</v>
      </c>
      <c r="B277" s="1" t="s">
        <v>888</v>
      </c>
      <c r="C277" s="0" t="n">
        <v>472</v>
      </c>
      <c r="D277" s="0" t="n">
        <v>484</v>
      </c>
      <c r="E277" s="0" t="s">
        <v>370</v>
      </c>
      <c r="F277" s="0" t="n">
        <v>459</v>
      </c>
      <c r="G277" s="0" t="n">
        <v>470</v>
      </c>
      <c r="H277" s="0" t="s">
        <v>138</v>
      </c>
      <c r="I277" s="0" t="n">
        <v>328</v>
      </c>
      <c r="J277" s="0" t="n">
        <v>332</v>
      </c>
      <c r="K277" s="0" t="s">
        <v>153</v>
      </c>
      <c r="AD277" s="0" t="n">
        <v>634</v>
      </c>
      <c r="AE277" s="0" t="n">
        <v>667</v>
      </c>
      <c r="AF277" s="0" t="s">
        <v>210</v>
      </c>
      <c r="AG277" s="0" t="n">
        <v>135</v>
      </c>
      <c r="AH277" s="0" t="n">
        <v>175</v>
      </c>
      <c r="AI277" s="0" t="s">
        <v>873</v>
      </c>
      <c r="AM277" s="0" t="n">
        <v>344</v>
      </c>
      <c r="AN277" s="0" t="n">
        <v>344</v>
      </c>
      <c r="AO277" s="0" t="s">
        <v>110</v>
      </c>
      <c r="AP277" s="0" t="n">
        <v>285</v>
      </c>
      <c r="AQ277" s="0" t="n">
        <v>322</v>
      </c>
      <c r="AR277" s="0" t="s">
        <v>414</v>
      </c>
      <c r="AV277" s="0" t="n">
        <v>344</v>
      </c>
      <c r="AW277" s="0" t="n">
        <v>344</v>
      </c>
      <c r="AX277" s="0" t="s">
        <v>110</v>
      </c>
      <c r="AY277" s="0" t="n">
        <v>285</v>
      </c>
      <c r="AZ277" s="0" t="n">
        <v>322</v>
      </c>
      <c r="BA277" s="0" t="s">
        <v>414</v>
      </c>
      <c r="BE277" s="2" t="n">
        <v>43297</v>
      </c>
    </row>
    <row r="278" customFormat="false" ht="14.25" hidden="false" customHeight="false" outlineLevel="0" collapsed="false">
      <c r="A278" s="0" t="n">
        <v>277</v>
      </c>
      <c r="B278" s="1" t="s">
        <v>889</v>
      </c>
      <c r="C278" s="0" t="n">
        <v>463</v>
      </c>
      <c r="D278" s="0" t="n">
        <v>473</v>
      </c>
      <c r="E278" s="0" t="s">
        <v>551</v>
      </c>
      <c r="F278" s="0" t="n">
        <v>454</v>
      </c>
      <c r="G278" s="0" t="n">
        <v>460</v>
      </c>
      <c r="H278" s="0" t="s">
        <v>789</v>
      </c>
      <c r="I278" s="0" t="n">
        <v>322</v>
      </c>
      <c r="J278" s="0" t="n">
        <v>332</v>
      </c>
      <c r="K278" s="0" t="s">
        <v>756</v>
      </c>
      <c r="L278" s="0" t="n">
        <v>45</v>
      </c>
      <c r="M278" s="0" t="n">
        <v>45</v>
      </c>
      <c r="N278" s="0" t="s">
        <v>110</v>
      </c>
      <c r="AD278" s="0" t="n">
        <v>618</v>
      </c>
      <c r="AE278" s="0" t="n">
        <v>667</v>
      </c>
      <c r="AF278" s="0" t="s">
        <v>618</v>
      </c>
      <c r="AG278" s="0" t="n">
        <v>132</v>
      </c>
      <c r="AH278" s="0" t="n">
        <v>175</v>
      </c>
      <c r="AI278" s="0" t="s">
        <v>540</v>
      </c>
      <c r="AM278" s="0" t="n">
        <v>338</v>
      </c>
      <c r="AN278" s="0" t="n">
        <v>338</v>
      </c>
      <c r="AO278" s="0" t="s">
        <v>110</v>
      </c>
      <c r="AP278" s="0" t="n">
        <v>324</v>
      </c>
      <c r="AQ278" s="0" t="n">
        <v>324</v>
      </c>
      <c r="AR278" s="0" t="s">
        <v>110</v>
      </c>
      <c r="AV278" s="0" t="n">
        <v>338</v>
      </c>
      <c r="AW278" s="0" t="n">
        <v>338</v>
      </c>
      <c r="AX278" s="0" t="s">
        <v>110</v>
      </c>
      <c r="AY278" s="0" t="n">
        <v>324</v>
      </c>
      <c r="AZ278" s="0" t="n">
        <v>324</v>
      </c>
      <c r="BA278" s="0" t="s">
        <v>110</v>
      </c>
      <c r="BE278" s="2" t="n">
        <v>43298</v>
      </c>
    </row>
    <row r="279" customFormat="false" ht="14.25" hidden="false" customHeight="false" outlineLevel="0" collapsed="false">
      <c r="A279" s="0" t="n">
        <v>278</v>
      </c>
      <c r="B279" s="1" t="s">
        <v>890</v>
      </c>
      <c r="C279" s="0" t="n">
        <v>315</v>
      </c>
      <c r="D279" s="0" t="n">
        <v>318</v>
      </c>
      <c r="E279" s="0" t="s">
        <v>798</v>
      </c>
      <c r="F279" s="0" t="n">
        <v>317</v>
      </c>
      <c r="G279" s="0" t="n">
        <v>319</v>
      </c>
      <c r="H279" s="0" t="s">
        <v>824</v>
      </c>
      <c r="L279" s="0" t="n">
        <v>31</v>
      </c>
      <c r="M279" s="0" t="n">
        <v>33</v>
      </c>
      <c r="N279" s="0" t="s">
        <v>604</v>
      </c>
      <c r="BE279" s="2" t="n">
        <v>43302</v>
      </c>
    </row>
    <row r="280" customFormat="false" ht="14.25" hidden="false" customHeight="false" outlineLevel="0" collapsed="false">
      <c r="A280" s="0" t="n">
        <v>279</v>
      </c>
      <c r="B280" s="1" t="s">
        <v>891</v>
      </c>
      <c r="I280" s="0" t="n">
        <v>401</v>
      </c>
      <c r="J280" s="0" t="n">
        <v>415</v>
      </c>
      <c r="K280" s="0" t="s">
        <v>119</v>
      </c>
      <c r="BE280" s="2" t="n">
        <v>43303</v>
      </c>
    </row>
    <row r="281" customFormat="false" ht="14.25" hidden="false" customHeight="false" outlineLevel="0" collapsed="false">
      <c r="A281" s="0" t="n">
        <v>280</v>
      </c>
      <c r="B281" s="1" t="s">
        <v>892</v>
      </c>
      <c r="C281" s="0" t="n">
        <v>398</v>
      </c>
      <c r="D281" s="0" t="n">
        <v>417</v>
      </c>
      <c r="E281" s="0" t="s">
        <v>188</v>
      </c>
      <c r="F281" s="0" t="n">
        <v>445</v>
      </c>
      <c r="G281" s="0" t="n">
        <v>470</v>
      </c>
      <c r="H281" s="0" t="s">
        <v>473</v>
      </c>
      <c r="I281" s="0" t="n">
        <v>319</v>
      </c>
      <c r="J281" s="0" t="n">
        <v>332</v>
      </c>
      <c r="K281" s="0" t="s">
        <v>594</v>
      </c>
      <c r="L281" s="0" t="n">
        <v>41</v>
      </c>
      <c r="M281" s="0" t="n">
        <v>38</v>
      </c>
      <c r="N281" s="0" t="s">
        <v>893</v>
      </c>
      <c r="AD281" s="0" t="n">
        <v>573</v>
      </c>
      <c r="AE281" s="0" t="n">
        <v>580</v>
      </c>
      <c r="AF281" s="0" t="s">
        <v>153</v>
      </c>
      <c r="AG281" s="0" t="n">
        <v>137</v>
      </c>
      <c r="AH281" s="0" t="n">
        <v>175</v>
      </c>
      <c r="AI281" s="0" t="s">
        <v>876</v>
      </c>
      <c r="AM281" s="0" t="n">
        <v>234</v>
      </c>
      <c r="AN281" s="0" t="n">
        <v>296</v>
      </c>
      <c r="AO281" s="0" t="s">
        <v>894</v>
      </c>
      <c r="AP281" s="0" t="n">
        <v>325</v>
      </c>
      <c r="AQ281" s="0" t="n">
        <v>331</v>
      </c>
      <c r="AR281" s="0" t="s">
        <v>600</v>
      </c>
      <c r="AV281" s="0" t="n">
        <v>234</v>
      </c>
      <c r="AW281" s="0" t="n">
        <v>296</v>
      </c>
      <c r="AX281" s="0" t="s">
        <v>894</v>
      </c>
      <c r="AY281" s="0" t="n">
        <v>325</v>
      </c>
      <c r="AZ281" s="0" t="n">
        <v>331</v>
      </c>
      <c r="BA281" s="0" t="s">
        <v>600</v>
      </c>
      <c r="BE281" s="2" t="n">
        <v>43304</v>
      </c>
    </row>
    <row r="282" customFormat="false" ht="14.25" hidden="false" customHeight="false" outlineLevel="0" collapsed="false">
      <c r="A282" s="0" t="n">
        <v>281</v>
      </c>
      <c r="B282" s="1" t="s">
        <v>895</v>
      </c>
      <c r="C282" s="0" t="n">
        <v>471</v>
      </c>
      <c r="D282" s="0" t="n">
        <v>484</v>
      </c>
      <c r="E282" s="0" t="s">
        <v>149</v>
      </c>
      <c r="F282" s="0" t="n">
        <v>452</v>
      </c>
      <c r="G282" s="0" t="n">
        <v>470</v>
      </c>
      <c r="H282" s="0" t="s">
        <v>200</v>
      </c>
      <c r="I282" s="0" t="n">
        <v>314</v>
      </c>
      <c r="J282" s="0" t="n">
        <v>332</v>
      </c>
      <c r="K282" s="0" t="s">
        <v>332</v>
      </c>
      <c r="L282" s="0" t="n">
        <v>47</v>
      </c>
      <c r="M282" s="0" t="n">
        <v>45</v>
      </c>
      <c r="N282" s="0" t="s">
        <v>822</v>
      </c>
      <c r="AD282" s="0" t="n">
        <v>651</v>
      </c>
      <c r="AE282" s="0" t="n">
        <v>647</v>
      </c>
      <c r="AF282" s="0" t="s">
        <v>443</v>
      </c>
      <c r="AG282" s="0" t="n">
        <v>133</v>
      </c>
      <c r="AH282" s="0" t="n">
        <v>460</v>
      </c>
      <c r="AI282" s="0" t="s">
        <v>411</v>
      </c>
      <c r="AM282" s="0" t="n">
        <v>288</v>
      </c>
      <c r="AN282" s="0" t="n">
        <v>341</v>
      </c>
      <c r="AO282" s="0" t="s">
        <v>573</v>
      </c>
      <c r="AP282" s="0" t="n">
        <v>304</v>
      </c>
      <c r="AQ282" s="0" t="n">
        <v>331</v>
      </c>
      <c r="AR282" s="0" t="s">
        <v>709</v>
      </c>
      <c r="AV282" s="0" t="n">
        <v>288</v>
      </c>
      <c r="AW282" s="0" t="n">
        <v>341</v>
      </c>
      <c r="AX282" s="0" t="s">
        <v>573</v>
      </c>
      <c r="AY282" s="0" t="n">
        <v>304</v>
      </c>
      <c r="AZ282" s="0" t="n">
        <v>331</v>
      </c>
      <c r="BA282" s="0" t="s">
        <v>709</v>
      </c>
      <c r="BE282" s="2" t="n">
        <v>43305</v>
      </c>
    </row>
    <row r="283" customFormat="false" ht="14.25" hidden="false" customHeight="false" outlineLevel="0" collapsed="false">
      <c r="A283" s="0" t="n">
        <v>282</v>
      </c>
      <c r="B283" s="1" t="s">
        <v>896</v>
      </c>
      <c r="C283" s="0" t="n">
        <v>469</v>
      </c>
      <c r="D283" s="0" t="n">
        <v>484</v>
      </c>
      <c r="E283" s="0" t="s">
        <v>758</v>
      </c>
      <c r="F283" s="0" t="n">
        <v>463</v>
      </c>
      <c r="G283" s="0" t="n">
        <v>470</v>
      </c>
      <c r="H283" s="0" t="s">
        <v>120</v>
      </c>
      <c r="I283" s="0" t="n">
        <v>321</v>
      </c>
      <c r="J283" s="0" t="n">
        <v>332</v>
      </c>
      <c r="K283" s="0" t="s">
        <v>538</v>
      </c>
      <c r="L283" s="0" t="n">
        <v>47</v>
      </c>
      <c r="M283" s="0" t="n">
        <v>45</v>
      </c>
      <c r="N283" s="0" t="s">
        <v>822</v>
      </c>
      <c r="AD283" s="0" t="n">
        <v>646</v>
      </c>
      <c r="AE283" s="0" t="n">
        <v>647</v>
      </c>
      <c r="AF283" s="0" t="s">
        <v>623</v>
      </c>
      <c r="AG283" s="0" t="n">
        <v>127</v>
      </c>
      <c r="AH283" s="0" t="n">
        <v>460</v>
      </c>
      <c r="AI283" s="0" t="s">
        <v>897</v>
      </c>
      <c r="AM283" s="0" t="n">
        <v>323</v>
      </c>
      <c r="AN283" s="0" t="n">
        <v>341</v>
      </c>
      <c r="AO283" s="0" t="s">
        <v>473</v>
      </c>
      <c r="AP283" s="0" t="n">
        <v>314</v>
      </c>
      <c r="AQ283" s="0" t="n">
        <v>331</v>
      </c>
      <c r="AR283" s="0" t="s">
        <v>142</v>
      </c>
      <c r="AV283" s="0" t="n">
        <v>323</v>
      </c>
      <c r="AW283" s="0" t="n">
        <v>341</v>
      </c>
      <c r="AX283" s="0" t="s">
        <v>473</v>
      </c>
      <c r="AY283" s="0" t="n">
        <v>314</v>
      </c>
      <c r="AZ283" s="0" t="n">
        <v>331</v>
      </c>
      <c r="BA283" s="0" t="s">
        <v>142</v>
      </c>
      <c r="BE283" s="2" t="n">
        <v>43306</v>
      </c>
    </row>
    <row r="284" customFormat="false" ht="14.25" hidden="false" customHeight="false" outlineLevel="0" collapsed="false">
      <c r="A284" s="0" t="n">
        <v>283</v>
      </c>
      <c r="B284" s="1" t="s">
        <v>898</v>
      </c>
      <c r="C284" s="0" t="n">
        <v>479</v>
      </c>
      <c r="D284" s="0" t="n">
        <v>484</v>
      </c>
      <c r="E284" s="0" t="s">
        <v>870</v>
      </c>
      <c r="F284" s="0" t="n">
        <v>468</v>
      </c>
      <c r="G284" s="0" t="n">
        <v>470</v>
      </c>
      <c r="H284" s="0" t="s">
        <v>899</v>
      </c>
      <c r="I284" s="0" t="n">
        <v>329</v>
      </c>
      <c r="J284" s="0" t="n">
        <v>332</v>
      </c>
      <c r="K284" s="0" t="s">
        <v>798</v>
      </c>
      <c r="L284" s="0" t="n">
        <v>47</v>
      </c>
      <c r="M284" s="0" t="n">
        <v>45</v>
      </c>
      <c r="N284" s="0" t="s">
        <v>822</v>
      </c>
      <c r="AD284" s="0" t="n">
        <v>595</v>
      </c>
      <c r="AE284" s="0" t="n">
        <v>666</v>
      </c>
      <c r="AF284" s="0" t="s">
        <v>574</v>
      </c>
      <c r="AG284" s="0" t="n">
        <v>202</v>
      </c>
      <c r="AH284" s="0" t="n">
        <v>202</v>
      </c>
      <c r="AI284" s="0" t="s">
        <v>110</v>
      </c>
      <c r="AM284" s="0" t="n">
        <v>337</v>
      </c>
      <c r="AN284" s="0" t="n">
        <v>337</v>
      </c>
      <c r="AO284" s="0" t="s">
        <v>110</v>
      </c>
      <c r="AP284" s="0" t="n">
        <v>221</v>
      </c>
      <c r="AQ284" s="0" t="n">
        <v>322</v>
      </c>
      <c r="AR284" s="0" t="s">
        <v>584</v>
      </c>
      <c r="AV284" s="0" t="n">
        <v>337</v>
      </c>
      <c r="AW284" s="0" t="n">
        <v>337</v>
      </c>
      <c r="AX284" s="0" t="s">
        <v>110</v>
      </c>
      <c r="AY284" s="0" t="n">
        <v>221</v>
      </c>
      <c r="AZ284" s="0" t="n">
        <v>322</v>
      </c>
      <c r="BA284" s="0" t="s">
        <v>584</v>
      </c>
      <c r="BE284" s="2" t="n">
        <v>43307</v>
      </c>
    </row>
    <row r="285" customFormat="false" ht="14.25" hidden="false" customHeight="false" outlineLevel="0" collapsed="false">
      <c r="A285" s="0" t="n">
        <v>284</v>
      </c>
      <c r="B285" s="1" t="s">
        <v>900</v>
      </c>
      <c r="C285" s="0" t="n">
        <v>460</v>
      </c>
      <c r="D285" s="0" t="n">
        <v>484</v>
      </c>
      <c r="E285" s="0" t="s">
        <v>606</v>
      </c>
      <c r="F285" s="0" t="n">
        <v>462</v>
      </c>
      <c r="G285" s="0" t="n">
        <v>470</v>
      </c>
      <c r="H285" s="0" t="s">
        <v>179</v>
      </c>
      <c r="I285" s="0" t="n">
        <v>389</v>
      </c>
      <c r="J285" s="0" t="n">
        <v>394</v>
      </c>
      <c r="K285" s="0" t="s">
        <v>789</v>
      </c>
      <c r="L285" s="0" t="n">
        <v>46</v>
      </c>
      <c r="M285" s="0" t="n">
        <v>45</v>
      </c>
      <c r="N285" s="0" t="s">
        <v>695</v>
      </c>
      <c r="AD285" s="0" t="n">
        <v>677</v>
      </c>
      <c r="AE285" s="0" t="n">
        <v>678</v>
      </c>
      <c r="AF285" s="0" t="s">
        <v>834</v>
      </c>
      <c r="AG285" s="0" t="n">
        <v>163</v>
      </c>
      <c r="AH285" s="0" t="n">
        <v>175</v>
      </c>
      <c r="AI285" s="0" t="s">
        <v>151</v>
      </c>
      <c r="AP285" s="0" t="n">
        <v>247</v>
      </c>
      <c r="AQ285" s="0" t="n">
        <v>322</v>
      </c>
      <c r="AR285" s="0" t="s">
        <v>901</v>
      </c>
      <c r="AY285" s="0" t="n">
        <v>247</v>
      </c>
      <c r="AZ285" s="0" t="n">
        <v>322</v>
      </c>
      <c r="BA285" s="0" t="s">
        <v>901</v>
      </c>
      <c r="BE285" s="2" t="n">
        <v>43308</v>
      </c>
    </row>
    <row r="286" customFormat="false" ht="14.25" hidden="false" customHeight="false" outlineLevel="0" collapsed="false">
      <c r="A286" s="0" t="n">
        <v>285</v>
      </c>
      <c r="B286" s="1" t="s">
        <v>902</v>
      </c>
      <c r="C286" s="0" t="n">
        <v>476</v>
      </c>
      <c r="D286" s="0" t="n">
        <v>484</v>
      </c>
      <c r="E286" s="0" t="s">
        <v>179</v>
      </c>
      <c r="F286" s="0" t="n">
        <v>433</v>
      </c>
      <c r="G286" s="0" t="n">
        <v>470</v>
      </c>
      <c r="H286" s="0" t="s">
        <v>598</v>
      </c>
      <c r="I286" s="0" t="n">
        <v>321</v>
      </c>
      <c r="J286" s="0" t="n">
        <v>332</v>
      </c>
      <c r="K286" s="0" t="s">
        <v>538</v>
      </c>
      <c r="L286" s="0" t="n">
        <v>46</v>
      </c>
      <c r="M286" s="0" t="n">
        <v>44</v>
      </c>
      <c r="N286" s="0" t="s">
        <v>845</v>
      </c>
      <c r="AM286" s="0" t="n">
        <v>315</v>
      </c>
      <c r="AN286" s="0" t="n">
        <v>331</v>
      </c>
      <c r="AO286" s="0" t="s">
        <v>634</v>
      </c>
      <c r="AP286" s="0" t="n">
        <v>313</v>
      </c>
      <c r="AQ286" s="0" t="n">
        <v>322</v>
      </c>
      <c r="AR286" s="0" t="s">
        <v>128</v>
      </c>
      <c r="AV286" s="0" t="n">
        <v>315</v>
      </c>
      <c r="AW286" s="0" t="n">
        <v>331</v>
      </c>
      <c r="AX286" s="0" t="s">
        <v>634</v>
      </c>
      <c r="AY286" s="0" t="n">
        <v>313</v>
      </c>
      <c r="AZ286" s="0" t="n">
        <v>322</v>
      </c>
      <c r="BA286" s="0" t="s">
        <v>128</v>
      </c>
      <c r="BE286" s="2" t="n">
        <v>43312</v>
      </c>
    </row>
    <row r="287" customFormat="false" ht="14.25" hidden="false" customHeight="false" outlineLevel="0" collapsed="false">
      <c r="A287" s="0" t="n">
        <v>286</v>
      </c>
      <c r="B287" s="1" t="s">
        <v>903</v>
      </c>
      <c r="C287" s="0" t="n">
        <v>458</v>
      </c>
      <c r="D287" s="0" t="n">
        <v>484</v>
      </c>
      <c r="E287" s="0" t="s">
        <v>332</v>
      </c>
      <c r="F287" s="0" t="n">
        <v>394</v>
      </c>
      <c r="G287" s="0" t="n">
        <v>470</v>
      </c>
      <c r="H287" s="0" t="s">
        <v>521</v>
      </c>
      <c r="I287" s="0" t="n">
        <v>322</v>
      </c>
      <c r="J287" s="0" t="n">
        <v>333</v>
      </c>
      <c r="K287" s="0" t="s">
        <v>538</v>
      </c>
      <c r="L287" s="0" t="n">
        <v>46</v>
      </c>
      <c r="M287" s="0" t="n">
        <v>45</v>
      </c>
      <c r="N287" s="0" t="s">
        <v>695</v>
      </c>
      <c r="AD287" s="0" t="n">
        <v>615</v>
      </c>
      <c r="AE287" s="0" t="n">
        <v>666</v>
      </c>
      <c r="AF287" s="0" t="s">
        <v>193</v>
      </c>
      <c r="AM287" s="0" t="n">
        <v>340</v>
      </c>
      <c r="AN287" s="0" t="n">
        <v>340</v>
      </c>
      <c r="AO287" s="0" t="s">
        <v>110</v>
      </c>
      <c r="AP287" s="0" t="n">
        <v>329</v>
      </c>
      <c r="AQ287" s="0" t="n">
        <v>329</v>
      </c>
      <c r="AR287" s="0" t="s">
        <v>110</v>
      </c>
      <c r="AV287" s="0" t="n">
        <v>340</v>
      </c>
      <c r="AW287" s="0" t="n">
        <v>340</v>
      </c>
      <c r="AX287" s="0" t="s">
        <v>110</v>
      </c>
      <c r="AY287" s="0" t="n">
        <v>329</v>
      </c>
      <c r="AZ287" s="0" t="n">
        <v>329</v>
      </c>
      <c r="BA287" s="0" t="s">
        <v>110</v>
      </c>
      <c r="BE287" s="2" t="n">
        <v>43313</v>
      </c>
    </row>
    <row r="288" customFormat="false" ht="14.25" hidden="false" customHeight="false" outlineLevel="0" collapsed="false">
      <c r="A288" s="0" t="n">
        <v>287</v>
      </c>
      <c r="B288" s="1" t="s">
        <v>904</v>
      </c>
      <c r="C288" s="0" t="n">
        <v>461</v>
      </c>
      <c r="D288" s="0" t="n">
        <v>484</v>
      </c>
      <c r="E288" s="0" t="s">
        <v>634</v>
      </c>
      <c r="F288" s="0" t="n">
        <v>438</v>
      </c>
      <c r="G288" s="0" t="n">
        <v>470</v>
      </c>
      <c r="H288" s="0" t="s">
        <v>491</v>
      </c>
      <c r="I288" s="0" t="n">
        <v>315</v>
      </c>
      <c r="J288" s="0" t="n">
        <v>332</v>
      </c>
      <c r="K288" s="0" t="s">
        <v>142</v>
      </c>
      <c r="L288" s="0" t="n">
        <v>47</v>
      </c>
      <c r="M288" s="0" t="n">
        <v>45</v>
      </c>
      <c r="N288" s="0" t="s">
        <v>822</v>
      </c>
      <c r="AD288" s="0" t="n">
        <v>675</v>
      </c>
      <c r="AE288" s="0" t="n">
        <v>676</v>
      </c>
      <c r="AF288" s="0" t="s">
        <v>834</v>
      </c>
      <c r="AM288" s="0" t="n">
        <v>302</v>
      </c>
      <c r="AN288" s="0" t="n">
        <v>331</v>
      </c>
      <c r="AO288" s="0" t="s">
        <v>176</v>
      </c>
      <c r="AP288" s="0" t="n">
        <v>301</v>
      </c>
      <c r="AQ288" s="0" t="n">
        <v>322</v>
      </c>
      <c r="AR288" s="0" t="s">
        <v>713</v>
      </c>
      <c r="AV288" s="0" t="n">
        <v>302</v>
      </c>
      <c r="AW288" s="0" t="n">
        <v>331</v>
      </c>
      <c r="AX288" s="0" t="s">
        <v>176</v>
      </c>
      <c r="AY288" s="0" t="n">
        <v>301</v>
      </c>
      <c r="AZ288" s="0" t="n">
        <v>322</v>
      </c>
      <c r="BA288" s="0" t="s">
        <v>713</v>
      </c>
      <c r="BE288" s="2" t="n">
        <v>43311</v>
      </c>
    </row>
    <row r="289" customFormat="false" ht="14.25" hidden="false" customHeight="false" outlineLevel="0" collapsed="false">
      <c r="A289" s="0" t="n">
        <v>288</v>
      </c>
      <c r="B289" s="1" t="s">
        <v>905</v>
      </c>
      <c r="C289" s="0" t="n">
        <v>458</v>
      </c>
      <c r="D289" s="0" t="n">
        <v>470</v>
      </c>
      <c r="E289" s="0" t="s">
        <v>139</v>
      </c>
      <c r="F289" s="0" t="n">
        <v>394</v>
      </c>
      <c r="G289" s="0" t="n">
        <v>403</v>
      </c>
      <c r="H289" s="0" t="s">
        <v>652</v>
      </c>
      <c r="I289" s="0" t="n">
        <v>322</v>
      </c>
      <c r="J289" s="0" t="n">
        <v>325</v>
      </c>
      <c r="K289" s="0" t="s">
        <v>798</v>
      </c>
      <c r="L289" s="0" t="n">
        <v>47</v>
      </c>
      <c r="M289" s="0" t="n">
        <v>45</v>
      </c>
      <c r="N289" s="0" t="s">
        <v>822</v>
      </c>
      <c r="AD289" s="0" t="n">
        <v>667</v>
      </c>
      <c r="AE289" s="0" t="n">
        <v>689</v>
      </c>
      <c r="AF289" s="0" t="s">
        <v>112</v>
      </c>
      <c r="AM289" s="0" t="n">
        <v>302</v>
      </c>
      <c r="AN289" s="0" t="n">
        <v>331</v>
      </c>
      <c r="AO289" s="0" t="s">
        <v>176</v>
      </c>
      <c r="AP289" s="0" t="n">
        <v>324</v>
      </c>
      <c r="AQ289" s="0" t="n">
        <v>324</v>
      </c>
      <c r="AR289" s="0" t="s">
        <v>110</v>
      </c>
      <c r="AV289" s="0" t="n">
        <v>302</v>
      </c>
      <c r="AW289" s="0" t="n">
        <v>331</v>
      </c>
      <c r="AX289" s="0" t="s">
        <v>176</v>
      </c>
      <c r="AY289" s="0" t="n">
        <v>324</v>
      </c>
      <c r="AZ289" s="0" t="n">
        <v>324</v>
      </c>
      <c r="BA289" s="0" t="s">
        <v>110</v>
      </c>
      <c r="BE289" s="2" t="n">
        <v>43314</v>
      </c>
    </row>
    <row r="290" customFormat="false" ht="14.25" hidden="false" customHeight="false" outlineLevel="0" collapsed="false">
      <c r="A290" s="0" t="n">
        <v>289</v>
      </c>
      <c r="B290" s="1" t="s">
        <v>906</v>
      </c>
      <c r="C290" s="0" t="n">
        <v>477</v>
      </c>
      <c r="D290" s="0" t="n">
        <v>485</v>
      </c>
      <c r="E290" s="0" t="s">
        <v>706</v>
      </c>
      <c r="F290" s="0" t="n">
        <v>457</v>
      </c>
      <c r="G290" s="0" t="n">
        <v>470</v>
      </c>
      <c r="H290" s="0" t="s">
        <v>128</v>
      </c>
      <c r="I290" s="0" t="n">
        <v>372</v>
      </c>
      <c r="J290" s="0" t="n">
        <v>394</v>
      </c>
      <c r="K290" s="0" t="s">
        <v>160</v>
      </c>
      <c r="L290" s="0" t="n">
        <v>46</v>
      </c>
      <c r="M290" s="0" t="n">
        <v>45</v>
      </c>
      <c r="N290" s="0" t="s">
        <v>695</v>
      </c>
      <c r="AD290" s="0" t="n">
        <v>609</v>
      </c>
      <c r="AE290" s="0" t="n">
        <v>666</v>
      </c>
      <c r="AF290" s="0" t="s">
        <v>795</v>
      </c>
      <c r="AM290" s="0" t="n">
        <v>309</v>
      </c>
      <c r="AN290" s="0" t="n">
        <v>331</v>
      </c>
      <c r="AO290" s="0" t="s">
        <v>659</v>
      </c>
      <c r="AP290" s="0" t="n">
        <v>303</v>
      </c>
      <c r="AQ290" s="0" t="n">
        <v>332</v>
      </c>
      <c r="AR290" s="0" t="s">
        <v>174</v>
      </c>
      <c r="AV290" s="0" t="n">
        <v>309</v>
      </c>
      <c r="AW290" s="0" t="n">
        <v>331</v>
      </c>
      <c r="AX290" s="0" t="s">
        <v>659</v>
      </c>
      <c r="AY290" s="0" t="n">
        <v>303</v>
      </c>
      <c r="AZ290" s="0" t="n">
        <v>332</v>
      </c>
      <c r="BA290" s="0" t="s">
        <v>174</v>
      </c>
      <c r="BE290" s="2" t="n">
        <v>43315</v>
      </c>
    </row>
    <row r="291" customFormat="false" ht="14.25" hidden="false" customHeight="false" outlineLevel="0" collapsed="false">
      <c r="A291" s="0" t="n">
        <v>290</v>
      </c>
      <c r="B291" s="1" t="s">
        <v>907</v>
      </c>
      <c r="C291" s="0" t="n">
        <v>346</v>
      </c>
      <c r="D291" s="0" t="n">
        <v>355</v>
      </c>
      <c r="E291" s="0" t="s">
        <v>370</v>
      </c>
      <c r="F291" s="0" t="n">
        <v>277</v>
      </c>
      <c r="G291" s="0" t="n">
        <v>355</v>
      </c>
      <c r="H291" s="0" t="s">
        <v>295</v>
      </c>
      <c r="AD291" s="0" t="n">
        <v>438</v>
      </c>
      <c r="AE291" s="0" t="n">
        <v>486</v>
      </c>
      <c r="AF291" s="0" t="s">
        <v>530</v>
      </c>
      <c r="AM291" s="0" t="n">
        <v>212</v>
      </c>
      <c r="AN291" s="0" t="n">
        <v>245</v>
      </c>
      <c r="AO291" s="0" t="s">
        <v>418</v>
      </c>
      <c r="AP291" s="0" t="n">
        <v>236</v>
      </c>
      <c r="AQ291" s="0" t="n">
        <v>245</v>
      </c>
      <c r="AR291" s="0" t="s">
        <v>182</v>
      </c>
      <c r="AV291" s="0" t="n">
        <v>212</v>
      </c>
      <c r="AW291" s="0" t="n">
        <v>245</v>
      </c>
      <c r="AX291" s="0" t="s">
        <v>418</v>
      </c>
      <c r="AY291" s="0" t="n">
        <v>236</v>
      </c>
      <c r="AZ291" s="0" t="n">
        <v>245</v>
      </c>
      <c r="BA291" s="0" t="s">
        <v>182</v>
      </c>
      <c r="BE291" s="2" t="n">
        <v>43316</v>
      </c>
    </row>
    <row r="292" customFormat="false" ht="14.25" hidden="false" customHeight="false" outlineLevel="0" collapsed="false">
      <c r="A292" s="0" t="n">
        <v>291</v>
      </c>
      <c r="B292" s="1" t="s">
        <v>908</v>
      </c>
      <c r="I292" s="0" t="n">
        <v>395</v>
      </c>
      <c r="J292" s="0" t="n">
        <v>415</v>
      </c>
      <c r="K292" s="0" t="s">
        <v>634</v>
      </c>
      <c r="AE292" s="0" t="n">
        <v>438</v>
      </c>
      <c r="BE292" s="2" t="n">
        <v>43317</v>
      </c>
    </row>
    <row r="293" customFormat="false" ht="14.25" hidden="false" customHeight="false" outlineLevel="0" collapsed="false">
      <c r="A293" s="0" t="n">
        <v>292</v>
      </c>
      <c r="B293" s="1" t="s">
        <v>909</v>
      </c>
      <c r="C293" s="0" t="n">
        <v>464</v>
      </c>
      <c r="D293" s="0" t="n">
        <v>484</v>
      </c>
      <c r="E293" s="0" t="s">
        <v>777</v>
      </c>
      <c r="F293" s="0" t="n">
        <v>452</v>
      </c>
      <c r="G293" s="0" t="n">
        <v>470</v>
      </c>
      <c r="H293" s="0" t="s">
        <v>200</v>
      </c>
      <c r="I293" s="0" t="n">
        <v>322</v>
      </c>
      <c r="J293" s="0" t="n">
        <v>332</v>
      </c>
      <c r="K293" s="0" t="s">
        <v>756</v>
      </c>
      <c r="L293" s="0" t="n">
        <v>45</v>
      </c>
      <c r="M293" s="0" t="n">
        <v>45</v>
      </c>
      <c r="N293" s="0" t="s">
        <v>110</v>
      </c>
      <c r="AD293" s="0" t="n">
        <v>590</v>
      </c>
      <c r="AE293" s="0" t="n">
        <v>438</v>
      </c>
      <c r="AF293" s="0" t="s">
        <v>910</v>
      </c>
      <c r="AM293" s="0" t="n">
        <v>310</v>
      </c>
      <c r="AN293" s="0" t="n">
        <v>331</v>
      </c>
      <c r="AO293" s="0" t="s">
        <v>467</v>
      </c>
      <c r="AP293" s="0" t="n">
        <v>319</v>
      </c>
      <c r="AQ293" s="0" t="n">
        <v>319</v>
      </c>
      <c r="AR293" s="0" t="s">
        <v>110</v>
      </c>
      <c r="AV293" s="0" t="n">
        <v>310</v>
      </c>
      <c r="AW293" s="0" t="n">
        <v>331</v>
      </c>
      <c r="AX293" s="0" t="s">
        <v>467</v>
      </c>
      <c r="AY293" s="0" t="n">
        <v>319</v>
      </c>
      <c r="AZ293" s="0" t="n">
        <v>319</v>
      </c>
      <c r="BA293" s="0" t="s">
        <v>110</v>
      </c>
      <c r="BE293" s="2" t="n">
        <v>43318</v>
      </c>
    </row>
    <row r="294" customFormat="false" ht="14.25" hidden="false" customHeight="false" outlineLevel="0" collapsed="false">
      <c r="A294" s="0" t="n">
        <v>293</v>
      </c>
      <c r="B294" s="1" t="s">
        <v>911</v>
      </c>
      <c r="C294" s="0" t="n">
        <v>474</v>
      </c>
      <c r="D294" s="0" t="n">
        <v>484</v>
      </c>
      <c r="E294" s="0" t="s">
        <v>551</v>
      </c>
      <c r="F294" s="0" t="n">
        <v>458</v>
      </c>
      <c r="G294" s="0" t="n">
        <v>470</v>
      </c>
      <c r="H294" s="0" t="s">
        <v>139</v>
      </c>
      <c r="I294" s="0" t="n">
        <v>328</v>
      </c>
      <c r="J294" s="0" t="n">
        <v>332</v>
      </c>
      <c r="K294" s="0" t="s">
        <v>153</v>
      </c>
      <c r="L294" s="0" t="n">
        <v>46</v>
      </c>
      <c r="M294" s="0" t="n">
        <v>45</v>
      </c>
      <c r="N294" s="0" t="s">
        <v>695</v>
      </c>
      <c r="AD294" s="0" t="n">
        <v>631</v>
      </c>
      <c r="AE294" s="0" t="n">
        <v>645</v>
      </c>
      <c r="AF294" s="0" t="s">
        <v>652</v>
      </c>
      <c r="AM294" s="0" t="n">
        <v>245</v>
      </c>
      <c r="AN294" s="0" t="n">
        <v>331</v>
      </c>
      <c r="AO294" s="0" t="s">
        <v>912</v>
      </c>
      <c r="AP294" s="0" t="n">
        <v>316</v>
      </c>
      <c r="AQ294" s="0" t="n">
        <v>321</v>
      </c>
      <c r="AR294" s="0" t="s">
        <v>706</v>
      </c>
      <c r="AV294" s="0" t="n">
        <v>245</v>
      </c>
      <c r="AW294" s="0" t="n">
        <v>331</v>
      </c>
      <c r="AX294" s="0" t="s">
        <v>912</v>
      </c>
      <c r="AY294" s="0" t="n">
        <v>316</v>
      </c>
      <c r="AZ294" s="0" t="n">
        <v>321</v>
      </c>
      <c r="BA294" s="0" t="s">
        <v>706</v>
      </c>
      <c r="BE294" s="2" t="n">
        <v>43319</v>
      </c>
    </row>
    <row r="295" customFormat="false" ht="14.25" hidden="false" customHeight="false" outlineLevel="0" collapsed="false">
      <c r="A295" s="0" t="n">
        <v>294</v>
      </c>
      <c r="B295" s="1" t="s">
        <v>913</v>
      </c>
      <c r="C295" s="0" t="n">
        <v>467</v>
      </c>
      <c r="D295" s="0" t="n">
        <v>484</v>
      </c>
      <c r="E295" s="0" t="s">
        <v>291</v>
      </c>
      <c r="F295" s="0" t="n">
        <v>464</v>
      </c>
      <c r="G295" s="0" t="n">
        <v>470</v>
      </c>
      <c r="H295" s="0" t="s">
        <v>789</v>
      </c>
      <c r="I295" s="0" t="n">
        <v>332</v>
      </c>
      <c r="J295" s="0" t="n">
        <v>332</v>
      </c>
      <c r="K295" s="0" t="s">
        <v>110</v>
      </c>
      <c r="L295" s="0" t="n">
        <v>48</v>
      </c>
      <c r="M295" s="0" t="n">
        <v>45</v>
      </c>
      <c r="N295" s="0" t="s">
        <v>914</v>
      </c>
      <c r="AD295" s="0" t="n">
        <v>630</v>
      </c>
      <c r="AE295" s="0" t="n">
        <v>667</v>
      </c>
      <c r="AF295" s="0" t="s">
        <v>581</v>
      </c>
      <c r="AM295" s="0" t="n">
        <v>331</v>
      </c>
      <c r="AN295" s="0" t="n">
        <v>331</v>
      </c>
      <c r="AO295" s="0" t="s">
        <v>110</v>
      </c>
      <c r="AP295" s="0" t="n">
        <v>333</v>
      </c>
      <c r="AQ295" s="0" t="n">
        <v>333</v>
      </c>
      <c r="AR295" s="0" t="s">
        <v>110</v>
      </c>
      <c r="AV295" s="0" t="n">
        <v>331</v>
      </c>
      <c r="AW295" s="0" t="n">
        <v>331</v>
      </c>
      <c r="AX295" s="0" t="s">
        <v>110</v>
      </c>
      <c r="AY295" s="0" t="n">
        <v>333</v>
      </c>
      <c r="AZ295" s="0" t="n">
        <v>333</v>
      </c>
      <c r="BA295" s="0" t="s">
        <v>110</v>
      </c>
      <c r="BE295" s="2" t="n">
        <v>43320</v>
      </c>
    </row>
    <row r="296" customFormat="false" ht="14.25" hidden="false" customHeight="false" outlineLevel="0" collapsed="false">
      <c r="A296" s="0" t="n">
        <v>295</v>
      </c>
      <c r="B296" s="1" t="s">
        <v>915</v>
      </c>
      <c r="C296" s="0" t="n">
        <v>452</v>
      </c>
      <c r="D296" s="0" t="n">
        <v>484</v>
      </c>
      <c r="E296" s="0" t="s">
        <v>659</v>
      </c>
      <c r="F296" s="0" t="n">
        <v>434</v>
      </c>
      <c r="G296" s="0" t="n">
        <v>455</v>
      </c>
      <c r="H296" s="0" t="s">
        <v>188</v>
      </c>
      <c r="I296" s="0" t="n">
        <v>294</v>
      </c>
      <c r="J296" s="0" t="n">
        <v>327</v>
      </c>
      <c r="K296" s="0" t="s">
        <v>489</v>
      </c>
      <c r="L296" s="0" t="n">
        <v>44</v>
      </c>
      <c r="M296" s="0" t="n">
        <v>44</v>
      </c>
      <c r="N296" s="0" t="s">
        <v>110</v>
      </c>
      <c r="AD296" s="0" t="n">
        <v>566</v>
      </c>
      <c r="AE296" s="0" t="n">
        <v>645</v>
      </c>
      <c r="AF296" s="0" t="s">
        <v>916</v>
      </c>
      <c r="AM296" s="0" t="n">
        <v>323</v>
      </c>
      <c r="AN296" s="0" t="n">
        <v>323</v>
      </c>
      <c r="AO296" s="0" t="s">
        <v>110</v>
      </c>
      <c r="AP296" s="0" t="n">
        <v>317</v>
      </c>
      <c r="AQ296" s="0" t="n">
        <v>317</v>
      </c>
      <c r="AR296" s="0" t="s">
        <v>110</v>
      </c>
      <c r="AV296" s="0" t="n">
        <v>323</v>
      </c>
      <c r="AW296" s="0" t="n">
        <v>323</v>
      </c>
      <c r="AX296" s="0" t="s">
        <v>110</v>
      </c>
      <c r="AY296" s="0" t="n">
        <v>317</v>
      </c>
      <c r="AZ296" s="0" t="n">
        <v>317</v>
      </c>
      <c r="BA296" s="0" t="s">
        <v>110</v>
      </c>
      <c r="BE296" s="2" t="n">
        <v>43321</v>
      </c>
    </row>
    <row r="297" customFormat="false" ht="14.25" hidden="false" customHeight="false" outlineLevel="0" collapsed="false">
      <c r="A297" s="0" t="n">
        <v>296</v>
      </c>
      <c r="B297" s="1" t="s">
        <v>917</v>
      </c>
      <c r="C297" s="0" t="n">
        <v>396</v>
      </c>
      <c r="D297" s="0" t="n">
        <v>484</v>
      </c>
      <c r="E297" s="0" t="s">
        <v>918</v>
      </c>
      <c r="F297" s="0" t="n">
        <v>415</v>
      </c>
      <c r="G297" s="0" t="n">
        <v>470</v>
      </c>
      <c r="H297" s="0" t="s">
        <v>625</v>
      </c>
      <c r="I297" s="0" t="n">
        <v>385</v>
      </c>
      <c r="J297" s="0" t="n">
        <v>394</v>
      </c>
      <c r="K297" s="0" t="s">
        <v>138</v>
      </c>
      <c r="L297" s="0" t="n">
        <v>39</v>
      </c>
      <c r="M297" s="0" t="n">
        <v>46</v>
      </c>
      <c r="N297" s="0" t="s">
        <v>306</v>
      </c>
      <c r="AD297" s="0" t="n">
        <v>517</v>
      </c>
      <c r="AE297" s="0" t="n">
        <v>536</v>
      </c>
      <c r="AF297" s="0" t="s">
        <v>291</v>
      </c>
      <c r="AM297" s="0" t="n">
        <v>269</v>
      </c>
      <c r="AN297" s="0" t="n">
        <v>286</v>
      </c>
      <c r="AO297" s="0" t="s">
        <v>448</v>
      </c>
      <c r="AP297" s="0" t="n">
        <v>293</v>
      </c>
      <c r="AQ297" s="0" t="n">
        <v>296</v>
      </c>
      <c r="AR297" s="0" t="s">
        <v>870</v>
      </c>
      <c r="AV297" s="0" t="n">
        <v>269</v>
      </c>
      <c r="AW297" s="0" t="n">
        <v>286</v>
      </c>
      <c r="AX297" s="0" t="s">
        <v>448</v>
      </c>
      <c r="AY297" s="0" t="n">
        <v>293</v>
      </c>
      <c r="AZ297" s="0" t="n">
        <v>296</v>
      </c>
      <c r="BA297" s="0" t="s">
        <v>870</v>
      </c>
      <c r="BE297" s="2" t="n">
        <v>43322</v>
      </c>
    </row>
    <row r="298" customFormat="false" ht="14.25" hidden="false" customHeight="false" outlineLevel="0" collapsed="false">
      <c r="A298" s="0" t="n">
        <v>297</v>
      </c>
      <c r="B298" s="1" t="s">
        <v>919</v>
      </c>
      <c r="I298" s="0" t="n">
        <v>372</v>
      </c>
      <c r="J298" s="0" t="n">
        <v>415</v>
      </c>
      <c r="K298" s="0" t="s">
        <v>377</v>
      </c>
      <c r="BE298" s="2" t="n">
        <v>43324</v>
      </c>
    </row>
    <row r="299" customFormat="false" ht="14.25" hidden="false" customHeight="false" outlineLevel="0" collapsed="false">
      <c r="A299" s="0" t="n">
        <v>298</v>
      </c>
      <c r="B299" s="1" t="s">
        <v>920</v>
      </c>
      <c r="C299" s="0" t="n">
        <v>456</v>
      </c>
      <c r="D299" s="0" t="n">
        <v>484</v>
      </c>
      <c r="E299" s="0" t="s">
        <v>141</v>
      </c>
      <c r="F299" s="0" t="n">
        <v>428</v>
      </c>
      <c r="G299" s="0" t="n">
        <v>470</v>
      </c>
      <c r="H299" s="0" t="s">
        <v>646</v>
      </c>
      <c r="I299" s="0" t="n">
        <v>322</v>
      </c>
      <c r="J299" s="0" t="n">
        <v>332</v>
      </c>
      <c r="K299" s="0" t="s">
        <v>756</v>
      </c>
      <c r="L299" s="0" t="n">
        <v>45</v>
      </c>
      <c r="M299" s="0" t="n">
        <v>46</v>
      </c>
      <c r="N299" s="0" t="s">
        <v>652</v>
      </c>
      <c r="AD299" s="0" t="n">
        <v>607</v>
      </c>
      <c r="AE299" s="0" t="n">
        <v>666</v>
      </c>
      <c r="AF299" s="0" t="s">
        <v>646</v>
      </c>
      <c r="AM299" s="0" t="n">
        <v>252</v>
      </c>
      <c r="AN299" s="0" t="n">
        <v>331</v>
      </c>
      <c r="AO299" s="0" t="s">
        <v>277</v>
      </c>
      <c r="AV299" s="0" t="n">
        <v>252</v>
      </c>
      <c r="AW299" s="0" t="n">
        <v>331</v>
      </c>
      <c r="AX299" s="0" t="s">
        <v>277</v>
      </c>
      <c r="BE299" s="2" t="n">
        <v>43325</v>
      </c>
    </row>
    <row r="300" customFormat="false" ht="14.25" hidden="false" customHeight="false" outlineLevel="0" collapsed="false">
      <c r="A300" s="0" t="n">
        <v>299</v>
      </c>
      <c r="B300" s="1" t="s">
        <v>921</v>
      </c>
      <c r="C300" s="0" t="n">
        <v>469</v>
      </c>
      <c r="D300" s="0" t="n">
        <v>473</v>
      </c>
      <c r="E300" s="0" t="s">
        <v>863</v>
      </c>
      <c r="F300" s="0" t="n">
        <v>460</v>
      </c>
      <c r="G300" s="0" t="n">
        <v>470</v>
      </c>
      <c r="H300" s="0" t="s">
        <v>551</v>
      </c>
      <c r="I300" s="0" t="n">
        <v>332</v>
      </c>
      <c r="J300" s="0" t="n">
        <v>332</v>
      </c>
      <c r="K300" s="0" t="s">
        <v>110</v>
      </c>
      <c r="L300" s="0" t="n">
        <v>47</v>
      </c>
      <c r="M300" s="0" t="n">
        <v>46</v>
      </c>
      <c r="N300" s="0" t="s">
        <v>695</v>
      </c>
      <c r="AD300" s="0" t="n">
        <v>650</v>
      </c>
      <c r="AE300" s="0" t="n">
        <v>667</v>
      </c>
      <c r="AF300" s="0" t="s">
        <v>370</v>
      </c>
      <c r="AM300" s="0" t="n">
        <v>307</v>
      </c>
      <c r="AN300" s="0" t="n">
        <v>331</v>
      </c>
      <c r="AO300" s="0" t="s">
        <v>618</v>
      </c>
      <c r="AP300" s="0" t="n">
        <v>317</v>
      </c>
      <c r="AQ300" s="0" t="n">
        <v>322</v>
      </c>
      <c r="AR300" s="0" t="s">
        <v>706</v>
      </c>
      <c r="AV300" s="0" t="n">
        <v>307</v>
      </c>
      <c r="AW300" s="0" t="n">
        <v>331</v>
      </c>
      <c r="AX300" s="0" t="s">
        <v>618</v>
      </c>
      <c r="AY300" s="0" t="n">
        <v>317</v>
      </c>
      <c r="AZ300" s="0" t="n">
        <v>322</v>
      </c>
      <c r="BA300" s="0" t="s">
        <v>706</v>
      </c>
      <c r="BE300" s="2" t="n">
        <v>43326</v>
      </c>
    </row>
    <row r="301" customFormat="false" ht="14.25" hidden="false" customHeight="false" outlineLevel="0" collapsed="false">
      <c r="A301" s="0" t="n">
        <v>300</v>
      </c>
      <c r="B301" s="1" t="s">
        <v>922</v>
      </c>
      <c r="C301" s="0" t="n">
        <v>469</v>
      </c>
      <c r="D301" s="0" t="n">
        <v>484</v>
      </c>
      <c r="E301" s="0" t="s">
        <v>758</v>
      </c>
      <c r="F301" s="0" t="n">
        <v>452</v>
      </c>
      <c r="G301" s="0" t="n">
        <v>470</v>
      </c>
      <c r="H301" s="0" t="s">
        <v>200</v>
      </c>
      <c r="I301" s="0" t="n">
        <v>1239</v>
      </c>
      <c r="J301" s="0" t="n">
        <v>1286</v>
      </c>
      <c r="K301" s="0" t="s">
        <v>182</v>
      </c>
      <c r="L301" s="0" t="n">
        <v>48</v>
      </c>
      <c r="M301" s="0" t="n">
        <v>46</v>
      </c>
      <c r="N301" s="0" t="s">
        <v>923</v>
      </c>
      <c r="AD301" s="0" t="n">
        <v>552</v>
      </c>
      <c r="AE301" s="0" t="n">
        <v>566</v>
      </c>
      <c r="AF301" s="0" t="s">
        <v>370</v>
      </c>
      <c r="AM301" s="0" t="n">
        <v>301</v>
      </c>
      <c r="AN301" s="0" t="n">
        <v>331</v>
      </c>
      <c r="AO301" s="0" t="s">
        <v>452</v>
      </c>
      <c r="AV301" s="0" t="n">
        <v>301</v>
      </c>
      <c r="AW301" s="0" t="n">
        <v>331</v>
      </c>
      <c r="AX301" s="0" t="s">
        <v>452</v>
      </c>
      <c r="BE301" s="2" t="n">
        <v>43327</v>
      </c>
    </row>
    <row r="302" customFormat="false" ht="14.25" hidden="false" customHeight="false" outlineLevel="0" collapsed="false">
      <c r="A302" s="0" t="n">
        <v>301</v>
      </c>
      <c r="B302" s="1" t="s">
        <v>924</v>
      </c>
      <c r="C302" s="0" t="n">
        <v>469</v>
      </c>
      <c r="D302" s="0" t="n">
        <v>484</v>
      </c>
      <c r="E302" s="0" t="s">
        <v>758</v>
      </c>
      <c r="F302" s="0" t="n">
        <v>457</v>
      </c>
      <c r="G302" s="0" t="n">
        <v>470</v>
      </c>
      <c r="H302" s="0" t="s">
        <v>128</v>
      </c>
      <c r="I302" s="0" t="n">
        <v>324</v>
      </c>
      <c r="J302" s="0" t="n">
        <v>332</v>
      </c>
      <c r="K302" s="0" t="s">
        <v>497</v>
      </c>
      <c r="L302" s="0" t="n">
        <v>48</v>
      </c>
      <c r="M302" s="0" t="n">
        <v>46</v>
      </c>
      <c r="N302" s="0" t="s">
        <v>923</v>
      </c>
      <c r="AD302" s="0" t="n">
        <v>648</v>
      </c>
      <c r="AE302" s="0" t="n">
        <v>667</v>
      </c>
      <c r="AF302" s="0" t="s">
        <v>128</v>
      </c>
      <c r="AM302" s="0" t="n">
        <v>320</v>
      </c>
      <c r="AN302" s="0" t="n">
        <v>331</v>
      </c>
      <c r="AO302" s="0" t="s">
        <v>538</v>
      </c>
      <c r="AP302" s="0" t="n">
        <v>333</v>
      </c>
      <c r="AQ302" s="0" t="n">
        <v>333</v>
      </c>
      <c r="AR302" s="0" t="s">
        <v>110</v>
      </c>
      <c r="AV302" s="0" t="n">
        <v>320</v>
      </c>
      <c r="AW302" s="0" t="n">
        <v>331</v>
      </c>
      <c r="AX302" s="0" t="s">
        <v>538</v>
      </c>
      <c r="AY302" s="0" t="n">
        <v>333</v>
      </c>
      <c r="AZ302" s="0" t="n">
        <v>333</v>
      </c>
      <c r="BA302" s="0" t="s">
        <v>110</v>
      </c>
      <c r="BE302" s="2" t="n">
        <v>43328</v>
      </c>
    </row>
    <row r="303" customFormat="false" ht="14.25" hidden="false" customHeight="false" outlineLevel="0" collapsed="false">
      <c r="A303" s="0" t="n">
        <v>302</v>
      </c>
      <c r="B303" s="1" t="s">
        <v>925</v>
      </c>
      <c r="C303" s="0" t="n">
        <v>471</v>
      </c>
      <c r="D303" s="0" t="n">
        <v>484</v>
      </c>
      <c r="E303" s="0" t="s">
        <v>149</v>
      </c>
      <c r="F303" s="0" t="n">
        <v>453</v>
      </c>
      <c r="G303" s="0" t="n">
        <v>470</v>
      </c>
      <c r="H303" s="0" t="s">
        <v>187</v>
      </c>
      <c r="I303" s="0" t="n">
        <v>383</v>
      </c>
      <c r="J303" s="0" t="n">
        <v>394</v>
      </c>
      <c r="K303" s="0" t="s">
        <v>128</v>
      </c>
      <c r="L303" s="0" t="n">
        <v>49</v>
      </c>
      <c r="M303" s="0" t="n">
        <v>46</v>
      </c>
      <c r="N303" s="0" t="s">
        <v>610</v>
      </c>
      <c r="AD303" s="0" t="n">
        <v>664</v>
      </c>
      <c r="AE303" s="0" t="n">
        <v>665</v>
      </c>
      <c r="AF303" s="0" t="s">
        <v>623</v>
      </c>
      <c r="AM303" s="0" t="n">
        <v>325</v>
      </c>
      <c r="AN303" s="0" t="n">
        <v>331</v>
      </c>
      <c r="AO303" s="0" t="s">
        <v>600</v>
      </c>
      <c r="AP303" s="0" t="n">
        <v>332</v>
      </c>
      <c r="AQ303" s="0" t="n">
        <v>332</v>
      </c>
      <c r="AR303" s="0" t="s">
        <v>110</v>
      </c>
      <c r="AV303" s="0" t="n">
        <v>325</v>
      </c>
      <c r="AW303" s="0" t="n">
        <v>331</v>
      </c>
      <c r="AX303" s="0" t="s">
        <v>600</v>
      </c>
      <c r="AY303" s="0" t="n">
        <v>332</v>
      </c>
      <c r="AZ303" s="0" t="n">
        <v>332</v>
      </c>
      <c r="BA303" s="0" t="s">
        <v>110</v>
      </c>
      <c r="BE303" s="2" t="n">
        <v>43329</v>
      </c>
    </row>
    <row r="304" customFormat="false" ht="14.25" hidden="false" customHeight="false" outlineLevel="0" collapsed="false">
      <c r="A304" s="0" t="n">
        <v>303</v>
      </c>
      <c r="B304" s="1" t="s">
        <v>926</v>
      </c>
      <c r="I304" s="0" t="n">
        <v>391</v>
      </c>
      <c r="J304" s="0" t="n">
        <v>415</v>
      </c>
      <c r="K304" s="0" t="s">
        <v>141</v>
      </c>
      <c r="BE304" s="2" t="n">
        <v>43331</v>
      </c>
    </row>
    <row r="305" customFormat="false" ht="14.25" hidden="false" customHeight="false" outlineLevel="0" collapsed="false">
      <c r="A305" s="0" t="n">
        <v>304</v>
      </c>
      <c r="B305" s="1" t="s">
        <v>927</v>
      </c>
      <c r="C305" s="0" t="n">
        <v>460</v>
      </c>
      <c r="D305" s="0" t="n">
        <v>484</v>
      </c>
      <c r="E305" s="0" t="s">
        <v>606</v>
      </c>
      <c r="F305" s="0" t="n">
        <v>462</v>
      </c>
      <c r="G305" s="0" t="n">
        <v>470</v>
      </c>
      <c r="H305" s="0" t="s">
        <v>179</v>
      </c>
      <c r="I305" s="0" t="n">
        <v>322</v>
      </c>
      <c r="J305" s="0" t="n">
        <v>332</v>
      </c>
      <c r="K305" s="0" t="s">
        <v>756</v>
      </c>
      <c r="L305" s="0" t="n">
        <v>48</v>
      </c>
      <c r="M305" s="0" t="n">
        <v>46</v>
      </c>
      <c r="N305" s="0" t="s">
        <v>923</v>
      </c>
      <c r="AD305" s="0" t="n">
        <v>659</v>
      </c>
      <c r="AE305" s="0" t="n">
        <v>666</v>
      </c>
      <c r="AF305" s="0" t="s">
        <v>143</v>
      </c>
      <c r="AM305" s="0" t="n">
        <v>317</v>
      </c>
      <c r="AN305" s="0" t="n">
        <v>331</v>
      </c>
      <c r="AO305" s="0" t="s">
        <v>136</v>
      </c>
      <c r="AP305" s="0" t="n">
        <v>313</v>
      </c>
      <c r="AQ305" s="0" t="n">
        <v>322</v>
      </c>
      <c r="AR305" s="0" t="s">
        <v>128</v>
      </c>
      <c r="AV305" s="0" t="n">
        <v>317</v>
      </c>
      <c r="AW305" s="0" t="n">
        <v>331</v>
      </c>
      <c r="AX305" s="0" t="s">
        <v>136</v>
      </c>
      <c r="AY305" s="0" t="n">
        <v>313</v>
      </c>
      <c r="AZ305" s="0" t="n">
        <v>322</v>
      </c>
      <c r="BA305" s="0" t="s">
        <v>128</v>
      </c>
      <c r="BE305" s="2" t="n">
        <v>43332</v>
      </c>
    </row>
    <row r="306" customFormat="false" ht="14.25" hidden="false" customHeight="false" outlineLevel="0" collapsed="false">
      <c r="A306" s="0" t="n">
        <v>305</v>
      </c>
      <c r="B306" s="1" t="s">
        <v>928</v>
      </c>
      <c r="C306" s="0" t="n">
        <v>458</v>
      </c>
      <c r="D306" s="0" t="n">
        <v>479</v>
      </c>
      <c r="E306" s="0" t="s">
        <v>544</v>
      </c>
      <c r="F306" s="0" t="n">
        <v>460</v>
      </c>
      <c r="G306" s="0" t="n">
        <v>470</v>
      </c>
      <c r="H306" s="0" t="s">
        <v>551</v>
      </c>
      <c r="I306" s="0" t="n">
        <v>325</v>
      </c>
      <c r="J306" s="0" t="n">
        <v>332</v>
      </c>
      <c r="K306" s="0" t="s">
        <v>551</v>
      </c>
      <c r="L306" s="0" t="n">
        <v>48</v>
      </c>
      <c r="M306" s="0" t="n">
        <v>46</v>
      </c>
      <c r="N306" s="0" t="s">
        <v>923</v>
      </c>
      <c r="AD306" s="0" t="n">
        <v>583</v>
      </c>
      <c r="AE306" s="0" t="n">
        <v>666</v>
      </c>
      <c r="AF306" s="0" t="s">
        <v>321</v>
      </c>
      <c r="AM306" s="0" t="n">
        <v>338</v>
      </c>
      <c r="AN306" s="0" t="n">
        <v>338</v>
      </c>
      <c r="AO306" s="0" t="s">
        <v>110</v>
      </c>
      <c r="AP306" s="0" t="n">
        <v>329</v>
      </c>
      <c r="AQ306" s="0" t="n">
        <v>329</v>
      </c>
      <c r="AR306" s="0" t="s">
        <v>110</v>
      </c>
      <c r="AV306" s="0" t="n">
        <v>338</v>
      </c>
      <c r="AW306" s="0" t="n">
        <v>338</v>
      </c>
      <c r="AX306" s="0" t="s">
        <v>110</v>
      </c>
      <c r="AY306" s="0" t="n">
        <v>329</v>
      </c>
      <c r="AZ306" s="0" t="n">
        <v>329</v>
      </c>
      <c r="BA306" s="0" t="s">
        <v>110</v>
      </c>
      <c r="BE306" s="2" t="n">
        <v>43333</v>
      </c>
    </row>
    <row r="307" customFormat="false" ht="14.25" hidden="false" customHeight="false" outlineLevel="0" collapsed="false">
      <c r="A307" s="0" t="n">
        <v>306</v>
      </c>
      <c r="B307" s="1" t="s">
        <v>929</v>
      </c>
      <c r="C307" s="0" t="n">
        <v>467</v>
      </c>
      <c r="D307" s="0" t="n">
        <v>484</v>
      </c>
      <c r="E307" s="0" t="s">
        <v>291</v>
      </c>
      <c r="F307" s="0" t="n">
        <v>466</v>
      </c>
      <c r="G307" s="0" t="n">
        <v>470</v>
      </c>
      <c r="H307" s="0" t="s">
        <v>798</v>
      </c>
      <c r="I307" s="0" t="n">
        <v>329</v>
      </c>
      <c r="J307" s="0" t="n">
        <v>332</v>
      </c>
      <c r="K307" s="0" t="s">
        <v>798</v>
      </c>
      <c r="L307" s="0" t="n">
        <v>48</v>
      </c>
      <c r="M307" s="0" t="n">
        <v>46</v>
      </c>
      <c r="N307" s="0" t="s">
        <v>923</v>
      </c>
      <c r="AD307" s="0" t="n">
        <v>663</v>
      </c>
      <c r="AE307" s="0" t="n">
        <v>676</v>
      </c>
      <c r="AF307" s="0" t="s">
        <v>457</v>
      </c>
      <c r="AM307" s="0" t="n">
        <v>361</v>
      </c>
      <c r="AN307" s="0" t="n">
        <v>344</v>
      </c>
      <c r="AO307" s="0" t="s">
        <v>930</v>
      </c>
      <c r="AP307" s="0" t="n">
        <v>334</v>
      </c>
      <c r="AQ307" s="0" t="n">
        <v>334</v>
      </c>
      <c r="AR307" s="0" t="s">
        <v>110</v>
      </c>
      <c r="AV307" s="0" t="n">
        <v>361</v>
      </c>
      <c r="AW307" s="0" t="n">
        <v>344</v>
      </c>
      <c r="AX307" s="0" t="s">
        <v>930</v>
      </c>
      <c r="AY307" s="0" t="n">
        <v>334</v>
      </c>
      <c r="AZ307" s="0" t="n">
        <v>334</v>
      </c>
      <c r="BA307" s="0" t="s">
        <v>110</v>
      </c>
      <c r="BE307" s="2" t="n">
        <v>43334</v>
      </c>
    </row>
    <row r="308" customFormat="false" ht="14.25" hidden="false" customHeight="false" outlineLevel="0" collapsed="false">
      <c r="A308" s="0" t="n">
        <v>307</v>
      </c>
      <c r="B308" s="1" t="s">
        <v>931</v>
      </c>
      <c r="C308" s="0" t="n">
        <v>460</v>
      </c>
      <c r="D308" s="0" t="n">
        <v>484</v>
      </c>
      <c r="E308" s="0" t="s">
        <v>606</v>
      </c>
      <c r="F308" s="0" t="n">
        <v>462</v>
      </c>
      <c r="G308" s="0" t="n">
        <v>470</v>
      </c>
      <c r="H308" s="0" t="s">
        <v>179</v>
      </c>
      <c r="I308" s="0" t="n">
        <v>320</v>
      </c>
      <c r="J308" s="0" t="n">
        <v>332</v>
      </c>
      <c r="K308" s="0" t="s">
        <v>187</v>
      </c>
      <c r="L308" s="0" t="n">
        <v>48</v>
      </c>
      <c r="M308" s="0" t="n">
        <v>46</v>
      </c>
      <c r="N308" s="0" t="s">
        <v>923</v>
      </c>
      <c r="AD308" s="0" t="n">
        <v>581</v>
      </c>
      <c r="AE308" s="0" t="n">
        <v>666</v>
      </c>
      <c r="AF308" s="0" t="s">
        <v>409</v>
      </c>
      <c r="AM308" s="0" t="n">
        <v>346</v>
      </c>
      <c r="AN308" s="0" t="n">
        <v>346</v>
      </c>
      <c r="AO308" s="0" t="s">
        <v>110</v>
      </c>
      <c r="AP308" s="0" t="n">
        <v>293</v>
      </c>
      <c r="AQ308" s="0" t="n">
        <v>322</v>
      </c>
      <c r="AR308" s="0" t="s">
        <v>658</v>
      </c>
      <c r="AV308" s="0" t="n">
        <v>346</v>
      </c>
      <c r="AW308" s="0" t="n">
        <v>346</v>
      </c>
      <c r="AX308" s="0" t="s">
        <v>110</v>
      </c>
      <c r="AY308" s="0" t="n">
        <v>293</v>
      </c>
      <c r="AZ308" s="0" t="n">
        <v>322</v>
      </c>
      <c r="BA308" s="0" t="s">
        <v>658</v>
      </c>
      <c r="BE308" s="2" t="n">
        <v>43335</v>
      </c>
    </row>
    <row r="309" customFormat="false" ht="14.25" hidden="false" customHeight="false" outlineLevel="0" collapsed="false">
      <c r="A309" s="0" t="n">
        <v>308</v>
      </c>
      <c r="B309" s="1" t="s">
        <v>932</v>
      </c>
      <c r="C309" s="0" t="n">
        <v>481</v>
      </c>
      <c r="D309" s="0" t="n">
        <v>484</v>
      </c>
      <c r="E309" s="0" t="s">
        <v>824</v>
      </c>
      <c r="F309" s="0" t="n">
        <v>399</v>
      </c>
      <c r="G309" s="0" t="n">
        <v>470</v>
      </c>
      <c r="H309" s="0" t="s">
        <v>638</v>
      </c>
      <c r="I309" s="0" t="n">
        <v>382</v>
      </c>
      <c r="J309" s="0" t="n">
        <v>395</v>
      </c>
      <c r="K309" s="0" t="s">
        <v>538</v>
      </c>
      <c r="L309" s="0" t="n">
        <v>49</v>
      </c>
      <c r="M309" s="0" t="n">
        <v>46</v>
      </c>
      <c r="N309" s="0" t="s">
        <v>610</v>
      </c>
      <c r="AD309" s="0" t="n">
        <v>595</v>
      </c>
      <c r="AE309" s="0" t="n">
        <v>676</v>
      </c>
      <c r="AF309" s="0" t="s">
        <v>158</v>
      </c>
      <c r="AM309" s="0" t="n">
        <v>338</v>
      </c>
      <c r="AN309" s="0" t="n">
        <v>341</v>
      </c>
      <c r="AO309" s="0" t="s">
        <v>798</v>
      </c>
      <c r="AP309" s="0" t="n">
        <v>331</v>
      </c>
      <c r="AQ309" s="0" t="n">
        <v>331</v>
      </c>
      <c r="AR309" s="0" t="s">
        <v>110</v>
      </c>
      <c r="AV309" s="0" t="n">
        <v>338</v>
      </c>
      <c r="AW309" s="0" t="n">
        <v>341</v>
      </c>
      <c r="AX309" s="0" t="s">
        <v>798</v>
      </c>
      <c r="AY309" s="0" t="n">
        <v>331</v>
      </c>
      <c r="AZ309" s="0" t="n">
        <v>331</v>
      </c>
      <c r="BA309" s="0" t="s">
        <v>110</v>
      </c>
      <c r="BE309" s="2" t="n">
        <v>43336</v>
      </c>
    </row>
    <row r="310" customFormat="false" ht="14.25" hidden="false" customHeight="false" outlineLevel="0" collapsed="false">
      <c r="A310" s="0" t="n">
        <v>309</v>
      </c>
      <c r="B310" s="1" t="s">
        <v>933</v>
      </c>
      <c r="L310" s="0" t="n">
        <v>34</v>
      </c>
      <c r="M310" s="0" t="n">
        <v>33</v>
      </c>
      <c r="N310" s="0" t="s">
        <v>644</v>
      </c>
      <c r="BE310" s="2" t="n">
        <v>43337</v>
      </c>
    </row>
    <row r="311" customFormat="false" ht="14.25" hidden="false" customHeight="false" outlineLevel="0" collapsed="false">
      <c r="A311" s="0" t="n">
        <v>310</v>
      </c>
      <c r="B311" s="1" t="s">
        <v>934</v>
      </c>
      <c r="I311" s="0" t="n">
        <v>395</v>
      </c>
      <c r="J311" s="0" t="n">
        <v>415</v>
      </c>
      <c r="K311" s="0" t="s">
        <v>634</v>
      </c>
      <c r="BE311" s="2" t="n">
        <v>43338</v>
      </c>
    </row>
    <row r="312" customFormat="false" ht="14.25" hidden="false" customHeight="false" outlineLevel="0" collapsed="false">
      <c r="A312" s="0" t="n">
        <v>311</v>
      </c>
      <c r="B312" s="1" t="s">
        <v>935</v>
      </c>
      <c r="C312" s="0" t="n">
        <v>364</v>
      </c>
      <c r="D312" s="0" t="n">
        <v>484</v>
      </c>
      <c r="E312" s="0" t="s">
        <v>936</v>
      </c>
      <c r="F312" s="0" t="n">
        <v>448</v>
      </c>
      <c r="G312" s="0" t="n">
        <v>470</v>
      </c>
      <c r="H312" s="0" t="s">
        <v>753</v>
      </c>
      <c r="I312" s="0" t="n">
        <v>308</v>
      </c>
      <c r="J312" s="0" t="n">
        <v>332</v>
      </c>
      <c r="K312" s="0" t="s">
        <v>475</v>
      </c>
      <c r="L312" s="0" t="n">
        <v>48</v>
      </c>
      <c r="M312" s="0" t="n">
        <v>46</v>
      </c>
      <c r="N312" s="0" t="s">
        <v>923</v>
      </c>
      <c r="AD312" s="0" t="n">
        <v>379</v>
      </c>
      <c r="AE312" s="0" t="n">
        <v>666</v>
      </c>
      <c r="AF312" s="0" t="s">
        <v>937</v>
      </c>
      <c r="AM312" s="0" t="n">
        <v>283</v>
      </c>
      <c r="AN312" s="0" t="n">
        <v>331</v>
      </c>
      <c r="AO312" s="0" t="s">
        <v>509</v>
      </c>
      <c r="AP312" s="0" t="n">
        <v>302</v>
      </c>
      <c r="AQ312" s="0" t="n">
        <v>322</v>
      </c>
      <c r="AR312" s="0" t="s">
        <v>383</v>
      </c>
      <c r="AV312" s="0" t="n">
        <v>283</v>
      </c>
      <c r="AW312" s="0" t="n">
        <v>331</v>
      </c>
      <c r="AX312" s="0" t="s">
        <v>509</v>
      </c>
      <c r="AY312" s="0" t="n">
        <v>302</v>
      </c>
      <c r="AZ312" s="0" t="n">
        <v>322</v>
      </c>
      <c r="BA312" s="0" t="s">
        <v>383</v>
      </c>
      <c r="BE312" s="2" t="n">
        <v>43339</v>
      </c>
    </row>
    <row r="313" customFormat="false" ht="14.25" hidden="false" customHeight="false" outlineLevel="0" collapsed="false">
      <c r="A313" s="0" t="n">
        <v>312</v>
      </c>
      <c r="B313" s="1" t="s">
        <v>938</v>
      </c>
      <c r="C313" s="0" t="n">
        <v>458</v>
      </c>
      <c r="D313" s="0" t="n">
        <v>473</v>
      </c>
      <c r="E313" s="0" t="s">
        <v>112</v>
      </c>
      <c r="F313" s="0" t="n">
        <v>450</v>
      </c>
      <c r="G313" s="0" t="n">
        <v>460</v>
      </c>
      <c r="H313" s="0" t="s">
        <v>652</v>
      </c>
      <c r="I313" s="0" t="n">
        <v>307</v>
      </c>
      <c r="J313" s="0" t="n">
        <v>332</v>
      </c>
      <c r="K313" s="0" t="s">
        <v>578</v>
      </c>
      <c r="L313" s="0" t="n">
        <v>47</v>
      </c>
      <c r="M313" s="0" t="n">
        <v>48</v>
      </c>
      <c r="N313" s="0" t="s">
        <v>551</v>
      </c>
      <c r="AD313" s="0" t="n">
        <v>565</v>
      </c>
      <c r="AE313" s="0" t="n">
        <v>666</v>
      </c>
      <c r="AF313" s="0" t="s">
        <v>306</v>
      </c>
      <c r="AM313" s="0" t="n">
        <v>216</v>
      </c>
      <c r="AN313" s="0" t="n">
        <v>299</v>
      </c>
      <c r="AO313" s="0" t="s">
        <v>213</v>
      </c>
      <c r="AP313" s="0" t="n">
        <v>318</v>
      </c>
      <c r="AQ313" s="0" t="n">
        <v>318</v>
      </c>
      <c r="AR313" s="0" t="s">
        <v>110</v>
      </c>
      <c r="AV313" s="0" t="n">
        <v>216</v>
      </c>
      <c r="AW313" s="0" t="n">
        <v>299</v>
      </c>
      <c r="AX313" s="0" t="s">
        <v>213</v>
      </c>
      <c r="AY313" s="0" t="n">
        <v>318</v>
      </c>
      <c r="AZ313" s="0" t="n">
        <v>318</v>
      </c>
      <c r="BA313" s="0" t="s">
        <v>110</v>
      </c>
      <c r="BE313" s="2" t="n">
        <v>43340</v>
      </c>
    </row>
    <row r="314" customFormat="false" ht="14.25" hidden="false" customHeight="false" outlineLevel="0" collapsed="false">
      <c r="A314" s="0" t="n">
        <v>313</v>
      </c>
      <c r="B314" s="1" t="s">
        <v>939</v>
      </c>
      <c r="C314" s="0" t="n">
        <v>478</v>
      </c>
      <c r="D314" s="0" t="n">
        <v>484</v>
      </c>
      <c r="E314" s="0" t="s">
        <v>153</v>
      </c>
      <c r="F314" s="0" t="n">
        <v>463</v>
      </c>
      <c r="G314" s="0" t="n">
        <v>470</v>
      </c>
      <c r="H314" s="0" t="s">
        <v>120</v>
      </c>
      <c r="I314" s="0" t="n">
        <v>313</v>
      </c>
      <c r="J314" s="0" t="n">
        <v>332</v>
      </c>
      <c r="K314" s="0" t="s">
        <v>523</v>
      </c>
      <c r="L314" s="0" t="n">
        <v>47</v>
      </c>
      <c r="M314" s="0" t="n">
        <v>48</v>
      </c>
      <c r="N314" s="0" t="s">
        <v>551</v>
      </c>
      <c r="AD314" s="0" t="n">
        <v>641</v>
      </c>
      <c r="AE314" s="0" t="n">
        <v>659</v>
      </c>
      <c r="AF314" s="0" t="s">
        <v>149</v>
      </c>
      <c r="AM314" s="0" t="n">
        <v>326</v>
      </c>
      <c r="AN314" s="0" t="n">
        <v>331</v>
      </c>
      <c r="AO314" s="0" t="s">
        <v>120</v>
      </c>
      <c r="AP314" s="0" t="n">
        <v>290</v>
      </c>
      <c r="AQ314" s="0" t="n">
        <v>322</v>
      </c>
      <c r="AR314" s="0" t="s">
        <v>530</v>
      </c>
      <c r="AV314" s="0" t="n">
        <v>326</v>
      </c>
      <c r="AW314" s="0" t="n">
        <v>331</v>
      </c>
      <c r="AX314" s="0" t="s">
        <v>120</v>
      </c>
      <c r="AY314" s="0" t="n">
        <v>290</v>
      </c>
      <c r="AZ314" s="0" t="n">
        <v>322</v>
      </c>
      <c r="BA314" s="0" t="s">
        <v>530</v>
      </c>
      <c r="BE314" s="2" t="n">
        <v>43341</v>
      </c>
    </row>
    <row r="315" customFormat="false" ht="14.25" hidden="false" customHeight="false" outlineLevel="0" collapsed="false">
      <c r="A315" s="0" t="n">
        <v>314</v>
      </c>
      <c r="B315" s="1" t="s">
        <v>940</v>
      </c>
      <c r="C315" s="0" t="n">
        <v>474</v>
      </c>
      <c r="D315" s="0" t="n">
        <v>484</v>
      </c>
      <c r="E315" s="0" t="s">
        <v>551</v>
      </c>
      <c r="F315" s="0" t="n">
        <v>462</v>
      </c>
      <c r="G315" s="0" t="n">
        <v>470</v>
      </c>
      <c r="H315" s="0" t="s">
        <v>179</v>
      </c>
      <c r="I315" s="0" t="n">
        <v>313</v>
      </c>
      <c r="J315" s="0" t="n">
        <v>332</v>
      </c>
      <c r="K315" s="0" t="s">
        <v>523</v>
      </c>
      <c r="L315" s="0" t="n">
        <v>48</v>
      </c>
      <c r="M315" s="0" t="n">
        <v>48</v>
      </c>
      <c r="N315" s="0" t="s">
        <v>110</v>
      </c>
      <c r="AD315" s="0" t="n">
        <v>596</v>
      </c>
      <c r="AE315" s="0" t="n">
        <v>667</v>
      </c>
      <c r="AF315" s="0" t="s">
        <v>396</v>
      </c>
      <c r="AM315" s="0" t="n">
        <v>265</v>
      </c>
      <c r="AN315" s="0" t="n">
        <v>331</v>
      </c>
      <c r="AO315" s="0" t="s">
        <v>513</v>
      </c>
      <c r="AP315" s="0" t="n">
        <v>306</v>
      </c>
      <c r="AQ315" s="0" t="n">
        <v>321</v>
      </c>
      <c r="AR315" s="0" t="s">
        <v>753</v>
      </c>
      <c r="AV315" s="0" t="n">
        <v>265</v>
      </c>
      <c r="AW315" s="0" t="n">
        <v>331</v>
      </c>
      <c r="AX315" s="0" t="s">
        <v>513</v>
      </c>
      <c r="AY315" s="0" t="n">
        <v>306</v>
      </c>
      <c r="AZ315" s="0" t="n">
        <v>321</v>
      </c>
      <c r="BA315" s="0" t="s">
        <v>753</v>
      </c>
      <c r="BE315" s="2" t="n">
        <v>43342</v>
      </c>
    </row>
    <row r="316" customFormat="false" ht="14.25" hidden="false" customHeight="false" outlineLevel="0" collapsed="false">
      <c r="A316" s="0" t="n">
        <v>315</v>
      </c>
      <c r="B316" s="1" t="s">
        <v>941</v>
      </c>
      <c r="C316" s="0" t="n">
        <v>465</v>
      </c>
      <c r="D316" s="0" t="n">
        <v>484</v>
      </c>
      <c r="E316" s="0" t="s">
        <v>594</v>
      </c>
      <c r="F316" s="0" t="n">
        <v>468</v>
      </c>
      <c r="G316" s="0" t="n">
        <v>470</v>
      </c>
      <c r="H316" s="0" t="s">
        <v>899</v>
      </c>
      <c r="I316" s="0" t="n">
        <v>387</v>
      </c>
      <c r="J316" s="0" t="n">
        <v>394</v>
      </c>
      <c r="K316" s="0" t="s">
        <v>600</v>
      </c>
      <c r="L316" s="0" t="n">
        <v>52</v>
      </c>
      <c r="M316" s="0" t="n">
        <v>52</v>
      </c>
      <c r="N316" s="0" t="s">
        <v>110</v>
      </c>
      <c r="AD316" s="0" t="n">
        <v>649</v>
      </c>
      <c r="AE316" s="0" t="n">
        <v>666</v>
      </c>
      <c r="AF316" s="0" t="s">
        <v>139</v>
      </c>
      <c r="AM316" s="0" t="n">
        <v>323</v>
      </c>
      <c r="AN316" s="0" t="n">
        <v>331</v>
      </c>
      <c r="AO316" s="0" t="s">
        <v>497</v>
      </c>
      <c r="AP316" s="0" t="n">
        <v>322</v>
      </c>
      <c r="AQ316" s="0" t="n">
        <v>322</v>
      </c>
      <c r="AR316" s="0" t="s">
        <v>110</v>
      </c>
      <c r="AV316" s="0" t="n">
        <v>323</v>
      </c>
      <c r="AW316" s="0" t="n">
        <v>331</v>
      </c>
      <c r="AX316" s="0" t="s">
        <v>497</v>
      </c>
      <c r="AY316" s="0" t="n">
        <v>322</v>
      </c>
      <c r="AZ316" s="0" t="n">
        <v>322</v>
      </c>
      <c r="BA316" s="0" t="s">
        <v>110</v>
      </c>
      <c r="BE316" s="2" t="n">
        <v>43343</v>
      </c>
    </row>
    <row r="317" customFormat="false" ht="14.25" hidden="false" customHeight="false" outlineLevel="0" collapsed="false">
      <c r="A317" s="0" t="n">
        <v>316</v>
      </c>
      <c r="B317" s="1" t="s">
        <v>942</v>
      </c>
      <c r="I317" s="0" t="n">
        <v>398</v>
      </c>
      <c r="J317" s="0" t="n">
        <v>422</v>
      </c>
      <c r="K317" s="0" t="s">
        <v>523</v>
      </c>
      <c r="BE317" s="2" t="n">
        <v>43345</v>
      </c>
    </row>
    <row r="318" customFormat="false" ht="14.25" hidden="false" customHeight="false" outlineLevel="0" collapsed="false">
      <c r="A318" s="0" t="n">
        <v>317</v>
      </c>
      <c r="B318" s="1" t="s">
        <v>943</v>
      </c>
      <c r="C318" s="0" t="n">
        <v>472</v>
      </c>
      <c r="D318" s="0" t="n">
        <v>484</v>
      </c>
      <c r="E318" s="0" t="s">
        <v>370</v>
      </c>
      <c r="F318" s="0" t="n">
        <v>451</v>
      </c>
      <c r="G318" s="0" t="n">
        <v>475</v>
      </c>
      <c r="H318" s="0" t="s">
        <v>142</v>
      </c>
      <c r="I318" s="0" t="n">
        <v>360</v>
      </c>
      <c r="J318" s="0" t="n">
        <v>358</v>
      </c>
      <c r="K318" s="0" t="s">
        <v>443</v>
      </c>
      <c r="L318" s="0" t="n">
        <v>48</v>
      </c>
      <c r="M318" s="0" t="n">
        <v>48</v>
      </c>
      <c r="N318" s="0" t="s">
        <v>110</v>
      </c>
      <c r="AD318" s="0" t="n">
        <v>508</v>
      </c>
      <c r="AE318" s="0" t="n">
        <v>667</v>
      </c>
      <c r="AF318" s="0" t="s">
        <v>721</v>
      </c>
      <c r="AM318" s="0" t="n">
        <v>314</v>
      </c>
      <c r="AN318" s="0" t="n">
        <v>331</v>
      </c>
      <c r="AO318" s="0" t="s">
        <v>142</v>
      </c>
      <c r="AP318" s="0" t="n">
        <v>285</v>
      </c>
      <c r="AQ318" s="0" t="n">
        <v>322</v>
      </c>
      <c r="AR318" s="0" t="s">
        <v>414</v>
      </c>
      <c r="AV318" s="0" t="n">
        <v>314</v>
      </c>
      <c r="AW318" s="0" t="n">
        <v>331</v>
      </c>
      <c r="AX318" s="0" t="s">
        <v>142</v>
      </c>
      <c r="AY318" s="0" t="n">
        <v>285</v>
      </c>
      <c r="AZ318" s="0" t="n">
        <v>322</v>
      </c>
      <c r="BA318" s="0" t="s">
        <v>414</v>
      </c>
      <c r="BE318" s="2" t="n">
        <v>43346</v>
      </c>
    </row>
    <row r="319" customFormat="false" ht="14.25" hidden="false" customHeight="false" outlineLevel="0" collapsed="false">
      <c r="A319" s="0" t="n">
        <v>318</v>
      </c>
      <c r="B319" s="1" t="s">
        <v>944</v>
      </c>
      <c r="C319" s="0" t="n">
        <v>465</v>
      </c>
      <c r="D319" s="0" t="n">
        <v>479</v>
      </c>
      <c r="E319" s="0" t="s">
        <v>492</v>
      </c>
      <c r="F319" s="0" t="n">
        <v>449</v>
      </c>
      <c r="G319" s="0" t="n">
        <v>475</v>
      </c>
      <c r="H319" s="0" t="s">
        <v>581</v>
      </c>
      <c r="I319" s="0" t="n">
        <v>157</v>
      </c>
      <c r="J319" s="0" t="n">
        <v>368</v>
      </c>
      <c r="K319" s="0" t="s">
        <v>945</v>
      </c>
      <c r="L319" s="0" t="n">
        <v>48</v>
      </c>
      <c r="M319" s="0" t="n">
        <v>48</v>
      </c>
      <c r="N319" s="0" t="s">
        <v>110</v>
      </c>
      <c r="AD319" s="0" t="n">
        <v>620</v>
      </c>
      <c r="AE319" s="0" t="n">
        <v>631</v>
      </c>
      <c r="AF319" s="0" t="s">
        <v>179</v>
      </c>
      <c r="AM319" s="0" t="n">
        <v>304</v>
      </c>
      <c r="AN319" s="0" t="n">
        <v>336</v>
      </c>
      <c r="AO319" s="0" t="s">
        <v>608</v>
      </c>
      <c r="AP319" s="0" t="n">
        <v>323</v>
      </c>
      <c r="AQ319" s="0" t="n">
        <v>330</v>
      </c>
      <c r="AR319" s="0" t="s">
        <v>551</v>
      </c>
      <c r="AV319" s="0" t="n">
        <v>304</v>
      </c>
      <c r="AW319" s="0" t="n">
        <v>336</v>
      </c>
      <c r="AX319" s="0" t="s">
        <v>608</v>
      </c>
      <c r="AY319" s="0" t="n">
        <v>323</v>
      </c>
      <c r="AZ319" s="0" t="n">
        <v>330</v>
      </c>
      <c r="BA319" s="0" t="s">
        <v>551</v>
      </c>
      <c r="BE319" s="2" t="n">
        <v>43347</v>
      </c>
    </row>
    <row r="320" customFormat="false" ht="14.25" hidden="false" customHeight="false" outlineLevel="0" collapsed="false">
      <c r="A320" s="0" t="n">
        <v>319</v>
      </c>
      <c r="B320" s="1" t="s">
        <v>946</v>
      </c>
      <c r="C320" s="0" t="n">
        <v>467</v>
      </c>
      <c r="D320" s="0" t="n">
        <v>484</v>
      </c>
      <c r="E320" s="0" t="s">
        <v>291</v>
      </c>
      <c r="F320" s="0" t="n">
        <v>473</v>
      </c>
      <c r="G320" s="0" t="n">
        <v>483</v>
      </c>
      <c r="H320" s="0" t="s">
        <v>551</v>
      </c>
      <c r="I320" s="0" t="n">
        <v>411</v>
      </c>
      <c r="J320" s="0" t="n">
        <v>368</v>
      </c>
      <c r="K320" s="0" t="s">
        <v>947</v>
      </c>
      <c r="L320" s="0" t="n">
        <v>47</v>
      </c>
      <c r="M320" s="0" t="n">
        <v>48</v>
      </c>
      <c r="N320" s="0" t="s">
        <v>551</v>
      </c>
      <c r="AD320" s="0" t="n">
        <v>603</v>
      </c>
      <c r="AE320" s="0" t="n">
        <v>666</v>
      </c>
      <c r="AF320" s="0" t="s">
        <v>608</v>
      </c>
      <c r="AM320" s="0" t="n">
        <v>303</v>
      </c>
      <c r="AN320" s="0" t="n">
        <v>331</v>
      </c>
      <c r="AO320" s="0" t="s">
        <v>204</v>
      </c>
      <c r="AP320" s="0" t="n">
        <v>281</v>
      </c>
      <c r="AQ320" s="0" t="n">
        <v>325</v>
      </c>
      <c r="AR320" s="0" t="s">
        <v>418</v>
      </c>
      <c r="AV320" s="0" t="n">
        <v>303</v>
      </c>
      <c r="AW320" s="0" t="n">
        <v>331</v>
      </c>
      <c r="AX320" s="0" t="s">
        <v>204</v>
      </c>
      <c r="AY320" s="0" t="n">
        <v>281</v>
      </c>
      <c r="AZ320" s="0" t="n">
        <v>325</v>
      </c>
      <c r="BA320" s="0" t="s">
        <v>418</v>
      </c>
      <c r="BE320" s="2" t="n">
        <v>43349</v>
      </c>
    </row>
    <row r="321" customFormat="false" ht="14.25" hidden="false" customHeight="false" outlineLevel="0" collapsed="false">
      <c r="A321" s="0" t="n">
        <v>320</v>
      </c>
      <c r="B321" s="1" t="s">
        <v>948</v>
      </c>
      <c r="C321" s="0" t="n">
        <v>455</v>
      </c>
      <c r="D321" s="0" t="n">
        <v>484</v>
      </c>
      <c r="E321" s="0" t="s">
        <v>526</v>
      </c>
      <c r="F321" s="0" t="n">
        <v>463</v>
      </c>
      <c r="G321" s="0" t="n">
        <v>475</v>
      </c>
      <c r="H321" s="0" t="s">
        <v>370</v>
      </c>
      <c r="I321" s="0" t="n">
        <v>367</v>
      </c>
      <c r="J321" s="0" t="n">
        <v>368</v>
      </c>
      <c r="K321" s="0" t="s">
        <v>723</v>
      </c>
      <c r="L321" s="0" t="n">
        <v>49</v>
      </c>
      <c r="M321" s="0" t="n">
        <v>48</v>
      </c>
      <c r="N321" s="0" t="s">
        <v>949</v>
      </c>
      <c r="AD321" s="0" t="n">
        <v>583</v>
      </c>
      <c r="AE321" s="0" t="n">
        <v>584</v>
      </c>
      <c r="AF321" s="0" t="s">
        <v>623</v>
      </c>
      <c r="AM321" s="0" t="n">
        <v>237</v>
      </c>
      <c r="AN321" s="0" t="n">
        <v>336</v>
      </c>
      <c r="AO321" s="0" t="s">
        <v>464</v>
      </c>
      <c r="AP321" s="0" t="n">
        <v>276</v>
      </c>
      <c r="AQ321" s="0" t="n">
        <v>316</v>
      </c>
      <c r="AR321" s="0" t="s">
        <v>501</v>
      </c>
      <c r="AV321" s="0" t="n">
        <v>237</v>
      </c>
      <c r="AW321" s="0" t="n">
        <v>336</v>
      </c>
      <c r="AX321" s="0" t="s">
        <v>464</v>
      </c>
      <c r="AY321" s="0" t="n">
        <v>276</v>
      </c>
      <c r="AZ321" s="0" t="n">
        <v>316</v>
      </c>
      <c r="BA321" s="0" t="s">
        <v>501</v>
      </c>
      <c r="BE321" s="2" t="n">
        <v>43353</v>
      </c>
    </row>
    <row r="322" customFormat="false" ht="14.25" hidden="false" customHeight="false" outlineLevel="0" collapsed="false">
      <c r="A322" s="0" t="n">
        <v>321</v>
      </c>
      <c r="B322" s="1" t="s">
        <v>950</v>
      </c>
      <c r="C322" s="0" t="n">
        <v>443</v>
      </c>
      <c r="D322" s="0" t="n">
        <v>484</v>
      </c>
      <c r="E322" s="0" t="s">
        <v>204</v>
      </c>
      <c r="F322" s="0" t="n">
        <v>459</v>
      </c>
      <c r="G322" s="0" t="n">
        <v>465</v>
      </c>
      <c r="H322" s="0" t="s">
        <v>789</v>
      </c>
      <c r="I322" s="0" t="n">
        <v>343</v>
      </c>
      <c r="J322" s="0" t="n">
        <v>368</v>
      </c>
      <c r="K322" s="0" t="s">
        <v>491</v>
      </c>
      <c r="L322" s="0" t="n">
        <v>46</v>
      </c>
      <c r="M322" s="0" t="n">
        <v>47</v>
      </c>
      <c r="N322" s="0" t="s">
        <v>551</v>
      </c>
      <c r="AD322" s="0" t="n">
        <v>575</v>
      </c>
      <c r="AE322" s="0" t="n">
        <v>587</v>
      </c>
      <c r="AF322" s="0" t="s">
        <v>131</v>
      </c>
      <c r="AM322" s="0" t="n">
        <v>288</v>
      </c>
      <c r="AN322" s="0" t="n">
        <v>336</v>
      </c>
      <c r="AO322" s="0" t="s">
        <v>381</v>
      </c>
      <c r="AP322" s="0" t="n">
        <v>298</v>
      </c>
      <c r="AQ322" s="0" t="n">
        <v>330</v>
      </c>
      <c r="AR322" s="0" t="s">
        <v>373</v>
      </c>
      <c r="AV322" s="0" t="n">
        <v>288</v>
      </c>
      <c r="AW322" s="0" t="n">
        <v>336</v>
      </c>
      <c r="AX322" s="0" t="s">
        <v>381</v>
      </c>
      <c r="AY322" s="0" t="n">
        <v>298</v>
      </c>
      <c r="AZ322" s="0" t="n">
        <v>330</v>
      </c>
      <c r="BA322" s="0" t="s">
        <v>373</v>
      </c>
      <c r="BE322" s="2" t="n">
        <v>43354</v>
      </c>
    </row>
    <row r="323" customFormat="false" ht="14.25" hidden="false" customHeight="false" outlineLevel="0" collapsed="false">
      <c r="A323" s="0" t="n">
        <v>322</v>
      </c>
      <c r="B323" s="1" t="s">
        <v>951</v>
      </c>
      <c r="C323" s="0" t="n">
        <v>461</v>
      </c>
      <c r="D323" s="0" t="n">
        <v>476</v>
      </c>
      <c r="E323" s="0" t="s">
        <v>112</v>
      </c>
      <c r="F323" s="0" t="n">
        <v>472</v>
      </c>
      <c r="G323" s="0" t="n">
        <v>474</v>
      </c>
      <c r="H323" s="0" t="s">
        <v>899</v>
      </c>
      <c r="I323" s="0" t="n">
        <v>368</v>
      </c>
      <c r="J323" s="0" t="n">
        <v>368</v>
      </c>
      <c r="K323" s="0" t="s">
        <v>110</v>
      </c>
      <c r="L323" s="0" t="n">
        <v>50</v>
      </c>
      <c r="M323" s="0" t="n">
        <v>48</v>
      </c>
      <c r="N323" s="0" t="s">
        <v>952</v>
      </c>
      <c r="AD323" s="0" t="n">
        <v>591</v>
      </c>
      <c r="AE323" s="0" t="n">
        <v>652</v>
      </c>
      <c r="AF323" s="0" t="s">
        <v>722</v>
      </c>
      <c r="AM323" s="0" t="n">
        <v>310</v>
      </c>
      <c r="AN323" s="0" t="n">
        <v>336</v>
      </c>
      <c r="AO323" s="0" t="s">
        <v>193</v>
      </c>
      <c r="AP323" s="0" t="n">
        <v>302</v>
      </c>
      <c r="AQ323" s="0" t="n">
        <v>330</v>
      </c>
      <c r="AR323" s="0" t="s">
        <v>204</v>
      </c>
      <c r="AV323" s="0" t="n">
        <v>310</v>
      </c>
      <c r="AW323" s="0" t="n">
        <v>336</v>
      </c>
      <c r="AX323" s="0" t="s">
        <v>193</v>
      </c>
      <c r="AY323" s="0" t="n">
        <v>302</v>
      </c>
      <c r="AZ323" s="0" t="n">
        <v>330</v>
      </c>
      <c r="BA323" s="0" t="s">
        <v>204</v>
      </c>
      <c r="BE323" s="2" t="n">
        <v>43355</v>
      </c>
    </row>
    <row r="324" customFormat="false" ht="14.25" hidden="false" customHeight="false" outlineLevel="0" collapsed="false">
      <c r="A324" s="0" t="n">
        <v>323</v>
      </c>
      <c r="B324" s="1" t="s">
        <v>953</v>
      </c>
      <c r="C324" s="0" t="n">
        <v>479</v>
      </c>
      <c r="D324" s="0" t="n">
        <v>484</v>
      </c>
      <c r="E324" s="0" t="s">
        <v>870</v>
      </c>
      <c r="F324" s="0" t="n">
        <v>368</v>
      </c>
      <c r="G324" s="0" t="n">
        <v>475</v>
      </c>
      <c r="H324" s="0" t="s">
        <v>954</v>
      </c>
      <c r="I324" s="0" t="n">
        <v>368</v>
      </c>
      <c r="J324" s="0" t="n">
        <v>368</v>
      </c>
      <c r="K324" s="0" t="s">
        <v>110</v>
      </c>
      <c r="L324" s="0" t="n">
        <v>48</v>
      </c>
      <c r="M324" s="0" t="n">
        <v>48</v>
      </c>
      <c r="N324" s="0" t="s">
        <v>110</v>
      </c>
      <c r="AD324" s="0" t="n">
        <v>547</v>
      </c>
      <c r="AE324" s="0" t="n">
        <v>666</v>
      </c>
      <c r="AF324" s="0" t="s">
        <v>681</v>
      </c>
      <c r="AM324" s="0" t="n">
        <v>319</v>
      </c>
      <c r="AN324" s="0" t="n">
        <v>336</v>
      </c>
      <c r="AO324" s="0" t="s">
        <v>142</v>
      </c>
      <c r="AP324" s="0" t="n">
        <v>322</v>
      </c>
      <c r="AQ324" s="0" t="n">
        <v>330</v>
      </c>
      <c r="AR324" s="0" t="s">
        <v>497</v>
      </c>
      <c r="AV324" s="0" t="n">
        <v>319</v>
      </c>
      <c r="AW324" s="0" t="n">
        <v>336</v>
      </c>
      <c r="AX324" s="0" t="s">
        <v>142</v>
      </c>
      <c r="AY324" s="0" t="n">
        <v>322</v>
      </c>
      <c r="AZ324" s="0" t="n">
        <v>330</v>
      </c>
      <c r="BA324" s="0" t="s">
        <v>497</v>
      </c>
      <c r="BE324" s="2" t="n">
        <v>43356</v>
      </c>
    </row>
    <row r="325" customFormat="false" ht="14.25" hidden="false" customHeight="false" outlineLevel="0" collapsed="false">
      <c r="A325" s="0" t="n">
        <v>324</v>
      </c>
      <c r="B325" s="1" t="s">
        <v>955</v>
      </c>
      <c r="C325" s="0" t="n">
        <v>475</v>
      </c>
      <c r="D325" s="0" t="n">
        <v>484</v>
      </c>
      <c r="E325" s="0" t="s">
        <v>457</v>
      </c>
      <c r="F325" s="0" t="n">
        <v>422</v>
      </c>
      <c r="G325" s="0" t="n">
        <v>475</v>
      </c>
      <c r="H325" s="0" t="s">
        <v>166</v>
      </c>
      <c r="L325" s="0" t="n">
        <v>48</v>
      </c>
      <c r="M325" s="0" t="n">
        <v>48</v>
      </c>
      <c r="N325" s="0" t="s">
        <v>110</v>
      </c>
      <c r="AD325" s="0" t="n">
        <v>654</v>
      </c>
      <c r="AE325" s="0" t="n">
        <v>667</v>
      </c>
      <c r="AF325" s="0" t="s">
        <v>457</v>
      </c>
      <c r="AM325" s="0" t="n">
        <v>326</v>
      </c>
      <c r="AN325" s="0" t="n">
        <v>336</v>
      </c>
      <c r="AO325" s="0" t="s">
        <v>756</v>
      </c>
      <c r="AP325" s="0" t="n">
        <v>328</v>
      </c>
      <c r="AQ325" s="0" t="n">
        <v>328</v>
      </c>
      <c r="AR325" s="0" t="s">
        <v>110</v>
      </c>
      <c r="AV325" s="0" t="n">
        <v>326</v>
      </c>
      <c r="AW325" s="0" t="n">
        <v>336</v>
      </c>
      <c r="AX325" s="0" t="s">
        <v>756</v>
      </c>
      <c r="AY325" s="0" t="n">
        <v>328</v>
      </c>
      <c r="AZ325" s="0" t="n">
        <v>328</v>
      </c>
      <c r="BA325" s="0" t="s">
        <v>110</v>
      </c>
      <c r="BE325" s="2" t="n">
        <v>43357</v>
      </c>
    </row>
    <row r="326" customFormat="false" ht="14.25" hidden="false" customHeight="false" outlineLevel="0" collapsed="false">
      <c r="A326" s="0" t="n">
        <v>325</v>
      </c>
      <c r="B326" s="1" t="s">
        <v>956</v>
      </c>
      <c r="C326" s="0" t="n">
        <v>467</v>
      </c>
      <c r="D326" s="0" t="n">
        <v>473</v>
      </c>
      <c r="E326" s="0" t="s">
        <v>789</v>
      </c>
      <c r="F326" s="0" t="n">
        <v>469</v>
      </c>
      <c r="G326" s="0" t="n">
        <v>475</v>
      </c>
      <c r="H326" s="0" t="s">
        <v>789</v>
      </c>
      <c r="I326" s="0" t="n">
        <v>365</v>
      </c>
      <c r="J326" s="0" t="n">
        <v>368</v>
      </c>
      <c r="K326" s="0" t="s">
        <v>863</v>
      </c>
      <c r="L326" s="0" t="n">
        <v>49</v>
      </c>
      <c r="M326" s="0" t="n">
        <v>48</v>
      </c>
      <c r="N326" s="0" t="s">
        <v>949</v>
      </c>
      <c r="AD326" s="0" t="n">
        <v>649</v>
      </c>
      <c r="AE326" s="0" t="n">
        <v>666</v>
      </c>
      <c r="AF326" s="0" t="s">
        <v>139</v>
      </c>
      <c r="AM326" s="0" t="n">
        <v>333</v>
      </c>
      <c r="AN326" s="0" t="n">
        <v>333</v>
      </c>
      <c r="AO326" s="0" t="s">
        <v>110</v>
      </c>
      <c r="AP326" s="0" t="n">
        <v>331</v>
      </c>
      <c r="AQ326" s="0" t="n">
        <v>360</v>
      </c>
      <c r="AR326" s="0" t="s">
        <v>398</v>
      </c>
      <c r="AV326" s="0" t="n">
        <v>333</v>
      </c>
      <c r="AW326" s="0" t="n">
        <v>333</v>
      </c>
      <c r="AX326" s="0" t="s">
        <v>110</v>
      </c>
      <c r="AY326" s="0" t="n">
        <v>331</v>
      </c>
      <c r="AZ326" s="0" t="n">
        <v>360</v>
      </c>
      <c r="BA326" s="0" t="s">
        <v>398</v>
      </c>
      <c r="BE326" s="2" t="n">
        <v>43361</v>
      </c>
    </row>
    <row r="327" customFormat="false" ht="14.25" hidden="false" customHeight="false" outlineLevel="0" collapsed="false">
      <c r="A327" s="0" t="n">
        <v>326</v>
      </c>
      <c r="B327" s="1" t="s">
        <v>957</v>
      </c>
      <c r="F327" s="0" t="n">
        <v>304</v>
      </c>
      <c r="G327" s="0" t="n">
        <v>475</v>
      </c>
      <c r="H327" s="0" t="s">
        <v>716</v>
      </c>
      <c r="I327" s="0" t="n">
        <v>361</v>
      </c>
      <c r="J327" s="0" t="n">
        <v>368</v>
      </c>
      <c r="K327" s="0" t="s">
        <v>457</v>
      </c>
      <c r="L327" s="0" t="n">
        <v>49</v>
      </c>
      <c r="M327" s="0" t="n">
        <v>48</v>
      </c>
      <c r="N327" s="0" t="s">
        <v>949</v>
      </c>
      <c r="AD327" s="0" t="n">
        <v>651</v>
      </c>
      <c r="AE327" s="0" t="n">
        <v>666</v>
      </c>
      <c r="AF327" s="0" t="s">
        <v>138</v>
      </c>
      <c r="AM327" s="0" t="n">
        <v>329</v>
      </c>
      <c r="AN327" s="0" t="n">
        <v>336</v>
      </c>
      <c r="AO327" s="0" t="s">
        <v>551</v>
      </c>
      <c r="AP327" s="0" t="n">
        <v>331</v>
      </c>
      <c r="AQ327" s="0" t="n">
        <v>360</v>
      </c>
      <c r="AR327" s="0" t="s">
        <v>398</v>
      </c>
      <c r="AV327" s="0" t="n">
        <v>329</v>
      </c>
      <c r="AW327" s="0" t="n">
        <v>336</v>
      </c>
      <c r="AX327" s="0" t="s">
        <v>551</v>
      </c>
      <c r="AY327" s="0" t="n">
        <v>331</v>
      </c>
      <c r="AZ327" s="0" t="n">
        <v>360</v>
      </c>
      <c r="BA327" s="0" t="s">
        <v>398</v>
      </c>
      <c r="BE327" s="2" t="n">
        <v>43360</v>
      </c>
    </row>
    <row r="328" customFormat="false" ht="14.25" hidden="false" customHeight="false" outlineLevel="0" collapsed="false">
      <c r="A328" s="0" t="n">
        <v>327</v>
      </c>
      <c r="B328" s="1" t="s">
        <v>958</v>
      </c>
      <c r="C328" s="0" t="n">
        <v>481</v>
      </c>
      <c r="D328" s="0" t="n">
        <v>484</v>
      </c>
      <c r="E328" s="0" t="s">
        <v>824</v>
      </c>
      <c r="F328" s="0" t="n">
        <v>448</v>
      </c>
      <c r="G328" s="0" t="n">
        <v>475</v>
      </c>
      <c r="H328" s="0" t="s">
        <v>523</v>
      </c>
      <c r="I328" s="0" t="n">
        <v>365</v>
      </c>
      <c r="J328" s="0" t="n">
        <v>368</v>
      </c>
      <c r="K328" s="0" t="s">
        <v>863</v>
      </c>
      <c r="L328" s="0" t="n">
        <v>48</v>
      </c>
      <c r="M328" s="0" t="n">
        <v>48</v>
      </c>
      <c r="N328" s="0" t="s">
        <v>110</v>
      </c>
      <c r="AD328" s="0" t="n">
        <v>666</v>
      </c>
      <c r="AE328" s="0" t="n">
        <v>667</v>
      </c>
      <c r="AF328" s="0" t="s">
        <v>834</v>
      </c>
      <c r="AM328" s="0" t="n">
        <v>321</v>
      </c>
      <c r="AN328" s="0" t="n">
        <v>336</v>
      </c>
      <c r="AO328" s="0" t="s">
        <v>127</v>
      </c>
      <c r="AP328" s="0" t="n">
        <v>335</v>
      </c>
      <c r="AQ328" s="0" t="n">
        <v>335</v>
      </c>
      <c r="AR328" s="0" t="s">
        <v>110</v>
      </c>
      <c r="AV328" s="0" t="n">
        <v>321</v>
      </c>
      <c r="AW328" s="0" t="n">
        <v>336</v>
      </c>
      <c r="AX328" s="0" t="s">
        <v>127</v>
      </c>
      <c r="AY328" s="0" t="n">
        <v>335</v>
      </c>
      <c r="AZ328" s="0" t="n">
        <v>335</v>
      </c>
      <c r="BA328" s="0" t="s">
        <v>110</v>
      </c>
      <c r="BE328" s="2" t="n">
        <v>43362</v>
      </c>
    </row>
    <row r="329" customFormat="false" ht="14.25" hidden="false" customHeight="false" outlineLevel="0" collapsed="false">
      <c r="A329" s="0" t="n">
        <v>328</v>
      </c>
      <c r="B329" s="1" t="s">
        <v>959</v>
      </c>
      <c r="C329" s="0" t="n">
        <v>482</v>
      </c>
      <c r="D329" s="0" t="n">
        <v>484</v>
      </c>
      <c r="E329" s="0" t="s">
        <v>899</v>
      </c>
      <c r="F329" s="0" t="n">
        <v>471</v>
      </c>
      <c r="G329" s="0" t="n">
        <v>475</v>
      </c>
      <c r="H329" s="0" t="s">
        <v>863</v>
      </c>
      <c r="I329" s="0" t="n">
        <v>344</v>
      </c>
      <c r="J329" s="0" t="n">
        <v>359</v>
      </c>
      <c r="K329" s="0" t="s">
        <v>136</v>
      </c>
      <c r="L329" s="0" t="n">
        <v>50</v>
      </c>
      <c r="M329" s="0" t="n">
        <v>48</v>
      </c>
      <c r="N329" s="0" t="s">
        <v>952</v>
      </c>
      <c r="AD329" s="0" t="n">
        <v>685</v>
      </c>
      <c r="AE329" s="0" t="n">
        <v>666</v>
      </c>
      <c r="AF329" s="0" t="s">
        <v>960</v>
      </c>
      <c r="AM329" s="0" t="n">
        <v>340</v>
      </c>
      <c r="AN329" s="0" t="n">
        <v>340</v>
      </c>
      <c r="AO329" s="0" t="s">
        <v>110</v>
      </c>
      <c r="AP329" s="0" t="n">
        <v>339</v>
      </c>
      <c r="AQ329" s="0" t="n">
        <v>339</v>
      </c>
      <c r="AR329" s="0" t="s">
        <v>110</v>
      </c>
      <c r="AV329" s="0" t="n">
        <v>340</v>
      </c>
      <c r="AW329" s="0" t="n">
        <v>340</v>
      </c>
      <c r="AX329" s="0" t="s">
        <v>110</v>
      </c>
      <c r="AY329" s="0" t="n">
        <v>339</v>
      </c>
      <c r="AZ329" s="0" t="n">
        <v>339</v>
      </c>
      <c r="BA329" s="0" t="s">
        <v>110</v>
      </c>
      <c r="BE329" s="2" t="n">
        <v>43363</v>
      </c>
    </row>
    <row r="330" customFormat="false" ht="14.25" hidden="false" customHeight="false" outlineLevel="0" collapsed="false">
      <c r="A330" s="0" t="n">
        <v>329</v>
      </c>
      <c r="B330" s="1" t="s">
        <v>961</v>
      </c>
      <c r="C330" s="0" t="n">
        <v>137</v>
      </c>
      <c r="D330" s="0" t="n">
        <v>159</v>
      </c>
      <c r="E330" s="0" t="s">
        <v>534</v>
      </c>
      <c r="F330" s="0" t="n">
        <v>138</v>
      </c>
      <c r="G330" s="0" t="n">
        <v>157</v>
      </c>
      <c r="H330" s="0" t="s">
        <v>311</v>
      </c>
      <c r="I330" s="0" t="n">
        <v>16</v>
      </c>
      <c r="J330" s="0" t="n">
        <v>138</v>
      </c>
      <c r="K330" s="0" t="s">
        <v>962</v>
      </c>
      <c r="L330" s="0" t="n">
        <v>47</v>
      </c>
      <c r="M330" s="0" t="n">
        <v>48</v>
      </c>
      <c r="N330" s="0" t="s">
        <v>551</v>
      </c>
      <c r="AD330" s="0" t="n">
        <v>657</v>
      </c>
      <c r="AE330" s="0" t="n">
        <v>666</v>
      </c>
      <c r="AF330" s="0" t="s">
        <v>790</v>
      </c>
      <c r="AM330" s="0" t="n">
        <v>357</v>
      </c>
      <c r="AN330" s="0" t="n">
        <v>336</v>
      </c>
      <c r="AO330" s="0" t="s">
        <v>963</v>
      </c>
      <c r="AP330" s="0" t="n">
        <v>317</v>
      </c>
      <c r="AQ330" s="0" t="n">
        <v>330</v>
      </c>
      <c r="AR330" s="0" t="s">
        <v>594</v>
      </c>
      <c r="AV330" s="0" t="n">
        <v>357</v>
      </c>
      <c r="AW330" s="0" t="n">
        <v>336</v>
      </c>
      <c r="AX330" s="0" t="s">
        <v>963</v>
      </c>
      <c r="AY330" s="0" t="n">
        <v>317</v>
      </c>
      <c r="AZ330" s="0" t="n">
        <v>330</v>
      </c>
      <c r="BA330" s="0" t="s">
        <v>594</v>
      </c>
      <c r="BE330" s="2" t="n">
        <v>43364</v>
      </c>
    </row>
    <row r="331" customFormat="false" ht="14.25" hidden="false" customHeight="false" outlineLevel="0" collapsed="false">
      <c r="A331" s="0" t="n">
        <v>330</v>
      </c>
      <c r="B331" s="1" t="s">
        <v>964</v>
      </c>
      <c r="C331" s="0" t="n">
        <v>460</v>
      </c>
      <c r="D331" s="0" t="n">
        <v>473</v>
      </c>
      <c r="E331" s="0" t="s">
        <v>149</v>
      </c>
      <c r="F331" s="0" t="n">
        <v>370</v>
      </c>
      <c r="G331" s="0" t="n">
        <v>475</v>
      </c>
      <c r="H331" s="0" t="s">
        <v>241</v>
      </c>
      <c r="I331" s="0" t="n">
        <v>216</v>
      </c>
      <c r="J331" s="0" t="n">
        <v>368</v>
      </c>
      <c r="K331" s="0" t="s">
        <v>965</v>
      </c>
      <c r="L331" s="0" t="n">
        <v>48</v>
      </c>
      <c r="M331" s="0" t="n">
        <v>47</v>
      </c>
      <c r="N331" s="0" t="s">
        <v>949</v>
      </c>
      <c r="AD331" s="0" t="n">
        <v>589</v>
      </c>
      <c r="AE331" s="0" t="n">
        <v>645</v>
      </c>
      <c r="AF331" s="0" t="s">
        <v>174</v>
      </c>
      <c r="AM331" s="0" t="n">
        <v>284</v>
      </c>
      <c r="AN331" s="0" t="n">
        <v>328</v>
      </c>
      <c r="AO331" s="0" t="s">
        <v>296</v>
      </c>
      <c r="AP331" s="0" t="n">
        <v>265</v>
      </c>
      <c r="AQ331" s="0" t="n">
        <v>279</v>
      </c>
      <c r="AR331" s="0" t="s">
        <v>606</v>
      </c>
      <c r="AV331" s="0" t="n">
        <v>284</v>
      </c>
      <c r="AW331" s="0" t="n">
        <v>328</v>
      </c>
      <c r="AX331" s="0" t="s">
        <v>296</v>
      </c>
      <c r="AY331" s="0" t="n">
        <v>265</v>
      </c>
      <c r="AZ331" s="0" t="n">
        <v>279</v>
      </c>
      <c r="BA331" s="0" t="s">
        <v>606</v>
      </c>
      <c r="BE331" s="2" t="n">
        <v>43367</v>
      </c>
    </row>
    <row r="332" customFormat="false" ht="14.25" hidden="false" customHeight="false" outlineLevel="0" collapsed="false">
      <c r="A332" s="0" t="n">
        <v>331</v>
      </c>
      <c r="B332" s="1" t="s">
        <v>966</v>
      </c>
      <c r="C332" s="0" t="n">
        <v>474</v>
      </c>
      <c r="D332" s="0" t="n">
        <v>482</v>
      </c>
      <c r="E332" s="0" t="s">
        <v>179</v>
      </c>
      <c r="F332" s="0" t="n">
        <v>469</v>
      </c>
      <c r="G332" s="0" t="n">
        <v>475</v>
      </c>
      <c r="H332" s="0" t="s">
        <v>789</v>
      </c>
      <c r="I332" s="0" t="n">
        <v>348</v>
      </c>
      <c r="J332" s="0" t="n">
        <v>352</v>
      </c>
      <c r="K332" s="0" t="s">
        <v>143</v>
      </c>
      <c r="L332" s="0" t="n">
        <v>50</v>
      </c>
      <c r="M332" s="0" t="n">
        <v>48</v>
      </c>
      <c r="N332" s="0" t="s">
        <v>952</v>
      </c>
      <c r="AD332" s="0" t="n">
        <v>693</v>
      </c>
      <c r="AE332" s="0" t="n">
        <v>666</v>
      </c>
      <c r="AF332" s="0" t="s">
        <v>967</v>
      </c>
      <c r="AM332" s="0" t="n">
        <v>337</v>
      </c>
      <c r="AN332" s="0" t="n">
        <v>337</v>
      </c>
      <c r="AO332" s="0" t="s">
        <v>110</v>
      </c>
      <c r="AP332" s="0" t="n">
        <v>308</v>
      </c>
      <c r="AQ332" s="0" t="n">
        <v>330</v>
      </c>
      <c r="AR332" s="0" t="s">
        <v>490</v>
      </c>
      <c r="AV332" s="0" t="n">
        <v>337</v>
      </c>
      <c r="AW332" s="0" t="n">
        <v>337</v>
      </c>
      <c r="AX332" s="0" t="s">
        <v>110</v>
      </c>
      <c r="AY332" s="0" t="n">
        <v>308</v>
      </c>
      <c r="AZ332" s="0" t="n">
        <v>330</v>
      </c>
      <c r="BA332" s="0" t="s">
        <v>490</v>
      </c>
      <c r="BE332" s="2" t="n">
        <v>43368</v>
      </c>
    </row>
    <row r="333" customFormat="false" ht="14.25" hidden="false" customHeight="false" outlineLevel="0" collapsed="false">
      <c r="A333" s="0" t="n">
        <v>332</v>
      </c>
      <c r="B333" s="1" t="s">
        <v>968</v>
      </c>
      <c r="C333" s="0" t="n">
        <v>473</v>
      </c>
      <c r="D333" s="0" t="n">
        <v>484</v>
      </c>
      <c r="E333" s="0" t="s">
        <v>138</v>
      </c>
      <c r="F333" s="0" t="n">
        <v>470</v>
      </c>
      <c r="G333" s="0" t="n">
        <v>475</v>
      </c>
      <c r="H333" s="0" t="s">
        <v>143</v>
      </c>
      <c r="I333" s="0" t="n">
        <v>368</v>
      </c>
      <c r="J333" s="0" t="n">
        <v>368</v>
      </c>
      <c r="K333" s="0" t="s">
        <v>110</v>
      </c>
      <c r="L333" s="0" t="n">
        <v>51</v>
      </c>
      <c r="M333" s="0" t="n">
        <v>48</v>
      </c>
      <c r="N333" s="0" t="s">
        <v>963</v>
      </c>
      <c r="AD333" s="0" t="n">
        <v>704</v>
      </c>
      <c r="AE333" s="0" t="n">
        <v>652</v>
      </c>
      <c r="AF333" s="0" t="s">
        <v>969</v>
      </c>
      <c r="AM333" s="0" t="n">
        <v>322</v>
      </c>
      <c r="AN333" s="0" t="n">
        <v>336</v>
      </c>
      <c r="AO333" s="0" t="s">
        <v>136</v>
      </c>
      <c r="AP333" s="0" t="n">
        <v>320</v>
      </c>
      <c r="AQ333" s="0" t="n">
        <v>330</v>
      </c>
      <c r="AR333" s="0" t="s">
        <v>756</v>
      </c>
      <c r="AV333" s="0" t="n">
        <v>322</v>
      </c>
      <c r="AW333" s="0" t="n">
        <v>336</v>
      </c>
      <c r="AX333" s="0" t="s">
        <v>136</v>
      </c>
      <c r="AY333" s="0" t="n">
        <v>320</v>
      </c>
      <c r="AZ333" s="0" t="n">
        <v>330</v>
      </c>
      <c r="BA333" s="0" t="s">
        <v>756</v>
      </c>
      <c r="BE333" s="2" t="n">
        <v>43369</v>
      </c>
    </row>
    <row r="334" customFormat="false" ht="14.25" hidden="false" customHeight="false" outlineLevel="0" collapsed="false">
      <c r="A334" s="0" t="n">
        <v>333</v>
      </c>
      <c r="B334" s="1" t="s">
        <v>970</v>
      </c>
      <c r="L334" s="0" t="n">
        <v>52</v>
      </c>
      <c r="M334" s="0" t="n">
        <v>48</v>
      </c>
      <c r="N334" s="0" t="s">
        <v>656</v>
      </c>
      <c r="BE334" s="2" t="n">
        <v>43370</v>
      </c>
    </row>
    <row r="335" customFormat="false" ht="14.25" hidden="false" customHeight="false" outlineLevel="0" collapsed="false">
      <c r="A335" s="0" t="n">
        <v>334</v>
      </c>
      <c r="B335" s="1" t="s">
        <v>971</v>
      </c>
      <c r="I335" s="0" t="n">
        <v>385</v>
      </c>
      <c r="J335" s="0" t="n">
        <v>422</v>
      </c>
      <c r="K335" s="0" t="s">
        <v>176</v>
      </c>
      <c r="BE335" s="2" t="n">
        <v>43373</v>
      </c>
    </row>
    <row r="336" customFormat="false" ht="14.25" hidden="false" customHeight="false" outlineLevel="0" collapsed="false">
      <c r="A336" s="0" t="n">
        <v>335</v>
      </c>
      <c r="B336" s="1" t="s">
        <v>972</v>
      </c>
      <c r="C336" s="0" t="n">
        <v>429</v>
      </c>
      <c r="D336" s="0" t="n">
        <v>484</v>
      </c>
      <c r="E336" s="0" t="s">
        <v>305</v>
      </c>
      <c r="F336" s="0" t="n">
        <v>426</v>
      </c>
      <c r="G336" s="0" t="n">
        <v>475</v>
      </c>
      <c r="H336" s="0" t="s">
        <v>123</v>
      </c>
      <c r="I336" s="0" t="n">
        <v>363</v>
      </c>
      <c r="J336" s="0" t="n">
        <v>368</v>
      </c>
      <c r="K336" s="0" t="s">
        <v>790</v>
      </c>
      <c r="L336" s="0" t="n">
        <v>52</v>
      </c>
      <c r="M336" s="0" t="n">
        <v>48</v>
      </c>
      <c r="N336" s="0" t="s">
        <v>656</v>
      </c>
      <c r="AD336" s="0" t="n">
        <v>653</v>
      </c>
      <c r="AE336" s="0" t="n">
        <v>666</v>
      </c>
      <c r="AF336" s="0" t="s">
        <v>131</v>
      </c>
      <c r="AM336" s="0" t="n">
        <v>273</v>
      </c>
      <c r="AN336" s="0" t="n">
        <v>336</v>
      </c>
      <c r="AO336" s="0" t="s">
        <v>302</v>
      </c>
      <c r="AP336" s="0" t="n">
        <v>211</v>
      </c>
      <c r="AQ336" s="0" t="n">
        <v>330</v>
      </c>
      <c r="AR336" s="0" t="s">
        <v>314</v>
      </c>
      <c r="AV336" s="0" t="n">
        <v>273</v>
      </c>
      <c r="AW336" s="0" t="n">
        <v>336</v>
      </c>
      <c r="AX336" s="0" t="s">
        <v>302</v>
      </c>
      <c r="AY336" s="0" t="n">
        <v>211</v>
      </c>
      <c r="AZ336" s="0" t="n">
        <v>330</v>
      </c>
      <c r="BA336" s="0" t="s">
        <v>314</v>
      </c>
      <c r="BE336" s="2" t="n">
        <v>43374</v>
      </c>
    </row>
    <row r="337" customFormat="false" ht="14.25" hidden="false" customHeight="false" outlineLevel="0" collapsed="false">
      <c r="A337" s="0" t="n">
        <v>336</v>
      </c>
      <c r="B337" s="1" t="s">
        <v>973</v>
      </c>
      <c r="C337" s="0" t="n">
        <v>467</v>
      </c>
      <c r="D337" s="0" t="n">
        <v>481</v>
      </c>
      <c r="E337" s="0" t="s">
        <v>492</v>
      </c>
      <c r="F337" s="0" t="n">
        <v>460</v>
      </c>
      <c r="G337" s="0" t="n">
        <v>475</v>
      </c>
      <c r="H337" s="0" t="s">
        <v>112</v>
      </c>
      <c r="I337" s="0" t="n">
        <v>356</v>
      </c>
      <c r="J337" s="0" t="n">
        <v>368</v>
      </c>
      <c r="K337" s="0" t="s">
        <v>538</v>
      </c>
      <c r="L337" s="0" t="n">
        <v>52</v>
      </c>
      <c r="M337" s="0" t="n">
        <v>48</v>
      </c>
      <c r="N337" s="0" t="s">
        <v>656</v>
      </c>
      <c r="AD337" s="0" t="n">
        <v>678</v>
      </c>
      <c r="AE337" s="0" t="n">
        <v>669</v>
      </c>
      <c r="AF337" s="0" t="s">
        <v>653</v>
      </c>
      <c r="AM337" s="0" t="n">
        <v>339</v>
      </c>
      <c r="AN337" s="0" t="n">
        <v>336</v>
      </c>
      <c r="AO337" s="0" t="s">
        <v>974</v>
      </c>
      <c r="AP337" s="0" t="n">
        <v>206</v>
      </c>
      <c r="AQ337" s="0" t="n">
        <v>209</v>
      </c>
      <c r="AR337" s="0" t="s">
        <v>790</v>
      </c>
      <c r="AV337" s="0" t="n">
        <v>339</v>
      </c>
      <c r="AW337" s="0" t="n">
        <v>336</v>
      </c>
      <c r="AX337" s="0" t="s">
        <v>974</v>
      </c>
      <c r="AY337" s="0" t="n">
        <v>206</v>
      </c>
      <c r="AZ337" s="0" t="n">
        <v>209</v>
      </c>
      <c r="BA337" s="0" t="s">
        <v>790</v>
      </c>
      <c r="BE337" s="2" t="n">
        <v>43375</v>
      </c>
    </row>
    <row r="338" customFormat="false" ht="14.25" hidden="false" customHeight="false" outlineLevel="0" collapsed="false">
      <c r="A338" s="0" t="n">
        <v>337</v>
      </c>
      <c r="B338" s="1" t="s">
        <v>975</v>
      </c>
      <c r="C338" s="0" t="n">
        <v>460</v>
      </c>
      <c r="D338" s="0" t="n">
        <v>484</v>
      </c>
      <c r="E338" s="0" t="s">
        <v>606</v>
      </c>
      <c r="F338" s="0" t="n">
        <v>468</v>
      </c>
      <c r="G338" s="0" t="n">
        <v>475</v>
      </c>
      <c r="H338" s="0" t="s">
        <v>120</v>
      </c>
      <c r="I338" s="0" t="n">
        <v>357</v>
      </c>
      <c r="J338" s="0" t="n">
        <v>368</v>
      </c>
      <c r="K338" s="0" t="s">
        <v>756</v>
      </c>
      <c r="L338" s="0" t="n">
        <v>51</v>
      </c>
      <c r="M338" s="0" t="n">
        <v>48</v>
      </c>
      <c r="N338" s="0" t="s">
        <v>963</v>
      </c>
      <c r="AD338" s="0" t="n">
        <v>645</v>
      </c>
      <c r="AE338" s="0" t="n">
        <v>652</v>
      </c>
      <c r="AF338" s="0" t="s">
        <v>143</v>
      </c>
      <c r="AM338" s="0" t="n">
        <v>343</v>
      </c>
      <c r="AN338" s="0" t="n">
        <v>341</v>
      </c>
      <c r="AO338" s="0" t="s">
        <v>443</v>
      </c>
      <c r="AP338" s="0" t="n">
        <v>213</v>
      </c>
      <c r="AV338" s="0" t="n">
        <v>343</v>
      </c>
      <c r="AW338" s="0" t="n">
        <v>341</v>
      </c>
      <c r="AX338" s="0" t="s">
        <v>443</v>
      </c>
      <c r="AY338" s="0" t="n">
        <v>213</v>
      </c>
      <c r="BE338" s="2" t="n">
        <v>43376</v>
      </c>
    </row>
    <row r="339" customFormat="false" ht="14.25" hidden="false" customHeight="false" outlineLevel="0" collapsed="false">
      <c r="A339" s="0" t="n">
        <v>338</v>
      </c>
      <c r="B339" s="1" t="s">
        <v>976</v>
      </c>
      <c r="C339" s="0" t="n">
        <v>474</v>
      </c>
      <c r="D339" s="0" t="n">
        <v>484</v>
      </c>
      <c r="E339" s="0" t="s">
        <v>551</v>
      </c>
      <c r="F339" s="0" t="n">
        <v>469</v>
      </c>
      <c r="G339" s="0" t="n">
        <v>475</v>
      </c>
      <c r="H339" s="0" t="s">
        <v>789</v>
      </c>
      <c r="I339" s="0" t="n">
        <v>357</v>
      </c>
      <c r="J339" s="0" t="n">
        <v>368</v>
      </c>
      <c r="K339" s="0" t="s">
        <v>756</v>
      </c>
      <c r="L339" s="0" t="n">
        <v>52</v>
      </c>
      <c r="M339" s="0" t="n">
        <v>52</v>
      </c>
      <c r="N339" s="0" t="s">
        <v>110</v>
      </c>
      <c r="AD339" s="0" t="n">
        <v>676</v>
      </c>
      <c r="AE339" s="0" t="n">
        <v>667</v>
      </c>
      <c r="AF339" s="0" t="s">
        <v>653</v>
      </c>
      <c r="AM339" s="0" t="n">
        <v>323</v>
      </c>
      <c r="AN339" s="0" t="n">
        <v>336</v>
      </c>
      <c r="AO339" s="0" t="s">
        <v>594</v>
      </c>
      <c r="AP339" s="0" t="n">
        <v>227</v>
      </c>
      <c r="AQ339" s="0" t="n">
        <v>231</v>
      </c>
      <c r="AR339" s="0" t="s">
        <v>179</v>
      </c>
      <c r="AV339" s="0" t="n">
        <v>323</v>
      </c>
      <c r="AW339" s="0" t="n">
        <v>336</v>
      </c>
      <c r="AX339" s="0" t="s">
        <v>594</v>
      </c>
      <c r="AY339" s="0" t="n">
        <v>227</v>
      </c>
      <c r="AZ339" s="0" t="n">
        <v>231</v>
      </c>
      <c r="BA339" s="0" t="s">
        <v>179</v>
      </c>
      <c r="BE339" s="2" t="n">
        <v>43377</v>
      </c>
    </row>
    <row r="340" customFormat="false" ht="14.25" hidden="false" customHeight="false" outlineLevel="0" collapsed="false">
      <c r="A340" s="0" t="n">
        <v>339</v>
      </c>
      <c r="B340" s="1" t="s">
        <v>977</v>
      </c>
      <c r="C340" s="0" t="n">
        <v>474</v>
      </c>
      <c r="D340" s="0" t="n">
        <v>484</v>
      </c>
      <c r="E340" s="0" t="s">
        <v>551</v>
      </c>
      <c r="F340" s="0" t="n">
        <v>461</v>
      </c>
      <c r="G340" s="0" t="n">
        <v>475</v>
      </c>
      <c r="H340" s="0" t="s">
        <v>492</v>
      </c>
      <c r="I340" s="0" t="n">
        <v>409</v>
      </c>
      <c r="J340" s="0" t="n">
        <v>420</v>
      </c>
      <c r="K340" s="0" t="s">
        <v>139</v>
      </c>
      <c r="L340" s="0" t="n">
        <v>52</v>
      </c>
      <c r="M340" s="0" t="n">
        <v>52</v>
      </c>
      <c r="N340" s="0" t="s">
        <v>110</v>
      </c>
      <c r="AD340" s="0" t="n">
        <v>683</v>
      </c>
      <c r="AE340" s="0" t="n">
        <v>666</v>
      </c>
      <c r="AF340" s="0" t="s">
        <v>880</v>
      </c>
      <c r="AM340" s="0" t="n">
        <v>323</v>
      </c>
      <c r="AN340" s="0" t="n">
        <v>336</v>
      </c>
      <c r="AO340" s="0" t="s">
        <v>594</v>
      </c>
      <c r="AP340" s="0" t="n">
        <v>227</v>
      </c>
      <c r="AQ340" s="0" t="n">
        <v>231</v>
      </c>
      <c r="AR340" s="0" t="s">
        <v>179</v>
      </c>
      <c r="AV340" s="0" t="n">
        <v>323</v>
      </c>
      <c r="AW340" s="0" t="n">
        <v>336</v>
      </c>
      <c r="AX340" s="0" t="s">
        <v>594</v>
      </c>
      <c r="AY340" s="0" t="n">
        <v>227</v>
      </c>
      <c r="AZ340" s="0" t="n">
        <v>231</v>
      </c>
      <c r="BA340" s="0" t="s">
        <v>179</v>
      </c>
      <c r="BE340" s="2" t="n">
        <v>43378</v>
      </c>
    </row>
    <row r="341" customFormat="false" ht="14.25" hidden="false" customHeight="false" outlineLevel="0" collapsed="false">
      <c r="A341" s="0" t="n">
        <v>340</v>
      </c>
      <c r="B341" s="1" t="s">
        <v>978</v>
      </c>
      <c r="C341" s="0" t="n">
        <v>475</v>
      </c>
      <c r="D341" s="0" t="n">
        <v>484</v>
      </c>
      <c r="E341" s="0" t="s">
        <v>457</v>
      </c>
      <c r="F341" s="0" t="n">
        <v>454</v>
      </c>
      <c r="G341" s="0" t="n">
        <v>475</v>
      </c>
      <c r="H341" s="0" t="s">
        <v>544</v>
      </c>
      <c r="I341" s="0" t="n">
        <v>362</v>
      </c>
      <c r="J341" s="0" t="n">
        <v>368</v>
      </c>
      <c r="K341" s="0" t="s">
        <v>706</v>
      </c>
      <c r="L341" s="0" t="n">
        <v>52</v>
      </c>
      <c r="M341" s="0" t="n">
        <v>52</v>
      </c>
      <c r="N341" s="0" t="s">
        <v>110</v>
      </c>
      <c r="AD341" s="0" t="n">
        <v>647</v>
      </c>
      <c r="AE341" s="0" t="n">
        <v>666</v>
      </c>
      <c r="AF341" s="0" t="s">
        <v>492</v>
      </c>
      <c r="AM341" s="0" t="n">
        <v>342</v>
      </c>
      <c r="AN341" s="0" t="n">
        <v>336</v>
      </c>
      <c r="AO341" s="0" t="s">
        <v>979</v>
      </c>
      <c r="AP341" s="0" t="n">
        <v>206</v>
      </c>
      <c r="AQ341" s="0" t="n">
        <v>231</v>
      </c>
      <c r="AR341" s="0" t="s">
        <v>124</v>
      </c>
      <c r="AV341" s="0" t="n">
        <v>342</v>
      </c>
      <c r="AW341" s="0" t="n">
        <v>336</v>
      </c>
      <c r="AX341" s="0" t="s">
        <v>979</v>
      </c>
      <c r="AY341" s="0" t="n">
        <v>206</v>
      </c>
      <c r="AZ341" s="0" t="n">
        <v>231</v>
      </c>
      <c r="BA341" s="0" t="s">
        <v>124</v>
      </c>
      <c r="BE341" s="2" t="n">
        <v>43381</v>
      </c>
    </row>
    <row r="342" customFormat="false" ht="14.25" hidden="false" customHeight="false" outlineLevel="0" collapsed="false">
      <c r="A342" s="0" t="n">
        <v>341</v>
      </c>
      <c r="B342" s="1" t="s">
        <v>980</v>
      </c>
      <c r="C342" s="0" t="n">
        <v>475</v>
      </c>
      <c r="D342" s="0" t="n">
        <v>484</v>
      </c>
      <c r="E342" s="0" t="s">
        <v>457</v>
      </c>
      <c r="F342" s="0" t="n">
        <v>454</v>
      </c>
      <c r="G342" s="0" t="n">
        <v>475</v>
      </c>
      <c r="H342" s="0" t="s">
        <v>544</v>
      </c>
      <c r="I342" s="0" t="n">
        <v>362</v>
      </c>
      <c r="J342" s="0" t="n">
        <v>368</v>
      </c>
      <c r="K342" s="0" t="s">
        <v>706</v>
      </c>
      <c r="L342" s="0" t="n">
        <v>52</v>
      </c>
      <c r="M342" s="0" t="n">
        <v>52</v>
      </c>
      <c r="N342" s="0" t="s">
        <v>110</v>
      </c>
      <c r="AD342" s="0" t="n">
        <v>647</v>
      </c>
      <c r="AE342" s="0" t="n">
        <v>666</v>
      </c>
      <c r="AF342" s="0" t="s">
        <v>492</v>
      </c>
      <c r="AM342" s="0" t="n">
        <v>342</v>
      </c>
      <c r="AN342" s="0" t="n">
        <v>336</v>
      </c>
      <c r="AO342" s="0" t="s">
        <v>979</v>
      </c>
      <c r="AP342" s="0" t="n">
        <v>206</v>
      </c>
      <c r="AQ342" s="0" t="n">
        <v>231</v>
      </c>
      <c r="AR342" s="0" t="s">
        <v>124</v>
      </c>
      <c r="AV342" s="0" t="n">
        <v>342</v>
      </c>
      <c r="AW342" s="0" t="n">
        <v>336</v>
      </c>
      <c r="AX342" s="0" t="s">
        <v>979</v>
      </c>
      <c r="AY342" s="0" t="n">
        <v>206</v>
      </c>
      <c r="AZ342" s="0" t="n">
        <v>231</v>
      </c>
      <c r="BA342" s="0" t="s">
        <v>124</v>
      </c>
      <c r="BE342" s="2" t="n">
        <v>43351</v>
      </c>
    </row>
    <row r="343" customFormat="false" ht="14.25" hidden="false" customHeight="false" outlineLevel="0" collapsed="false">
      <c r="A343" s="0" t="n">
        <v>342</v>
      </c>
      <c r="B343" s="1" t="s">
        <v>981</v>
      </c>
      <c r="C343" s="0" t="n">
        <v>463</v>
      </c>
      <c r="D343" s="0" t="n">
        <v>468</v>
      </c>
      <c r="E343" s="0" t="s">
        <v>143</v>
      </c>
      <c r="F343" s="0" t="n">
        <v>375</v>
      </c>
      <c r="G343" s="0" t="n">
        <v>460</v>
      </c>
      <c r="H343" s="0" t="s">
        <v>487</v>
      </c>
      <c r="I343" s="0" t="n">
        <v>350</v>
      </c>
      <c r="J343" s="0" t="n">
        <v>353</v>
      </c>
      <c r="K343" s="0" t="s">
        <v>863</v>
      </c>
      <c r="L343" s="0" t="n">
        <v>51</v>
      </c>
      <c r="M343" s="0" t="n">
        <v>52</v>
      </c>
      <c r="N343" s="0" t="s">
        <v>457</v>
      </c>
      <c r="AD343" s="0" t="n">
        <v>665</v>
      </c>
      <c r="AE343" s="0" t="n">
        <v>638</v>
      </c>
      <c r="AF343" s="0" t="s">
        <v>952</v>
      </c>
      <c r="AM343" s="0" t="n">
        <v>334</v>
      </c>
      <c r="AN343" s="0" t="n">
        <v>336</v>
      </c>
      <c r="AO343" s="0" t="s">
        <v>824</v>
      </c>
      <c r="AP343" s="0" t="n">
        <v>271</v>
      </c>
      <c r="AQ343" s="0" t="n">
        <v>288</v>
      </c>
      <c r="AR343" s="0" t="s">
        <v>448</v>
      </c>
      <c r="AV343" s="0" t="n">
        <v>334</v>
      </c>
      <c r="AW343" s="0" t="n">
        <v>336</v>
      </c>
      <c r="AX343" s="0" t="s">
        <v>824</v>
      </c>
      <c r="AY343" s="0" t="n">
        <v>271</v>
      </c>
      <c r="AZ343" s="0" t="n">
        <v>288</v>
      </c>
      <c r="BA343" s="0" t="s">
        <v>448</v>
      </c>
      <c r="BE343" s="2" t="n">
        <v>43382</v>
      </c>
    </row>
    <row r="344" customFormat="false" ht="14.25" hidden="false" customHeight="false" outlineLevel="0" collapsed="false">
      <c r="A344" s="0" t="n">
        <v>343</v>
      </c>
      <c r="B344" s="1" t="s">
        <v>982</v>
      </c>
      <c r="C344" s="0" t="n">
        <v>479</v>
      </c>
      <c r="D344" s="0" t="n">
        <v>484</v>
      </c>
      <c r="E344" s="0" t="s">
        <v>870</v>
      </c>
      <c r="F344" s="0" t="n">
        <v>466</v>
      </c>
      <c r="G344" s="0" t="n">
        <v>475</v>
      </c>
      <c r="H344" s="0" t="s">
        <v>457</v>
      </c>
      <c r="I344" s="0" t="n">
        <v>363</v>
      </c>
      <c r="J344" s="0" t="n">
        <v>368</v>
      </c>
      <c r="K344" s="0" t="s">
        <v>790</v>
      </c>
      <c r="L344" s="0" t="n">
        <v>52</v>
      </c>
      <c r="M344" s="0" t="n">
        <v>52</v>
      </c>
      <c r="N344" s="0" t="s">
        <v>110</v>
      </c>
      <c r="AD344" s="0" t="n">
        <v>645</v>
      </c>
      <c r="AE344" s="0" t="n">
        <v>666</v>
      </c>
      <c r="AF344" s="0" t="s">
        <v>112</v>
      </c>
      <c r="AM344" s="0" t="n">
        <v>367</v>
      </c>
      <c r="AN344" s="0" t="n">
        <v>367</v>
      </c>
      <c r="AO344" s="0" t="s">
        <v>110</v>
      </c>
      <c r="AP344" s="0" t="n">
        <v>233</v>
      </c>
      <c r="AQ344" s="0" t="n">
        <v>233</v>
      </c>
      <c r="AR344" s="0" t="s">
        <v>110</v>
      </c>
      <c r="AV344" s="0" t="n">
        <v>367</v>
      </c>
      <c r="AW344" s="0" t="n">
        <v>367</v>
      </c>
      <c r="AX344" s="0" t="s">
        <v>110</v>
      </c>
      <c r="AY344" s="0" t="n">
        <v>233</v>
      </c>
      <c r="AZ344" s="0" t="n">
        <v>233</v>
      </c>
      <c r="BA344" s="0" t="s">
        <v>110</v>
      </c>
      <c r="BE344" s="2" t="n">
        <v>43383</v>
      </c>
    </row>
    <row r="345" customFormat="false" ht="14.25" hidden="false" customHeight="false" outlineLevel="0" collapsed="false">
      <c r="A345" s="0" t="n">
        <v>344</v>
      </c>
      <c r="B345" s="1" t="s">
        <v>983</v>
      </c>
      <c r="I345" s="0" t="n">
        <v>400</v>
      </c>
      <c r="J345" s="0" t="n">
        <v>422</v>
      </c>
      <c r="K345" s="0" t="s">
        <v>191</v>
      </c>
      <c r="BE345" s="2" t="n">
        <v>43387</v>
      </c>
    </row>
    <row r="346" customFormat="false" ht="14.25" hidden="false" customHeight="false" outlineLevel="0" collapsed="false">
      <c r="A346" s="0" t="n">
        <v>345</v>
      </c>
      <c r="B346" s="1" t="s">
        <v>984</v>
      </c>
      <c r="C346" s="0" t="n">
        <v>474</v>
      </c>
      <c r="D346" s="0" t="n">
        <v>484</v>
      </c>
      <c r="E346" s="0" t="s">
        <v>551</v>
      </c>
      <c r="F346" s="0" t="n">
        <v>457</v>
      </c>
      <c r="G346" s="0" t="n">
        <v>475</v>
      </c>
      <c r="H346" s="0" t="s">
        <v>200</v>
      </c>
      <c r="I346" s="0" t="n">
        <v>363</v>
      </c>
      <c r="J346" s="0" t="n">
        <v>368</v>
      </c>
      <c r="K346" s="0" t="s">
        <v>790</v>
      </c>
      <c r="L346" s="0" t="n">
        <v>52</v>
      </c>
      <c r="M346" s="0" t="n">
        <v>52</v>
      </c>
      <c r="N346" s="0" t="s">
        <v>110</v>
      </c>
      <c r="AD346" s="0" t="n">
        <v>610</v>
      </c>
      <c r="AE346" s="0" t="n">
        <v>667</v>
      </c>
      <c r="AF346" s="0" t="s">
        <v>204</v>
      </c>
      <c r="AM346" s="0" t="n">
        <v>233</v>
      </c>
      <c r="AN346" s="0" t="n">
        <v>336</v>
      </c>
      <c r="AO346" s="0" t="s">
        <v>280</v>
      </c>
      <c r="AP346" s="0" t="n">
        <v>185</v>
      </c>
      <c r="AQ346" s="0" t="n">
        <v>231</v>
      </c>
      <c r="AR346" s="0" t="s">
        <v>513</v>
      </c>
      <c r="AV346" s="0" t="n">
        <v>233</v>
      </c>
      <c r="AW346" s="0" t="n">
        <v>336</v>
      </c>
      <c r="AX346" s="0" t="s">
        <v>280</v>
      </c>
      <c r="AY346" s="0" t="n">
        <v>185</v>
      </c>
      <c r="AZ346" s="0" t="n">
        <v>231</v>
      </c>
      <c r="BA346" s="0" t="s">
        <v>513</v>
      </c>
      <c r="BE346" s="2" t="n">
        <v>43388</v>
      </c>
    </row>
    <row r="347" customFormat="false" ht="14.25" hidden="false" customHeight="false" outlineLevel="0" collapsed="false">
      <c r="A347" s="0" t="n">
        <v>346</v>
      </c>
      <c r="B347" s="1" t="s">
        <v>985</v>
      </c>
      <c r="C347" s="0" t="n">
        <v>474</v>
      </c>
      <c r="D347" s="0" t="n">
        <v>482</v>
      </c>
      <c r="E347" s="0" t="s">
        <v>179</v>
      </c>
      <c r="F347" s="0" t="n">
        <v>470</v>
      </c>
      <c r="G347" s="0" t="n">
        <v>475</v>
      </c>
      <c r="H347" s="0" t="s">
        <v>143</v>
      </c>
      <c r="I347" s="0" t="n">
        <v>365</v>
      </c>
      <c r="J347" s="0" t="n">
        <v>368</v>
      </c>
      <c r="K347" s="0" t="s">
        <v>863</v>
      </c>
      <c r="L347" s="0" t="n">
        <v>53</v>
      </c>
      <c r="M347" s="0" t="n">
        <v>52</v>
      </c>
      <c r="N347" s="0" t="s">
        <v>986</v>
      </c>
      <c r="AD347" s="0" t="n">
        <v>657</v>
      </c>
      <c r="AE347" s="0" t="n">
        <v>638</v>
      </c>
      <c r="AF347" s="0" t="s">
        <v>644</v>
      </c>
      <c r="AM347" s="0" t="n">
        <v>271</v>
      </c>
      <c r="AN347" s="0" t="n">
        <v>325</v>
      </c>
      <c r="AO347" s="0" t="s">
        <v>393</v>
      </c>
      <c r="AP347" s="0" t="n">
        <v>190</v>
      </c>
      <c r="AQ347" s="0" t="n">
        <v>218</v>
      </c>
      <c r="AR347" s="0" t="s">
        <v>409</v>
      </c>
      <c r="AV347" s="0" t="n">
        <v>271</v>
      </c>
      <c r="AW347" s="0" t="n">
        <v>325</v>
      </c>
      <c r="AX347" s="0" t="s">
        <v>393</v>
      </c>
      <c r="AY347" s="0" t="n">
        <v>190</v>
      </c>
      <c r="AZ347" s="0" t="n">
        <v>218</v>
      </c>
      <c r="BA347" s="0" t="s">
        <v>409</v>
      </c>
      <c r="BE347" s="2" t="n">
        <v>43389</v>
      </c>
    </row>
    <row r="348" customFormat="false" ht="14.25" hidden="false" customHeight="false" outlineLevel="0" collapsed="false">
      <c r="A348" s="0" t="n">
        <v>347</v>
      </c>
      <c r="B348" s="1" t="s">
        <v>987</v>
      </c>
      <c r="C348" s="0" t="n">
        <v>484</v>
      </c>
      <c r="D348" s="0" t="n">
        <v>484</v>
      </c>
      <c r="E348" s="0" t="s">
        <v>110</v>
      </c>
      <c r="F348" s="0" t="n">
        <v>450</v>
      </c>
      <c r="G348" s="0" t="n">
        <v>475</v>
      </c>
      <c r="H348" s="0" t="s">
        <v>473</v>
      </c>
      <c r="I348" s="0" t="n">
        <v>384</v>
      </c>
      <c r="J348" s="0" t="n">
        <v>399</v>
      </c>
      <c r="K348" s="0" t="s">
        <v>200</v>
      </c>
      <c r="L348" s="0" t="n">
        <v>52</v>
      </c>
      <c r="M348" s="0" t="n">
        <v>52</v>
      </c>
      <c r="N348" s="0" t="s">
        <v>110</v>
      </c>
      <c r="AD348" s="0" t="n">
        <v>646</v>
      </c>
      <c r="AE348" s="0" t="n">
        <v>667</v>
      </c>
      <c r="AF348" s="0" t="s">
        <v>758</v>
      </c>
      <c r="AM348" s="0" t="n">
        <v>288</v>
      </c>
      <c r="AN348" s="0" t="n">
        <v>336</v>
      </c>
      <c r="AO348" s="0" t="s">
        <v>381</v>
      </c>
      <c r="AP348" s="0" t="n">
        <v>212</v>
      </c>
      <c r="AQ348" s="0" t="n">
        <v>231</v>
      </c>
      <c r="AR348" s="0" t="s">
        <v>709</v>
      </c>
      <c r="AV348" s="0" t="n">
        <v>288</v>
      </c>
      <c r="AW348" s="0" t="n">
        <v>336</v>
      </c>
      <c r="AX348" s="0" t="s">
        <v>381</v>
      </c>
      <c r="AY348" s="0" t="n">
        <v>212</v>
      </c>
      <c r="AZ348" s="0" t="n">
        <v>231</v>
      </c>
      <c r="BA348" s="0" t="s">
        <v>709</v>
      </c>
      <c r="BE348" s="2" t="n">
        <v>43390</v>
      </c>
    </row>
    <row r="349" customFormat="false" ht="14.25" hidden="false" customHeight="false" outlineLevel="0" collapsed="false">
      <c r="A349" s="0" t="n">
        <v>348</v>
      </c>
      <c r="B349" s="1" t="s">
        <v>988</v>
      </c>
      <c r="C349" s="0" t="n">
        <v>459</v>
      </c>
      <c r="D349" s="0" t="n">
        <v>484</v>
      </c>
      <c r="E349" s="0" t="s">
        <v>191</v>
      </c>
      <c r="F349" s="0" t="n">
        <v>471</v>
      </c>
      <c r="G349" s="0" t="n">
        <v>475</v>
      </c>
      <c r="H349" s="0" t="s">
        <v>863</v>
      </c>
      <c r="I349" s="0" t="n">
        <v>411</v>
      </c>
      <c r="J349" s="0" t="n">
        <v>420</v>
      </c>
      <c r="K349" s="0" t="s">
        <v>551</v>
      </c>
      <c r="L349" s="0" t="n">
        <v>53</v>
      </c>
      <c r="M349" s="0" t="n">
        <v>52</v>
      </c>
      <c r="N349" s="0" t="s">
        <v>986</v>
      </c>
      <c r="AD349" s="0" t="n">
        <v>683</v>
      </c>
      <c r="AE349" s="0" t="n">
        <v>666</v>
      </c>
      <c r="AF349" s="0" t="s">
        <v>880</v>
      </c>
      <c r="AM349" s="0" t="n">
        <v>307</v>
      </c>
      <c r="AN349" s="0" t="n">
        <v>336</v>
      </c>
      <c r="AO349" s="0" t="s">
        <v>795</v>
      </c>
      <c r="AP349" s="0" t="n">
        <v>230</v>
      </c>
      <c r="AQ349" s="0" t="n">
        <v>230</v>
      </c>
      <c r="AR349" s="0" t="s">
        <v>110</v>
      </c>
      <c r="AV349" s="0" t="n">
        <v>307</v>
      </c>
      <c r="AW349" s="0" t="n">
        <v>336</v>
      </c>
      <c r="AX349" s="0" t="s">
        <v>795</v>
      </c>
      <c r="AY349" s="0" t="n">
        <v>230</v>
      </c>
      <c r="AZ349" s="0" t="n">
        <v>230</v>
      </c>
      <c r="BA349" s="0" t="s">
        <v>110</v>
      </c>
      <c r="BE349" s="2" t="n">
        <v>43392</v>
      </c>
    </row>
    <row r="350" customFormat="false" ht="14.25" hidden="false" customHeight="false" outlineLevel="0" collapsed="false">
      <c r="A350" s="0" t="n">
        <v>349</v>
      </c>
      <c r="B350" s="1" t="s">
        <v>989</v>
      </c>
      <c r="I350" s="0" t="n">
        <v>307</v>
      </c>
      <c r="J350" s="0" t="n">
        <v>309</v>
      </c>
      <c r="K350" s="0" t="s">
        <v>824</v>
      </c>
      <c r="BE350" s="2" t="n">
        <v>43394</v>
      </c>
    </row>
    <row r="351" customFormat="false" ht="14.25" hidden="false" customHeight="false" outlineLevel="0" collapsed="false">
      <c r="A351" s="0" t="n">
        <v>350</v>
      </c>
      <c r="B351" s="1" t="s">
        <v>990</v>
      </c>
      <c r="E351" s="0" t="s">
        <v>111</v>
      </c>
      <c r="L351" s="0" t="n">
        <v>35</v>
      </c>
      <c r="M351" s="0" t="n">
        <v>37</v>
      </c>
      <c r="N351" s="0" t="s">
        <v>332</v>
      </c>
      <c r="BE351" s="2" t="n">
        <v>43393</v>
      </c>
    </row>
    <row r="352" customFormat="false" ht="14.25" hidden="false" customHeight="false" outlineLevel="0" collapsed="false">
      <c r="A352" s="0" t="n">
        <v>351</v>
      </c>
      <c r="B352" s="1" t="s">
        <v>991</v>
      </c>
      <c r="C352" s="0" t="n">
        <v>460</v>
      </c>
      <c r="D352" s="0" t="n">
        <v>473</v>
      </c>
      <c r="E352" s="0" t="s">
        <v>149</v>
      </c>
      <c r="F352" s="0" t="n">
        <v>472</v>
      </c>
      <c r="G352" s="0" t="n">
        <v>475</v>
      </c>
      <c r="H352" s="0" t="s">
        <v>824</v>
      </c>
      <c r="I352" s="0" t="n">
        <v>364</v>
      </c>
      <c r="J352" s="0" t="n">
        <v>368</v>
      </c>
      <c r="K352" s="0" t="s">
        <v>143</v>
      </c>
      <c r="L352" s="0" t="n">
        <v>53</v>
      </c>
      <c r="M352" s="0" t="n">
        <v>53</v>
      </c>
      <c r="N352" s="0" t="s">
        <v>110</v>
      </c>
      <c r="AD352" s="0" t="n">
        <v>650</v>
      </c>
      <c r="AE352" s="0" t="n">
        <v>667</v>
      </c>
      <c r="AF352" s="0" t="s">
        <v>370</v>
      </c>
      <c r="AM352" s="0" t="n">
        <v>356</v>
      </c>
      <c r="AN352" s="0" t="n">
        <v>336</v>
      </c>
      <c r="AO352" s="0" t="s">
        <v>852</v>
      </c>
      <c r="AP352" s="0" t="n">
        <v>309</v>
      </c>
      <c r="AQ352" s="0" t="n">
        <v>309</v>
      </c>
      <c r="AR352" s="0" t="s">
        <v>110</v>
      </c>
      <c r="AV352" s="0" t="n">
        <v>356</v>
      </c>
      <c r="AW352" s="0" t="n">
        <v>336</v>
      </c>
      <c r="AX352" s="0" t="s">
        <v>852</v>
      </c>
      <c r="AY352" s="0" t="n">
        <v>309</v>
      </c>
      <c r="AZ352" s="0" t="n">
        <v>309</v>
      </c>
      <c r="BA352" s="0" t="s">
        <v>110</v>
      </c>
      <c r="BE352" s="2" t="n">
        <v>43396</v>
      </c>
    </row>
    <row r="353" customFormat="false" ht="14.25" hidden="false" customHeight="false" outlineLevel="0" collapsed="false">
      <c r="A353" s="0" t="n">
        <v>352</v>
      </c>
      <c r="B353" s="1" t="s">
        <v>992</v>
      </c>
      <c r="C353" s="0" t="n">
        <v>478</v>
      </c>
      <c r="D353" s="0" t="n">
        <v>484</v>
      </c>
      <c r="E353" s="0" t="s">
        <v>153</v>
      </c>
      <c r="F353" s="0" t="n">
        <v>472</v>
      </c>
      <c r="G353" s="0" t="n">
        <v>475</v>
      </c>
      <c r="H353" s="0" t="s">
        <v>824</v>
      </c>
      <c r="I353" s="0" t="n">
        <v>368</v>
      </c>
      <c r="J353" s="0" t="n">
        <v>368</v>
      </c>
      <c r="K353" s="0" t="s">
        <v>110</v>
      </c>
      <c r="L353" s="0" t="n">
        <v>52</v>
      </c>
      <c r="M353" s="0" t="n">
        <v>52</v>
      </c>
      <c r="N353" s="0" t="s">
        <v>110</v>
      </c>
      <c r="AD353" s="0" t="n">
        <v>656</v>
      </c>
      <c r="AE353" s="0" t="n">
        <v>667</v>
      </c>
      <c r="AF353" s="0" t="s">
        <v>706</v>
      </c>
      <c r="AM353" s="0" t="n">
        <v>326</v>
      </c>
      <c r="AN353" s="0" t="n">
        <v>331</v>
      </c>
      <c r="AO353" s="0" t="s">
        <v>120</v>
      </c>
      <c r="AP353" s="0" t="n">
        <v>216</v>
      </c>
      <c r="AQ353" s="0" t="n">
        <v>225</v>
      </c>
      <c r="AR353" s="0" t="s">
        <v>438</v>
      </c>
      <c r="AV353" s="0" t="n">
        <v>326</v>
      </c>
      <c r="AW353" s="0" t="n">
        <v>331</v>
      </c>
      <c r="AX353" s="0" t="s">
        <v>120</v>
      </c>
      <c r="AY353" s="0" t="n">
        <v>216</v>
      </c>
      <c r="AZ353" s="0" t="n">
        <v>225</v>
      </c>
      <c r="BA353" s="0" t="s">
        <v>438</v>
      </c>
      <c r="BE353" s="2" t="n">
        <v>43395</v>
      </c>
    </row>
    <row r="354" customFormat="false" ht="14.25" hidden="false" customHeight="false" outlineLevel="0" collapsed="false">
      <c r="A354" s="0" t="n">
        <v>353</v>
      </c>
      <c r="B354" s="1" t="s">
        <v>993</v>
      </c>
      <c r="C354" s="0" t="n">
        <v>480</v>
      </c>
      <c r="D354" s="0" t="n">
        <v>489</v>
      </c>
      <c r="E354" s="0" t="s">
        <v>600</v>
      </c>
      <c r="F354" s="0" t="n">
        <v>430</v>
      </c>
      <c r="G354" s="0" t="n">
        <v>475</v>
      </c>
      <c r="H354" s="0" t="s">
        <v>608</v>
      </c>
      <c r="I354" s="0" t="n">
        <v>366</v>
      </c>
      <c r="J354" s="0" t="n">
        <v>368</v>
      </c>
      <c r="K354" s="0" t="s">
        <v>516</v>
      </c>
      <c r="L354" s="0" t="n">
        <v>53</v>
      </c>
      <c r="M354" s="0" t="n">
        <v>52</v>
      </c>
      <c r="N354" s="0" t="s">
        <v>986</v>
      </c>
      <c r="AD354" s="0" t="n">
        <v>655</v>
      </c>
      <c r="AE354" s="0" t="n">
        <v>667</v>
      </c>
      <c r="AF354" s="0" t="s">
        <v>600</v>
      </c>
      <c r="AM354" s="0" t="n">
        <v>366</v>
      </c>
      <c r="AN354" s="0" t="n">
        <v>336</v>
      </c>
      <c r="AO354" s="0" t="s">
        <v>994</v>
      </c>
      <c r="AP354" s="0" t="n">
        <v>317</v>
      </c>
      <c r="AQ354" s="0" t="n">
        <v>382</v>
      </c>
      <c r="AR354" s="0" t="s">
        <v>742</v>
      </c>
      <c r="AV354" s="0" t="n">
        <v>366</v>
      </c>
      <c r="AW354" s="0" t="n">
        <v>336</v>
      </c>
      <c r="AX354" s="0" t="s">
        <v>994</v>
      </c>
      <c r="AY354" s="0" t="n">
        <v>317</v>
      </c>
      <c r="AZ354" s="0" t="n">
        <v>382</v>
      </c>
      <c r="BA354" s="0" t="s">
        <v>742</v>
      </c>
      <c r="BE354" s="2" t="n">
        <v>43397</v>
      </c>
    </row>
    <row r="355" customFormat="false" ht="14.25" hidden="false" customHeight="false" outlineLevel="0" collapsed="false">
      <c r="A355" s="0" t="n">
        <v>354</v>
      </c>
      <c r="B355" s="1" t="s">
        <v>995</v>
      </c>
      <c r="C355" s="0" t="n">
        <v>471</v>
      </c>
      <c r="D355" s="0" t="n">
        <v>484</v>
      </c>
      <c r="E355" s="0" t="s">
        <v>149</v>
      </c>
      <c r="F355" s="0" t="n">
        <v>391</v>
      </c>
      <c r="G355" s="0" t="n">
        <v>475</v>
      </c>
      <c r="H355" s="0" t="s">
        <v>159</v>
      </c>
      <c r="I355" s="0" t="n">
        <v>87</v>
      </c>
      <c r="J355" s="0" t="n">
        <v>368</v>
      </c>
      <c r="K355" s="0" t="s">
        <v>996</v>
      </c>
      <c r="L355" s="0" t="n">
        <v>52</v>
      </c>
      <c r="M355" s="0" t="n">
        <v>52</v>
      </c>
      <c r="N355" s="0" t="s">
        <v>110</v>
      </c>
      <c r="AD355" s="0" t="n">
        <v>703</v>
      </c>
      <c r="AE355" s="0" t="n">
        <v>666</v>
      </c>
      <c r="AF355" s="0" t="s">
        <v>997</v>
      </c>
      <c r="AM355" s="0" t="n">
        <v>331</v>
      </c>
      <c r="AN355" s="0" t="n">
        <v>336</v>
      </c>
      <c r="AO355" s="0" t="s">
        <v>120</v>
      </c>
      <c r="AP355" s="0" t="n">
        <v>227</v>
      </c>
      <c r="AQ355" s="0" t="n">
        <v>231</v>
      </c>
      <c r="AR355" s="0" t="s">
        <v>179</v>
      </c>
      <c r="AV355" s="0" t="n">
        <v>331</v>
      </c>
      <c r="AW355" s="0" t="n">
        <v>336</v>
      </c>
      <c r="AX355" s="0" t="s">
        <v>120</v>
      </c>
      <c r="AY355" s="0" t="n">
        <v>227</v>
      </c>
      <c r="AZ355" s="0" t="n">
        <v>231</v>
      </c>
      <c r="BA355" s="0" t="s">
        <v>179</v>
      </c>
      <c r="BE355" s="2" t="n">
        <v>43391</v>
      </c>
    </row>
    <row r="356" customFormat="false" ht="14.25" hidden="false" customHeight="false" outlineLevel="0" collapsed="false">
      <c r="A356" s="0" t="n">
        <v>355</v>
      </c>
      <c r="B356" s="1" t="s">
        <v>998</v>
      </c>
      <c r="C356" s="0" t="n">
        <v>464</v>
      </c>
      <c r="D356" s="0" t="n">
        <v>484</v>
      </c>
      <c r="E356" s="0" t="s">
        <v>777</v>
      </c>
      <c r="F356" s="0" t="n">
        <v>465</v>
      </c>
      <c r="G356" s="0" t="n">
        <v>475</v>
      </c>
      <c r="H356" s="0" t="s">
        <v>551</v>
      </c>
      <c r="I356" s="0" t="n">
        <v>368</v>
      </c>
      <c r="J356" s="0" t="n">
        <v>368</v>
      </c>
      <c r="K356" s="0" t="s">
        <v>110</v>
      </c>
      <c r="L356" s="0" t="n">
        <v>53</v>
      </c>
      <c r="M356" s="0" t="n">
        <v>52</v>
      </c>
      <c r="N356" s="0" t="s">
        <v>986</v>
      </c>
      <c r="AD356" s="0" t="n">
        <v>668</v>
      </c>
      <c r="AE356" s="0" t="n">
        <v>667</v>
      </c>
      <c r="AF356" s="0" t="s">
        <v>999</v>
      </c>
      <c r="AM356" s="0" t="n">
        <v>334</v>
      </c>
      <c r="AN356" s="0" t="n">
        <v>336</v>
      </c>
      <c r="AO356" s="0" t="s">
        <v>824</v>
      </c>
      <c r="AP356" s="0" t="n">
        <v>257</v>
      </c>
      <c r="AQ356" s="0" t="n">
        <v>258</v>
      </c>
      <c r="AR356" s="0" t="s">
        <v>899</v>
      </c>
      <c r="AV356" s="0" t="n">
        <v>334</v>
      </c>
      <c r="AW356" s="0" t="n">
        <v>336</v>
      </c>
      <c r="AX356" s="0" t="s">
        <v>824</v>
      </c>
      <c r="AY356" s="0" t="n">
        <v>257</v>
      </c>
      <c r="AZ356" s="0" t="n">
        <v>258</v>
      </c>
      <c r="BA356" s="0" t="s">
        <v>899</v>
      </c>
      <c r="BE356" s="2" t="n">
        <v>43398</v>
      </c>
    </row>
    <row r="357" customFormat="false" ht="14.25" hidden="false" customHeight="false" outlineLevel="0" collapsed="false">
      <c r="A357" s="0" t="n">
        <v>356</v>
      </c>
      <c r="B357" s="1" t="s">
        <v>1000</v>
      </c>
      <c r="C357" s="0" t="n">
        <v>468</v>
      </c>
      <c r="D357" s="0" t="n">
        <v>484</v>
      </c>
      <c r="E357" s="0" t="s">
        <v>538</v>
      </c>
      <c r="F357" s="0" t="n">
        <v>470</v>
      </c>
      <c r="G357" s="0" t="n">
        <v>475</v>
      </c>
      <c r="H357" s="0" t="s">
        <v>143</v>
      </c>
      <c r="I357" s="0" t="n">
        <v>420</v>
      </c>
      <c r="J357" s="0" t="n">
        <v>420</v>
      </c>
      <c r="K357" s="0" t="s">
        <v>110</v>
      </c>
      <c r="L357" s="0" t="n">
        <v>52</v>
      </c>
      <c r="M357" s="0" t="n">
        <v>52</v>
      </c>
      <c r="N357" s="0" t="s">
        <v>110</v>
      </c>
      <c r="AD357" s="0" t="n">
        <v>666</v>
      </c>
      <c r="AE357" s="0" t="n">
        <v>666</v>
      </c>
      <c r="AF357" s="0" t="s">
        <v>110</v>
      </c>
      <c r="AM357" s="0" t="n">
        <v>334</v>
      </c>
      <c r="AN357" s="0" t="n">
        <v>336</v>
      </c>
      <c r="AO357" s="0" t="s">
        <v>824</v>
      </c>
      <c r="AP357" s="0" t="n">
        <v>248</v>
      </c>
      <c r="AQ357" s="0" t="n">
        <v>249</v>
      </c>
      <c r="AR357" s="0" t="s">
        <v>899</v>
      </c>
      <c r="AV357" s="0" t="n">
        <v>334</v>
      </c>
      <c r="AW357" s="0" t="n">
        <v>336</v>
      </c>
      <c r="AX357" s="0" t="s">
        <v>824</v>
      </c>
      <c r="AY357" s="0" t="n">
        <v>248</v>
      </c>
      <c r="AZ357" s="0" t="n">
        <v>249</v>
      </c>
      <c r="BA357" s="0" t="s">
        <v>899</v>
      </c>
      <c r="BE357" s="2" t="n">
        <v>43399</v>
      </c>
    </row>
    <row r="358" customFormat="false" ht="14.25" hidden="false" customHeight="false" outlineLevel="0" collapsed="false">
      <c r="A358" s="0" t="n">
        <v>357</v>
      </c>
      <c r="B358" s="1" t="s">
        <v>1001</v>
      </c>
      <c r="C358" s="0" t="n">
        <v>411</v>
      </c>
      <c r="D358" s="0" t="n">
        <v>422</v>
      </c>
      <c r="E358" s="0" t="s">
        <v>139</v>
      </c>
      <c r="BE358" s="2" t="n">
        <v>43401</v>
      </c>
    </row>
    <row r="359" customFormat="false" ht="14.25" hidden="false" customHeight="false" outlineLevel="0" collapsed="false">
      <c r="A359" s="0" t="n">
        <v>358</v>
      </c>
      <c r="B359" s="1" t="s">
        <v>1002</v>
      </c>
      <c r="I359" s="0" t="n">
        <v>350</v>
      </c>
      <c r="J359" s="0" t="n">
        <v>368</v>
      </c>
      <c r="K359" s="0" t="s">
        <v>210</v>
      </c>
      <c r="L359" s="0" t="n">
        <v>53</v>
      </c>
      <c r="M359" s="0" t="n">
        <v>52</v>
      </c>
      <c r="N359" s="0" t="s">
        <v>986</v>
      </c>
      <c r="AM359" s="0" t="n">
        <v>324</v>
      </c>
      <c r="AN359" s="0" t="n">
        <v>322</v>
      </c>
      <c r="AO359" s="0" t="s">
        <v>443</v>
      </c>
      <c r="AP359" s="0" t="n">
        <v>257</v>
      </c>
      <c r="AQ359" s="0" t="n">
        <v>259</v>
      </c>
      <c r="AR359" s="0" t="s">
        <v>863</v>
      </c>
      <c r="AV359" s="0" t="n">
        <v>324</v>
      </c>
      <c r="AW359" s="0" t="n">
        <v>322</v>
      </c>
      <c r="AX359" s="0" t="s">
        <v>443</v>
      </c>
      <c r="AY359" s="0" t="n">
        <v>257</v>
      </c>
      <c r="AZ359" s="0" t="n">
        <v>259</v>
      </c>
      <c r="BA359" s="0" t="s">
        <v>863</v>
      </c>
      <c r="BE359" s="2" t="n">
        <v>43402</v>
      </c>
    </row>
    <row r="360" customFormat="false" ht="14.25" hidden="false" customHeight="false" outlineLevel="0" collapsed="false">
      <c r="A360" s="0" t="n">
        <v>359</v>
      </c>
      <c r="B360" s="1" t="s">
        <v>1003</v>
      </c>
      <c r="C360" s="0" t="n">
        <v>464</v>
      </c>
      <c r="D360" s="0" t="n">
        <v>473</v>
      </c>
      <c r="E360" s="0" t="s">
        <v>457</v>
      </c>
      <c r="F360" s="0" t="n">
        <v>435</v>
      </c>
      <c r="G360" s="0" t="n">
        <v>465</v>
      </c>
      <c r="H360" s="0" t="s">
        <v>713</v>
      </c>
      <c r="I360" s="0" t="n">
        <v>357</v>
      </c>
      <c r="J360" s="0" t="n">
        <v>353</v>
      </c>
      <c r="K360" s="0" t="s">
        <v>829</v>
      </c>
      <c r="L360" s="0" t="n">
        <v>49</v>
      </c>
      <c r="M360" s="0" t="n">
        <v>52</v>
      </c>
      <c r="N360" s="0" t="s">
        <v>141</v>
      </c>
      <c r="AD360" s="0" t="n">
        <v>633</v>
      </c>
      <c r="AE360" s="0" t="n">
        <v>667</v>
      </c>
      <c r="AF360" s="0" t="s">
        <v>142</v>
      </c>
      <c r="AM360" s="0" t="n">
        <v>329</v>
      </c>
      <c r="AN360" s="0" t="n">
        <v>336</v>
      </c>
      <c r="AO360" s="0" t="s">
        <v>551</v>
      </c>
      <c r="AP360" s="0" t="n">
        <v>248</v>
      </c>
      <c r="AQ360" s="0" t="n">
        <v>249</v>
      </c>
      <c r="AR360" s="0" t="s">
        <v>899</v>
      </c>
      <c r="AV360" s="0" t="n">
        <v>329</v>
      </c>
      <c r="AW360" s="0" t="n">
        <v>336</v>
      </c>
      <c r="AX360" s="0" t="s">
        <v>551</v>
      </c>
      <c r="AY360" s="0" t="n">
        <v>248</v>
      </c>
      <c r="AZ360" s="0" t="n">
        <v>249</v>
      </c>
      <c r="BA360" s="0" t="s">
        <v>899</v>
      </c>
      <c r="BE360" s="2" t="n">
        <v>43403</v>
      </c>
    </row>
    <row r="361" customFormat="false" ht="14.25" hidden="false" customHeight="false" outlineLevel="0" collapsed="false">
      <c r="A361" s="0" t="n">
        <v>360</v>
      </c>
      <c r="B361" s="1" t="s">
        <v>1004</v>
      </c>
      <c r="C361" s="0" t="n">
        <v>470</v>
      </c>
      <c r="D361" s="0" t="n">
        <v>484</v>
      </c>
      <c r="E361" s="0" t="s">
        <v>492</v>
      </c>
      <c r="F361" s="0" t="n">
        <v>465</v>
      </c>
      <c r="G361" s="0" t="n">
        <v>475</v>
      </c>
      <c r="H361" s="0" t="s">
        <v>551</v>
      </c>
      <c r="I361" s="0" t="n">
        <v>366</v>
      </c>
      <c r="J361" s="0" t="n">
        <v>368</v>
      </c>
      <c r="K361" s="0" t="s">
        <v>516</v>
      </c>
      <c r="L361" s="0" t="n">
        <v>52</v>
      </c>
      <c r="M361" s="0" t="n">
        <v>52</v>
      </c>
      <c r="N361" s="0" t="s">
        <v>110</v>
      </c>
      <c r="AD361" s="0" t="n">
        <v>663</v>
      </c>
      <c r="AE361" s="0" t="n">
        <v>667</v>
      </c>
      <c r="AF361" s="0" t="s">
        <v>824</v>
      </c>
      <c r="AM361" s="0" t="n">
        <v>347</v>
      </c>
      <c r="AN361" s="0" t="n">
        <v>336</v>
      </c>
      <c r="AO361" s="0" t="s">
        <v>1005</v>
      </c>
      <c r="AP361" s="0" t="n">
        <v>226</v>
      </c>
      <c r="AQ361" s="0" t="n">
        <v>227</v>
      </c>
      <c r="AR361" s="0" t="s">
        <v>899</v>
      </c>
      <c r="AV361" s="0" t="n">
        <v>347</v>
      </c>
      <c r="AW361" s="0" t="n">
        <v>336</v>
      </c>
      <c r="AX361" s="0" t="s">
        <v>1005</v>
      </c>
      <c r="AY361" s="0" t="n">
        <v>226</v>
      </c>
      <c r="AZ361" s="0" t="n">
        <v>227</v>
      </c>
      <c r="BA361" s="0" t="s">
        <v>899</v>
      </c>
      <c r="BE361" s="2" t="s">
        <v>1006</v>
      </c>
    </row>
    <row r="362" customFormat="false" ht="14.25" hidden="false" customHeight="false" outlineLevel="0" collapsed="false">
      <c r="A362" s="0" t="n">
        <v>361</v>
      </c>
      <c r="B362" s="1" t="s">
        <v>1007</v>
      </c>
      <c r="C362" s="0" t="n">
        <v>474</v>
      </c>
      <c r="D362" s="0" t="n">
        <v>484</v>
      </c>
      <c r="E362" s="0" t="s">
        <v>551</v>
      </c>
      <c r="F362" s="0" t="n">
        <v>469</v>
      </c>
      <c r="G362" s="0" t="n">
        <v>475</v>
      </c>
      <c r="H362" s="0" t="s">
        <v>789</v>
      </c>
      <c r="I362" s="0" t="n">
        <v>361</v>
      </c>
      <c r="J362" s="0" t="n">
        <v>368</v>
      </c>
      <c r="K362" s="0" t="s">
        <v>457</v>
      </c>
      <c r="L362" s="0" t="n">
        <v>54</v>
      </c>
      <c r="M362" s="0" t="n">
        <v>54</v>
      </c>
      <c r="N362" s="0" t="s">
        <v>110</v>
      </c>
      <c r="AD362" s="0" t="n">
        <v>669</v>
      </c>
      <c r="AE362" s="0" t="n">
        <v>669</v>
      </c>
      <c r="AF362" s="0" t="s">
        <v>110</v>
      </c>
      <c r="AM362" s="0" t="n">
        <v>319</v>
      </c>
      <c r="AN362" s="0" t="n">
        <v>329</v>
      </c>
      <c r="AO362" s="0" t="s">
        <v>756</v>
      </c>
      <c r="AP362" s="0" t="n">
        <v>255</v>
      </c>
      <c r="AQ362" s="0" t="n">
        <v>251</v>
      </c>
      <c r="AR362" s="0" t="s">
        <v>632</v>
      </c>
      <c r="AV362" s="0" t="n">
        <v>319</v>
      </c>
      <c r="AW362" s="0" t="n">
        <v>329</v>
      </c>
      <c r="AX362" s="0" t="s">
        <v>756</v>
      </c>
      <c r="AY362" s="0" t="n">
        <v>255</v>
      </c>
      <c r="AZ362" s="0" t="n">
        <v>251</v>
      </c>
      <c r="BA362" s="0" t="s">
        <v>632</v>
      </c>
      <c r="BE362" s="2" t="n">
        <v>43405</v>
      </c>
    </row>
    <row r="363" customFormat="false" ht="14.25" hidden="false" customHeight="false" outlineLevel="0" collapsed="false">
      <c r="A363" s="0" t="n">
        <v>362</v>
      </c>
      <c r="B363" s="1" t="s">
        <v>1008</v>
      </c>
      <c r="C363" s="0" t="n">
        <v>470</v>
      </c>
      <c r="D363" s="0" t="n">
        <v>484</v>
      </c>
      <c r="E363" s="0" t="s">
        <v>492</v>
      </c>
      <c r="F363" s="0" t="n">
        <v>465</v>
      </c>
      <c r="G363" s="0" t="n">
        <v>475</v>
      </c>
      <c r="H363" s="0" t="s">
        <v>551</v>
      </c>
      <c r="I363" s="0" t="n">
        <v>366</v>
      </c>
      <c r="J363" s="0" t="n">
        <v>368</v>
      </c>
      <c r="K363" s="0" t="s">
        <v>516</v>
      </c>
      <c r="L363" s="0" t="n">
        <v>52</v>
      </c>
      <c r="M363" s="0" t="n">
        <v>52</v>
      </c>
      <c r="N363" s="0" t="s">
        <v>110</v>
      </c>
      <c r="AD363" s="0" t="n">
        <v>663</v>
      </c>
      <c r="AE363" s="0" t="n">
        <v>667</v>
      </c>
      <c r="AF363" s="0" t="s">
        <v>824</v>
      </c>
      <c r="AM363" s="0" t="n">
        <v>347</v>
      </c>
      <c r="AN363" s="0" t="n">
        <v>336</v>
      </c>
      <c r="AO363" s="0" t="s">
        <v>1005</v>
      </c>
      <c r="AP363" s="0" t="n">
        <v>226</v>
      </c>
      <c r="AQ363" s="0" t="n">
        <v>235</v>
      </c>
      <c r="AR363" s="0" t="s">
        <v>200</v>
      </c>
      <c r="AV363" s="0" t="n">
        <v>347</v>
      </c>
      <c r="AW363" s="0" t="n">
        <v>336</v>
      </c>
      <c r="AX363" s="0" t="s">
        <v>1005</v>
      </c>
      <c r="AY363" s="0" t="n">
        <v>226</v>
      </c>
      <c r="AZ363" s="0" t="n">
        <v>235</v>
      </c>
      <c r="BA363" s="0" t="s">
        <v>200</v>
      </c>
      <c r="BE363" s="2" t="n">
        <v>43404</v>
      </c>
    </row>
    <row r="364" customFormat="false" ht="14.25" hidden="false" customHeight="false" outlineLevel="0" collapsed="false">
      <c r="A364" s="0" t="n">
        <v>363</v>
      </c>
      <c r="B364" s="1" t="s">
        <v>1009</v>
      </c>
      <c r="C364" s="0" t="n">
        <v>465</v>
      </c>
      <c r="D364" s="0" t="n">
        <v>484</v>
      </c>
      <c r="E364" s="0" t="s">
        <v>594</v>
      </c>
      <c r="F364" s="0" t="n">
        <v>455</v>
      </c>
      <c r="G364" s="0" t="n">
        <v>475</v>
      </c>
      <c r="H364" s="0" t="s">
        <v>136</v>
      </c>
      <c r="I364" s="0" t="n">
        <v>348</v>
      </c>
      <c r="J364" s="0" t="n">
        <v>368</v>
      </c>
      <c r="K364" s="0" t="s">
        <v>332</v>
      </c>
      <c r="L364" s="0" t="n">
        <v>51</v>
      </c>
      <c r="M364" s="0" t="n">
        <v>52</v>
      </c>
      <c r="N364" s="0" t="s">
        <v>457</v>
      </c>
      <c r="AD364" s="0" t="n">
        <v>601</v>
      </c>
      <c r="AE364" s="0" t="n">
        <v>667</v>
      </c>
      <c r="AF364" s="0" t="s">
        <v>530</v>
      </c>
      <c r="AM364" s="0" t="n">
        <v>335</v>
      </c>
      <c r="AN364" s="0" t="n">
        <v>339</v>
      </c>
      <c r="AO364" s="0" t="s">
        <v>153</v>
      </c>
      <c r="AP364" s="0" t="n">
        <v>246</v>
      </c>
      <c r="AQ364" s="0" t="n">
        <v>289</v>
      </c>
      <c r="AR364" s="0" t="s">
        <v>365</v>
      </c>
      <c r="AV364" s="0" t="n">
        <v>335</v>
      </c>
      <c r="AW364" s="0" t="n">
        <v>339</v>
      </c>
      <c r="AX364" s="0" t="s">
        <v>153</v>
      </c>
      <c r="AY364" s="0" t="n">
        <v>246</v>
      </c>
      <c r="AZ364" s="0" t="n">
        <v>289</v>
      </c>
      <c r="BA364" s="0" t="s">
        <v>365</v>
      </c>
      <c r="BE364" s="2" t="n">
        <v>43409</v>
      </c>
    </row>
    <row r="365" customFormat="false" ht="14.25" hidden="false" customHeight="false" outlineLevel="0" collapsed="false">
      <c r="A365" s="0" t="n">
        <v>364</v>
      </c>
      <c r="B365" s="1" t="s">
        <v>1010</v>
      </c>
      <c r="C365" s="0" t="n">
        <v>462</v>
      </c>
      <c r="D365" s="0" t="n">
        <v>484</v>
      </c>
      <c r="E365" s="0" t="s">
        <v>127</v>
      </c>
      <c r="F365" s="0" t="n">
        <v>452</v>
      </c>
      <c r="G365" s="0" t="n">
        <v>475</v>
      </c>
      <c r="H365" s="0" t="s">
        <v>634</v>
      </c>
      <c r="I365" s="0" t="n">
        <v>360</v>
      </c>
      <c r="J365" s="0" t="n">
        <v>368</v>
      </c>
      <c r="K365" s="0" t="s">
        <v>652</v>
      </c>
      <c r="L365" s="0" t="n">
        <v>50</v>
      </c>
      <c r="M365" s="0" t="n">
        <v>52</v>
      </c>
      <c r="N365" s="0" t="s">
        <v>200</v>
      </c>
      <c r="AD365" s="0" t="n">
        <v>694</v>
      </c>
      <c r="AE365" s="0" t="n">
        <v>694</v>
      </c>
      <c r="AF365" s="0" t="s">
        <v>110</v>
      </c>
      <c r="AM365" s="0" t="n">
        <v>357</v>
      </c>
      <c r="AN365" s="0" t="n">
        <v>349</v>
      </c>
      <c r="AO365" s="0" t="s">
        <v>701</v>
      </c>
      <c r="AP365" s="0" t="n">
        <v>240</v>
      </c>
      <c r="AQ365" s="0" t="n">
        <v>289</v>
      </c>
      <c r="AR365" s="0" t="s">
        <v>742</v>
      </c>
      <c r="AV365" s="0" t="n">
        <v>357</v>
      </c>
      <c r="AW365" s="0" t="n">
        <v>349</v>
      </c>
      <c r="AX365" s="0" t="s">
        <v>701</v>
      </c>
      <c r="AY365" s="0" t="n">
        <v>240</v>
      </c>
      <c r="AZ365" s="0" t="n">
        <v>289</v>
      </c>
      <c r="BA365" s="0" t="s">
        <v>742</v>
      </c>
      <c r="BE365" s="2" t="n">
        <v>43410</v>
      </c>
    </row>
    <row r="366" customFormat="false" ht="14.25" hidden="false" customHeight="false" outlineLevel="0" collapsed="false">
      <c r="A366" s="0" t="n">
        <v>365</v>
      </c>
      <c r="B366" s="1" t="s">
        <v>1011</v>
      </c>
      <c r="C366" s="0" t="n">
        <v>472</v>
      </c>
      <c r="D366" s="0" t="n">
        <v>473</v>
      </c>
      <c r="E366" s="0" t="s">
        <v>623</v>
      </c>
      <c r="F366" s="0" t="n">
        <v>457</v>
      </c>
      <c r="G366" s="0" t="n">
        <v>465</v>
      </c>
      <c r="H366" s="0" t="s">
        <v>179</v>
      </c>
      <c r="I366" s="0" t="n">
        <v>357</v>
      </c>
      <c r="J366" s="0" t="n">
        <v>358</v>
      </c>
      <c r="K366" s="0" t="s">
        <v>723</v>
      </c>
      <c r="L366" s="0" t="n">
        <v>52</v>
      </c>
      <c r="M366" s="0" t="n">
        <v>52</v>
      </c>
      <c r="N366" s="0" t="s">
        <v>110</v>
      </c>
      <c r="AD366" s="0" t="n">
        <v>655</v>
      </c>
      <c r="AE366" s="0" t="n">
        <v>654</v>
      </c>
      <c r="AF366" s="0" t="s">
        <v>1012</v>
      </c>
      <c r="AM366" s="0" t="n">
        <v>305</v>
      </c>
      <c r="AN366" s="0" t="n">
        <v>337</v>
      </c>
      <c r="AO366" s="0" t="s">
        <v>608</v>
      </c>
      <c r="AP366" s="0" t="n">
        <v>261</v>
      </c>
      <c r="AQ366" s="0" t="n">
        <v>314</v>
      </c>
      <c r="AR366" s="0" t="s">
        <v>251</v>
      </c>
      <c r="AV366" s="0" t="n">
        <v>305</v>
      </c>
      <c r="AW366" s="0" t="n">
        <v>337</v>
      </c>
      <c r="AX366" s="0" t="s">
        <v>608</v>
      </c>
      <c r="AY366" s="0" t="n">
        <v>261</v>
      </c>
      <c r="AZ366" s="0" t="n">
        <v>314</v>
      </c>
      <c r="BA366" s="0" t="s">
        <v>251</v>
      </c>
      <c r="BE366" s="2" t="n">
        <v>43411</v>
      </c>
    </row>
    <row r="367" customFormat="false" ht="14.25" hidden="false" customHeight="false" outlineLevel="0" collapsed="false">
      <c r="A367" s="0" t="n">
        <v>366</v>
      </c>
      <c r="B367" s="1" t="s">
        <v>1013</v>
      </c>
      <c r="C367" s="0" t="n">
        <v>468</v>
      </c>
      <c r="D367" s="0" t="n">
        <v>484</v>
      </c>
      <c r="E367" s="0" t="s">
        <v>538</v>
      </c>
      <c r="F367" s="0" t="n">
        <v>451</v>
      </c>
      <c r="G367" s="0" t="n">
        <v>475</v>
      </c>
      <c r="H367" s="0" t="s">
        <v>142</v>
      </c>
      <c r="I367" s="0" t="n">
        <v>361</v>
      </c>
      <c r="J367" s="0" t="n">
        <v>368</v>
      </c>
      <c r="K367" s="0" t="s">
        <v>457</v>
      </c>
      <c r="L367" s="0" t="n">
        <v>53</v>
      </c>
      <c r="M367" s="0" t="n">
        <v>52</v>
      </c>
      <c r="N367" s="0" t="s">
        <v>986</v>
      </c>
      <c r="AD367" s="0" t="n">
        <v>672</v>
      </c>
      <c r="AE367" s="0" t="n">
        <v>677</v>
      </c>
      <c r="AF367" s="0" t="s">
        <v>596</v>
      </c>
      <c r="AM367" s="0" t="n">
        <v>349</v>
      </c>
      <c r="AN367" s="0" t="n">
        <v>349</v>
      </c>
      <c r="AO367" s="0" t="s">
        <v>110</v>
      </c>
      <c r="AP367" s="0" t="n">
        <v>250</v>
      </c>
      <c r="AQ367" s="0" t="n">
        <v>301</v>
      </c>
      <c r="AR367" s="0" t="s">
        <v>251</v>
      </c>
      <c r="AV367" s="0" t="n">
        <v>349</v>
      </c>
      <c r="AW367" s="0" t="n">
        <v>349</v>
      </c>
      <c r="AX367" s="0" t="s">
        <v>110</v>
      </c>
      <c r="AY367" s="0" t="n">
        <v>250</v>
      </c>
      <c r="AZ367" s="0" t="n">
        <v>301</v>
      </c>
      <c r="BA367" s="0" t="s">
        <v>251</v>
      </c>
      <c r="BE367" s="2" t="n">
        <v>43412</v>
      </c>
    </row>
    <row r="368" customFormat="false" ht="14.25" hidden="false" customHeight="false" outlineLevel="0" collapsed="false">
      <c r="A368" s="0" t="n">
        <v>367</v>
      </c>
      <c r="B368" s="1" t="s">
        <v>1014</v>
      </c>
      <c r="C368" s="0" t="n">
        <v>464</v>
      </c>
      <c r="D368" s="0" t="n">
        <v>479</v>
      </c>
      <c r="E368" s="0" t="s">
        <v>758</v>
      </c>
      <c r="F368" s="0" t="n">
        <v>442</v>
      </c>
      <c r="G368" s="0" t="n">
        <v>470</v>
      </c>
      <c r="H368" s="0" t="s">
        <v>526</v>
      </c>
      <c r="I368" s="0" t="n">
        <v>408</v>
      </c>
      <c r="J368" s="0" t="n">
        <v>415</v>
      </c>
      <c r="K368" s="0" t="s">
        <v>179</v>
      </c>
      <c r="L368" s="0" t="n">
        <v>53</v>
      </c>
      <c r="M368" s="0" t="n">
        <v>52</v>
      </c>
      <c r="N368" s="0" t="s">
        <v>986</v>
      </c>
      <c r="AD368" s="0" t="n">
        <v>681</v>
      </c>
      <c r="AE368" s="0" t="n">
        <v>676</v>
      </c>
      <c r="AF368" s="0" t="s">
        <v>108</v>
      </c>
      <c r="AM368" s="0" t="n">
        <v>341</v>
      </c>
      <c r="AN368" s="0" t="n">
        <v>348</v>
      </c>
      <c r="AO368" s="0" t="s">
        <v>131</v>
      </c>
      <c r="AP368" s="0" t="n">
        <v>238</v>
      </c>
      <c r="AQ368" s="0" t="n">
        <v>287</v>
      </c>
      <c r="AR368" s="0" t="s">
        <v>354</v>
      </c>
      <c r="AV368" s="0" t="n">
        <v>341</v>
      </c>
      <c r="AW368" s="0" t="n">
        <v>348</v>
      </c>
      <c r="AX368" s="0" t="s">
        <v>131</v>
      </c>
      <c r="AY368" s="0" t="n">
        <v>238</v>
      </c>
      <c r="AZ368" s="0" t="n">
        <v>287</v>
      </c>
      <c r="BA368" s="0" t="s">
        <v>354</v>
      </c>
      <c r="BE368" s="2" t="n">
        <v>43413</v>
      </c>
    </row>
    <row r="369" customFormat="false" ht="14.25" hidden="false" customHeight="false" outlineLevel="0" collapsed="false">
      <c r="A369" s="0" t="n">
        <v>368</v>
      </c>
      <c r="B369" s="1" t="s">
        <v>1015</v>
      </c>
      <c r="I369" s="0" t="n">
        <v>400</v>
      </c>
      <c r="J369" s="0" t="n">
        <v>422</v>
      </c>
      <c r="K369" s="0" t="s">
        <v>191</v>
      </c>
      <c r="BE369" s="2" t="n">
        <v>43415</v>
      </c>
    </row>
    <row r="370" customFormat="false" ht="14.25" hidden="false" customHeight="false" outlineLevel="0" collapsed="false">
      <c r="A370" s="0" t="n">
        <v>369</v>
      </c>
      <c r="B370" s="1" t="s">
        <v>1016</v>
      </c>
      <c r="C370" s="0" t="n">
        <v>474</v>
      </c>
      <c r="D370" s="0" t="n">
        <v>484</v>
      </c>
      <c r="E370" s="0" t="s">
        <v>551</v>
      </c>
      <c r="F370" s="0" t="n">
        <v>459</v>
      </c>
      <c r="G370" s="0" t="n">
        <v>475</v>
      </c>
      <c r="H370" s="0" t="s">
        <v>119</v>
      </c>
      <c r="I370" s="0" t="n">
        <v>365</v>
      </c>
      <c r="J370" s="0" t="n">
        <v>368</v>
      </c>
      <c r="K370" s="0" t="s">
        <v>863</v>
      </c>
      <c r="L370" s="0" t="n">
        <v>55</v>
      </c>
      <c r="M370" s="0" t="n">
        <v>52</v>
      </c>
      <c r="N370" s="0" t="s">
        <v>1017</v>
      </c>
      <c r="AD370" s="0" t="n">
        <v>652</v>
      </c>
      <c r="AE370" s="0" t="n">
        <v>676</v>
      </c>
      <c r="AF370" s="0" t="s">
        <v>187</v>
      </c>
      <c r="AM370" s="0" t="n">
        <v>338</v>
      </c>
      <c r="AN370" s="0" t="n">
        <v>348</v>
      </c>
      <c r="AO370" s="0" t="s">
        <v>492</v>
      </c>
      <c r="AP370" s="0" t="n">
        <v>191</v>
      </c>
      <c r="AQ370" s="0" t="n">
        <v>230</v>
      </c>
      <c r="AR370" s="0" t="s">
        <v>742</v>
      </c>
      <c r="AV370" s="0" t="n">
        <v>338</v>
      </c>
      <c r="AW370" s="0" t="n">
        <v>348</v>
      </c>
      <c r="AX370" s="0" t="s">
        <v>492</v>
      </c>
      <c r="AY370" s="0" t="n">
        <v>191</v>
      </c>
      <c r="AZ370" s="0" t="n">
        <v>230</v>
      </c>
      <c r="BA370" s="0" t="s">
        <v>742</v>
      </c>
      <c r="BE370" s="2" t="n">
        <v>43416</v>
      </c>
    </row>
    <row r="371" customFormat="false" ht="14.25" hidden="false" customHeight="false" outlineLevel="0" collapsed="false">
      <c r="A371" s="0" t="n">
        <v>370</v>
      </c>
      <c r="B371" s="1" t="s">
        <v>1018</v>
      </c>
      <c r="C371" s="0" t="n">
        <v>474</v>
      </c>
      <c r="D371" s="0" t="n">
        <v>484</v>
      </c>
      <c r="E371" s="0" t="s">
        <v>551</v>
      </c>
      <c r="F371" s="0" t="n">
        <v>459</v>
      </c>
      <c r="G371" s="0" t="n">
        <v>475</v>
      </c>
      <c r="H371" s="0" t="s">
        <v>119</v>
      </c>
      <c r="I371" s="0" t="n">
        <v>355</v>
      </c>
      <c r="J371" s="0" t="n">
        <v>368</v>
      </c>
      <c r="K371" s="0" t="s">
        <v>291</v>
      </c>
      <c r="L371" s="0" t="n">
        <v>60</v>
      </c>
      <c r="M371" s="0" t="n">
        <v>58</v>
      </c>
      <c r="N371" s="0" t="s">
        <v>615</v>
      </c>
      <c r="AD371" s="0" t="n">
        <v>675</v>
      </c>
      <c r="AE371" s="0" t="n">
        <v>676</v>
      </c>
      <c r="AF371" s="0" t="s">
        <v>834</v>
      </c>
      <c r="AM371" s="0" t="n">
        <v>335</v>
      </c>
      <c r="AN371" s="0" t="n">
        <v>349</v>
      </c>
      <c r="AO371" s="0" t="s">
        <v>438</v>
      </c>
      <c r="AP371" s="0" t="n">
        <v>225</v>
      </c>
      <c r="AQ371" s="0" t="n">
        <v>271</v>
      </c>
      <c r="AR371" s="0" t="s">
        <v>742</v>
      </c>
      <c r="AV371" s="0" t="n">
        <v>335</v>
      </c>
      <c r="AW371" s="0" t="n">
        <v>349</v>
      </c>
      <c r="AX371" s="0" t="s">
        <v>438</v>
      </c>
      <c r="AY371" s="0" t="n">
        <v>225</v>
      </c>
      <c r="AZ371" s="0" t="n">
        <v>271</v>
      </c>
      <c r="BA371" s="0" t="s">
        <v>742</v>
      </c>
      <c r="BE371" s="2" t="n">
        <v>43417</v>
      </c>
    </row>
    <row r="372" customFormat="false" ht="14.25" hidden="false" customHeight="false" outlineLevel="0" collapsed="false">
      <c r="A372" s="0" t="n">
        <v>371</v>
      </c>
      <c r="B372" s="1" t="s">
        <v>1019</v>
      </c>
      <c r="C372" s="0" t="n">
        <v>303</v>
      </c>
      <c r="D372" s="0" t="n">
        <v>484</v>
      </c>
      <c r="E372" s="0" t="s">
        <v>286</v>
      </c>
      <c r="F372" s="0" t="n">
        <v>470</v>
      </c>
      <c r="G372" s="0" t="n">
        <v>475</v>
      </c>
      <c r="H372" s="0" t="s">
        <v>143</v>
      </c>
      <c r="I372" s="0" t="n">
        <v>382</v>
      </c>
      <c r="J372" s="0" t="n">
        <v>417</v>
      </c>
      <c r="K372" s="0" t="s">
        <v>292</v>
      </c>
      <c r="L372" s="0" t="n">
        <v>53</v>
      </c>
      <c r="M372" s="0" t="n">
        <v>54</v>
      </c>
      <c r="N372" s="0" t="s">
        <v>457</v>
      </c>
      <c r="AD372" s="0" t="n">
        <v>684</v>
      </c>
      <c r="AE372" s="0" t="n">
        <v>667</v>
      </c>
      <c r="AF372" s="0" t="s">
        <v>1020</v>
      </c>
      <c r="AM372" s="0" t="n">
        <v>324</v>
      </c>
      <c r="AN372" s="0" t="n">
        <v>337</v>
      </c>
      <c r="AO372" s="0" t="s">
        <v>594</v>
      </c>
      <c r="AP372" s="0" t="n">
        <v>245</v>
      </c>
      <c r="AQ372" s="0" t="n">
        <v>295</v>
      </c>
      <c r="AR372" s="0" t="s">
        <v>251</v>
      </c>
      <c r="AV372" s="0" t="n">
        <v>324</v>
      </c>
      <c r="AW372" s="0" t="n">
        <v>337</v>
      </c>
      <c r="AX372" s="0" t="s">
        <v>594</v>
      </c>
      <c r="AY372" s="0" t="n">
        <v>245</v>
      </c>
      <c r="AZ372" s="0" t="n">
        <v>295</v>
      </c>
      <c r="BA372" s="0" t="s">
        <v>251</v>
      </c>
      <c r="BE372" s="2" t="n">
        <v>43418</v>
      </c>
    </row>
    <row r="373" customFormat="false" ht="14.25" hidden="false" customHeight="false" outlineLevel="0" collapsed="false">
      <c r="A373" s="0" t="n">
        <v>372</v>
      </c>
      <c r="B373" s="1" t="s">
        <v>1021</v>
      </c>
      <c r="C373" s="0" t="n">
        <v>469</v>
      </c>
      <c r="D373" s="0" t="n">
        <v>484</v>
      </c>
      <c r="E373" s="0" t="s">
        <v>758</v>
      </c>
      <c r="F373" s="0" t="n">
        <v>463</v>
      </c>
      <c r="G373" s="0" t="n">
        <v>504</v>
      </c>
      <c r="H373" s="0" t="s">
        <v>398</v>
      </c>
      <c r="I373" s="0" t="n">
        <v>358</v>
      </c>
      <c r="J373" s="0" t="n">
        <v>368</v>
      </c>
      <c r="K373" s="0" t="s">
        <v>149</v>
      </c>
      <c r="L373" s="0" t="n">
        <v>54</v>
      </c>
      <c r="M373" s="0" t="n">
        <v>54</v>
      </c>
      <c r="N373" s="0" t="s">
        <v>110</v>
      </c>
      <c r="AD373" s="0" t="n">
        <v>627</v>
      </c>
      <c r="AE373" s="0" t="n">
        <v>676</v>
      </c>
      <c r="AF373" s="0" t="s">
        <v>475</v>
      </c>
      <c r="AM373" s="0" t="n">
        <v>342</v>
      </c>
      <c r="AN373" s="0" t="n">
        <v>342</v>
      </c>
      <c r="AO373" s="0" t="s">
        <v>110</v>
      </c>
      <c r="AP373" s="0" t="n">
        <v>234</v>
      </c>
      <c r="AQ373" s="0" t="n">
        <v>268</v>
      </c>
      <c r="AR373" s="0" t="s">
        <v>501</v>
      </c>
      <c r="AV373" s="0" t="n">
        <v>342</v>
      </c>
      <c r="AW373" s="0" t="n">
        <v>342</v>
      </c>
      <c r="AX373" s="0" t="s">
        <v>110</v>
      </c>
      <c r="AY373" s="0" t="n">
        <v>234</v>
      </c>
      <c r="AZ373" s="0" t="n">
        <v>268</v>
      </c>
      <c r="BA373" s="0" t="s">
        <v>501</v>
      </c>
      <c r="BE373" s="2" t="n">
        <v>43423</v>
      </c>
    </row>
    <row r="374" customFormat="false" ht="14.25" hidden="false" customHeight="false" outlineLevel="0" collapsed="false">
      <c r="A374" s="0" t="n">
        <v>373</v>
      </c>
      <c r="B374" s="1" t="s">
        <v>1022</v>
      </c>
      <c r="C374" s="0" t="n">
        <v>479</v>
      </c>
      <c r="D374" s="0" t="n">
        <v>485</v>
      </c>
      <c r="E374" s="0" t="s">
        <v>153</v>
      </c>
      <c r="F374" s="0" t="n">
        <v>461</v>
      </c>
      <c r="G374" s="0" t="n">
        <v>475</v>
      </c>
      <c r="H374" s="0" t="s">
        <v>492</v>
      </c>
      <c r="I374" s="0" t="n">
        <v>363</v>
      </c>
      <c r="J374" s="0" t="n">
        <v>368</v>
      </c>
      <c r="K374" s="0" t="s">
        <v>790</v>
      </c>
      <c r="L374" s="0" t="n">
        <v>55</v>
      </c>
      <c r="M374" s="0" t="n">
        <v>54</v>
      </c>
      <c r="N374" s="0" t="s">
        <v>986</v>
      </c>
      <c r="AD374" s="0" t="n">
        <v>657</v>
      </c>
      <c r="AE374" s="0" t="n">
        <v>680</v>
      </c>
      <c r="AF374" s="0" t="s">
        <v>119</v>
      </c>
      <c r="AP374" s="0" t="n">
        <v>246</v>
      </c>
      <c r="AQ374" s="0" t="n">
        <v>268</v>
      </c>
      <c r="AR374" s="0" t="s">
        <v>709</v>
      </c>
      <c r="AY374" s="0" t="n">
        <v>246</v>
      </c>
      <c r="AZ374" s="0" t="n">
        <v>268</v>
      </c>
      <c r="BA374" s="0" t="s">
        <v>709</v>
      </c>
      <c r="BE374" s="2" t="n">
        <v>43424</v>
      </c>
    </row>
    <row r="375" customFormat="false" ht="14.25" hidden="false" customHeight="false" outlineLevel="0" collapsed="false">
      <c r="A375" s="0" t="n">
        <v>374</v>
      </c>
      <c r="B375" s="1" t="s">
        <v>1023</v>
      </c>
      <c r="C375" s="0" t="n">
        <v>478</v>
      </c>
      <c r="D375" s="0" t="n">
        <v>484</v>
      </c>
      <c r="E375" s="0" t="s">
        <v>153</v>
      </c>
      <c r="F375" s="0" t="n">
        <v>465</v>
      </c>
      <c r="G375" s="0" t="n">
        <v>475</v>
      </c>
      <c r="H375" s="0" t="s">
        <v>551</v>
      </c>
      <c r="I375" s="0" t="n">
        <v>368</v>
      </c>
      <c r="J375" s="0" t="n">
        <v>368</v>
      </c>
      <c r="K375" s="0" t="s">
        <v>110</v>
      </c>
      <c r="L375" s="0" t="n">
        <v>54</v>
      </c>
      <c r="M375" s="0" t="n">
        <v>54</v>
      </c>
      <c r="N375" s="0" t="s">
        <v>110</v>
      </c>
      <c r="AD375" s="0" t="n">
        <v>678</v>
      </c>
      <c r="AE375" s="0" t="n">
        <v>677</v>
      </c>
      <c r="AF375" s="0" t="s">
        <v>999</v>
      </c>
      <c r="AP375" s="0" t="n">
        <v>283</v>
      </c>
      <c r="AQ375" s="0" t="n">
        <v>268</v>
      </c>
      <c r="AR375" s="0" t="s">
        <v>997</v>
      </c>
      <c r="AY375" s="0" t="n">
        <v>283</v>
      </c>
      <c r="AZ375" s="0" t="n">
        <v>268</v>
      </c>
      <c r="BA375" s="0" t="s">
        <v>997</v>
      </c>
      <c r="BE375" s="2" t="n">
        <v>43425</v>
      </c>
    </row>
    <row r="376" customFormat="false" ht="14.25" hidden="false" customHeight="false" outlineLevel="0" collapsed="false">
      <c r="A376" s="0" t="n">
        <v>375</v>
      </c>
      <c r="B376" s="1" t="s">
        <v>1024</v>
      </c>
      <c r="C376" s="0" t="n">
        <v>466</v>
      </c>
      <c r="D376" s="0" t="n">
        <v>484</v>
      </c>
      <c r="E376" s="0" t="s">
        <v>182</v>
      </c>
      <c r="F376" s="0" t="n">
        <v>467</v>
      </c>
      <c r="G376" s="0" t="n">
        <v>475</v>
      </c>
      <c r="H376" s="0" t="s">
        <v>179</v>
      </c>
      <c r="I376" s="0" t="n">
        <v>409</v>
      </c>
      <c r="J376" s="0" t="n">
        <v>420</v>
      </c>
      <c r="K376" s="0" t="s">
        <v>139</v>
      </c>
      <c r="L376" s="0" t="n">
        <v>55</v>
      </c>
      <c r="M376" s="0" t="n">
        <v>54</v>
      </c>
      <c r="N376" s="0" t="s">
        <v>986</v>
      </c>
      <c r="AD376" s="0" t="n">
        <v>701</v>
      </c>
      <c r="AE376" s="0" t="n">
        <v>677</v>
      </c>
      <c r="AF376" s="0" t="s">
        <v>1025</v>
      </c>
      <c r="AM376" s="0" t="n">
        <v>364</v>
      </c>
      <c r="AN376" s="0" t="n">
        <v>348</v>
      </c>
      <c r="AO376" s="0" t="s">
        <v>1026</v>
      </c>
      <c r="AP376" s="0" t="n">
        <v>284</v>
      </c>
      <c r="AQ376" s="0" t="n">
        <v>343</v>
      </c>
      <c r="AR376" s="0" t="s">
        <v>175</v>
      </c>
      <c r="AV376" s="0" t="n">
        <v>364</v>
      </c>
      <c r="AW376" s="0" t="n">
        <v>348</v>
      </c>
      <c r="AX376" s="0" t="s">
        <v>1026</v>
      </c>
      <c r="AY376" s="0" t="n">
        <v>284</v>
      </c>
      <c r="AZ376" s="0" t="n">
        <v>343</v>
      </c>
      <c r="BA376" s="0" t="s">
        <v>175</v>
      </c>
      <c r="BE376" s="2" t="n">
        <v>43427</v>
      </c>
    </row>
    <row r="377" customFormat="false" ht="14.25" hidden="false" customHeight="false" outlineLevel="0" collapsed="false">
      <c r="A377" s="0" t="n">
        <v>376</v>
      </c>
      <c r="B377" s="1" t="s">
        <v>1027</v>
      </c>
      <c r="C377" s="0" t="n">
        <v>480</v>
      </c>
      <c r="D377" s="0" t="n">
        <v>484</v>
      </c>
      <c r="E377" s="0" t="s">
        <v>863</v>
      </c>
      <c r="F377" s="0" t="n">
        <v>475</v>
      </c>
      <c r="G377" s="0" t="n">
        <v>475</v>
      </c>
      <c r="H377" s="0" t="s">
        <v>110</v>
      </c>
      <c r="I377" s="0" t="n">
        <v>361</v>
      </c>
      <c r="J377" s="0" t="n">
        <v>368</v>
      </c>
      <c r="K377" s="0" t="s">
        <v>457</v>
      </c>
      <c r="L377" s="0" t="n">
        <v>53</v>
      </c>
      <c r="M377" s="0" t="n">
        <v>54</v>
      </c>
      <c r="N377" s="0" t="s">
        <v>457</v>
      </c>
      <c r="AD377" s="0" t="n">
        <v>722</v>
      </c>
      <c r="AE377" s="0" t="n">
        <v>677</v>
      </c>
      <c r="AF377" s="0" t="s">
        <v>1028</v>
      </c>
      <c r="AM377" s="0" t="n">
        <v>363</v>
      </c>
      <c r="AN377" s="0" t="n">
        <v>347</v>
      </c>
      <c r="AO377" s="0" t="s">
        <v>1026</v>
      </c>
      <c r="AP377" s="0" t="n">
        <v>99</v>
      </c>
      <c r="AQ377" s="0" t="n">
        <v>268</v>
      </c>
      <c r="AR377" s="0" t="s">
        <v>1029</v>
      </c>
      <c r="AV377" s="0" t="n">
        <v>363</v>
      </c>
      <c r="AW377" s="0" t="n">
        <v>347</v>
      </c>
      <c r="AX377" s="0" t="s">
        <v>1026</v>
      </c>
      <c r="AY377" s="0" t="n">
        <v>99</v>
      </c>
      <c r="AZ377" s="0" t="n">
        <v>268</v>
      </c>
      <c r="BA377" s="0" t="s">
        <v>1029</v>
      </c>
      <c r="BE377" s="2" t="n">
        <v>43426</v>
      </c>
    </row>
    <row r="378" customFormat="false" ht="14.25" hidden="false" customHeight="false" outlineLevel="0" collapsed="false">
      <c r="A378" s="0" t="n">
        <v>377</v>
      </c>
      <c r="B378" s="1" t="s">
        <v>1030</v>
      </c>
      <c r="I378" s="0" t="n">
        <v>410</v>
      </c>
      <c r="J378" s="0" t="n">
        <v>422</v>
      </c>
      <c r="K378" s="0" t="s">
        <v>128</v>
      </c>
      <c r="BE378" s="2" t="n">
        <v>43429</v>
      </c>
    </row>
    <row r="379" customFormat="false" ht="14.25" hidden="false" customHeight="false" outlineLevel="0" collapsed="false">
      <c r="A379" s="0" t="n">
        <v>378</v>
      </c>
      <c r="B379" s="1" t="s">
        <v>1031</v>
      </c>
      <c r="L379" s="0" t="n">
        <v>40</v>
      </c>
      <c r="M379" s="0" t="n">
        <v>44</v>
      </c>
      <c r="N379" s="0" t="s">
        <v>452</v>
      </c>
      <c r="BE379" s="2" t="n">
        <v>43428</v>
      </c>
    </row>
    <row r="380" customFormat="false" ht="14.25" hidden="false" customHeight="false" outlineLevel="0" collapsed="false">
      <c r="A380" s="0" t="n">
        <v>379</v>
      </c>
      <c r="B380" s="1" t="s">
        <v>1032</v>
      </c>
      <c r="C380" s="0" t="n">
        <v>471</v>
      </c>
      <c r="D380" s="0" t="n">
        <v>484</v>
      </c>
      <c r="E380" s="0" t="s">
        <v>149</v>
      </c>
      <c r="F380" s="0" t="n">
        <v>469</v>
      </c>
      <c r="G380" s="0" t="n">
        <v>475</v>
      </c>
      <c r="H380" s="0" t="s">
        <v>789</v>
      </c>
      <c r="I380" s="0" t="n">
        <v>358</v>
      </c>
      <c r="J380" s="0" t="n">
        <v>368</v>
      </c>
      <c r="K380" s="0" t="s">
        <v>149</v>
      </c>
      <c r="L380" s="0" t="n">
        <v>54</v>
      </c>
      <c r="M380" s="0" t="n">
        <v>54</v>
      </c>
      <c r="N380" s="0" t="s">
        <v>110</v>
      </c>
      <c r="AD380" s="0" t="n">
        <v>699</v>
      </c>
      <c r="AE380" s="0" t="n">
        <v>677</v>
      </c>
      <c r="AF380" s="0" t="s">
        <v>1033</v>
      </c>
      <c r="AM380" s="0" t="n">
        <v>366</v>
      </c>
      <c r="AN380" s="0" t="n">
        <v>366</v>
      </c>
      <c r="AO380" s="0" t="s">
        <v>110</v>
      </c>
      <c r="AP380" s="0" t="n">
        <v>293</v>
      </c>
      <c r="AQ380" s="0" t="n">
        <v>262</v>
      </c>
      <c r="AR380" s="0" t="s">
        <v>1034</v>
      </c>
      <c r="AV380" s="0" t="n">
        <v>366</v>
      </c>
      <c r="AW380" s="0" t="n">
        <v>366</v>
      </c>
      <c r="AX380" s="0" t="s">
        <v>110</v>
      </c>
      <c r="AY380" s="0" t="n">
        <v>293</v>
      </c>
      <c r="AZ380" s="0" t="n">
        <v>262</v>
      </c>
      <c r="BA380" s="0" t="s">
        <v>1034</v>
      </c>
      <c r="BE380" s="2" t="n">
        <v>43430</v>
      </c>
    </row>
    <row r="381" customFormat="false" ht="14.25" hidden="false" customHeight="false" outlineLevel="0" collapsed="false">
      <c r="A381" s="0" t="n">
        <v>380</v>
      </c>
      <c r="B381" s="1" t="s">
        <v>1035</v>
      </c>
      <c r="C381" s="0" t="n">
        <v>476</v>
      </c>
      <c r="D381" s="0" t="n">
        <v>484</v>
      </c>
      <c r="E381" s="0" t="s">
        <v>179</v>
      </c>
      <c r="F381" s="0" t="n">
        <v>468</v>
      </c>
      <c r="G381" s="0" t="n">
        <v>476</v>
      </c>
      <c r="H381" s="0" t="s">
        <v>179</v>
      </c>
      <c r="I381" s="0" t="n">
        <v>364</v>
      </c>
      <c r="J381" s="0" t="n">
        <v>368</v>
      </c>
      <c r="K381" s="0" t="s">
        <v>143</v>
      </c>
      <c r="L381" s="0" t="n">
        <v>62</v>
      </c>
      <c r="M381" s="0" t="n">
        <v>62</v>
      </c>
      <c r="N381" s="0" t="s">
        <v>110</v>
      </c>
      <c r="AD381" s="0" t="n">
        <v>710</v>
      </c>
      <c r="AE381" s="0" t="n">
        <v>676</v>
      </c>
      <c r="AF381" s="0" t="s">
        <v>1036</v>
      </c>
      <c r="AM381" s="0" t="n">
        <v>350</v>
      </c>
      <c r="AN381" s="0" t="n">
        <v>350</v>
      </c>
      <c r="AO381" s="0" t="s">
        <v>110</v>
      </c>
      <c r="AP381" s="0" t="n">
        <v>285</v>
      </c>
      <c r="AQ381" s="0" t="n">
        <v>283</v>
      </c>
      <c r="AR381" s="0" t="s">
        <v>108</v>
      </c>
      <c r="AV381" s="0" t="n">
        <v>350</v>
      </c>
      <c r="AW381" s="0" t="n">
        <v>350</v>
      </c>
      <c r="AX381" s="0" t="s">
        <v>110</v>
      </c>
      <c r="AY381" s="0" t="n">
        <v>285</v>
      </c>
      <c r="AZ381" s="0" t="n">
        <v>283</v>
      </c>
      <c r="BA381" s="0" t="s">
        <v>108</v>
      </c>
      <c r="BE381" s="2" t="n">
        <v>43431</v>
      </c>
    </row>
    <row r="382" customFormat="false" ht="14.25" hidden="false" customHeight="false" outlineLevel="0" collapsed="false">
      <c r="A382" s="0" t="n">
        <v>381</v>
      </c>
      <c r="B382" s="1" t="s">
        <v>1037</v>
      </c>
      <c r="C382" s="0" t="n">
        <v>464</v>
      </c>
      <c r="D382" s="0" t="n">
        <v>484</v>
      </c>
      <c r="E382" s="0" t="s">
        <v>777</v>
      </c>
      <c r="F382" s="0" t="n">
        <v>474</v>
      </c>
      <c r="G382" s="0" t="n">
        <v>475</v>
      </c>
      <c r="H382" s="0" t="s">
        <v>623</v>
      </c>
      <c r="I382" s="0" t="n">
        <v>361</v>
      </c>
      <c r="J382" s="0" t="n">
        <v>368</v>
      </c>
      <c r="K382" s="0" t="s">
        <v>457</v>
      </c>
      <c r="L382" s="0" t="n">
        <v>55</v>
      </c>
      <c r="M382" s="0" t="n">
        <v>54</v>
      </c>
      <c r="N382" s="0" t="s">
        <v>986</v>
      </c>
      <c r="AD382" s="0" t="n">
        <v>677</v>
      </c>
      <c r="AE382" s="0" t="n">
        <v>677</v>
      </c>
      <c r="AF382" s="0" t="s">
        <v>110</v>
      </c>
      <c r="AM382" s="0" t="n">
        <v>342</v>
      </c>
      <c r="AN382" s="0" t="n">
        <v>360</v>
      </c>
      <c r="AO382" s="0" t="s">
        <v>606</v>
      </c>
      <c r="AP382" s="0" t="n">
        <v>268</v>
      </c>
      <c r="AQ382" s="0" t="n">
        <v>274</v>
      </c>
      <c r="AR382" s="0" t="s">
        <v>652</v>
      </c>
      <c r="AV382" s="0" t="n">
        <v>342</v>
      </c>
      <c r="AW382" s="0" t="n">
        <v>360</v>
      </c>
      <c r="AX382" s="0" t="s">
        <v>606</v>
      </c>
      <c r="AY382" s="0" t="n">
        <v>268</v>
      </c>
      <c r="AZ382" s="0" t="n">
        <v>274</v>
      </c>
      <c r="BA382" s="0" t="s">
        <v>652</v>
      </c>
      <c r="BE382" s="2" t="n">
        <v>43432</v>
      </c>
    </row>
    <row r="383" customFormat="false" ht="14.25" hidden="false" customHeight="false" outlineLevel="0" collapsed="false">
      <c r="A383" s="0" t="n">
        <v>382</v>
      </c>
      <c r="B383" s="1" t="s">
        <v>1038</v>
      </c>
      <c r="C383" s="0" t="n">
        <v>465</v>
      </c>
      <c r="D383" s="0" t="n">
        <v>484</v>
      </c>
      <c r="E383" s="0" t="s">
        <v>594</v>
      </c>
      <c r="F383" s="0" t="n">
        <v>465</v>
      </c>
      <c r="G383" s="0" t="n">
        <v>475</v>
      </c>
      <c r="H383" s="0" t="s">
        <v>551</v>
      </c>
      <c r="I383" s="0" t="n">
        <v>398</v>
      </c>
      <c r="J383" s="0" t="n">
        <v>420</v>
      </c>
      <c r="K383" s="0" t="s">
        <v>191</v>
      </c>
      <c r="L383" s="0" t="n">
        <v>54</v>
      </c>
      <c r="M383" s="0" t="n">
        <v>50</v>
      </c>
      <c r="N383" s="0" t="s">
        <v>969</v>
      </c>
      <c r="AD383" s="0" t="n">
        <v>701</v>
      </c>
      <c r="AE383" s="0" t="n">
        <v>677</v>
      </c>
      <c r="AF383" s="0" t="s">
        <v>1025</v>
      </c>
      <c r="AM383" s="0" t="n">
        <v>353</v>
      </c>
      <c r="AN383" s="0" t="n">
        <v>346</v>
      </c>
      <c r="AO383" s="0" t="s">
        <v>859</v>
      </c>
      <c r="AP383" s="0" t="n">
        <v>239</v>
      </c>
      <c r="AQ383" s="0" t="n">
        <v>239</v>
      </c>
      <c r="AR383" s="0" t="s">
        <v>110</v>
      </c>
      <c r="AV383" s="0" t="n">
        <v>353</v>
      </c>
      <c r="AW383" s="0" t="n">
        <v>346</v>
      </c>
      <c r="AX383" s="0" t="s">
        <v>859</v>
      </c>
      <c r="AY383" s="0" t="n">
        <v>239</v>
      </c>
      <c r="AZ383" s="0" t="n">
        <v>239</v>
      </c>
      <c r="BA383" s="0" t="s">
        <v>110</v>
      </c>
      <c r="BE383" s="2" t="n">
        <v>43434</v>
      </c>
    </row>
    <row r="384" customFormat="false" ht="14.25" hidden="false" customHeight="false" outlineLevel="0" collapsed="false">
      <c r="A384" s="0" t="n">
        <v>383</v>
      </c>
      <c r="B384" s="1" t="s">
        <v>1039</v>
      </c>
      <c r="C384" s="0" t="n">
        <v>474</v>
      </c>
      <c r="D384" s="0" t="n">
        <v>484</v>
      </c>
      <c r="E384" s="0" t="s">
        <v>551</v>
      </c>
      <c r="F384" s="0" t="n">
        <v>469</v>
      </c>
      <c r="G384" s="0" t="n">
        <v>475</v>
      </c>
      <c r="H384" s="0" t="s">
        <v>789</v>
      </c>
      <c r="I384" s="0" t="n">
        <v>359</v>
      </c>
      <c r="J384" s="0" t="n">
        <v>368</v>
      </c>
      <c r="K384" s="0" t="s">
        <v>497</v>
      </c>
      <c r="L384" s="0" t="n">
        <v>54</v>
      </c>
      <c r="M384" s="0" t="n">
        <v>52</v>
      </c>
      <c r="N384" s="0" t="s">
        <v>1040</v>
      </c>
      <c r="AD384" s="0" t="n">
        <v>676</v>
      </c>
      <c r="AE384" s="0" t="n">
        <v>677</v>
      </c>
      <c r="AF384" s="0" t="s">
        <v>834</v>
      </c>
      <c r="AM384" s="0" t="n">
        <v>336</v>
      </c>
      <c r="AN384" s="0" t="n">
        <v>354</v>
      </c>
      <c r="AO384" s="0" t="s">
        <v>142</v>
      </c>
      <c r="AP384" s="0" t="n">
        <v>263</v>
      </c>
      <c r="AQ384" s="0" t="n">
        <v>268</v>
      </c>
      <c r="AR384" s="0" t="s">
        <v>457</v>
      </c>
      <c r="AV384" s="0" t="n">
        <v>336</v>
      </c>
      <c r="AW384" s="0" t="n">
        <v>354</v>
      </c>
      <c r="AX384" s="0" t="s">
        <v>142</v>
      </c>
      <c r="AY384" s="0" t="n">
        <v>263</v>
      </c>
      <c r="AZ384" s="0" t="n">
        <v>268</v>
      </c>
      <c r="BA384" s="0" t="s">
        <v>457</v>
      </c>
      <c r="BE384" s="2" t="n">
        <v>43433</v>
      </c>
    </row>
    <row r="385" customFormat="false" ht="14.25" hidden="false" customHeight="false" outlineLevel="0" collapsed="false">
      <c r="A385" s="0" t="n">
        <v>384</v>
      </c>
      <c r="B385" s="1" t="s">
        <v>1041</v>
      </c>
      <c r="C385" s="0" t="n">
        <v>463</v>
      </c>
      <c r="D385" s="0" t="n">
        <v>484</v>
      </c>
      <c r="E385" s="0" t="s">
        <v>144</v>
      </c>
      <c r="F385" s="0" t="n">
        <v>467</v>
      </c>
      <c r="G385" s="0" t="n">
        <v>475</v>
      </c>
      <c r="H385" s="0" t="s">
        <v>179</v>
      </c>
      <c r="I385" s="0" t="n">
        <v>358</v>
      </c>
      <c r="J385" s="0" t="n">
        <v>368</v>
      </c>
      <c r="K385" s="0" t="s">
        <v>149</v>
      </c>
      <c r="L385" s="0" t="n">
        <v>57</v>
      </c>
      <c r="M385" s="0" t="n">
        <v>57</v>
      </c>
      <c r="N385" s="0" t="s">
        <v>110</v>
      </c>
      <c r="AD385" s="0" t="n">
        <v>660</v>
      </c>
      <c r="AE385" s="0" t="n">
        <v>697</v>
      </c>
      <c r="AF385" s="0" t="s">
        <v>473</v>
      </c>
      <c r="AM385" s="0" t="n">
        <v>314</v>
      </c>
      <c r="AN385" s="0" t="n">
        <v>331</v>
      </c>
      <c r="AO385" s="0" t="s">
        <v>142</v>
      </c>
      <c r="AP385" s="0" t="n">
        <v>278</v>
      </c>
      <c r="AQ385" s="0" t="n">
        <v>264</v>
      </c>
      <c r="AR385" s="0" t="s">
        <v>851</v>
      </c>
      <c r="AV385" s="0" t="n">
        <v>314</v>
      </c>
      <c r="AW385" s="0" t="n">
        <v>331</v>
      </c>
      <c r="AX385" s="0" t="s">
        <v>142</v>
      </c>
      <c r="AY385" s="0" t="n">
        <v>278</v>
      </c>
      <c r="AZ385" s="0" t="n">
        <v>264</v>
      </c>
      <c r="BA385" s="0" t="s">
        <v>851</v>
      </c>
      <c r="BE385" s="2" t="n">
        <v>43437</v>
      </c>
    </row>
    <row r="386" customFormat="false" ht="14.25" hidden="false" customHeight="false" outlineLevel="0" collapsed="false">
      <c r="A386" s="0" t="n">
        <v>385</v>
      </c>
      <c r="B386" s="1" t="s">
        <v>1042</v>
      </c>
      <c r="C386" s="0" t="n">
        <v>422</v>
      </c>
      <c r="D386" s="0" t="n">
        <v>450</v>
      </c>
      <c r="E386" s="0" t="s">
        <v>383</v>
      </c>
      <c r="F386" s="0" t="n">
        <v>385</v>
      </c>
      <c r="G386" s="0" t="n">
        <v>393</v>
      </c>
      <c r="H386" s="0" t="s">
        <v>131</v>
      </c>
      <c r="I386" s="0" t="n">
        <v>351</v>
      </c>
      <c r="J386" s="0" t="n">
        <v>368</v>
      </c>
      <c r="K386" s="0" t="s">
        <v>188</v>
      </c>
      <c r="L386" s="0" t="n">
        <v>51</v>
      </c>
      <c r="M386" s="0" t="n">
        <v>54</v>
      </c>
      <c r="N386" s="0" t="s">
        <v>160</v>
      </c>
      <c r="AD386" s="0" t="n">
        <v>631</v>
      </c>
      <c r="AE386" s="0" t="n">
        <v>641</v>
      </c>
      <c r="AF386" s="0" t="s">
        <v>706</v>
      </c>
      <c r="AM386" s="0" t="n">
        <v>345</v>
      </c>
      <c r="AN386" s="0" t="n">
        <v>339</v>
      </c>
      <c r="AO386" s="0" t="s">
        <v>979</v>
      </c>
      <c r="AP386" s="0" t="n">
        <v>252</v>
      </c>
      <c r="AQ386" s="0" t="n">
        <v>248</v>
      </c>
      <c r="AR386" s="0" t="s">
        <v>632</v>
      </c>
      <c r="AV386" s="0" t="n">
        <v>345</v>
      </c>
      <c r="AW386" s="0" t="n">
        <v>339</v>
      </c>
      <c r="AX386" s="0" t="s">
        <v>979</v>
      </c>
      <c r="AY386" s="0" t="n">
        <v>252</v>
      </c>
      <c r="AZ386" s="0" t="n">
        <v>248</v>
      </c>
      <c r="BA386" s="0" t="s">
        <v>632</v>
      </c>
      <c r="BE386" s="2" t="n">
        <v>43438</v>
      </c>
    </row>
    <row r="387" customFormat="false" ht="14.25" hidden="false" customHeight="false" outlineLevel="0" collapsed="false">
      <c r="A387" s="0" t="n">
        <v>386</v>
      </c>
      <c r="B387" s="1" t="s">
        <v>1043</v>
      </c>
      <c r="C387" s="0" t="n">
        <v>475</v>
      </c>
      <c r="D387" s="0" t="n">
        <v>475</v>
      </c>
      <c r="E387" s="0" t="s">
        <v>110</v>
      </c>
      <c r="F387" s="0" t="n">
        <v>464</v>
      </c>
      <c r="G387" s="0" t="n">
        <v>475</v>
      </c>
      <c r="H387" s="0" t="s">
        <v>138</v>
      </c>
      <c r="I387" s="0" t="n">
        <v>356</v>
      </c>
      <c r="J387" s="0" t="n">
        <v>368</v>
      </c>
      <c r="K387" s="0" t="s">
        <v>538</v>
      </c>
      <c r="L387" s="0" t="n">
        <v>54</v>
      </c>
      <c r="M387" s="0" t="n">
        <v>54</v>
      </c>
      <c r="N387" s="0" t="s">
        <v>110</v>
      </c>
      <c r="AD387" s="0" t="n">
        <v>684</v>
      </c>
      <c r="AE387" s="0" t="n">
        <v>697</v>
      </c>
      <c r="AF387" s="0" t="s">
        <v>457</v>
      </c>
      <c r="AM387" s="0" t="n">
        <v>262</v>
      </c>
      <c r="AN387" s="0" t="n">
        <v>257</v>
      </c>
      <c r="AO387" s="0" t="s">
        <v>986</v>
      </c>
      <c r="AP387" s="0" t="n">
        <v>239</v>
      </c>
      <c r="AQ387" s="0" t="n">
        <v>244</v>
      </c>
      <c r="AR387" s="0" t="s">
        <v>131</v>
      </c>
      <c r="AV387" s="0" t="n">
        <v>262</v>
      </c>
      <c r="AW387" s="0" t="n">
        <v>257</v>
      </c>
      <c r="AX387" s="0" t="s">
        <v>986</v>
      </c>
      <c r="AY387" s="0" t="n">
        <v>239</v>
      </c>
      <c r="AZ387" s="0" t="n">
        <v>244</v>
      </c>
      <c r="BA387" s="0" t="s">
        <v>131</v>
      </c>
      <c r="BE387" s="2" t="n">
        <v>43439</v>
      </c>
    </row>
    <row r="388" customFormat="false" ht="14.25" hidden="false" customHeight="false" outlineLevel="0" collapsed="false">
      <c r="A388" s="0" t="n">
        <v>387</v>
      </c>
      <c r="B388" s="1" t="s">
        <v>1044</v>
      </c>
      <c r="C388" s="0" t="n">
        <v>473</v>
      </c>
      <c r="D388" s="0" t="n">
        <v>475</v>
      </c>
      <c r="E388" s="0" t="s">
        <v>899</v>
      </c>
      <c r="F388" s="0" t="n">
        <v>465</v>
      </c>
      <c r="G388" s="0" t="n">
        <v>475</v>
      </c>
      <c r="H388" s="0" t="s">
        <v>551</v>
      </c>
      <c r="I388" s="0" t="n">
        <v>368</v>
      </c>
      <c r="J388" s="0" t="n">
        <v>368</v>
      </c>
      <c r="K388" s="0" t="s">
        <v>110</v>
      </c>
      <c r="AD388" s="0" t="n">
        <v>690</v>
      </c>
      <c r="AE388" s="0" t="n">
        <v>697</v>
      </c>
      <c r="AF388" s="0" t="s">
        <v>870</v>
      </c>
      <c r="AM388" s="0" t="n">
        <v>371</v>
      </c>
      <c r="AN388" s="0" t="n">
        <v>374</v>
      </c>
      <c r="AO388" s="0" t="s">
        <v>863</v>
      </c>
      <c r="AP388" s="0" t="n">
        <v>321</v>
      </c>
      <c r="AQ388" s="0" t="n">
        <v>324</v>
      </c>
      <c r="AR388" s="0" t="s">
        <v>798</v>
      </c>
      <c r="AV388" s="0" t="n">
        <v>371</v>
      </c>
      <c r="AW388" s="0" t="n">
        <v>374</v>
      </c>
      <c r="AX388" s="0" t="s">
        <v>863</v>
      </c>
      <c r="AY388" s="0" t="n">
        <v>321</v>
      </c>
      <c r="AZ388" s="0" t="n">
        <v>324</v>
      </c>
      <c r="BA388" s="0" t="s">
        <v>798</v>
      </c>
      <c r="BE388" s="2" t="n">
        <v>43440</v>
      </c>
    </row>
    <row r="389" customFormat="false" ht="14.25" hidden="false" customHeight="false" outlineLevel="0" collapsed="false">
      <c r="A389" s="0" t="n">
        <v>388</v>
      </c>
      <c r="B389" s="1" t="s">
        <v>1045</v>
      </c>
      <c r="C389" s="0" t="n">
        <v>466</v>
      </c>
      <c r="D389" s="0" t="n">
        <v>484</v>
      </c>
      <c r="E389" s="0" t="s">
        <v>182</v>
      </c>
      <c r="F389" s="0" t="n">
        <v>468</v>
      </c>
      <c r="G389" s="0" t="n">
        <v>475</v>
      </c>
      <c r="H389" s="0" t="s">
        <v>120</v>
      </c>
      <c r="I389" s="0" t="n">
        <v>408</v>
      </c>
      <c r="J389" s="0" t="n">
        <v>420</v>
      </c>
      <c r="K389" s="0" t="s">
        <v>492</v>
      </c>
      <c r="L389" s="0" t="n">
        <v>54</v>
      </c>
      <c r="M389" s="0" t="n">
        <v>54</v>
      </c>
      <c r="N389" s="0" t="s">
        <v>110</v>
      </c>
      <c r="AD389" s="0" t="n">
        <v>611</v>
      </c>
      <c r="AE389" s="0" t="n">
        <v>611</v>
      </c>
      <c r="AF389" s="0" t="s">
        <v>110</v>
      </c>
      <c r="AM389" s="0" t="n">
        <v>374</v>
      </c>
      <c r="AN389" s="0" t="n">
        <v>377</v>
      </c>
      <c r="AO389" s="0" t="s">
        <v>863</v>
      </c>
      <c r="AP389" s="0" t="n">
        <v>244</v>
      </c>
      <c r="AQ389" s="0" t="n">
        <v>246</v>
      </c>
      <c r="AR389" s="0" t="s">
        <v>863</v>
      </c>
      <c r="AS389" s="0" t="n">
        <v>37</v>
      </c>
      <c r="AT389" s="0" t="n">
        <v>37</v>
      </c>
      <c r="AU389" s="0" t="s">
        <v>110</v>
      </c>
      <c r="AV389" s="0" t="n">
        <v>374</v>
      </c>
      <c r="AW389" s="0" t="n">
        <v>377</v>
      </c>
      <c r="AX389" s="0" t="s">
        <v>863</v>
      </c>
      <c r="AY389" s="0" t="n">
        <v>244</v>
      </c>
      <c r="AZ389" s="0" t="n">
        <v>246</v>
      </c>
      <c r="BA389" s="0" t="s">
        <v>863</v>
      </c>
      <c r="BB389" s="0" t="n">
        <v>37</v>
      </c>
      <c r="BC389" s="0" t="n">
        <v>37</v>
      </c>
      <c r="BD389" s="0" t="s">
        <v>110</v>
      </c>
      <c r="BE389" s="2" t="n">
        <v>43441</v>
      </c>
    </row>
    <row r="390" customFormat="false" ht="14.25" hidden="false" customHeight="false" outlineLevel="0" collapsed="false">
      <c r="A390" s="0" t="n">
        <v>389</v>
      </c>
      <c r="B390" s="1" t="s">
        <v>1046</v>
      </c>
      <c r="L390" s="0" t="n">
        <v>36</v>
      </c>
      <c r="M390" s="0" t="n">
        <v>36</v>
      </c>
      <c r="N390" s="0" t="s">
        <v>110</v>
      </c>
      <c r="BE390" s="2" t="n">
        <v>43442</v>
      </c>
    </row>
    <row r="391" customFormat="false" ht="14.25" hidden="false" customHeight="false" outlineLevel="0" collapsed="false">
      <c r="A391" s="0" t="n">
        <v>390</v>
      </c>
      <c r="B391" s="1" t="s">
        <v>1047</v>
      </c>
      <c r="C391" s="0" t="n">
        <v>411</v>
      </c>
      <c r="D391" s="0" t="n">
        <v>422</v>
      </c>
      <c r="E391" s="0" t="s">
        <v>139</v>
      </c>
      <c r="BE391" s="2" t="n">
        <v>43443</v>
      </c>
    </row>
    <row r="392" customFormat="false" ht="14.25" hidden="false" customHeight="false" outlineLevel="0" collapsed="false">
      <c r="A392" s="0" t="n">
        <v>391</v>
      </c>
      <c r="B392" s="1" t="s">
        <v>1048</v>
      </c>
      <c r="C392" s="0" t="n">
        <v>460</v>
      </c>
      <c r="D392" s="0" t="n">
        <v>484</v>
      </c>
      <c r="E392" s="0" t="s">
        <v>606</v>
      </c>
      <c r="F392" s="0" t="n">
        <v>456</v>
      </c>
      <c r="G392" s="0" t="n">
        <v>475</v>
      </c>
      <c r="H392" s="0" t="s">
        <v>438</v>
      </c>
      <c r="I392" s="0" t="n">
        <v>368</v>
      </c>
      <c r="J392" s="0" t="n">
        <v>368</v>
      </c>
      <c r="K392" s="0" t="s">
        <v>110</v>
      </c>
      <c r="L392" s="0" t="n">
        <v>55</v>
      </c>
      <c r="M392" s="0" t="n">
        <v>57</v>
      </c>
      <c r="N392" s="0" t="s">
        <v>291</v>
      </c>
      <c r="AD392" s="0" t="n">
        <v>667</v>
      </c>
      <c r="AE392" s="0" t="n">
        <v>687</v>
      </c>
      <c r="AF392" s="0" t="s">
        <v>492</v>
      </c>
      <c r="AM392" s="0" t="n">
        <v>369</v>
      </c>
      <c r="AN392" s="0" t="n">
        <v>369</v>
      </c>
      <c r="AO392" s="0" t="s">
        <v>110</v>
      </c>
      <c r="AP392" s="0" t="n">
        <v>240</v>
      </c>
      <c r="AQ392" s="0" t="n">
        <v>236</v>
      </c>
      <c r="AR392" s="0" t="s">
        <v>612</v>
      </c>
      <c r="AV392" s="0" t="n">
        <v>369</v>
      </c>
      <c r="AW392" s="0" t="n">
        <v>369</v>
      </c>
      <c r="AX392" s="0" t="s">
        <v>110</v>
      </c>
      <c r="AY392" s="0" t="n">
        <v>240</v>
      </c>
      <c r="AZ392" s="0" t="n">
        <v>236</v>
      </c>
      <c r="BA392" s="0" t="s">
        <v>612</v>
      </c>
      <c r="BE392" s="2" t="n">
        <v>43444</v>
      </c>
    </row>
    <row r="393" customFormat="false" ht="14.25" hidden="false" customHeight="false" outlineLevel="0" collapsed="false">
      <c r="A393" s="0" t="n">
        <v>392</v>
      </c>
      <c r="B393" s="1" t="s">
        <v>1049</v>
      </c>
      <c r="C393" s="0" t="n">
        <v>473</v>
      </c>
      <c r="D393" s="0" t="n">
        <v>481</v>
      </c>
      <c r="E393" s="0" t="s">
        <v>179</v>
      </c>
      <c r="F393" s="0" t="n">
        <v>463</v>
      </c>
      <c r="G393" s="0" t="n">
        <v>473</v>
      </c>
      <c r="H393" s="0" t="s">
        <v>551</v>
      </c>
      <c r="I393" s="0" t="n">
        <v>368</v>
      </c>
      <c r="J393" s="0" t="n">
        <v>368</v>
      </c>
      <c r="K393" s="0" t="s">
        <v>110</v>
      </c>
      <c r="L393" s="0" t="n">
        <v>55</v>
      </c>
      <c r="M393" s="0" t="n">
        <v>55</v>
      </c>
      <c r="N393" s="0" t="s">
        <v>110</v>
      </c>
      <c r="AD393" s="0" t="n">
        <v>680</v>
      </c>
      <c r="AE393" s="0" t="n">
        <v>697</v>
      </c>
      <c r="AF393" s="0" t="s">
        <v>497</v>
      </c>
      <c r="AM393" s="0" t="n">
        <v>380</v>
      </c>
      <c r="AN393" s="0" t="n">
        <v>360</v>
      </c>
      <c r="AO393" s="0" t="s">
        <v>997</v>
      </c>
      <c r="AP393" s="0" t="n">
        <v>236</v>
      </c>
      <c r="AQ393" s="0" t="n">
        <v>232</v>
      </c>
      <c r="AR393" s="0" t="s">
        <v>612</v>
      </c>
      <c r="AV393" s="0" t="n">
        <v>380</v>
      </c>
      <c r="AW393" s="0" t="n">
        <v>360</v>
      </c>
      <c r="AX393" s="0" t="s">
        <v>997</v>
      </c>
      <c r="AY393" s="0" t="n">
        <v>236</v>
      </c>
      <c r="AZ393" s="0" t="n">
        <v>232</v>
      </c>
      <c r="BA393" s="0" t="s">
        <v>612</v>
      </c>
      <c r="BE393" s="2" t="n">
        <v>43445</v>
      </c>
    </row>
    <row r="394" customFormat="false" ht="14.25" hidden="false" customHeight="false" outlineLevel="0" collapsed="false">
      <c r="A394" s="0" t="n">
        <v>393</v>
      </c>
      <c r="B394" s="1" t="s">
        <v>1050</v>
      </c>
      <c r="C394" s="0" t="n">
        <v>484</v>
      </c>
      <c r="D394" s="0" t="n">
        <v>484</v>
      </c>
      <c r="E394" s="0" t="s">
        <v>110</v>
      </c>
      <c r="F394" s="0" t="n">
        <v>461</v>
      </c>
      <c r="G394" s="0" t="n">
        <v>470</v>
      </c>
      <c r="H394" s="0" t="s">
        <v>457</v>
      </c>
      <c r="I394" s="0" t="n">
        <v>359</v>
      </c>
      <c r="J394" s="0" t="n">
        <v>363</v>
      </c>
      <c r="K394" s="0" t="s">
        <v>143</v>
      </c>
      <c r="L394" s="0" t="n">
        <v>55</v>
      </c>
      <c r="M394" s="0" t="n">
        <v>55</v>
      </c>
      <c r="N394" s="0" t="s">
        <v>110</v>
      </c>
      <c r="AD394" s="0" t="n">
        <v>676</v>
      </c>
      <c r="AE394" s="0" t="n">
        <v>697</v>
      </c>
      <c r="AF394" s="0" t="s">
        <v>756</v>
      </c>
      <c r="AM394" s="0" t="n">
        <v>364</v>
      </c>
      <c r="AN394" s="0" t="n">
        <v>365</v>
      </c>
      <c r="AO394" s="0" t="s">
        <v>723</v>
      </c>
      <c r="AP394" s="0" t="n">
        <v>228</v>
      </c>
      <c r="AQ394" s="0" t="n">
        <v>224</v>
      </c>
      <c r="AR394" s="0" t="s">
        <v>979</v>
      </c>
      <c r="AS394" s="0" t="n">
        <v>28</v>
      </c>
      <c r="AT394" s="0" t="n">
        <v>33</v>
      </c>
      <c r="AU394" s="0" t="s">
        <v>306</v>
      </c>
      <c r="AV394" s="0" t="n">
        <v>364</v>
      </c>
      <c r="AW394" s="0" t="n">
        <v>365</v>
      </c>
      <c r="AX394" s="0" t="s">
        <v>723</v>
      </c>
      <c r="AY394" s="0" t="n">
        <v>228</v>
      </c>
      <c r="AZ394" s="0" t="n">
        <v>224</v>
      </c>
      <c r="BA394" s="0" t="s">
        <v>979</v>
      </c>
      <c r="BB394" s="0" t="n">
        <v>28</v>
      </c>
      <c r="BC394" s="0" t="n">
        <v>33</v>
      </c>
      <c r="BD394" s="0" t="s">
        <v>306</v>
      </c>
      <c r="BE394" s="2" t="n">
        <v>43446</v>
      </c>
    </row>
    <row r="395" customFormat="false" ht="14.25" hidden="false" customHeight="false" outlineLevel="0" collapsed="false">
      <c r="A395" s="0" t="n">
        <v>394</v>
      </c>
      <c r="B395" s="1" t="s">
        <v>1051</v>
      </c>
      <c r="C395" s="0" t="n">
        <v>466</v>
      </c>
      <c r="D395" s="0" t="n">
        <v>479</v>
      </c>
      <c r="E395" s="0" t="s">
        <v>149</v>
      </c>
      <c r="F395" s="0" t="n">
        <v>468</v>
      </c>
      <c r="G395" s="0" t="n">
        <v>475</v>
      </c>
      <c r="H395" s="0" t="s">
        <v>120</v>
      </c>
      <c r="I395" s="0" t="n">
        <v>361</v>
      </c>
      <c r="J395" s="0" t="n">
        <v>368</v>
      </c>
      <c r="K395" s="0" t="s">
        <v>457</v>
      </c>
      <c r="L395" s="0" t="n">
        <v>55</v>
      </c>
      <c r="M395" s="0" t="n">
        <v>55</v>
      </c>
      <c r="N395" s="0" t="s">
        <v>110</v>
      </c>
      <c r="AD395" s="0" t="n">
        <v>637</v>
      </c>
      <c r="AE395" s="0" t="n">
        <v>674</v>
      </c>
      <c r="AF395" s="0" t="s">
        <v>581</v>
      </c>
      <c r="AM395" s="0" t="n">
        <v>368</v>
      </c>
      <c r="AN395" s="0" t="n">
        <v>357</v>
      </c>
      <c r="AO395" s="0" t="s">
        <v>1052</v>
      </c>
      <c r="AP395" s="0" t="n">
        <v>280</v>
      </c>
      <c r="AQ395" s="0" t="n">
        <v>343</v>
      </c>
      <c r="AR395" s="0" t="s">
        <v>484</v>
      </c>
      <c r="AS395" s="0" t="n">
        <v>25</v>
      </c>
      <c r="AT395" s="0" t="n">
        <v>24</v>
      </c>
      <c r="AU395" s="0" t="s">
        <v>952</v>
      </c>
      <c r="AV395" s="0" t="n">
        <v>368</v>
      </c>
      <c r="AW395" s="0" t="n">
        <v>357</v>
      </c>
      <c r="AX395" s="0" t="s">
        <v>1052</v>
      </c>
      <c r="AY395" s="0" t="n">
        <v>280</v>
      </c>
      <c r="AZ395" s="0" t="n">
        <v>343</v>
      </c>
      <c r="BA395" s="0" t="s">
        <v>484</v>
      </c>
      <c r="BB395" s="0" t="n">
        <v>25</v>
      </c>
      <c r="BC395" s="0" t="n">
        <v>24</v>
      </c>
      <c r="BD395" s="0" t="s">
        <v>952</v>
      </c>
      <c r="BE395" s="2" t="n">
        <v>43447</v>
      </c>
    </row>
    <row r="396" customFormat="false" ht="14.25" hidden="false" customHeight="false" outlineLevel="0" collapsed="false">
      <c r="A396" s="0" t="n">
        <v>395</v>
      </c>
      <c r="B396" s="1" t="s">
        <v>1053</v>
      </c>
      <c r="C396" s="0" t="n">
        <v>481</v>
      </c>
      <c r="D396" s="0" t="n">
        <v>484</v>
      </c>
      <c r="E396" s="0" t="s">
        <v>824</v>
      </c>
      <c r="F396" s="0" t="n">
        <v>457</v>
      </c>
      <c r="G396" s="0" t="n">
        <v>475</v>
      </c>
      <c r="H396" s="0" t="s">
        <v>200</v>
      </c>
      <c r="I396" s="0" t="n">
        <v>408</v>
      </c>
      <c r="J396" s="0" t="n">
        <v>420</v>
      </c>
      <c r="K396" s="0" t="s">
        <v>492</v>
      </c>
      <c r="L396" s="0" t="n">
        <v>55</v>
      </c>
      <c r="M396" s="0" t="n">
        <v>55</v>
      </c>
      <c r="N396" s="0" t="s">
        <v>110</v>
      </c>
      <c r="AD396" s="0" t="n">
        <v>670</v>
      </c>
      <c r="AE396" s="0" t="n">
        <v>690</v>
      </c>
      <c r="AF396" s="0" t="s">
        <v>492</v>
      </c>
      <c r="AM396" s="0" t="n">
        <v>314</v>
      </c>
      <c r="AN396" s="0" t="n">
        <v>365</v>
      </c>
      <c r="AO396" s="0" t="s">
        <v>504</v>
      </c>
      <c r="AP396" s="0" t="n">
        <v>287</v>
      </c>
      <c r="AQ396" s="0" t="n">
        <v>351</v>
      </c>
      <c r="AR396" s="0" t="s">
        <v>918</v>
      </c>
      <c r="AS396" s="0" t="n">
        <v>37</v>
      </c>
      <c r="AT396" s="0" t="n">
        <v>30</v>
      </c>
      <c r="AU396" s="0" t="s">
        <v>1054</v>
      </c>
      <c r="AV396" s="0" t="n">
        <v>314</v>
      </c>
      <c r="AW396" s="0" t="n">
        <v>365</v>
      </c>
      <c r="AX396" s="0" t="s">
        <v>504</v>
      </c>
      <c r="AY396" s="0" t="n">
        <v>287</v>
      </c>
      <c r="AZ396" s="0" t="n">
        <v>351</v>
      </c>
      <c r="BA396" s="0" t="s">
        <v>918</v>
      </c>
      <c r="BB396" s="0" t="n">
        <v>37</v>
      </c>
      <c r="BC396" s="0" t="n">
        <v>30</v>
      </c>
      <c r="BD396" s="0" t="s">
        <v>1054</v>
      </c>
      <c r="BE396" s="2" t="n">
        <v>43448</v>
      </c>
    </row>
    <row r="397" customFormat="false" ht="14.25" hidden="false" customHeight="false" outlineLevel="0" collapsed="false">
      <c r="A397" s="0" t="n">
        <v>396</v>
      </c>
      <c r="B397" s="1" t="s">
        <v>1055</v>
      </c>
      <c r="C397" s="0" t="n">
        <v>450</v>
      </c>
      <c r="D397" s="0" t="n">
        <v>484</v>
      </c>
      <c r="E397" s="0" t="s">
        <v>586</v>
      </c>
      <c r="F397" s="0" t="n">
        <v>461</v>
      </c>
      <c r="G397" s="0" t="n">
        <v>475</v>
      </c>
      <c r="H397" s="0" t="s">
        <v>492</v>
      </c>
      <c r="I397" s="0" t="n">
        <v>358</v>
      </c>
      <c r="J397" s="0" t="n">
        <v>368</v>
      </c>
      <c r="K397" s="0" t="s">
        <v>149</v>
      </c>
      <c r="L397" s="0" t="n">
        <v>55</v>
      </c>
      <c r="M397" s="0" t="n">
        <v>55</v>
      </c>
      <c r="N397" s="0" t="s">
        <v>110</v>
      </c>
      <c r="AD397" s="0" t="n">
        <v>651</v>
      </c>
      <c r="AE397" s="0" t="n">
        <v>697</v>
      </c>
      <c r="AF397" s="0" t="s">
        <v>659</v>
      </c>
      <c r="AM397" s="0" t="n">
        <v>343</v>
      </c>
      <c r="AN397" s="0" t="n">
        <v>365</v>
      </c>
      <c r="AO397" s="0" t="s">
        <v>526</v>
      </c>
      <c r="AP397" s="0" t="n">
        <v>284</v>
      </c>
      <c r="AQ397" s="0" t="n">
        <v>302</v>
      </c>
      <c r="AR397" s="0" t="s">
        <v>526</v>
      </c>
      <c r="AV397" s="0" t="n">
        <v>343</v>
      </c>
      <c r="AW397" s="0" t="n">
        <v>365</v>
      </c>
      <c r="AX397" s="0" t="s">
        <v>526</v>
      </c>
      <c r="AY397" s="0" t="n">
        <v>284</v>
      </c>
      <c r="AZ397" s="0" t="n">
        <v>302</v>
      </c>
      <c r="BA397" s="0" t="s">
        <v>526</v>
      </c>
      <c r="BE397" s="2" t="n">
        <v>43451</v>
      </c>
    </row>
    <row r="398" customFormat="false" ht="14.25" hidden="false" customHeight="false" outlineLevel="0" collapsed="false">
      <c r="A398" s="0" t="n">
        <v>397</v>
      </c>
      <c r="B398" s="1" t="s">
        <v>1056</v>
      </c>
      <c r="BE398" s="2" t="n">
        <v>43435</v>
      </c>
    </row>
    <row r="399" customFormat="false" ht="14.25" hidden="false" customHeight="false" outlineLevel="0" collapsed="false">
      <c r="A399" s="0" t="n">
        <v>398</v>
      </c>
      <c r="B399" s="1" t="s">
        <v>1057</v>
      </c>
      <c r="C399" s="0" t="n">
        <v>419</v>
      </c>
      <c r="D399" s="0" t="n">
        <v>484</v>
      </c>
      <c r="E399" s="0" t="s">
        <v>296</v>
      </c>
      <c r="F399" s="0" t="n">
        <v>462</v>
      </c>
      <c r="G399" s="0" t="n">
        <v>475</v>
      </c>
      <c r="H399" s="0" t="s">
        <v>149</v>
      </c>
      <c r="I399" s="0" t="n">
        <v>366</v>
      </c>
      <c r="J399" s="0" t="n">
        <v>368</v>
      </c>
      <c r="K399" s="0" t="s">
        <v>516</v>
      </c>
      <c r="L399" s="0" t="n">
        <v>55</v>
      </c>
      <c r="M399" s="0" t="n">
        <v>55</v>
      </c>
      <c r="N399" s="0" t="s">
        <v>110</v>
      </c>
      <c r="AD399" s="0" t="n">
        <v>661</v>
      </c>
      <c r="AE399" s="0" t="n">
        <v>697</v>
      </c>
      <c r="AF399" s="0" t="s">
        <v>191</v>
      </c>
      <c r="AM399" s="0" t="n">
        <v>333</v>
      </c>
      <c r="AN399" s="0" t="n">
        <v>365</v>
      </c>
      <c r="AO399" s="0" t="s">
        <v>176</v>
      </c>
      <c r="AP399" s="0" t="n">
        <v>365</v>
      </c>
      <c r="AQ399" s="0" t="n">
        <v>359</v>
      </c>
      <c r="AR399" s="0" t="s">
        <v>612</v>
      </c>
      <c r="AV399" s="0" t="n">
        <v>333</v>
      </c>
      <c r="AW399" s="0" t="n">
        <v>365</v>
      </c>
      <c r="AX399" s="0" t="s">
        <v>176</v>
      </c>
      <c r="AY399" s="0" t="n">
        <v>365</v>
      </c>
      <c r="AZ399" s="0" t="n">
        <v>359</v>
      </c>
      <c r="BA399" s="0" t="s">
        <v>612</v>
      </c>
      <c r="BE399" s="2" t="n">
        <v>43453</v>
      </c>
    </row>
    <row r="400" customFormat="false" ht="14.25" hidden="false" customHeight="false" outlineLevel="0" collapsed="false">
      <c r="A400" s="0" t="n">
        <v>399</v>
      </c>
      <c r="B400" s="1" t="s">
        <v>1058</v>
      </c>
      <c r="C400" s="0" t="n">
        <v>464</v>
      </c>
      <c r="D400" s="0" t="n">
        <v>484</v>
      </c>
      <c r="E400" s="0" t="s">
        <v>777</v>
      </c>
      <c r="F400" s="0" t="n">
        <v>430</v>
      </c>
      <c r="G400" s="0" t="n">
        <v>475</v>
      </c>
      <c r="H400" s="0" t="s">
        <v>608</v>
      </c>
      <c r="I400" s="0" t="n">
        <v>352</v>
      </c>
      <c r="J400" s="0" t="n">
        <v>368</v>
      </c>
      <c r="K400" s="0" t="s">
        <v>144</v>
      </c>
      <c r="L400" s="0" t="n">
        <v>52</v>
      </c>
      <c r="M400" s="0" t="n">
        <v>54</v>
      </c>
      <c r="N400" s="0" t="s">
        <v>182</v>
      </c>
      <c r="AD400" s="0" t="n">
        <v>695</v>
      </c>
      <c r="AE400" s="0" t="n">
        <v>697</v>
      </c>
      <c r="AF400" s="0" t="s">
        <v>723</v>
      </c>
      <c r="AM400" s="0" t="n">
        <v>348</v>
      </c>
      <c r="AN400" s="0" t="n">
        <v>365</v>
      </c>
      <c r="AO400" s="0" t="s">
        <v>753</v>
      </c>
      <c r="AP400" s="0" t="n">
        <v>296</v>
      </c>
      <c r="AQ400" s="0" t="n">
        <v>311</v>
      </c>
      <c r="AR400" s="0" t="s">
        <v>634</v>
      </c>
      <c r="AV400" s="0" t="n">
        <v>348</v>
      </c>
      <c r="AW400" s="0" t="n">
        <v>365</v>
      </c>
      <c r="AX400" s="0" t="s">
        <v>753</v>
      </c>
      <c r="AY400" s="0" t="n">
        <v>296</v>
      </c>
      <c r="AZ400" s="0" t="n">
        <v>311</v>
      </c>
      <c r="BA400" s="0" t="s">
        <v>634</v>
      </c>
      <c r="BE400" s="2" t="n">
        <v>43452</v>
      </c>
    </row>
    <row r="401" customFormat="false" ht="14.25" hidden="false" customHeight="false" outlineLevel="0" collapsed="false">
      <c r="A401" s="0" t="n">
        <v>400</v>
      </c>
      <c r="B401" s="1" t="s">
        <v>1059</v>
      </c>
      <c r="C401" s="0" t="n">
        <v>464</v>
      </c>
      <c r="D401" s="0" t="n">
        <v>473</v>
      </c>
      <c r="E401" s="0" t="s">
        <v>457</v>
      </c>
      <c r="F401" s="0" t="n">
        <v>447</v>
      </c>
      <c r="G401" s="0" t="n">
        <v>465</v>
      </c>
      <c r="H401" s="0" t="s">
        <v>594</v>
      </c>
      <c r="I401" s="0" t="n">
        <v>277</v>
      </c>
      <c r="J401" s="0" t="n">
        <v>368</v>
      </c>
      <c r="K401" s="0" t="s">
        <v>266</v>
      </c>
      <c r="L401" s="0" t="n">
        <v>52</v>
      </c>
      <c r="M401" s="0" t="n">
        <v>52</v>
      </c>
      <c r="N401" s="0" t="s">
        <v>110</v>
      </c>
      <c r="AD401" s="0" t="n">
        <v>692</v>
      </c>
      <c r="AE401" s="0" t="n">
        <v>697</v>
      </c>
      <c r="AF401" s="0" t="s">
        <v>596</v>
      </c>
      <c r="AM401" s="0" t="n">
        <v>406</v>
      </c>
      <c r="AN401" s="0" t="n">
        <v>365</v>
      </c>
      <c r="AO401" s="0" t="s">
        <v>1060</v>
      </c>
      <c r="AP401" s="0" t="n">
        <v>297</v>
      </c>
      <c r="AQ401" s="0" t="n">
        <v>267</v>
      </c>
      <c r="AR401" s="0" t="s">
        <v>1060</v>
      </c>
      <c r="AV401" s="0" t="n">
        <v>406</v>
      </c>
      <c r="AW401" s="0" t="n">
        <v>365</v>
      </c>
      <c r="AX401" s="0" t="s">
        <v>1060</v>
      </c>
      <c r="AY401" s="0" t="n">
        <v>297</v>
      </c>
      <c r="AZ401" s="0" t="n">
        <v>267</v>
      </c>
      <c r="BA401" s="0" t="s">
        <v>1060</v>
      </c>
      <c r="BE401" s="2" t="n">
        <v>43454</v>
      </c>
    </row>
    <row r="402" customFormat="false" ht="14.25" hidden="false" customHeight="false" outlineLevel="0" collapsed="false">
      <c r="A402" s="0" t="n">
        <v>401</v>
      </c>
      <c r="B402" s="1" t="s">
        <v>1061</v>
      </c>
      <c r="C402" s="0" t="n">
        <v>446</v>
      </c>
      <c r="D402" s="0" t="n">
        <v>484</v>
      </c>
      <c r="E402" s="0" t="s">
        <v>598</v>
      </c>
      <c r="F402" s="0" t="n">
        <v>416</v>
      </c>
      <c r="G402" s="0" t="n">
        <v>475</v>
      </c>
      <c r="H402" s="0" t="s">
        <v>339</v>
      </c>
      <c r="I402" s="0" t="n">
        <v>393</v>
      </c>
      <c r="J402" s="0" t="n">
        <v>420</v>
      </c>
      <c r="K402" s="0" t="s">
        <v>434</v>
      </c>
      <c r="L402" s="0" t="n">
        <v>53</v>
      </c>
      <c r="M402" s="0" t="n">
        <v>55</v>
      </c>
      <c r="N402" s="0" t="s">
        <v>187</v>
      </c>
      <c r="AD402" s="0" t="n">
        <v>630</v>
      </c>
      <c r="AE402" s="0" t="n">
        <v>662</v>
      </c>
      <c r="AF402" s="0" t="s">
        <v>634</v>
      </c>
      <c r="AM402" s="0" t="n">
        <v>370</v>
      </c>
      <c r="AN402" s="0" t="n">
        <v>366</v>
      </c>
      <c r="AO402" s="0" t="s">
        <v>829</v>
      </c>
      <c r="AP402" s="0" t="n">
        <v>346</v>
      </c>
      <c r="AQ402" s="0" t="n">
        <v>355</v>
      </c>
      <c r="AR402" s="0" t="s">
        <v>370</v>
      </c>
      <c r="AV402" s="0" t="n">
        <v>370</v>
      </c>
      <c r="AW402" s="0" t="n">
        <v>366</v>
      </c>
      <c r="AX402" s="0" t="s">
        <v>829</v>
      </c>
      <c r="AY402" s="0" t="n">
        <v>346</v>
      </c>
      <c r="AZ402" s="0" t="n">
        <v>355</v>
      </c>
      <c r="BA402" s="0" t="s">
        <v>370</v>
      </c>
      <c r="BE402" s="2" t="n">
        <v>43787</v>
      </c>
    </row>
    <row r="403" customFormat="false" ht="14.25" hidden="false" customHeight="false" outlineLevel="0" collapsed="false">
      <c r="A403" s="0" t="n">
        <v>402</v>
      </c>
      <c r="B403" s="1" t="s">
        <v>1062</v>
      </c>
      <c r="C403" s="0" t="n">
        <v>446</v>
      </c>
      <c r="D403" s="0" t="n">
        <v>484</v>
      </c>
      <c r="E403" s="0" t="s">
        <v>598</v>
      </c>
      <c r="F403" s="0" t="n">
        <v>416</v>
      </c>
      <c r="G403" s="0" t="n">
        <v>475</v>
      </c>
      <c r="H403" s="0" t="s">
        <v>339</v>
      </c>
      <c r="I403" s="0" t="n">
        <v>393</v>
      </c>
      <c r="J403" s="0" t="n">
        <v>420</v>
      </c>
      <c r="K403" s="0" t="s">
        <v>434</v>
      </c>
      <c r="L403" s="0" t="n">
        <v>53</v>
      </c>
      <c r="M403" s="0" t="n">
        <v>55</v>
      </c>
      <c r="N403" s="0" t="s">
        <v>187</v>
      </c>
      <c r="AD403" s="0" t="n">
        <v>630</v>
      </c>
      <c r="AE403" s="0" t="n">
        <v>662</v>
      </c>
      <c r="AF403" s="0" t="s">
        <v>634</v>
      </c>
      <c r="AM403" s="0" t="n">
        <v>370</v>
      </c>
      <c r="AN403" s="0" t="n">
        <v>366</v>
      </c>
      <c r="AO403" s="0" t="s">
        <v>829</v>
      </c>
      <c r="AP403" s="0" t="n">
        <v>346</v>
      </c>
      <c r="AQ403" s="0" t="n">
        <v>355</v>
      </c>
      <c r="AR403" s="0" t="s">
        <v>370</v>
      </c>
      <c r="AV403" s="0" t="n">
        <v>370</v>
      </c>
      <c r="AW403" s="0" t="n">
        <v>366</v>
      </c>
      <c r="AX403" s="0" t="s">
        <v>829</v>
      </c>
      <c r="AY403" s="0" t="n">
        <v>346</v>
      </c>
      <c r="AZ403" s="0" t="n">
        <v>355</v>
      </c>
      <c r="BA403" s="0" t="s">
        <v>370</v>
      </c>
      <c r="BE403" s="2" t="n">
        <v>43483</v>
      </c>
    </row>
    <row r="404" customFormat="false" ht="14.25" hidden="false" customHeight="false" outlineLevel="0" collapsed="false">
      <c r="A404" s="0" t="n">
        <v>403</v>
      </c>
      <c r="B404" s="1" t="s">
        <v>1063</v>
      </c>
      <c r="C404" s="0" t="n">
        <v>379</v>
      </c>
      <c r="D404" s="0" t="n">
        <v>422</v>
      </c>
      <c r="E404" s="0" t="s">
        <v>403</v>
      </c>
      <c r="BE404" s="2" t="n">
        <v>43485</v>
      </c>
    </row>
    <row r="405" customFormat="false" ht="14.25" hidden="false" customHeight="false" outlineLevel="0" collapsed="false">
      <c r="A405" s="0" t="n">
        <v>404</v>
      </c>
      <c r="B405" s="1" t="s">
        <v>1064</v>
      </c>
      <c r="C405" s="0" t="n">
        <v>436</v>
      </c>
      <c r="D405" s="0" t="n">
        <v>484</v>
      </c>
      <c r="E405" s="0" t="s">
        <v>530</v>
      </c>
      <c r="F405" s="0" t="n">
        <v>459</v>
      </c>
      <c r="G405" s="0" t="n">
        <v>475</v>
      </c>
      <c r="H405" s="0" t="s">
        <v>119</v>
      </c>
      <c r="I405" s="0" t="n">
        <v>355</v>
      </c>
      <c r="J405" s="0" t="n">
        <v>368</v>
      </c>
      <c r="K405" s="0" t="s">
        <v>291</v>
      </c>
      <c r="L405" s="0" t="n">
        <v>50</v>
      </c>
      <c r="M405" s="0" t="n">
        <v>52</v>
      </c>
      <c r="N405" s="0" t="s">
        <v>200</v>
      </c>
      <c r="AD405" s="0" t="n">
        <v>558</v>
      </c>
      <c r="AE405" s="0" t="n">
        <v>676</v>
      </c>
      <c r="AF405" s="0" t="s">
        <v>317</v>
      </c>
      <c r="AM405" s="0" t="n">
        <v>350</v>
      </c>
      <c r="AN405" s="0" t="n">
        <v>372</v>
      </c>
      <c r="AO405" s="0" t="s">
        <v>448</v>
      </c>
      <c r="AP405" s="0" t="n">
        <v>301</v>
      </c>
      <c r="AQ405" s="0" t="n">
        <v>320</v>
      </c>
      <c r="AR405" s="0" t="s">
        <v>448</v>
      </c>
      <c r="AV405" s="0" t="n">
        <v>350</v>
      </c>
      <c r="AW405" s="0" t="n">
        <v>372</v>
      </c>
      <c r="AX405" s="0" t="s">
        <v>448</v>
      </c>
      <c r="AY405" s="0" t="n">
        <v>301</v>
      </c>
      <c r="AZ405" s="0" t="n">
        <v>320</v>
      </c>
      <c r="BA405" s="0" t="s">
        <v>448</v>
      </c>
      <c r="BE405" s="2" t="n">
        <v>43486</v>
      </c>
    </row>
    <row r="406" customFormat="false" ht="14.25" hidden="false" customHeight="false" outlineLevel="0" collapsed="false">
      <c r="A406" s="0" t="n">
        <v>405</v>
      </c>
      <c r="B406" s="1" t="s">
        <v>1065</v>
      </c>
      <c r="C406" s="0" t="n">
        <v>460</v>
      </c>
      <c r="D406" s="0" t="n">
        <v>484</v>
      </c>
      <c r="E406" s="0" t="s">
        <v>606</v>
      </c>
      <c r="F406" s="0" t="n">
        <v>469</v>
      </c>
      <c r="G406" s="0" t="n">
        <v>475</v>
      </c>
      <c r="H406" s="0" t="s">
        <v>789</v>
      </c>
      <c r="I406" s="0" t="n">
        <v>318</v>
      </c>
      <c r="J406" s="0" t="n">
        <v>368</v>
      </c>
      <c r="K406" s="0" t="s">
        <v>167</v>
      </c>
      <c r="L406" s="0" t="n">
        <v>53</v>
      </c>
      <c r="M406" s="0" t="n">
        <v>55</v>
      </c>
      <c r="N406" s="0" t="s">
        <v>187</v>
      </c>
      <c r="AD406" s="0" t="n">
        <v>652</v>
      </c>
      <c r="AE406" s="0" t="n">
        <v>676</v>
      </c>
      <c r="AF406" s="0" t="s">
        <v>187</v>
      </c>
      <c r="AM406" s="0" t="n">
        <v>339</v>
      </c>
      <c r="AN406" s="0" t="n">
        <v>359</v>
      </c>
      <c r="AO406" s="0" t="s">
        <v>160</v>
      </c>
      <c r="AP406" s="0" t="n">
        <v>365</v>
      </c>
      <c r="AQ406" s="0" t="n">
        <v>377</v>
      </c>
      <c r="AR406" s="0" t="s">
        <v>112</v>
      </c>
      <c r="AV406" s="0" t="n">
        <v>339</v>
      </c>
      <c r="AW406" s="0" t="n">
        <v>359</v>
      </c>
      <c r="AX406" s="0" t="s">
        <v>160</v>
      </c>
      <c r="AY406" s="0" t="n">
        <v>365</v>
      </c>
      <c r="AZ406" s="0" t="n">
        <v>377</v>
      </c>
      <c r="BA406" s="0" t="s">
        <v>112</v>
      </c>
      <c r="BE406" s="2" t="n">
        <v>43487</v>
      </c>
    </row>
    <row r="407" customFormat="false" ht="14.25" hidden="false" customHeight="false" outlineLevel="0" collapsed="false">
      <c r="A407" s="0" t="n">
        <v>406</v>
      </c>
      <c r="B407" s="1" t="s">
        <v>1066</v>
      </c>
      <c r="C407" s="0" t="n">
        <v>467</v>
      </c>
      <c r="D407" s="0" t="n">
        <v>484</v>
      </c>
      <c r="E407" s="0" t="s">
        <v>291</v>
      </c>
      <c r="F407" s="0" t="n">
        <v>459</v>
      </c>
      <c r="G407" s="0" t="n">
        <v>475</v>
      </c>
      <c r="H407" s="0" t="s">
        <v>119</v>
      </c>
      <c r="I407" s="0" t="n">
        <v>319</v>
      </c>
      <c r="J407" s="0" t="n">
        <v>368</v>
      </c>
      <c r="K407" s="0" t="s">
        <v>382</v>
      </c>
      <c r="L407" s="0" t="n">
        <v>53</v>
      </c>
      <c r="M407" s="0" t="n">
        <v>55</v>
      </c>
      <c r="N407" s="0" t="s">
        <v>187</v>
      </c>
      <c r="AD407" s="0" t="n">
        <v>606</v>
      </c>
      <c r="AE407" s="0" t="n">
        <v>641</v>
      </c>
      <c r="AF407" s="0" t="s">
        <v>581</v>
      </c>
      <c r="AM407" s="0" t="n">
        <v>339</v>
      </c>
      <c r="AN407" s="0" t="n">
        <v>339</v>
      </c>
      <c r="AO407" s="0" t="s">
        <v>110</v>
      </c>
      <c r="AP407" s="0" t="n">
        <v>364</v>
      </c>
      <c r="AQ407" s="0" t="n">
        <v>365</v>
      </c>
      <c r="AR407" s="0" t="s">
        <v>723</v>
      </c>
      <c r="AV407" s="0" t="n">
        <v>339</v>
      </c>
      <c r="AW407" s="0" t="n">
        <v>339</v>
      </c>
      <c r="AX407" s="0" t="s">
        <v>110</v>
      </c>
      <c r="AY407" s="0" t="n">
        <v>364</v>
      </c>
      <c r="AZ407" s="0" t="n">
        <v>365</v>
      </c>
      <c r="BA407" s="0" t="s">
        <v>723</v>
      </c>
      <c r="BE407" s="2" t="n">
        <v>43488</v>
      </c>
    </row>
    <row r="408" customFormat="false" ht="14.25" hidden="false" customHeight="false" outlineLevel="0" collapsed="false">
      <c r="A408" s="0" t="n">
        <v>407</v>
      </c>
      <c r="B408" s="1" t="s">
        <v>1067</v>
      </c>
      <c r="C408" s="0" t="n">
        <v>467</v>
      </c>
      <c r="D408" s="0" t="n">
        <v>484</v>
      </c>
      <c r="E408" s="0" t="s">
        <v>291</v>
      </c>
      <c r="F408" s="0" t="n">
        <v>460</v>
      </c>
      <c r="G408" s="0" t="n">
        <v>476</v>
      </c>
      <c r="H408" s="0" t="s">
        <v>119</v>
      </c>
      <c r="I408" s="0" t="n">
        <v>358</v>
      </c>
      <c r="J408" s="0" t="n">
        <v>367</v>
      </c>
      <c r="K408" s="0" t="s">
        <v>370</v>
      </c>
      <c r="L408" s="0" t="n">
        <v>52</v>
      </c>
      <c r="M408" s="0" t="n">
        <v>55</v>
      </c>
      <c r="N408" s="0" t="s">
        <v>581</v>
      </c>
      <c r="AD408" s="0" t="n">
        <v>683</v>
      </c>
      <c r="AE408" s="0" t="n">
        <v>683</v>
      </c>
      <c r="AF408" s="0" t="s">
        <v>110</v>
      </c>
      <c r="AM408" s="0" t="n">
        <v>324</v>
      </c>
      <c r="AN408" s="0" t="n">
        <v>359</v>
      </c>
      <c r="AO408" s="0" t="s">
        <v>373</v>
      </c>
      <c r="AP408" s="0" t="n">
        <v>334</v>
      </c>
      <c r="AQ408" s="0" t="n">
        <v>367</v>
      </c>
      <c r="AR408" s="0" t="s">
        <v>658</v>
      </c>
      <c r="AV408" s="0" t="n">
        <v>324</v>
      </c>
      <c r="AW408" s="0" t="n">
        <v>359</v>
      </c>
      <c r="AX408" s="0" t="s">
        <v>373</v>
      </c>
      <c r="AY408" s="0" t="n">
        <v>334</v>
      </c>
      <c r="AZ408" s="0" t="n">
        <v>367</v>
      </c>
      <c r="BA408" s="0" t="s">
        <v>658</v>
      </c>
      <c r="BE408" s="2" t="n">
        <v>43489</v>
      </c>
    </row>
    <row r="409" customFormat="false" ht="14.25" hidden="false" customHeight="false" outlineLevel="0" collapsed="false">
      <c r="A409" s="0" t="n">
        <v>408</v>
      </c>
      <c r="B409" s="1" t="s">
        <v>1068</v>
      </c>
      <c r="C409" s="0" t="n">
        <v>87</v>
      </c>
      <c r="D409" s="0" t="n">
        <v>484</v>
      </c>
      <c r="E409" s="0" t="s">
        <v>229</v>
      </c>
      <c r="F409" s="0" t="n">
        <v>379</v>
      </c>
      <c r="G409" s="0" t="n">
        <v>475</v>
      </c>
      <c r="H409" s="0" t="s">
        <v>458</v>
      </c>
      <c r="I409" s="0" t="n">
        <v>387</v>
      </c>
      <c r="J409" s="0" t="n">
        <v>420</v>
      </c>
      <c r="K409" s="0" t="s">
        <v>598</v>
      </c>
      <c r="L409" s="0" t="n">
        <v>50</v>
      </c>
      <c r="M409" s="0" t="n">
        <v>55</v>
      </c>
      <c r="N409" s="0" t="s">
        <v>452</v>
      </c>
      <c r="AD409" s="0" t="n">
        <v>689</v>
      </c>
      <c r="AE409" s="0" t="n">
        <v>690</v>
      </c>
      <c r="AF409" s="0" t="s">
        <v>834</v>
      </c>
      <c r="AM409" s="0" t="n">
        <v>371</v>
      </c>
      <c r="AN409" s="0" t="n">
        <v>371</v>
      </c>
      <c r="AO409" s="0" t="s">
        <v>110</v>
      </c>
      <c r="AP409" s="0" t="n">
        <v>368</v>
      </c>
      <c r="AQ409" s="0" t="n">
        <v>447</v>
      </c>
      <c r="AR409" s="0" t="s">
        <v>159</v>
      </c>
      <c r="AV409" s="0" t="n">
        <v>371</v>
      </c>
      <c r="AW409" s="0" t="n">
        <v>371</v>
      </c>
      <c r="AX409" s="0" t="s">
        <v>110</v>
      </c>
      <c r="AY409" s="0" t="n">
        <v>368</v>
      </c>
      <c r="AZ409" s="0" t="n">
        <v>447</v>
      </c>
      <c r="BA409" s="0" t="s">
        <v>159</v>
      </c>
      <c r="BE409" s="2" t="n">
        <v>43490</v>
      </c>
    </row>
    <row r="410" customFormat="false" ht="14.25" hidden="false" customHeight="false" outlineLevel="0" collapsed="false">
      <c r="A410" s="0" t="n">
        <v>409</v>
      </c>
      <c r="B410" s="1" t="s">
        <v>1069</v>
      </c>
      <c r="C410" s="0" t="n">
        <v>336</v>
      </c>
      <c r="D410" s="0" t="n">
        <v>353</v>
      </c>
      <c r="E410" s="0" t="s">
        <v>634</v>
      </c>
      <c r="F410" s="0" t="n">
        <v>348</v>
      </c>
      <c r="G410" s="0" t="n">
        <v>355</v>
      </c>
      <c r="H410" s="0" t="s">
        <v>131</v>
      </c>
      <c r="AD410" s="0" t="n">
        <v>453</v>
      </c>
      <c r="AE410" s="0" t="n">
        <v>453</v>
      </c>
      <c r="AF410" s="0" t="s">
        <v>110</v>
      </c>
      <c r="AM410" s="0" t="n">
        <v>252</v>
      </c>
      <c r="AN410" s="0" t="n">
        <v>252</v>
      </c>
      <c r="AO410" s="0" t="s">
        <v>110</v>
      </c>
      <c r="AP410" s="0" t="n">
        <v>230</v>
      </c>
      <c r="AQ410" s="0" t="n">
        <v>282</v>
      </c>
      <c r="AR410" s="0" t="s">
        <v>484</v>
      </c>
      <c r="AV410" s="0" t="n">
        <v>252</v>
      </c>
      <c r="AW410" s="0" t="n">
        <v>252</v>
      </c>
      <c r="AX410" s="0" t="s">
        <v>110</v>
      </c>
      <c r="AY410" s="0" t="n">
        <v>230</v>
      </c>
      <c r="AZ410" s="0" t="n">
        <v>282</v>
      </c>
      <c r="BA410" s="0" t="s">
        <v>484</v>
      </c>
      <c r="BE410" s="2" t="n">
        <v>43491</v>
      </c>
    </row>
    <row r="411" customFormat="false" ht="14.25" hidden="false" customHeight="false" outlineLevel="0" collapsed="false">
      <c r="A411" s="0" t="n">
        <v>410</v>
      </c>
      <c r="B411" s="1" t="s">
        <v>1070</v>
      </c>
      <c r="I411" s="0" t="n">
        <v>375</v>
      </c>
      <c r="J411" s="0" t="n">
        <v>422</v>
      </c>
      <c r="K411" s="0" t="s">
        <v>394</v>
      </c>
      <c r="BE411" s="2" t="n">
        <v>43492</v>
      </c>
    </row>
    <row r="412" customFormat="false" ht="14.25" hidden="false" customHeight="false" outlineLevel="0" collapsed="false">
      <c r="A412" s="0" t="n">
        <v>411</v>
      </c>
      <c r="B412" s="1" t="s">
        <v>1071</v>
      </c>
      <c r="C412" s="0" t="n">
        <v>467</v>
      </c>
      <c r="D412" s="0" t="n">
        <v>484</v>
      </c>
      <c r="E412" s="0" t="s">
        <v>291</v>
      </c>
      <c r="F412" s="0" t="n">
        <v>449</v>
      </c>
      <c r="G412" s="0" t="n">
        <v>475</v>
      </c>
      <c r="H412" s="0" t="s">
        <v>581</v>
      </c>
      <c r="I412" s="0" t="n">
        <v>366</v>
      </c>
      <c r="J412" s="0" t="n">
        <v>368</v>
      </c>
      <c r="K412" s="0" t="s">
        <v>516</v>
      </c>
      <c r="L412" s="0" t="n">
        <v>52</v>
      </c>
      <c r="M412" s="0" t="n">
        <v>55</v>
      </c>
      <c r="N412" s="0" t="s">
        <v>581</v>
      </c>
      <c r="AD412" s="0" t="n">
        <v>656</v>
      </c>
      <c r="AE412" s="0" t="n">
        <v>684</v>
      </c>
      <c r="AF412" s="0" t="s">
        <v>777</v>
      </c>
      <c r="AM412" s="0" t="n">
        <v>353</v>
      </c>
      <c r="AN412" s="0" t="n">
        <v>377</v>
      </c>
      <c r="AO412" s="0" t="s">
        <v>434</v>
      </c>
      <c r="AP412" s="0" t="n">
        <v>331</v>
      </c>
      <c r="AQ412" s="0" t="n">
        <v>367</v>
      </c>
      <c r="AR412" s="0" t="s">
        <v>161</v>
      </c>
      <c r="AV412" s="0" t="n">
        <v>353</v>
      </c>
      <c r="AW412" s="0" t="n">
        <v>377</v>
      </c>
      <c r="AX412" s="0" t="s">
        <v>434</v>
      </c>
      <c r="AY412" s="0" t="n">
        <v>331</v>
      </c>
      <c r="AZ412" s="0" t="n">
        <v>367</v>
      </c>
      <c r="BA412" s="0" t="s">
        <v>161</v>
      </c>
      <c r="BE412" s="2" t="n">
        <v>43493</v>
      </c>
    </row>
    <row r="413" customFormat="false" ht="14.25" hidden="false" customHeight="false" outlineLevel="0" collapsed="false">
      <c r="A413" s="0" t="n">
        <v>412</v>
      </c>
      <c r="B413" s="1" t="s">
        <v>1072</v>
      </c>
      <c r="C413" s="0" t="n">
        <v>457</v>
      </c>
      <c r="D413" s="0" t="n">
        <v>484</v>
      </c>
      <c r="E413" s="0" t="s">
        <v>160</v>
      </c>
      <c r="F413" s="0" t="n">
        <v>454</v>
      </c>
      <c r="G413" s="0" t="n">
        <v>475</v>
      </c>
      <c r="H413" s="0" t="s">
        <v>544</v>
      </c>
      <c r="I413" s="0" t="n">
        <v>362</v>
      </c>
      <c r="J413" s="0" t="n">
        <v>368</v>
      </c>
      <c r="K413" s="0" t="s">
        <v>706</v>
      </c>
      <c r="L413" s="0" t="n">
        <v>50</v>
      </c>
      <c r="M413" s="0" t="n">
        <v>55</v>
      </c>
      <c r="N413" s="0" t="s">
        <v>452</v>
      </c>
      <c r="AD413" s="0" t="n">
        <v>675</v>
      </c>
      <c r="AE413" s="0" t="n">
        <v>684</v>
      </c>
      <c r="AF413" s="0" t="s">
        <v>789</v>
      </c>
      <c r="AM413" s="0" t="n">
        <v>388</v>
      </c>
      <c r="AN413" s="0" t="n">
        <v>381</v>
      </c>
      <c r="AO413" s="0" t="s">
        <v>979</v>
      </c>
      <c r="AP413" s="0" t="n">
        <v>367</v>
      </c>
      <c r="AQ413" s="0" t="n">
        <v>374</v>
      </c>
      <c r="AR413" s="0" t="s">
        <v>457</v>
      </c>
      <c r="AV413" s="0" t="n">
        <v>388</v>
      </c>
      <c r="AW413" s="0" t="n">
        <v>381</v>
      </c>
      <c r="AX413" s="0" t="s">
        <v>979</v>
      </c>
      <c r="AY413" s="0" t="n">
        <v>367</v>
      </c>
      <c r="AZ413" s="0" t="n">
        <v>374</v>
      </c>
      <c r="BA413" s="0" t="s">
        <v>457</v>
      </c>
      <c r="BE413" s="2" t="n">
        <v>43494</v>
      </c>
    </row>
    <row r="414" customFormat="false" ht="14.25" hidden="false" customHeight="false" outlineLevel="0" collapsed="false">
      <c r="A414" s="0" t="n">
        <v>413</v>
      </c>
      <c r="B414" s="1" t="s">
        <v>1073</v>
      </c>
      <c r="C414" s="0" t="n">
        <v>429</v>
      </c>
      <c r="D414" s="0" t="n">
        <v>484</v>
      </c>
      <c r="E414" s="0" t="s">
        <v>305</v>
      </c>
      <c r="F414" s="0" t="n">
        <v>458</v>
      </c>
      <c r="G414" s="0" t="n">
        <v>475</v>
      </c>
      <c r="H414" s="0" t="s">
        <v>187</v>
      </c>
      <c r="I414" s="0" t="n">
        <v>359</v>
      </c>
      <c r="J414" s="0" t="n">
        <v>368</v>
      </c>
      <c r="K414" s="0" t="s">
        <v>497</v>
      </c>
      <c r="L414" s="0" t="n">
        <v>51</v>
      </c>
      <c r="M414" s="0" t="n">
        <v>55</v>
      </c>
      <c r="N414" s="0" t="s">
        <v>618</v>
      </c>
      <c r="AD414" s="0" t="n">
        <v>675</v>
      </c>
      <c r="AE414" s="0" t="n">
        <v>684</v>
      </c>
      <c r="AF414" s="0" t="s">
        <v>789</v>
      </c>
      <c r="AM414" s="0" t="n">
        <v>355</v>
      </c>
      <c r="AN414" s="0" t="n">
        <v>374</v>
      </c>
      <c r="AO414" s="0" t="s">
        <v>142</v>
      </c>
      <c r="AP414" s="0" t="n">
        <v>372</v>
      </c>
      <c r="AQ414" s="0" t="n">
        <v>373</v>
      </c>
      <c r="AR414" s="0" t="s">
        <v>723</v>
      </c>
      <c r="AV414" s="0" t="n">
        <v>355</v>
      </c>
      <c r="AW414" s="0" t="n">
        <v>374</v>
      </c>
      <c r="AX414" s="0" t="s">
        <v>142</v>
      </c>
      <c r="AY414" s="0" t="n">
        <v>372</v>
      </c>
      <c r="AZ414" s="0" t="n">
        <v>373</v>
      </c>
      <c r="BA414" s="0" t="s">
        <v>723</v>
      </c>
      <c r="BE414" s="2" t="n">
        <v>43495</v>
      </c>
    </row>
    <row r="415" customFormat="false" ht="14.25" hidden="false" customHeight="false" outlineLevel="0" collapsed="false">
      <c r="A415" s="0" t="n">
        <v>414</v>
      </c>
      <c r="B415" s="1" t="s">
        <v>1074</v>
      </c>
      <c r="C415" s="0" t="n">
        <v>436</v>
      </c>
      <c r="D415" s="0" t="n">
        <v>484</v>
      </c>
      <c r="E415" s="0" t="s">
        <v>530</v>
      </c>
      <c r="F415" s="0" t="n">
        <v>404</v>
      </c>
      <c r="G415" s="0" t="n">
        <v>475</v>
      </c>
      <c r="H415" s="0" t="s">
        <v>365</v>
      </c>
      <c r="I415" s="0" t="n">
        <v>348</v>
      </c>
      <c r="J415" s="0" t="n">
        <v>368</v>
      </c>
      <c r="K415" s="0" t="s">
        <v>332</v>
      </c>
      <c r="L415" s="0" t="n">
        <v>51</v>
      </c>
      <c r="M415" s="0" t="n">
        <v>55</v>
      </c>
      <c r="N415" s="0" t="s">
        <v>618</v>
      </c>
      <c r="AD415" s="0" t="n">
        <v>627</v>
      </c>
      <c r="AE415" s="0" t="n">
        <v>680</v>
      </c>
      <c r="AF415" s="0" t="s">
        <v>335</v>
      </c>
      <c r="AM415" s="0" t="n">
        <v>335</v>
      </c>
      <c r="AN415" s="0" t="n">
        <v>339</v>
      </c>
      <c r="AO415" s="0" t="s">
        <v>153</v>
      </c>
      <c r="AP415" s="0" t="n">
        <v>173</v>
      </c>
      <c r="AQ415" s="0" t="n">
        <v>173</v>
      </c>
      <c r="AR415" s="0" t="s">
        <v>110</v>
      </c>
      <c r="AV415" s="0" t="n">
        <v>335</v>
      </c>
      <c r="AW415" s="0" t="n">
        <v>339</v>
      </c>
      <c r="AX415" s="0" t="s">
        <v>153</v>
      </c>
      <c r="AY415" s="0" t="n">
        <v>173</v>
      </c>
      <c r="AZ415" s="0" t="n">
        <v>173</v>
      </c>
      <c r="BA415" s="0" t="s">
        <v>110</v>
      </c>
      <c r="BE415" s="2" t="n">
        <v>43496</v>
      </c>
    </row>
    <row r="416" customFormat="false" ht="14.25" hidden="false" customHeight="false" outlineLevel="0" collapsed="false">
      <c r="A416" s="0" t="n">
        <v>415</v>
      </c>
      <c r="B416" s="1" t="s">
        <v>1075</v>
      </c>
      <c r="C416" s="0" t="n">
        <v>394</v>
      </c>
      <c r="D416" s="0" t="n">
        <v>484</v>
      </c>
      <c r="E416" s="0" t="s">
        <v>352</v>
      </c>
      <c r="F416" s="0" t="n">
        <v>438</v>
      </c>
      <c r="G416" s="0" t="n">
        <v>475</v>
      </c>
      <c r="H416" s="0" t="s">
        <v>335</v>
      </c>
      <c r="I416" s="0" t="n">
        <v>410</v>
      </c>
      <c r="J416" s="0" t="n">
        <v>419</v>
      </c>
      <c r="K416" s="0" t="s">
        <v>551</v>
      </c>
      <c r="L416" s="0" t="n">
        <v>53</v>
      </c>
      <c r="M416" s="0" t="n">
        <v>55</v>
      </c>
      <c r="N416" s="0" t="s">
        <v>187</v>
      </c>
      <c r="AD416" s="0" t="n">
        <v>632</v>
      </c>
      <c r="AE416" s="0" t="n">
        <v>684</v>
      </c>
      <c r="AF416" s="0" t="s">
        <v>447</v>
      </c>
      <c r="AM416" s="0" t="n">
        <v>317</v>
      </c>
      <c r="AN416" s="0" t="n">
        <v>388</v>
      </c>
      <c r="AO416" s="0" t="s">
        <v>407</v>
      </c>
      <c r="AP416" s="0" t="n">
        <v>302</v>
      </c>
      <c r="AQ416" s="0" t="n">
        <v>312</v>
      </c>
      <c r="AR416" s="0" t="s">
        <v>112</v>
      </c>
      <c r="AV416" s="0" t="n">
        <v>317</v>
      </c>
      <c r="AW416" s="0" t="n">
        <v>388</v>
      </c>
      <c r="AX416" s="0" t="s">
        <v>407</v>
      </c>
      <c r="AY416" s="0" t="n">
        <v>302</v>
      </c>
      <c r="AZ416" s="0" t="n">
        <v>312</v>
      </c>
      <c r="BA416" s="0" t="s">
        <v>112</v>
      </c>
      <c r="BE416" s="2" t="n">
        <v>43497</v>
      </c>
    </row>
    <row r="417" customFormat="false" ht="14.25" hidden="false" customHeight="false" outlineLevel="0" collapsed="false">
      <c r="A417" s="0" t="n">
        <v>416</v>
      </c>
      <c r="B417" s="1" t="s">
        <v>1076</v>
      </c>
      <c r="I417" s="0" t="n">
        <v>390</v>
      </c>
      <c r="J417" s="0" t="n">
        <v>429</v>
      </c>
      <c r="K417" s="0" t="s">
        <v>452</v>
      </c>
      <c r="BE417" s="2" t="n">
        <v>43468</v>
      </c>
    </row>
    <row r="418" customFormat="false" ht="14.25" hidden="false" customHeight="false" outlineLevel="0" collapsed="false">
      <c r="A418" s="0" t="n">
        <v>417</v>
      </c>
      <c r="B418" s="1" t="s">
        <v>1077</v>
      </c>
      <c r="I418" s="0" t="n">
        <v>390</v>
      </c>
      <c r="J418" s="0" t="n">
        <v>429</v>
      </c>
      <c r="K418" s="0" t="s">
        <v>452</v>
      </c>
      <c r="BE418" s="2" t="n">
        <v>43499</v>
      </c>
    </row>
    <row r="419" customFormat="false" ht="14.25" hidden="false" customHeight="false" outlineLevel="0" collapsed="false">
      <c r="A419" s="0" t="n">
        <v>418</v>
      </c>
      <c r="B419" s="1" t="s">
        <v>1078</v>
      </c>
      <c r="BE419" s="2" t="n">
        <v>43498</v>
      </c>
    </row>
    <row r="420" customFormat="false" ht="14.25" hidden="false" customHeight="false" outlineLevel="0" collapsed="false">
      <c r="A420" s="0" t="n">
        <v>419</v>
      </c>
      <c r="B420" s="1" t="s">
        <v>1079</v>
      </c>
      <c r="C420" s="0" t="n">
        <v>468</v>
      </c>
      <c r="D420" s="0" t="n">
        <v>484</v>
      </c>
      <c r="E420" s="0" t="s">
        <v>538</v>
      </c>
      <c r="F420" s="0" t="n">
        <v>450</v>
      </c>
      <c r="G420" s="0" t="n">
        <v>475</v>
      </c>
      <c r="H420" s="0" t="s">
        <v>473</v>
      </c>
      <c r="I420" s="0" t="n">
        <v>357</v>
      </c>
      <c r="J420" s="0" t="n">
        <v>368</v>
      </c>
      <c r="K420" s="0" t="s">
        <v>756</v>
      </c>
      <c r="L420" s="0" t="n">
        <v>52</v>
      </c>
      <c r="M420" s="0" t="n">
        <v>55</v>
      </c>
      <c r="N420" s="0" t="s">
        <v>581</v>
      </c>
      <c r="AD420" s="0" t="n">
        <v>639</v>
      </c>
      <c r="AE420" s="0" t="n">
        <v>680</v>
      </c>
      <c r="AF420" s="0" t="s">
        <v>526</v>
      </c>
      <c r="AM420" s="0" t="n">
        <v>361</v>
      </c>
      <c r="AN420" s="0" t="n">
        <v>379</v>
      </c>
      <c r="AO420" s="0" t="s">
        <v>753</v>
      </c>
      <c r="AP420" s="0" t="n">
        <v>333</v>
      </c>
      <c r="AQ420" s="0" t="n">
        <v>361</v>
      </c>
      <c r="AR420" s="0" t="s">
        <v>335</v>
      </c>
      <c r="AV420" s="0" t="n">
        <v>361</v>
      </c>
      <c r="AW420" s="0" t="n">
        <v>379</v>
      </c>
      <c r="AX420" s="0" t="s">
        <v>753</v>
      </c>
      <c r="AY420" s="0" t="n">
        <v>333</v>
      </c>
      <c r="AZ420" s="0" t="n">
        <v>361</v>
      </c>
      <c r="BA420" s="0" t="s">
        <v>335</v>
      </c>
      <c r="BE420" s="2" t="n">
        <v>43500</v>
      </c>
    </row>
    <row r="421" customFormat="false" ht="14.25" hidden="false" customHeight="false" outlineLevel="0" collapsed="false">
      <c r="A421" s="0" t="n">
        <v>420</v>
      </c>
      <c r="B421" s="1" t="s">
        <v>1080</v>
      </c>
      <c r="C421" s="0" t="n">
        <v>471</v>
      </c>
      <c r="D421" s="0" t="n">
        <v>484</v>
      </c>
      <c r="E421" s="0" t="s">
        <v>149</v>
      </c>
      <c r="F421" s="0" t="n">
        <v>462</v>
      </c>
      <c r="G421" s="0" t="n">
        <v>475</v>
      </c>
      <c r="H421" s="0" t="s">
        <v>149</v>
      </c>
      <c r="I421" s="0" t="n">
        <v>361</v>
      </c>
      <c r="J421" s="0" t="n">
        <v>368</v>
      </c>
      <c r="K421" s="0" t="s">
        <v>457</v>
      </c>
      <c r="L421" s="0" t="n">
        <v>52</v>
      </c>
      <c r="M421" s="0" t="n">
        <v>55</v>
      </c>
      <c r="N421" s="0" t="s">
        <v>581</v>
      </c>
      <c r="AD421" s="0" t="n">
        <v>639</v>
      </c>
      <c r="AE421" s="0" t="n">
        <v>649</v>
      </c>
      <c r="AF421" s="0" t="s">
        <v>120</v>
      </c>
      <c r="AM421" s="0" t="n">
        <v>366</v>
      </c>
      <c r="AN421" s="0" t="n">
        <v>476</v>
      </c>
      <c r="AO421" s="0" t="s">
        <v>250</v>
      </c>
      <c r="AP421" s="0" t="n">
        <v>369</v>
      </c>
      <c r="AQ421" s="0" t="n">
        <v>381</v>
      </c>
      <c r="AR421" s="0" t="s">
        <v>758</v>
      </c>
      <c r="AV421" s="0" t="n">
        <v>366</v>
      </c>
      <c r="AW421" s="0" t="n">
        <v>476</v>
      </c>
      <c r="AX421" s="0" t="s">
        <v>250</v>
      </c>
      <c r="AY421" s="0" t="n">
        <v>369</v>
      </c>
      <c r="AZ421" s="0" t="n">
        <v>381</v>
      </c>
      <c r="BA421" s="0" t="s">
        <v>758</v>
      </c>
      <c r="BE421" s="2" t="n">
        <v>43501</v>
      </c>
    </row>
    <row r="422" customFormat="false" ht="14.25" hidden="false" customHeight="false" outlineLevel="0" collapsed="false">
      <c r="A422" s="0" t="n">
        <v>421</v>
      </c>
      <c r="B422" s="1" t="s">
        <v>1081</v>
      </c>
      <c r="C422" s="0" t="n">
        <v>474</v>
      </c>
      <c r="D422" s="0" t="n">
        <v>484</v>
      </c>
      <c r="E422" s="0" t="s">
        <v>551</v>
      </c>
      <c r="F422" s="0" t="n">
        <v>465</v>
      </c>
      <c r="G422" s="0" t="n">
        <v>475</v>
      </c>
      <c r="H422" s="0" t="s">
        <v>551</v>
      </c>
      <c r="I422" s="0" t="n">
        <v>364</v>
      </c>
      <c r="J422" s="0" t="n">
        <v>368</v>
      </c>
      <c r="K422" s="0" t="s">
        <v>143</v>
      </c>
      <c r="L422" s="0" t="n">
        <v>41</v>
      </c>
      <c r="M422" s="0" t="n">
        <v>55</v>
      </c>
      <c r="N422" s="0" t="s">
        <v>287</v>
      </c>
      <c r="AD422" s="0" t="n">
        <v>674</v>
      </c>
      <c r="AE422" s="0" t="n">
        <v>684</v>
      </c>
      <c r="AF422" s="0" t="s">
        <v>120</v>
      </c>
      <c r="AM422" s="0" t="n">
        <v>373</v>
      </c>
      <c r="AN422" s="0" t="n">
        <v>485</v>
      </c>
      <c r="AO422" s="0" t="s">
        <v>250</v>
      </c>
      <c r="AP422" s="0" t="n">
        <v>373</v>
      </c>
      <c r="AQ422" s="0" t="n">
        <v>446</v>
      </c>
      <c r="AR422" s="0" t="s">
        <v>301</v>
      </c>
      <c r="AV422" s="0" t="n">
        <v>373</v>
      </c>
      <c r="AW422" s="0" t="n">
        <v>485</v>
      </c>
      <c r="AX422" s="0" t="s">
        <v>250</v>
      </c>
      <c r="AY422" s="0" t="n">
        <v>373</v>
      </c>
      <c r="AZ422" s="0" t="n">
        <v>446</v>
      </c>
      <c r="BA422" s="0" t="s">
        <v>301</v>
      </c>
      <c r="BE422" s="2" t="n">
        <v>43502</v>
      </c>
    </row>
    <row r="423" customFormat="false" ht="14.25" hidden="false" customHeight="false" outlineLevel="0" collapsed="false">
      <c r="A423" s="0" t="n">
        <v>422</v>
      </c>
      <c r="B423" s="1" t="s">
        <v>1082</v>
      </c>
      <c r="C423" s="0" t="n">
        <v>471</v>
      </c>
      <c r="D423" s="0" t="n">
        <v>471</v>
      </c>
      <c r="E423" s="0" t="s">
        <v>110</v>
      </c>
      <c r="F423" s="0" t="n">
        <v>448</v>
      </c>
      <c r="G423" s="0" t="n">
        <v>475</v>
      </c>
      <c r="H423" s="0" t="s">
        <v>523</v>
      </c>
      <c r="I423" s="0" t="n">
        <v>365</v>
      </c>
      <c r="J423" s="0" t="n">
        <v>368</v>
      </c>
      <c r="K423" s="0" t="s">
        <v>863</v>
      </c>
      <c r="L423" s="0" t="n">
        <v>51</v>
      </c>
      <c r="M423" s="0" t="n">
        <v>55</v>
      </c>
      <c r="N423" s="0" t="s">
        <v>618</v>
      </c>
      <c r="AD423" s="0" t="n">
        <v>670</v>
      </c>
      <c r="AE423" s="0" t="n">
        <v>680</v>
      </c>
      <c r="AF423" s="0" t="s">
        <v>120</v>
      </c>
      <c r="AM423" s="0" t="n">
        <v>354</v>
      </c>
      <c r="AN423" s="0" t="n">
        <v>365</v>
      </c>
      <c r="AO423" s="0" t="s">
        <v>756</v>
      </c>
      <c r="AP423" s="0" t="n">
        <v>94</v>
      </c>
      <c r="AQ423" s="0" t="n">
        <v>288</v>
      </c>
      <c r="AR423" s="0" t="s">
        <v>1083</v>
      </c>
      <c r="AV423" s="0" t="n">
        <v>354</v>
      </c>
      <c r="AW423" s="0" t="n">
        <v>365</v>
      </c>
      <c r="AX423" s="0" t="s">
        <v>756</v>
      </c>
      <c r="AY423" s="0" t="n">
        <v>94</v>
      </c>
      <c r="AZ423" s="0" t="n">
        <v>288</v>
      </c>
      <c r="BA423" s="0" t="s">
        <v>1083</v>
      </c>
      <c r="BE423" s="2" t="n">
        <v>43503</v>
      </c>
    </row>
    <row r="424" customFormat="false" ht="14.25" hidden="false" customHeight="false" outlineLevel="0" collapsed="false">
      <c r="A424" s="0" t="n">
        <v>423</v>
      </c>
      <c r="B424" s="1" t="s">
        <v>1084</v>
      </c>
      <c r="C424" s="0" t="n">
        <v>467</v>
      </c>
      <c r="D424" s="0" t="n">
        <v>471</v>
      </c>
      <c r="E424" s="0" t="s">
        <v>863</v>
      </c>
      <c r="F424" s="0" t="n">
        <v>454</v>
      </c>
      <c r="G424" s="0" t="n">
        <v>475</v>
      </c>
      <c r="H424" s="0" t="s">
        <v>544</v>
      </c>
      <c r="I424" s="0" t="n">
        <v>414</v>
      </c>
      <c r="J424" s="0" t="n">
        <v>420</v>
      </c>
      <c r="K424" s="0" t="s">
        <v>790</v>
      </c>
      <c r="L424" s="0" t="n">
        <v>53</v>
      </c>
      <c r="M424" s="0" t="n">
        <v>55</v>
      </c>
      <c r="N424" s="0" t="s">
        <v>187</v>
      </c>
      <c r="AD424" s="0" t="n">
        <v>677</v>
      </c>
      <c r="AE424" s="0" t="n">
        <v>677</v>
      </c>
      <c r="AF424" s="0" t="s">
        <v>110</v>
      </c>
      <c r="AM424" s="0" t="n">
        <v>337</v>
      </c>
      <c r="AN424" s="0" t="n">
        <v>385</v>
      </c>
      <c r="AO424" s="0" t="s">
        <v>321</v>
      </c>
      <c r="AP424" s="0" t="n">
        <v>396</v>
      </c>
      <c r="AQ424" s="0" t="n">
        <v>442</v>
      </c>
      <c r="AR424" s="0" t="s">
        <v>377</v>
      </c>
      <c r="AV424" s="0" t="n">
        <v>337</v>
      </c>
      <c r="AW424" s="0" t="n">
        <v>385</v>
      </c>
      <c r="AX424" s="0" t="s">
        <v>321</v>
      </c>
      <c r="AY424" s="0" t="n">
        <v>396</v>
      </c>
      <c r="AZ424" s="0" t="n">
        <v>442</v>
      </c>
      <c r="BA424" s="0" t="s">
        <v>377</v>
      </c>
      <c r="BE424" s="2" t="n">
        <v>43504</v>
      </c>
    </row>
    <row r="425" customFormat="false" ht="14.25" hidden="false" customHeight="false" outlineLevel="0" collapsed="false">
      <c r="A425" s="0" t="n">
        <v>424</v>
      </c>
      <c r="B425" s="1" t="s">
        <v>1085</v>
      </c>
      <c r="C425" s="0" t="n">
        <v>436</v>
      </c>
      <c r="D425" s="0" t="n">
        <v>480</v>
      </c>
      <c r="E425" s="0" t="s">
        <v>113</v>
      </c>
      <c r="F425" s="0" t="n">
        <v>459</v>
      </c>
      <c r="G425" s="0" t="n">
        <v>475</v>
      </c>
      <c r="H425" s="0" t="s">
        <v>119</v>
      </c>
      <c r="I425" s="0" t="n">
        <v>363</v>
      </c>
      <c r="J425" s="0" t="n">
        <v>367</v>
      </c>
      <c r="K425" s="0" t="s">
        <v>143</v>
      </c>
      <c r="L425" s="0" t="n">
        <v>52</v>
      </c>
      <c r="M425" s="0" t="n">
        <v>55</v>
      </c>
      <c r="N425" s="0" t="s">
        <v>581</v>
      </c>
      <c r="AD425" s="0" t="n">
        <v>669</v>
      </c>
      <c r="AE425" s="0" t="n">
        <v>680</v>
      </c>
      <c r="AF425" s="0" t="s">
        <v>706</v>
      </c>
      <c r="AM425" s="0" t="n">
        <v>372</v>
      </c>
      <c r="AN425" s="0" t="n">
        <v>367</v>
      </c>
      <c r="AO425" s="0" t="s">
        <v>1086</v>
      </c>
      <c r="AP425" s="0" t="n">
        <v>346</v>
      </c>
      <c r="AQ425" s="0" t="n">
        <v>363</v>
      </c>
      <c r="AR425" s="0" t="s">
        <v>753</v>
      </c>
      <c r="AV425" s="0" t="n">
        <v>372</v>
      </c>
      <c r="AW425" s="0" t="n">
        <v>367</v>
      </c>
      <c r="AX425" s="0" t="s">
        <v>1086</v>
      </c>
      <c r="AY425" s="0" t="n">
        <v>346</v>
      </c>
      <c r="AZ425" s="0" t="n">
        <v>363</v>
      </c>
      <c r="BA425" s="0" t="s">
        <v>753</v>
      </c>
      <c r="BE425" s="2" t="n">
        <v>43507</v>
      </c>
    </row>
    <row r="426" customFormat="false" ht="14.25" hidden="false" customHeight="false" outlineLevel="0" collapsed="false">
      <c r="A426" s="0" t="n">
        <v>425</v>
      </c>
      <c r="B426" s="1" t="s">
        <v>1087</v>
      </c>
      <c r="C426" s="0" t="n">
        <v>460</v>
      </c>
      <c r="D426" s="0" t="n">
        <v>473</v>
      </c>
      <c r="E426" s="0" t="s">
        <v>149</v>
      </c>
      <c r="F426" s="0" t="n">
        <v>457</v>
      </c>
      <c r="G426" s="0" t="n">
        <v>465</v>
      </c>
      <c r="H426" s="0" t="s">
        <v>179</v>
      </c>
      <c r="I426" s="0" t="n">
        <v>339</v>
      </c>
      <c r="J426" s="0" t="n">
        <v>358</v>
      </c>
      <c r="K426" s="0" t="s">
        <v>473</v>
      </c>
      <c r="L426" s="0" t="n">
        <v>51</v>
      </c>
      <c r="M426" s="0" t="n">
        <v>52</v>
      </c>
      <c r="N426" s="0" t="s">
        <v>457</v>
      </c>
      <c r="AD426" s="0" t="n">
        <v>616</v>
      </c>
      <c r="AE426" s="0" t="n">
        <v>680</v>
      </c>
      <c r="AF426" s="0" t="s">
        <v>722</v>
      </c>
      <c r="AM426" s="0" t="n">
        <v>352</v>
      </c>
      <c r="AN426" s="0" t="n">
        <v>355</v>
      </c>
      <c r="AO426" s="0" t="s">
        <v>863</v>
      </c>
      <c r="AP426" s="0" t="n">
        <v>343</v>
      </c>
      <c r="AQ426" s="0" t="n">
        <v>360</v>
      </c>
      <c r="AR426" s="0" t="s">
        <v>753</v>
      </c>
      <c r="AV426" s="0" t="n">
        <v>352</v>
      </c>
      <c r="AW426" s="0" t="n">
        <v>355</v>
      </c>
      <c r="AX426" s="0" t="s">
        <v>863</v>
      </c>
      <c r="AY426" s="0" t="n">
        <v>343</v>
      </c>
      <c r="AZ426" s="0" t="n">
        <v>360</v>
      </c>
      <c r="BA426" s="0" t="s">
        <v>753</v>
      </c>
      <c r="BE426" s="2" t="n">
        <v>43508</v>
      </c>
    </row>
    <row r="427" customFormat="false" ht="14.25" hidden="false" customHeight="false" outlineLevel="0" collapsed="false">
      <c r="A427" s="0" t="n">
        <v>426</v>
      </c>
      <c r="B427" s="1" t="s">
        <v>1088</v>
      </c>
      <c r="C427" s="0" t="n">
        <v>471</v>
      </c>
      <c r="D427" s="0" t="n">
        <v>484</v>
      </c>
      <c r="E427" s="0" t="s">
        <v>149</v>
      </c>
      <c r="F427" s="0" t="n">
        <v>461</v>
      </c>
      <c r="G427" s="0" t="n">
        <v>475</v>
      </c>
      <c r="H427" s="0" t="s">
        <v>492</v>
      </c>
      <c r="I427" s="0" t="n">
        <v>368</v>
      </c>
      <c r="J427" s="0" t="n">
        <v>368</v>
      </c>
      <c r="K427" s="0" t="s">
        <v>110</v>
      </c>
      <c r="L427" s="0" t="n">
        <v>53</v>
      </c>
      <c r="M427" s="0" t="n">
        <v>55</v>
      </c>
      <c r="N427" s="0" t="s">
        <v>187</v>
      </c>
      <c r="AD427" s="0" t="n">
        <v>642</v>
      </c>
      <c r="AE427" s="0" t="n">
        <v>660</v>
      </c>
      <c r="AF427" s="0" t="s">
        <v>149</v>
      </c>
      <c r="AM427" s="0" t="n">
        <v>325</v>
      </c>
      <c r="AN427" s="0" t="n">
        <v>350</v>
      </c>
      <c r="AO427" s="0" t="s">
        <v>207</v>
      </c>
      <c r="AP427" s="0" t="n">
        <v>342</v>
      </c>
      <c r="AQ427" s="0" t="n">
        <v>347</v>
      </c>
      <c r="AR427" s="0" t="s">
        <v>790</v>
      </c>
      <c r="AS427" s="0" t="n">
        <v>90</v>
      </c>
      <c r="AT427" s="0" t="n">
        <v>103</v>
      </c>
      <c r="AU427" s="0" t="s">
        <v>419</v>
      </c>
      <c r="AV427" s="0" t="n">
        <v>325</v>
      </c>
      <c r="AW427" s="0" t="n">
        <v>350</v>
      </c>
      <c r="AX427" s="0" t="s">
        <v>207</v>
      </c>
      <c r="AY427" s="0" t="n">
        <v>342</v>
      </c>
      <c r="AZ427" s="0" t="n">
        <v>347</v>
      </c>
      <c r="BA427" s="0" t="s">
        <v>790</v>
      </c>
      <c r="BB427" s="0" t="n">
        <v>90</v>
      </c>
      <c r="BC427" s="0" t="n">
        <v>103</v>
      </c>
      <c r="BD427" s="0" t="s">
        <v>419</v>
      </c>
      <c r="BE427" s="2" t="n">
        <v>43509</v>
      </c>
    </row>
    <row r="428" customFormat="false" ht="14.25" hidden="false" customHeight="false" outlineLevel="0" collapsed="false">
      <c r="A428" s="0" t="n">
        <v>427</v>
      </c>
      <c r="B428" s="1" t="s">
        <v>1089</v>
      </c>
      <c r="C428" s="0" t="n">
        <v>456</v>
      </c>
      <c r="D428" s="0" t="n">
        <v>483</v>
      </c>
      <c r="E428" s="0" t="s">
        <v>160</v>
      </c>
      <c r="F428" s="0" t="n">
        <v>467</v>
      </c>
      <c r="G428" s="0" t="n">
        <v>475</v>
      </c>
      <c r="H428" s="0" t="s">
        <v>179</v>
      </c>
      <c r="I428" s="0" t="n">
        <v>411</v>
      </c>
      <c r="J428" s="0" t="n">
        <v>420</v>
      </c>
      <c r="K428" s="0" t="s">
        <v>551</v>
      </c>
      <c r="L428" s="0" t="n">
        <v>52</v>
      </c>
      <c r="M428" s="0" t="n">
        <v>55</v>
      </c>
      <c r="N428" s="0" t="s">
        <v>581</v>
      </c>
      <c r="AD428" s="0" t="n">
        <v>579</v>
      </c>
      <c r="AE428" s="0" t="n">
        <v>674</v>
      </c>
      <c r="AF428" s="0" t="s">
        <v>1090</v>
      </c>
      <c r="AM428" s="0" t="n">
        <v>356</v>
      </c>
      <c r="AN428" s="0" t="n">
        <v>357</v>
      </c>
      <c r="AO428" s="0" t="s">
        <v>723</v>
      </c>
      <c r="AP428" s="0" t="n">
        <v>343</v>
      </c>
      <c r="AQ428" s="0" t="n">
        <v>356</v>
      </c>
      <c r="AR428" s="0" t="s">
        <v>182</v>
      </c>
      <c r="AS428" s="0" t="n">
        <v>92</v>
      </c>
      <c r="AT428" s="0" t="n">
        <v>94</v>
      </c>
      <c r="AU428" s="0" t="s">
        <v>551</v>
      </c>
      <c r="AV428" s="0" t="n">
        <v>356</v>
      </c>
      <c r="AW428" s="0" t="n">
        <v>357</v>
      </c>
      <c r="AX428" s="0" t="s">
        <v>723</v>
      </c>
      <c r="AY428" s="0" t="n">
        <v>343</v>
      </c>
      <c r="AZ428" s="0" t="n">
        <v>356</v>
      </c>
      <c r="BA428" s="0" t="s">
        <v>182</v>
      </c>
      <c r="BB428" s="0" t="n">
        <v>92</v>
      </c>
      <c r="BC428" s="0" t="n">
        <v>94</v>
      </c>
      <c r="BD428" s="0" t="s">
        <v>551</v>
      </c>
      <c r="BE428" s="2" t="n">
        <v>43511</v>
      </c>
    </row>
    <row r="429" customFormat="false" ht="14.25" hidden="false" customHeight="false" outlineLevel="0" collapsed="false">
      <c r="A429" s="0" t="n">
        <v>428</v>
      </c>
      <c r="B429" s="1" t="s">
        <v>1091</v>
      </c>
      <c r="C429" s="0" t="n">
        <v>481</v>
      </c>
      <c r="D429" s="0" t="n">
        <v>484</v>
      </c>
      <c r="E429" s="0" t="s">
        <v>824</v>
      </c>
      <c r="F429" s="0" t="n">
        <v>460</v>
      </c>
      <c r="G429" s="0" t="n">
        <v>475</v>
      </c>
      <c r="H429" s="0" t="s">
        <v>112</v>
      </c>
      <c r="I429" s="0" t="n">
        <v>357</v>
      </c>
      <c r="J429" s="0" t="n">
        <v>368</v>
      </c>
      <c r="K429" s="0" t="s">
        <v>756</v>
      </c>
      <c r="L429" s="0" t="n">
        <v>53</v>
      </c>
      <c r="M429" s="0" t="n">
        <v>55</v>
      </c>
      <c r="N429" s="0" t="s">
        <v>187</v>
      </c>
      <c r="AD429" s="0" t="n">
        <v>678</v>
      </c>
      <c r="AE429" s="0" t="n">
        <v>668</v>
      </c>
      <c r="AF429" s="0" t="s">
        <v>1092</v>
      </c>
      <c r="AM429" s="0" t="n">
        <v>352</v>
      </c>
      <c r="AN429" s="0" t="n">
        <v>358</v>
      </c>
      <c r="AO429" s="0" t="s">
        <v>179</v>
      </c>
      <c r="AP429" s="0" t="n">
        <v>350</v>
      </c>
      <c r="AQ429" s="0" t="n">
        <v>346</v>
      </c>
      <c r="AR429" s="0" t="s">
        <v>621</v>
      </c>
      <c r="AS429" s="0" t="n">
        <v>110</v>
      </c>
      <c r="AT429" s="0" t="n">
        <v>105</v>
      </c>
      <c r="AU429" s="0" t="s">
        <v>1093</v>
      </c>
      <c r="AV429" s="0" t="n">
        <v>352</v>
      </c>
      <c r="AW429" s="0" t="n">
        <v>358</v>
      </c>
      <c r="AX429" s="0" t="s">
        <v>179</v>
      </c>
      <c r="AY429" s="0" t="n">
        <v>350</v>
      </c>
      <c r="AZ429" s="0" t="n">
        <v>346</v>
      </c>
      <c r="BA429" s="0" t="s">
        <v>621</v>
      </c>
      <c r="BB429" s="0" t="n">
        <v>110</v>
      </c>
      <c r="BC429" s="0" t="n">
        <v>105</v>
      </c>
      <c r="BD429" s="0" t="s">
        <v>1093</v>
      </c>
      <c r="BE429" s="2" t="n">
        <v>43510</v>
      </c>
    </row>
    <row r="430" customFormat="false" ht="14.25" hidden="false" customHeight="false" outlineLevel="0" collapsed="false">
      <c r="A430" s="0" t="n">
        <v>429</v>
      </c>
      <c r="B430" s="1" t="s">
        <v>1094</v>
      </c>
      <c r="I430" s="0" t="n">
        <v>409</v>
      </c>
      <c r="J430" s="0" t="n">
        <v>422</v>
      </c>
      <c r="K430" s="0" t="s">
        <v>758</v>
      </c>
      <c r="BE430" s="2" t="n">
        <v>43513</v>
      </c>
    </row>
    <row r="431" customFormat="false" ht="14.25" hidden="false" customHeight="false" outlineLevel="0" collapsed="false">
      <c r="A431" s="0" t="n">
        <v>430</v>
      </c>
      <c r="B431" s="1" t="s">
        <v>1095</v>
      </c>
      <c r="C431" s="0" t="n">
        <v>430</v>
      </c>
      <c r="D431" s="0" t="n">
        <v>484</v>
      </c>
      <c r="E431" s="0" t="s">
        <v>166</v>
      </c>
      <c r="F431" s="0" t="n">
        <v>448</v>
      </c>
      <c r="G431" s="0" t="n">
        <v>475</v>
      </c>
      <c r="H431" s="0" t="s">
        <v>523</v>
      </c>
      <c r="I431" s="0" t="n">
        <v>347</v>
      </c>
      <c r="J431" s="0" t="n">
        <v>368</v>
      </c>
      <c r="K431" s="0" t="s">
        <v>523</v>
      </c>
      <c r="L431" s="0" t="n">
        <v>48</v>
      </c>
      <c r="M431" s="0" t="n">
        <v>55</v>
      </c>
      <c r="N431" s="0" t="s">
        <v>501</v>
      </c>
      <c r="AD431" s="0" t="n">
        <v>597</v>
      </c>
      <c r="AE431" s="0" t="n">
        <v>609</v>
      </c>
      <c r="AF431" s="0" t="s">
        <v>131</v>
      </c>
      <c r="AM431" s="0" t="n">
        <v>301</v>
      </c>
      <c r="AN431" s="0" t="n">
        <v>318</v>
      </c>
      <c r="AO431" s="0" t="s">
        <v>473</v>
      </c>
      <c r="AP431" s="0" t="n">
        <v>338</v>
      </c>
      <c r="AQ431" s="0" t="n">
        <v>345</v>
      </c>
      <c r="AR431" s="0" t="s">
        <v>131</v>
      </c>
      <c r="AS431" s="0" t="n">
        <v>97</v>
      </c>
      <c r="AT431" s="0" t="n">
        <v>101</v>
      </c>
      <c r="AU431" s="0" t="s">
        <v>438</v>
      </c>
      <c r="AV431" s="0" t="n">
        <v>301</v>
      </c>
      <c r="AW431" s="0" t="n">
        <v>318</v>
      </c>
      <c r="AX431" s="0" t="s">
        <v>473</v>
      </c>
      <c r="AY431" s="0" t="n">
        <v>338</v>
      </c>
      <c r="AZ431" s="0" t="n">
        <v>345</v>
      </c>
      <c r="BA431" s="0" t="s">
        <v>131</v>
      </c>
      <c r="BB431" s="0" t="n">
        <v>97</v>
      </c>
      <c r="BC431" s="0" t="n">
        <v>101</v>
      </c>
      <c r="BD431" s="0" t="s">
        <v>438</v>
      </c>
      <c r="BE431" s="2" t="n">
        <v>43514</v>
      </c>
    </row>
    <row r="432" customFormat="false" ht="14.25" hidden="false" customHeight="false" outlineLevel="0" collapsed="false">
      <c r="A432" s="0" t="n">
        <v>431</v>
      </c>
      <c r="B432" s="1" t="s">
        <v>1096</v>
      </c>
      <c r="C432" s="0" t="n">
        <v>471</v>
      </c>
      <c r="D432" s="0" t="n">
        <v>484</v>
      </c>
      <c r="E432" s="0" t="s">
        <v>149</v>
      </c>
      <c r="F432" s="0" t="n">
        <v>476</v>
      </c>
      <c r="G432" s="0" t="n">
        <v>475</v>
      </c>
      <c r="H432" s="0" t="s">
        <v>1012</v>
      </c>
      <c r="I432" s="0" t="n">
        <v>357</v>
      </c>
      <c r="J432" s="0" t="n">
        <v>368</v>
      </c>
      <c r="K432" s="0" t="s">
        <v>756</v>
      </c>
      <c r="L432" s="0" t="n">
        <v>52</v>
      </c>
      <c r="M432" s="0" t="n">
        <v>52</v>
      </c>
      <c r="N432" s="0" t="s">
        <v>110</v>
      </c>
      <c r="AD432" s="0" t="n">
        <v>572</v>
      </c>
      <c r="AE432" s="0" t="n">
        <v>652</v>
      </c>
      <c r="AF432" s="0" t="s">
        <v>386</v>
      </c>
      <c r="AM432" s="0" t="n">
        <v>313</v>
      </c>
      <c r="AN432" s="0" t="n">
        <v>337</v>
      </c>
      <c r="AO432" s="0" t="s">
        <v>207</v>
      </c>
      <c r="AP432" s="0" t="n">
        <v>303</v>
      </c>
      <c r="AQ432" s="0" t="n">
        <v>353</v>
      </c>
      <c r="AR432" s="0" t="s">
        <v>272</v>
      </c>
      <c r="AS432" s="0" t="n">
        <v>110</v>
      </c>
      <c r="AT432" s="0" t="n">
        <v>123</v>
      </c>
      <c r="AU432" s="0" t="s">
        <v>396</v>
      </c>
      <c r="AV432" s="0" t="n">
        <v>313</v>
      </c>
      <c r="AW432" s="0" t="n">
        <v>337</v>
      </c>
      <c r="AX432" s="0" t="s">
        <v>207</v>
      </c>
      <c r="AY432" s="0" t="n">
        <v>303</v>
      </c>
      <c r="AZ432" s="0" t="n">
        <v>353</v>
      </c>
      <c r="BA432" s="0" t="s">
        <v>272</v>
      </c>
      <c r="BB432" s="0" t="n">
        <v>110</v>
      </c>
      <c r="BC432" s="0" t="n">
        <v>123</v>
      </c>
      <c r="BD432" s="0" t="s">
        <v>396</v>
      </c>
      <c r="BE432" s="2" t="n">
        <v>43515</v>
      </c>
    </row>
    <row r="433" customFormat="false" ht="14.25" hidden="false" customHeight="false" outlineLevel="0" collapsed="false">
      <c r="A433" s="0" t="n">
        <v>432</v>
      </c>
      <c r="B433" s="1" t="s">
        <v>1097</v>
      </c>
      <c r="C433" s="0" t="n">
        <v>382</v>
      </c>
      <c r="D433" s="0" t="n">
        <v>484</v>
      </c>
      <c r="E433" s="0" t="s">
        <v>685</v>
      </c>
      <c r="F433" s="0" t="n">
        <v>437</v>
      </c>
      <c r="G433" s="0" t="n">
        <v>475</v>
      </c>
      <c r="H433" s="0" t="s">
        <v>168</v>
      </c>
      <c r="I433" s="0" t="n">
        <v>366</v>
      </c>
      <c r="J433" s="0" t="n">
        <v>368</v>
      </c>
      <c r="K433" s="0" t="s">
        <v>516</v>
      </c>
      <c r="L433" s="0" t="n">
        <v>45</v>
      </c>
      <c r="M433" s="0" t="n">
        <v>52</v>
      </c>
      <c r="N433" s="0" t="s">
        <v>418</v>
      </c>
      <c r="AD433" s="0" t="n">
        <v>538</v>
      </c>
      <c r="AE433" s="0" t="n">
        <v>674</v>
      </c>
      <c r="AF433" s="0" t="s">
        <v>458</v>
      </c>
      <c r="AM433" s="0" t="n">
        <v>261</v>
      </c>
      <c r="AN433" s="0" t="n">
        <v>355</v>
      </c>
      <c r="AO433" s="0" t="s">
        <v>1098</v>
      </c>
      <c r="AP433" s="0" t="n">
        <v>308</v>
      </c>
      <c r="AQ433" s="0" t="n">
        <v>335</v>
      </c>
      <c r="AR433" s="0" t="s">
        <v>398</v>
      </c>
      <c r="AS433" s="0" t="n">
        <v>106</v>
      </c>
      <c r="AT433" s="0" t="n">
        <v>129</v>
      </c>
      <c r="AU433" s="0" t="s">
        <v>137</v>
      </c>
      <c r="AV433" s="0" t="n">
        <v>261</v>
      </c>
      <c r="AW433" s="0" t="n">
        <v>355</v>
      </c>
      <c r="AX433" s="0" t="s">
        <v>1098</v>
      </c>
      <c r="AY433" s="0" t="n">
        <v>308</v>
      </c>
      <c r="AZ433" s="0" t="n">
        <v>335</v>
      </c>
      <c r="BA433" s="0" t="s">
        <v>398</v>
      </c>
      <c r="BB433" s="0" t="n">
        <v>106</v>
      </c>
      <c r="BC433" s="0" t="n">
        <v>129</v>
      </c>
      <c r="BD433" s="0" t="s">
        <v>137</v>
      </c>
      <c r="BE433" s="2" t="n">
        <v>43516</v>
      </c>
    </row>
    <row r="434" customFormat="false" ht="14.25" hidden="false" customHeight="false" outlineLevel="0" collapsed="false">
      <c r="A434" s="0" t="n">
        <v>433</v>
      </c>
      <c r="B434" s="1" t="s">
        <v>1099</v>
      </c>
      <c r="C434" s="0" t="n">
        <v>473</v>
      </c>
      <c r="D434" s="0" t="n">
        <v>484</v>
      </c>
      <c r="E434" s="0" t="s">
        <v>138</v>
      </c>
      <c r="F434" s="0" t="n">
        <v>467</v>
      </c>
      <c r="G434" s="0" t="n">
        <v>475</v>
      </c>
      <c r="H434" s="0" t="s">
        <v>179</v>
      </c>
      <c r="I434" s="0" t="n">
        <v>361</v>
      </c>
      <c r="J434" s="0" t="n">
        <v>368</v>
      </c>
      <c r="K434" s="0" t="s">
        <v>457</v>
      </c>
      <c r="L434" s="0" t="n">
        <v>53</v>
      </c>
      <c r="M434" s="0" t="n">
        <v>53</v>
      </c>
      <c r="N434" s="0" t="s">
        <v>110</v>
      </c>
      <c r="AD434" s="0" t="n">
        <v>672</v>
      </c>
      <c r="AE434" s="0" t="n">
        <v>674</v>
      </c>
      <c r="AF434" s="0" t="s">
        <v>723</v>
      </c>
      <c r="AM434" s="0" t="n">
        <v>360</v>
      </c>
      <c r="AN434" s="0" t="n">
        <v>365</v>
      </c>
      <c r="AO434" s="0" t="s">
        <v>790</v>
      </c>
      <c r="AP434" s="0" t="n">
        <v>352</v>
      </c>
      <c r="AQ434" s="0" t="n">
        <v>356</v>
      </c>
      <c r="AR434" s="0" t="s">
        <v>143</v>
      </c>
      <c r="AS434" s="0" t="n">
        <v>100</v>
      </c>
      <c r="AT434" s="0" t="n">
        <v>101</v>
      </c>
      <c r="AU434" s="0" t="s">
        <v>870</v>
      </c>
      <c r="AV434" s="0" t="n">
        <v>360</v>
      </c>
      <c r="AW434" s="0" t="n">
        <v>365</v>
      </c>
      <c r="AX434" s="0" t="s">
        <v>790</v>
      </c>
      <c r="AY434" s="0" t="n">
        <v>352</v>
      </c>
      <c r="AZ434" s="0" t="n">
        <v>356</v>
      </c>
      <c r="BA434" s="0" t="s">
        <v>143</v>
      </c>
      <c r="BB434" s="0" t="n">
        <v>100</v>
      </c>
      <c r="BC434" s="0" t="n">
        <v>101</v>
      </c>
      <c r="BD434" s="0" t="s">
        <v>870</v>
      </c>
      <c r="BE434" s="2" t="n">
        <v>43517</v>
      </c>
    </row>
    <row r="435" customFormat="false" ht="14.25" hidden="false" customHeight="false" outlineLevel="0" collapsed="false">
      <c r="A435" s="0" t="n">
        <v>434</v>
      </c>
      <c r="B435" s="1" t="s">
        <v>1100</v>
      </c>
      <c r="C435" s="0" t="n">
        <v>452</v>
      </c>
      <c r="D435" s="0" t="n">
        <v>484</v>
      </c>
      <c r="E435" s="0" t="s">
        <v>659</v>
      </c>
      <c r="F435" s="0" t="n">
        <v>459</v>
      </c>
      <c r="G435" s="0" t="n">
        <v>475</v>
      </c>
      <c r="H435" s="0" t="s">
        <v>119</v>
      </c>
      <c r="I435" s="0" t="n">
        <v>414</v>
      </c>
      <c r="J435" s="0" t="n">
        <v>420</v>
      </c>
      <c r="K435" s="0" t="s">
        <v>790</v>
      </c>
      <c r="L435" s="0" t="n">
        <v>52</v>
      </c>
      <c r="M435" s="0" t="n">
        <v>52</v>
      </c>
      <c r="N435" s="0" t="s">
        <v>110</v>
      </c>
      <c r="AD435" s="0" t="n">
        <v>673</v>
      </c>
      <c r="AE435" s="0" t="n">
        <v>674</v>
      </c>
      <c r="AF435" s="0" t="s">
        <v>834</v>
      </c>
      <c r="AM435" s="0" t="n">
        <v>331</v>
      </c>
      <c r="AN435" s="0" t="n">
        <v>361</v>
      </c>
      <c r="AO435" s="0" t="s">
        <v>363</v>
      </c>
      <c r="AP435" s="0" t="n">
        <v>359</v>
      </c>
      <c r="AQ435" s="0" t="n">
        <v>366</v>
      </c>
      <c r="AR435" s="0" t="s">
        <v>457</v>
      </c>
      <c r="AS435" s="0" t="n">
        <v>100</v>
      </c>
      <c r="AT435" s="0" t="n">
        <v>105</v>
      </c>
      <c r="AU435" s="0" t="s">
        <v>634</v>
      </c>
      <c r="AV435" s="0" t="n">
        <v>331</v>
      </c>
      <c r="AW435" s="0" t="n">
        <v>361</v>
      </c>
      <c r="AX435" s="0" t="s">
        <v>363</v>
      </c>
      <c r="AY435" s="0" t="n">
        <v>359</v>
      </c>
      <c r="AZ435" s="0" t="n">
        <v>366</v>
      </c>
      <c r="BA435" s="0" t="s">
        <v>457</v>
      </c>
      <c r="BB435" s="0" t="n">
        <v>100</v>
      </c>
      <c r="BC435" s="0" t="n">
        <v>105</v>
      </c>
      <c r="BD435" s="0" t="s">
        <v>634</v>
      </c>
      <c r="BE435" s="2" t="n">
        <v>43518</v>
      </c>
    </row>
    <row r="436" customFormat="false" ht="14.25" hidden="false" customHeight="false" outlineLevel="0" collapsed="false">
      <c r="A436" s="0" t="n">
        <v>435</v>
      </c>
      <c r="B436" s="1" t="s">
        <v>1101</v>
      </c>
      <c r="C436" s="0" t="n">
        <v>327</v>
      </c>
      <c r="D436" s="0" t="n">
        <v>355</v>
      </c>
      <c r="E436" s="0" t="s">
        <v>598</v>
      </c>
      <c r="F436" s="0" t="n">
        <v>459</v>
      </c>
      <c r="G436" s="0" t="n">
        <v>475</v>
      </c>
      <c r="H436" s="0" t="s">
        <v>119</v>
      </c>
      <c r="BE436" s="2" t="n">
        <v>43519</v>
      </c>
    </row>
    <row r="437" customFormat="false" ht="14.25" hidden="false" customHeight="false" outlineLevel="0" collapsed="false">
      <c r="A437" s="0" t="n">
        <v>436</v>
      </c>
      <c r="B437" s="1" t="s">
        <v>1102</v>
      </c>
      <c r="C437" s="0" t="n">
        <v>461</v>
      </c>
      <c r="D437" s="0" t="n">
        <v>484</v>
      </c>
      <c r="E437" s="0" t="s">
        <v>634</v>
      </c>
      <c r="F437" s="0" t="n">
        <v>463</v>
      </c>
      <c r="G437" s="0" t="n">
        <v>475</v>
      </c>
      <c r="H437" s="0" t="s">
        <v>370</v>
      </c>
      <c r="I437" s="0" t="n">
        <v>351</v>
      </c>
      <c r="J437" s="0" t="n">
        <v>368</v>
      </c>
      <c r="K437" s="0" t="s">
        <v>188</v>
      </c>
      <c r="L437" s="0" t="n">
        <v>53</v>
      </c>
      <c r="M437" s="0" t="n">
        <v>52</v>
      </c>
      <c r="N437" s="0" t="s">
        <v>986</v>
      </c>
      <c r="AD437" s="0" t="n">
        <v>670</v>
      </c>
      <c r="AE437" s="0" t="n">
        <v>674</v>
      </c>
      <c r="AF437" s="0" t="s">
        <v>824</v>
      </c>
      <c r="AM437" s="0" t="n">
        <v>325</v>
      </c>
      <c r="AN437" s="0" t="n">
        <v>360</v>
      </c>
      <c r="AO437" s="0" t="s">
        <v>373</v>
      </c>
      <c r="AP437" s="0" t="n">
        <v>329</v>
      </c>
      <c r="AQ437" s="0" t="n">
        <v>352</v>
      </c>
      <c r="AR437" s="0" t="s">
        <v>713</v>
      </c>
      <c r="AV437" s="0" t="n">
        <v>325</v>
      </c>
      <c r="AW437" s="0" t="n">
        <v>360</v>
      </c>
      <c r="AX437" s="0" t="s">
        <v>373</v>
      </c>
      <c r="AY437" s="0" t="n">
        <v>329</v>
      </c>
      <c r="AZ437" s="0" t="n">
        <v>352</v>
      </c>
      <c r="BA437" s="0" t="s">
        <v>713</v>
      </c>
      <c r="BE437" s="2" t="n">
        <v>43521</v>
      </c>
    </row>
    <row r="438" customFormat="false" ht="14.25" hidden="false" customHeight="false" outlineLevel="0" collapsed="false">
      <c r="A438" s="0" t="n">
        <v>437</v>
      </c>
      <c r="B438" s="1" t="s">
        <v>1103</v>
      </c>
      <c r="C438" s="0" t="n">
        <v>464</v>
      </c>
      <c r="D438" s="0" t="n">
        <v>473</v>
      </c>
      <c r="E438" s="0" t="s">
        <v>457</v>
      </c>
      <c r="F438" s="0" t="n">
        <v>462</v>
      </c>
      <c r="G438" s="0" t="n">
        <v>465</v>
      </c>
      <c r="H438" s="0" t="s">
        <v>824</v>
      </c>
      <c r="I438" s="0" t="n">
        <v>354</v>
      </c>
      <c r="J438" s="0" t="n">
        <v>358</v>
      </c>
      <c r="K438" s="0" t="s">
        <v>143</v>
      </c>
      <c r="L438" s="0" t="n">
        <v>49</v>
      </c>
      <c r="M438" s="0" t="n">
        <v>52</v>
      </c>
      <c r="N438" s="0" t="s">
        <v>141</v>
      </c>
      <c r="AD438" s="0" t="n">
        <v>759</v>
      </c>
      <c r="AE438" s="0" t="n">
        <v>771</v>
      </c>
      <c r="AF438" s="0" t="s">
        <v>706</v>
      </c>
      <c r="AM438" s="0" t="n">
        <v>344</v>
      </c>
      <c r="AN438" s="0" t="n">
        <v>361</v>
      </c>
      <c r="AO438" s="0" t="s">
        <v>753</v>
      </c>
      <c r="AP438" s="0" t="n">
        <v>316</v>
      </c>
      <c r="AQ438" s="0" t="n">
        <v>322</v>
      </c>
      <c r="AR438" s="0" t="s">
        <v>457</v>
      </c>
      <c r="AS438" s="0" t="n">
        <v>101</v>
      </c>
      <c r="AT438" s="0" t="n">
        <v>105</v>
      </c>
      <c r="AU438" s="0" t="s">
        <v>200</v>
      </c>
      <c r="AV438" s="0" t="n">
        <v>344</v>
      </c>
      <c r="AW438" s="0" t="n">
        <v>361</v>
      </c>
      <c r="AX438" s="0" t="s">
        <v>753</v>
      </c>
      <c r="AY438" s="0" t="n">
        <v>316</v>
      </c>
      <c r="AZ438" s="0" t="n">
        <v>322</v>
      </c>
      <c r="BA438" s="0" t="s">
        <v>457</v>
      </c>
      <c r="BB438" s="0" t="n">
        <v>101</v>
      </c>
      <c r="BC438" s="0" t="n">
        <v>105</v>
      </c>
      <c r="BD438" s="0" t="s">
        <v>200</v>
      </c>
      <c r="BE438" s="2" t="n">
        <v>43522</v>
      </c>
    </row>
    <row r="439" customFormat="false" ht="14.25" hidden="false" customHeight="false" outlineLevel="0" collapsed="false">
      <c r="A439" s="0" t="n">
        <v>438</v>
      </c>
      <c r="B439" s="1" t="s">
        <v>1104</v>
      </c>
      <c r="C439" s="0" t="n">
        <v>469</v>
      </c>
      <c r="D439" s="0" t="n">
        <v>484</v>
      </c>
      <c r="E439" s="0" t="s">
        <v>758</v>
      </c>
      <c r="F439" s="0" t="n">
        <v>467</v>
      </c>
      <c r="G439" s="0" t="n">
        <v>476</v>
      </c>
      <c r="H439" s="0" t="s">
        <v>457</v>
      </c>
      <c r="I439" s="0" t="n">
        <v>368</v>
      </c>
      <c r="J439" s="0" t="n">
        <v>368</v>
      </c>
      <c r="K439" s="0" t="s">
        <v>110</v>
      </c>
      <c r="L439" s="0" t="n">
        <v>52</v>
      </c>
      <c r="M439" s="0" t="n">
        <v>52</v>
      </c>
      <c r="N439" s="0" t="s">
        <v>110</v>
      </c>
      <c r="AD439" s="0" t="n">
        <v>594</v>
      </c>
      <c r="AE439" s="0" t="n">
        <v>674</v>
      </c>
      <c r="AF439" s="0" t="s">
        <v>429</v>
      </c>
      <c r="AM439" s="0" t="n">
        <v>363</v>
      </c>
      <c r="AN439" s="0" t="n">
        <v>363</v>
      </c>
      <c r="AO439" s="0" t="s">
        <v>110</v>
      </c>
      <c r="AP439" s="0" t="n">
        <v>348</v>
      </c>
      <c r="AQ439" s="0" t="n">
        <v>355</v>
      </c>
      <c r="AR439" s="0" t="s">
        <v>131</v>
      </c>
      <c r="AS439" s="0" t="n">
        <v>150</v>
      </c>
      <c r="AT439" s="0" t="n">
        <v>152</v>
      </c>
      <c r="AU439" s="0" t="s">
        <v>789</v>
      </c>
      <c r="AV439" s="0" t="n">
        <v>363</v>
      </c>
      <c r="AW439" s="0" t="n">
        <v>363</v>
      </c>
      <c r="AX439" s="0" t="s">
        <v>110</v>
      </c>
      <c r="AY439" s="0" t="n">
        <v>348</v>
      </c>
      <c r="AZ439" s="0" t="n">
        <v>355</v>
      </c>
      <c r="BA439" s="0" t="s">
        <v>131</v>
      </c>
      <c r="BB439" s="0" t="n">
        <v>150</v>
      </c>
      <c r="BC439" s="0" t="n">
        <v>152</v>
      </c>
      <c r="BD439" s="0" t="s">
        <v>789</v>
      </c>
      <c r="BE439" s="2" t="n">
        <v>43523</v>
      </c>
    </row>
    <row r="440" customFormat="false" ht="14.25" hidden="false" customHeight="false" outlineLevel="0" collapsed="false">
      <c r="A440" s="0" t="n">
        <v>439</v>
      </c>
      <c r="B440" s="1" t="s">
        <v>1105</v>
      </c>
      <c r="C440" s="0" t="n">
        <v>471</v>
      </c>
      <c r="D440" s="0" t="n">
        <v>484</v>
      </c>
      <c r="E440" s="0" t="s">
        <v>149</v>
      </c>
      <c r="F440" s="0" t="n">
        <v>470</v>
      </c>
      <c r="G440" s="0" t="n">
        <v>475</v>
      </c>
      <c r="H440" s="0" t="s">
        <v>143</v>
      </c>
      <c r="I440" s="0" t="n">
        <v>368</v>
      </c>
      <c r="J440" s="0" t="n">
        <v>369</v>
      </c>
      <c r="K440" s="0" t="s">
        <v>723</v>
      </c>
      <c r="L440" s="0" t="n">
        <v>53</v>
      </c>
      <c r="M440" s="0" t="n">
        <v>53</v>
      </c>
      <c r="N440" s="0" t="s">
        <v>110</v>
      </c>
      <c r="AD440" s="0" t="n">
        <v>779</v>
      </c>
      <c r="AE440" s="0" t="n">
        <v>779</v>
      </c>
      <c r="AF440" s="0" t="s">
        <v>110</v>
      </c>
      <c r="AM440" s="0" t="n">
        <v>342</v>
      </c>
      <c r="AN440" s="0" t="n">
        <v>354</v>
      </c>
      <c r="AO440" s="0" t="s">
        <v>119</v>
      </c>
      <c r="AP440" s="0" t="n">
        <v>341</v>
      </c>
      <c r="AQ440" s="0" t="n">
        <v>341</v>
      </c>
      <c r="AR440" s="0" t="s">
        <v>110</v>
      </c>
      <c r="AS440" s="0" t="n">
        <v>100</v>
      </c>
      <c r="AT440" s="0" t="n">
        <v>102</v>
      </c>
      <c r="AU440" s="0" t="s">
        <v>131</v>
      </c>
      <c r="AV440" s="0" t="n">
        <v>342</v>
      </c>
      <c r="AW440" s="0" t="n">
        <v>354</v>
      </c>
      <c r="AX440" s="0" t="s">
        <v>119</v>
      </c>
      <c r="AY440" s="0" t="n">
        <v>341</v>
      </c>
      <c r="AZ440" s="0" t="n">
        <v>341</v>
      </c>
      <c r="BA440" s="0" t="s">
        <v>110</v>
      </c>
      <c r="BB440" s="0" t="n">
        <v>100</v>
      </c>
      <c r="BC440" s="0" t="n">
        <v>102</v>
      </c>
      <c r="BD440" s="0" t="s">
        <v>131</v>
      </c>
      <c r="BE440" s="2" t="n">
        <v>43524</v>
      </c>
    </row>
    <row r="441" customFormat="false" ht="14.25" hidden="false" customHeight="false" outlineLevel="0" collapsed="false">
      <c r="A441" s="0" t="n">
        <v>440</v>
      </c>
      <c r="B441" s="1" t="s">
        <v>1106</v>
      </c>
      <c r="C441" s="0" t="n">
        <v>462</v>
      </c>
      <c r="D441" s="0" t="n">
        <v>484</v>
      </c>
      <c r="E441" s="0" t="s">
        <v>127</v>
      </c>
      <c r="F441" s="0" t="n">
        <v>463</v>
      </c>
      <c r="G441" s="0" t="n">
        <v>475</v>
      </c>
      <c r="H441" s="0" t="s">
        <v>370</v>
      </c>
      <c r="I441" s="0" t="n">
        <v>416</v>
      </c>
      <c r="J441" s="0" t="n">
        <v>420</v>
      </c>
      <c r="K441" s="0" t="s">
        <v>870</v>
      </c>
      <c r="L441" s="0" t="n">
        <v>52</v>
      </c>
      <c r="M441" s="0" t="n">
        <v>52</v>
      </c>
      <c r="N441" s="0" t="s">
        <v>110</v>
      </c>
      <c r="AD441" s="0" t="n">
        <v>672</v>
      </c>
      <c r="AE441" s="0" t="n">
        <v>674</v>
      </c>
      <c r="AF441" s="0" t="s">
        <v>723</v>
      </c>
      <c r="AM441" s="0" t="n">
        <v>364</v>
      </c>
      <c r="AN441" s="0" t="n">
        <v>365</v>
      </c>
      <c r="AO441" s="0" t="s">
        <v>723</v>
      </c>
      <c r="AP441" s="0" t="n">
        <v>360</v>
      </c>
      <c r="AQ441" s="0" t="n">
        <v>360</v>
      </c>
      <c r="AR441" s="0" t="s">
        <v>110</v>
      </c>
      <c r="AS441" s="0" t="n">
        <v>130</v>
      </c>
      <c r="AT441" s="0" t="n">
        <v>131</v>
      </c>
      <c r="AU441" s="0" t="s">
        <v>863</v>
      </c>
      <c r="AV441" s="0" t="n">
        <v>364</v>
      </c>
      <c r="AW441" s="0" t="n">
        <v>365</v>
      </c>
      <c r="AX441" s="0" t="s">
        <v>723</v>
      </c>
      <c r="AY441" s="0" t="n">
        <v>360</v>
      </c>
      <c r="AZ441" s="0" t="n">
        <v>360</v>
      </c>
      <c r="BA441" s="0" t="s">
        <v>110</v>
      </c>
      <c r="BB441" s="0" t="n">
        <v>130</v>
      </c>
      <c r="BC441" s="0" t="n">
        <v>131</v>
      </c>
      <c r="BD441" s="0" t="s">
        <v>863</v>
      </c>
      <c r="BE441" s="2" t="n">
        <v>43525</v>
      </c>
    </row>
    <row r="442" customFormat="false" ht="14.25" hidden="false" customHeight="false" outlineLevel="0" collapsed="false">
      <c r="A442" s="0" t="n">
        <v>441</v>
      </c>
      <c r="B442" s="1" t="s">
        <v>1107</v>
      </c>
      <c r="I442" s="0" t="n">
        <v>339</v>
      </c>
      <c r="J442" s="0" t="n">
        <v>368</v>
      </c>
      <c r="K442" s="0" t="s">
        <v>598</v>
      </c>
      <c r="BE442" s="2" t="n">
        <v>43529</v>
      </c>
    </row>
    <row r="443" customFormat="false" ht="14.25" hidden="false" customHeight="false" outlineLevel="0" collapsed="false">
      <c r="A443" s="0" t="n">
        <v>442</v>
      </c>
      <c r="B443" s="1" t="s">
        <v>1108</v>
      </c>
      <c r="C443" s="0" t="n">
        <v>453</v>
      </c>
      <c r="D443" s="0" t="n">
        <v>484</v>
      </c>
      <c r="E443" s="0" t="s">
        <v>434</v>
      </c>
      <c r="F443" s="0" t="n">
        <v>464</v>
      </c>
      <c r="G443" s="0" t="n">
        <v>475</v>
      </c>
      <c r="H443" s="0" t="s">
        <v>138</v>
      </c>
      <c r="I443" s="0" t="n">
        <v>366</v>
      </c>
      <c r="J443" s="0" t="n">
        <v>368</v>
      </c>
      <c r="K443" s="0" t="s">
        <v>516</v>
      </c>
      <c r="L443" s="0" t="n">
        <v>53</v>
      </c>
      <c r="M443" s="0" t="n">
        <v>52</v>
      </c>
      <c r="N443" s="0" t="s">
        <v>986</v>
      </c>
      <c r="AD443" s="0" t="n">
        <v>644</v>
      </c>
      <c r="AE443" s="0" t="n">
        <v>674</v>
      </c>
      <c r="AF443" s="0" t="s">
        <v>127</v>
      </c>
      <c r="AM443" s="0" t="n">
        <v>363</v>
      </c>
      <c r="AN443" s="0" t="n">
        <v>367</v>
      </c>
      <c r="AO443" s="0" t="s">
        <v>143</v>
      </c>
      <c r="AP443" s="0" t="n">
        <v>347</v>
      </c>
      <c r="AQ443" s="0" t="n">
        <v>353</v>
      </c>
      <c r="AR443" s="0" t="s">
        <v>179</v>
      </c>
      <c r="AS443" s="0" t="n">
        <v>100</v>
      </c>
      <c r="AT443" s="0" t="n">
        <v>102</v>
      </c>
      <c r="AU443" s="0" t="s">
        <v>131</v>
      </c>
      <c r="AV443" s="0" t="n">
        <v>363</v>
      </c>
      <c r="AW443" s="0" t="n">
        <v>367</v>
      </c>
      <c r="AX443" s="0" t="s">
        <v>143</v>
      </c>
      <c r="AY443" s="0" t="n">
        <v>347</v>
      </c>
      <c r="AZ443" s="0" t="n">
        <v>353</v>
      </c>
      <c r="BA443" s="0" t="s">
        <v>179</v>
      </c>
      <c r="BB443" s="0" t="n">
        <v>100</v>
      </c>
      <c r="BC443" s="0" t="n">
        <v>102</v>
      </c>
      <c r="BD443" s="0" t="s">
        <v>131</v>
      </c>
      <c r="BE443" s="2" t="n">
        <v>43530</v>
      </c>
    </row>
    <row r="444" customFormat="false" ht="14.25" hidden="false" customHeight="false" outlineLevel="0" collapsed="false">
      <c r="A444" s="0" t="n">
        <v>443</v>
      </c>
      <c r="B444" s="1" t="s">
        <v>1109</v>
      </c>
      <c r="C444" s="0" t="n">
        <v>468</v>
      </c>
      <c r="D444" s="0" t="n">
        <v>484</v>
      </c>
      <c r="E444" s="0" t="s">
        <v>538</v>
      </c>
      <c r="F444" s="0" t="n">
        <v>469</v>
      </c>
      <c r="G444" s="0" t="n">
        <v>475</v>
      </c>
      <c r="H444" s="0" t="s">
        <v>789</v>
      </c>
      <c r="I444" s="0" t="n">
        <v>368</v>
      </c>
      <c r="J444" s="0" t="n">
        <v>368</v>
      </c>
      <c r="K444" s="0" t="s">
        <v>110</v>
      </c>
      <c r="L444" s="0" t="n">
        <v>52</v>
      </c>
      <c r="M444" s="0" t="n">
        <v>52</v>
      </c>
      <c r="N444" s="0" t="s">
        <v>110</v>
      </c>
      <c r="AD444" s="0" t="n">
        <v>675</v>
      </c>
      <c r="AE444" s="0" t="n">
        <v>676</v>
      </c>
      <c r="AF444" s="0" t="s">
        <v>834</v>
      </c>
      <c r="AM444" s="0" t="n">
        <v>370</v>
      </c>
      <c r="AN444" s="0" t="n">
        <v>371</v>
      </c>
      <c r="AO444" s="0" t="s">
        <v>723</v>
      </c>
      <c r="AP444" s="0" t="n">
        <v>365</v>
      </c>
      <c r="AQ444" s="0" t="n">
        <v>366</v>
      </c>
      <c r="AR444" s="0" t="s">
        <v>723</v>
      </c>
      <c r="AS444" s="0" t="n">
        <v>75</v>
      </c>
      <c r="AT444" s="0" t="n">
        <v>75</v>
      </c>
      <c r="AU444" s="0" t="s">
        <v>110</v>
      </c>
      <c r="AV444" s="0" t="n">
        <v>370</v>
      </c>
      <c r="AW444" s="0" t="n">
        <v>371</v>
      </c>
      <c r="AX444" s="0" t="s">
        <v>723</v>
      </c>
      <c r="AY444" s="0" t="n">
        <v>365</v>
      </c>
      <c r="AZ444" s="0" t="n">
        <v>366</v>
      </c>
      <c r="BA444" s="0" t="s">
        <v>723</v>
      </c>
      <c r="BB444" s="0" t="n">
        <v>75</v>
      </c>
      <c r="BC444" s="0" t="n">
        <v>75</v>
      </c>
      <c r="BD444" s="0" t="s">
        <v>110</v>
      </c>
      <c r="BE444" s="2" t="n">
        <v>43531</v>
      </c>
    </row>
    <row r="445" customFormat="false" ht="14.25" hidden="false" customHeight="false" outlineLevel="0" collapsed="false">
      <c r="A445" s="0" t="n">
        <v>444</v>
      </c>
      <c r="B445" s="1" t="s">
        <v>1110</v>
      </c>
      <c r="C445" s="0" t="n">
        <v>472</v>
      </c>
      <c r="D445" s="0" t="n">
        <v>484</v>
      </c>
      <c r="E445" s="0" t="s">
        <v>370</v>
      </c>
      <c r="F445" s="0" t="n">
        <v>451</v>
      </c>
      <c r="G445" s="0" t="n">
        <v>475</v>
      </c>
      <c r="H445" s="0" t="s">
        <v>142</v>
      </c>
      <c r="I445" s="0" t="n">
        <v>417</v>
      </c>
      <c r="J445" s="0" t="n">
        <v>420</v>
      </c>
      <c r="K445" s="0" t="s">
        <v>596</v>
      </c>
      <c r="L445" s="0" t="n">
        <v>52</v>
      </c>
      <c r="M445" s="0" t="n">
        <v>52</v>
      </c>
      <c r="N445" s="0" t="s">
        <v>110</v>
      </c>
      <c r="AD445" s="0" t="n">
        <v>681</v>
      </c>
      <c r="AE445" s="0" t="n">
        <v>681</v>
      </c>
      <c r="AF445" s="0" t="s">
        <v>110</v>
      </c>
      <c r="AM445" s="0" t="n">
        <v>372</v>
      </c>
      <c r="AN445" s="0" t="n">
        <v>373</v>
      </c>
      <c r="AO445" s="0" t="s">
        <v>723</v>
      </c>
      <c r="AP445" s="0" t="n">
        <v>329</v>
      </c>
      <c r="AQ445" s="0" t="n">
        <v>365</v>
      </c>
      <c r="AR445" s="0" t="s">
        <v>530</v>
      </c>
      <c r="AS445" s="0" t="n">
        <v>80</v>
      </c>
      <c r="AT445" s="0" t="n">
        <v>84</v>
      </c>
      <c r="AU445" s="0" t="s">
        <v>634</v>
      </c>
      <c r="AV445" s="0" t="n">
        <v>372</v>
      </c>
      <c r="AW445" s="0" t="n">
        <v>373</v>
      </c>
      <c r="AX445" s="0" t="s">
        <v>723</v>
      </c>
      <c r="AY445" s="0" t="n">
        <v>329</v>
      </c>
      <c r="AZ445" s="0" t="n">
        <v>365</v>
      </c>
      <c r="BA445" s="0" t="s">
        <v>530</v>
      </c>
      <c r="BB445" s="0" t="n">
        <v>80</v>
      </c>
      <c r="BC445" s="0" t="n">
        <v>84</v>
      </c>
      <c r="BD445" s="0" t="s">
        <v>634</v>
      </c>
      <c r="BE445" s="2" t="n">
        <v>43532</v>
      </c>
    </row>
    <row r="446" customFormat="false" ht="14.25" hidden="false" customHeight="false" outlineLevel="0" collapsed="false">
      <c r="A446" s="0" t="n">
        <v>445</v>
      </c>
      <c r="B446" s="1" t="s">
        <v>1111</v>
      </c>
      <c r="I446" s="0" t="n">
        <v>303</v>
      </c>
      <c r="J446" s="0" t="n">
        <v>313</v>
      </c>
      <c r="K446" s="0" t="s">
        <v>112</v>
      </c>
      <c r="BE446" s="2" t="n">
        <v>43534</v>
      </c>
    </row>
    <row r="447" customFormat="false" ht="14.25" hidden="false" customHeight="false" outlineLevel="0" collapsed="false">
      <c r="A447" s="0" t="n">
        <v>446</v>
      </c>
      <c r="B447" s="1" t="s">
        <v>1112</v>
      </c>
      <c r="C447" s="0" t="n">
        <v>459</v>
      </c>
      <c r="D447" s="0" t="n">
        <v>484</v>
      </c>
      <c r="E447" s="0" t="s">
        <v>191</v>
      </c>
      <c r="F447" s="0" t="n">
        <v>466</v>
      </c>
      <c r="G447" s="0" t="n">
        <v>475</v>
      </c>
      <c r="H447" s="0" t="s">
        <v>457</v>
      </c>
      <c r="I447" s="0" t="n">
        <v>366</v>
      </c>
      <c r="J447" s="0" t="n">
        <v>368</v>
      </c>
      <c r="K447" s="0" t="s">
        <v>516</v>
      </c>
      <c r="L447" s="0" t="n">
        <v>53</v>
      </c>
      <c r="M447" s="0" t="n">
        <v>53</v>
      </c>
      <c r="N447" s="0" t="s">
        <v>110</v>
      </c>
      <c r="AD447" s="0" t="n">
        <v>665</v>
      </c>
      <c r="AE447" s="0" t="n">
        <v>674</v>
      </c>
      <c r="AF447" s="0" t="s">
        <v>789</v>
      </c>
      <c r="AM447" s="0" t="n">
        <v>347</v>
      </c>
      <c r="AN447" s="0" t="n">
        <v>356</v>
      </c>
      <c r="AO447" s="0" t="s">
        <v>370</v>
      </c>
      <c r="AP447" s="0" t="n">
        <v>352</v>
      </c>
      <c r="AQ447" s="0" t="n">
        <v>358</v>
      </c>
      <c r="AR447" s="0" t="s">
        <v>179</v>
      </c>
      <c r="AS447" s="0" t="n">
        <v>105</v>
      </c>
      <c r="AT447" s="0" t="n">
        <v>106</v>
      </c>
      <c r="AU447" s="0" t="s">
        <v>798</v>
      </c>
      <c r="AV447" s="0" t="n">
        <v>347</v>
      </c>
      <c r="AW447" s="0" t="n">
        <v>356</v>
      </c>
      <c r="AX447" s="0" t="s">
        <v>370</v>
      </c>
      <c r="AY447" s="0" t="n">
        <v>352</v>
      </c>
      <c r="AZ447" s="0" t="n">
        <v>358</v>
      </c>
      <c r="BA447" s="0" t="s">
        <v>179</v>
      </c>
      <c r="BB447" s="0" t="n">
        <v>105</v>
      </c>
      <c r="BC447" s="0" t="n">
        <v>106</v>
      </c>
      <c r="BD447" s="0" t="s">
        <v>798</v>
      </c>
      <c r="BE447" s="2" t="n">
        <v>43535</v>
      </c>
    </row>
    <row r="448" customFormat="false" ht="14.25" hidden="false" customHeight="false" outlineLevel="0" collapsed="false">
      <c r="A448" s="0" t="n">
        <v>447</v>
      </c>
      <c r="B448" s="1" t="s">
        <v>1113</v>
      </c>
      <c r="C448" s="0" t="n">
        <v>462</v>
      </c>
      <c r="D448" s="0" t="n">
        <v>473</v>
      </c>
      <c r="E448" s="0" t="s">
        <v>138</v>
      </c>
      <c r="F448" s="0" t="n">
        <v>426</v>
      </c>
      <c r="G448" s="0" t="n">
        <v>465</v>
      </c>
      <c r="H448" s="0" t="s">
        <v>292</v>
      </c>
      <c r="I448" s="0" t="n">
        <v>201</v>
      </c>
      <c r="J448" s="0" t="n">
        <v>358</v>
      </c>
      <c r="K448" s="0" t="s">
        <v>1114</v>
      </c>
      <c r="L448" s="0" t="n">
        <v>51</v>
      </c>
      <c r="M448" s="0" t="n">
        <v>52</v>
      </c>
      <c r="N448" s="0" t="s">
        <v>457</v>
      </c>
      <c r="AD448" s="0" t="n">
        <v>638</v>
      </c>
      <c r="AE448" s="0" t="n">
        <v>674</v>
      </c>
      <c r="AF448" s="0" t="s">
        <v>473</v>
      </c>
      <c r="AM448" s="0" t="n">
        <v>368</v>
      </c>
      <c r="AN448" s="0" t="n">
        <v>377</v>
      </c>
      <c r="AO448" s="0" t="s">
        <v>497</v>
      </c>
      <c r="AP448" s="0" t="n">
        <v>357</v>
      </c>
      <c r="AQ448" s="0" t="n">
        <v>360</v>
      </c>
      <c r="AR448" s="0" t="s">
        <v>863</v>
      </c>
      <c r="AS448" s="0" t="n">
        <v>65</v>
      </c>
      <c r="AT448" s="0" t="n">
        <v>56</v>
      </c>
      <c r="AU448" s="0" t="s">
        <v>1115</v>
      </c>
      <c r="AV448" s="0" t="n">
        <v>368</v>
      </c>
      <c r="AW448" s="0" t="n">
        <v>377</v>
      </c>
      <c r="AX448" s="0" t="s">
        <v>497</v>
      </c>
      <c r="AY448" s="0" t="n">
        <v>357</v>
      </c>
      <c r="AZ448" s="0" t="n">
        <v>360</v>
      </c>
      <c r="BA448" s="0" t="s">
        <v>863</v>
      </c>
      <c r="BB448" s="0" t="n">
        <v>65</v>
      </c>
      <c r="BC448" s="0" t="n">
        <v>56</v>
      </c>
      <c r="BD448" s="0" t="s">
        <v>1115</v>
      </c>
      <c r="BE448" s="2" t="n">
        <v>43536</v>
      </c>
    </row>
    <row r="449" customFormat="false" ht="14.25" hidden="false" customHeight="false" outlineLevel="0" collapsed="false">
      <c r="A449" s="0" t="n">
        <v>448</v>
      </c>
      <c r="B449" s="1" t="s">
        <v>1116</v>
      </c>
      <c r="C449" s="0" t="n">
        <v>465</v>
      </c>
      <c r="D449" s="0" t="n">
        <v>484</v>
      </c>
      <c r="E449" s="0" t="s">
        <v>594</v>
      </c>
      <c r="F449" s="0" t="n">
        <v>463</v>
      </c>
      <c r="G449" s="0" t="n">
        <v>475</v>
      </c>
      <c r="H449" s="0" t="s">
        <v>370</v>
      </c>
      <c r="I449" s="0" t="n">
        <v>363</v>
      </c>
      <c r="J449" s="0" t="n">
        <v>368</v>
      </c>
      <c r="K449" s="0" t="s">
        <v>790</v>
      </c>
      <c r="L449" s="0" t="n">
        <v>51</v>
      </c>
      <c r="M449" s="0" t="n">
        <v>52</v>
      </c>
      <c r="N449" s="0" t="s">
        <v>457</v>
      </c>
      <c r="AD449" s="0" t="n">
        <v>646</v>
      </c>
      <c r="AE449" s="0" t="n">
        <v>652</v>
      </c>
      <c r="AF449" s="0" t="s">
        <v>798</v>
      </c>
      <c r="AM449" s="0" t="n">
        <v>356</v>
      </c>
      <c r="AN449" s="0" t="n">
        <v>356</v>
      </c>
      <c r="AO449" s="0" t="s">
        <v>110</v>
      </c>
      <c r="AP449" s="0" t="n">
        <v>342</v>
      </c>
      <c r="AQ449" s="0" t="n">
        <v>349</v>
      </c>
      <c r="AR449" s="0" t="s">
        <v>131</v>
      </c>
      <c r="AS449" s="0" t="n">
        <v>65</v>
      </c>
      <c r="AT449" s="0" t="n">
        <v>66</v>
      </c>
      <c r="AU449" s="0" t="s">
        <v>120</v>
      </c>
      <c r="AV449" s="0" t="n">
        <v>356</v>
      </c>
      <c r="AW449" s="0" t="n">
        <v>356</v>
      </c>
      <c r="AX449" s="0" t="s">
        <v>110</v>
      </c>
      <c r="AY449" s="0" t="n">
        <v>342</v>
      </c>
      <c r="AZ449" s="0" t="n">
        <v>349</v>
      </c>
      <c r="BA449" s="0" t="s">
        <v>131</v>
      </c>
      <c r="BB449" s="0" t="n">
        <v>65</v>
      </c>
      <c r="BC449" s="0" t="n">
        <v>66</v>
      </c>
      <c r="BD449" s="0" t="s">
        <v>120</v>
      </c>
      <c r="BE449" s="2" t="n">
        <v>43537</v>
      </c>
    </row>
    <row r="450" customFormat="false" ht="14.25" hidden="false" customHeight="false" outlineLevel="0" collapsed="false">
      <c r="A450" s="0" t="n">
        <v>449</v>
      </c>
      <c r="B450" s="1" t="s">
        <v>1117</v>
      </c>
      <c r="C450" s="0" t="n">
        <v>476</v>
      </c>
      <c r="D450" s="0" t="n">
        <v>484</v>
      </c>
      <c r="E450" s="0" t="s">
        <v>179</v>
      </c>
      <c r="F450" s="0" t="n">
        <v>471</v>
      </c>
      <c r="G450" s="0" t="n">
        <v>475</v>
      </c>
      <c r="H450" s="0" t="s">
        <v>863</v>
      </c>
      <c r="I450" s="0" t="n">
        <v>346</v>
      </c>
      <c r="J450" s="0" t="n">
        <v>368</v>
      </c>
      <c r="K450" s="0" t="s">
        <v>526</v>
      </c>
      <c r="L450" s="0" t="n">
        <v>49</v>
      </c>
      <c r="M450" s="0" t="n">
        <v>52</v>
      </c>
      <c r="N450" s="0" t="s">
        <v>141</v>
      </c>
      <c r="AD450" s="0" t="n">
        <v>637</v>
      </c>
      <c r="AE450" s="0" t="n">
        <v>645</v>
      </c>
      <c r="AF450" s="0" t="s">
        <v>153</v>
      </c>
      <c r="AM450" s="0" t="n">
        <v>348</v>
      </c>
      <c r="AN450" s="0" t="n">
        <v>348</v>
      </c>
      <c r="AO450" s="0" t="s">
        <v>110</v>
      </c>
      <c r="AP450" s="0" t="n">
        <v>313</v>
      </c>
      <c r="AQ450" s="0" t="n">
        <v>316</v>
      </c>
      <c r="AR450" s="0" t="s">
        <v>798</v>
      </c>
      <c r="AS450" s="0" t="n">
        <v>74</v>
      </c>
      <c r="AT450" s="0" t="n">
        <v>75</v>
      </c>
      <c r="AU450" s="0" t="s">
        <v>789</v>
      </c>
      <c r="AV450" s="0" t="n">
        <v>348</v>
      </c>
      <c r="AW450" s="0" t="n">
        <v>348</v>
      </c>
      <c r="AX450" s="0" t="s">
        <v>110</v>
      </c>
      <c r="AY450" s="0" t="n">
        <v>313</v>
      </c>
      <c r="AZ450" s="0" t="n">
        <v>316</v>
      </c>
      <c r="BA450" s="0" t="s">
        <v>798</v>
      </c>
      <c r="BB450" s="0" t="n">
        <v>74</v>
      </c>
      <c r="BC450" s="0" t="n">
        <v>75</v>
      </c>
      <c r="BD450" s="0" t="s">
        <v>789</v>
      </c>
      <c r="BE450" s="2" t="n">
        <v>43538</v>
      </c>
    </row>
    <row r="451" customFormat="false" ht="14.25" hidden="false" customHeight="false" outlineLevel="0" collapsed="false">
      <c r="A451" s="0" t="n">
        <v>450</v>
      </c>
      <c r="B451" s="1" t="s">
        <v>1118</v>
      </c>
      <c r="C451" s="0" t="n">
        <v>471</v>
      </c>
      <c r="D451" s="0" t="n">
        <v>484</v>
      </c>
      <c r="E451" s="0" t="s">
        <v>149</v>
      </c>
      <c r="F451" s="0" t="n">
        <v>472</v>
      </c>
      <c r="G451" s="0" t="n">
        <v>475</v>
      </c>
      <c r="H451" s="0" t="s">
        <v>824</v>
      </c>
      <c r="I451" s="0" t="n">
        <v>401</v>
      </c>
      <c r="J451" s="0" t="n">
        <v>420</v>
      </c>
      <c r="K451" s="0" t="s">
        <v>127</v>
      </c>
      <c r="AD451" s="0" t="n">
        <v>633</v>
      </c>
      <c r="AE451" s="0" t="n">
        <v>659</v>
      </c>
      <c r="AF451" s="0" t="s">
        <v>594</v>
      </c>
      <c r="AM451" s="0" t="n">
        <v>312</v>
      </c>
      <c r="AN451" s="0" t="n">
        <v>324</v>
      </c>
      <c r="AO451" s="0" t="s">
        <v>182</v>
      </c>
      <c r="AP451" s="0" t="n">
        <v>357</v>
      </c>
      <c r="AQ451" s="0" t="n">
        <v>364</v>
      </c>
      <c r="AR451" s="0" t="s">
        <v>457</v>
      </c>
      <c r="AS451" s="0" t="n">
        <v>75</v>
      </c>
      <c r="AT451" s="0" t="n">
        <v>77</v>
      </c>
      <c r="AU451" s="0" t="s">
        <v>139</v>
      </c>
      <c r="AV451" s="0" t="n">
        <v>312</v>
      </c>
      <c r="AW451" s="0" t="n">
        <v>324</v>
      </c>
      <c r="AX451" s="0" t="s">
        <v>182</v>
      </c>
      <c r="AY451" s="0" t="n">
        <v>357</v>
      </c>
      <c r="AZ451" s="0" t="n">
        <v>364</v>
      </c>
      <c r="BA451" s="0" t="s">
        <v>457</v>
      </c>
      <c r="BB451" s="0" t="n">
        <v>75</v>
      </c>
      <c r="BC451" s="0" t="n">
        <v>77</v>
      </c>
      <c r="BD451" s="0" t="s">
        <v>139</v>
      </c>
      <c r="BE451" s="2" t="n">
        <v>43539</v>
      </c>
    </row>
    <row r="452" customFormat="false" ht="14.25" hidden="false" customHeight="false" outlineLevel="0" collapsed="false">
      <c r="A452" s="0" t="n">
        <v>451</v>
      </c>
      <c r="B452" s="1" t="s">
        <v>1119</v>
      </c>
      <c r="I452" s="0" t="n">
        <v>386</v>
      </c>
      <c r="J452" s="0" t="n">
        <v>422</v>
      </c>
      <c r="K452" s="0" t="s">
        <v>204</v>
      </c>
      <c r="BE452" s="2" t="n">
        <v>43541</v>
      </c>
    </row>
    <row r="453" customFormat="false" ht="14.25" hidden="false" customHeight="false" outlineLevel="0" collapsed="false">
      <c r="A453" s="0" t="n">
        <v>452</v>
      </c>
      <c r="B453" s="1" t="s">
        <v>1120</v>
      </c>
      <c r="C453" s="0" t="n">
        <v>461</v>
      </c>
      <c r="D453" s="0" t="n">
        <v>484</v>
      </c>
      <c r="E453" s="0" t="s">
        <v>634</v>
      </c>
      <c r="F453" s="0" t="n">
        <v>467</v>
      </c>
      <c r="G453" s="0" t="n">
        <v>475</v>
      </c>
      <c r="H453" s="0" t="s">
        <v>179</v>
      </c>
      <c r="I453" s="0" t="n">
        <v>361</v>
      </c>
      <c r="J453" s="0" t="n">
        <v>368</v>
      </c>
      <c r="K453" s="0" t="s">
        <v>457</v>
      </c>
      <c r="L453" s="0" t="n">
        <v>52</v>
      </c>
      <c r="M453" s="0" t="n">
        <v>52</v>
      </c>
      <c r="N453" s="0" t="s">
        <v>110</v>
      </c>
      <c r="AD453" s="0" t="n">
        <v>661</v>
      </c>
      <c r="AE453" s="0" t="n">
        <v>674</v>
      </c>
      <c r="AF453" s="0" t="s">
        <v>457</v>
      </c>
      <c r="AM453" s="0" t="n">
        <v>365</v>
      </c>
      <c r="AN453" s="0" t="n">
        <v>366</v>
      </c>
      <c r="AO453" s="0" t="s">
        <v>723</v>
      </c>
      <c r="AP453" s="0" t="n">
        <v>362</v>
      </c>
      <c r="AQ453" s="0" t="n">
        <v>363</v>
      </c>
      <c r="AR453" s="0" t="s">
        <v>723</v>
      </c>
      <c r="AS453" s="0" t="n">
        <v>86</v>
      </c>
      <c r="AT453" s="0" t="n">
        <v>86</v>
      </c>
      <c r="AU453" s="0" t="s">
        <v>110</v>
      </c>
      <c r="AV453" s="0" t="n">
        <v>365</v>
      </c>
      <c r="AW453" s="0" t="n">
        <v>366</v>
      </c>
      <c r="AX453" s="0" t="s">
        <v>723</v>
      </c>
      <c r="AY453" s="0" t="n">
        <v>362</v>
      </c>
      <c r="AZ453" s="0" t="n">
        <v>363</v>
      </c>
      <c r="BA453" s="0" t="s">
        <v>723</v>
      </c>
      <c r="BB453" s="0" t="n">
        <v>86</v>
      </c>
      <c r="BC453" s="0" t="n">
        <v>86</v>
      </c>
      <c r="BD453" s="0" t="s">
        <v>110</v>
      </c>
      <c r="BE453" s="2" t="n">
        <v>43542</v>
      </c>
    </row>
    <row r="454" customFormat="false" ht="14.25" hidden="false" customHeight="false" outlineLevel="0" collapsed="false">
      <c r="A454" s="0" t="n">
        <v>453</v>
      </c>
      <c r="B454" s="1" t="s">
        <v>1121</v>
      </c>
      <c r="C454" s="0" t="n">
        <v>474</v>
      </c>
      <c r="D454" s="0" t="n">
        <v>484</v>
      </c>
      <c r="E454" s="0" t="s">
        <v>551</v>
      </c>
      <c r="F454" s="0" t="n">
        <v>460</v>
      </c>
      <c r="G454" s="0" t="n">
        <v>475</v>
      </c>
      <c r="H454" s="0" t="s">
        <v>112</v>
      </c>
      <c r="I454" s="0" t="n">
        <v>359</v>
      </c>
      <c r="J454" s="0" t="n">
        <v>368</v>
      </c>
      <c r="K454" s="0" t="s">
        <v>497</v>
      </c>
      <c r="L454" s="0" t="n">
        <v>52</v>
      </c>
      <c r="M454" s="0" t="n">
        <v>52</v>
      </c>
      <c r="N454" s="0" t="s">
        <v>110</v>
      </c>
      <c r="AD454" s="0" t="n">
        <v>651</v>
      </c>
      <c r="AE454" s="0" t="n">
        <v>674</v>
      </c>
      <c r="AF454" s="0" t="s">
        <v>119</v>
      </c>
      <c r="AM454" s="0" t="n">
        <v>361</v>
      </c>
      <c r="AN454" s="0" t="n">
        <v>361</v>
      </c>
      <c r="AO454" s="0" t="s">
        <v>110</v>
      </c>
      <c r="AP454" s="0" t="n">
        <v>353</v>
      </c>
      <c r="AQ454" s="0" t="n">
        <v>363</v>
      </c>
      <c r="AR454" s="0" t="s">
        <v>128</v>
      </c>
      <c r="AS454" s="0" t="n">
        <v>89</v>
      </c>
      <c r="AT454" s="0" t="n">
        <v>90</v>
      </c>
      <c r="AU454" s="0" t="s">
        <v>143</v>
      </c>
      <c r="AV454" s="0" t="n">
        <v>361</v>
      </c>
      <c r="AW454" s="0" t="n">
        <v>361</v>
      </c>
      <c r="AX454" s="0" t="s">
        <v>110</v>
      </c>
      <c r="AY454" s="0" t="n">
        <v>353</v>
      </c>
      <c r="AZ454" s="0" t="n">
        <v>363</v>
      </c>
      <c r="BA454" s="0" t="s">
        <v>128</v>
      </c>
      <c r="BB454" s="0" t="n">
        <v>89</v>
      </c>
      <c r="BC454" s="0" t="n">
        <v>90</v>
      </c>
      <c r="BD454" s="0" t="s">
        <v>143</v>
      </c>
      <c r="BE454" s="2" t="n">
        <v>43543</v>
      </c>
    </row>
    <row r="455" customFormat="false" ht="14.25" hidden="false" customHeight="false" outlineLevel="0" collapsed="false">
      <c r="A455" s="0" t="n">
        <v>454</v>
      </c>
      <c r="B455" s="1" t="s">
        <v>1122</v>
      </c>
      <c r="C455" s="0" t="n">
        <v>480</v>
      </c>
      <c r="D455" s="0" t="n">
        <v>484</v>
      </c>
      <c r="E455" s="0" t="s">
        <v>863</v>
      </c>
      <c r="F455" s="0" t="n">
        <v>469</v>
      </c>
      <c r="G455" s="0" t="n">
        <v>475</v>
      </c>
      <c r="H455" s="0" t="s">
        <v>789</v>
      </c>
      <c r="I455" s="0" t="n">
        <v>356</v>
      </c>
      <c r="J455" s="0" t="n">
        <v>368</v>
      </c>
      <c r="K455" s="0" t="s">
        <v>538</v>
      </c>
      <c r="L455" s="0" t="n">
        <v>52</v>
      </c>
      <c r="M455" s="0" t="n">
        <v>52</v>
      </c>
      <c r="N455" s="0" t="s">
        <v>110</v>
      </c>
      <c r="AD455" s="0" t="n">
        <v>671</v>
      </c>
      <c r="AE455" s="0" t="n">
        <v>674</v>
      </c>
      <c r="AF455" s="0" t="s">
        <v>899</v>
      </c>
      <c r="AM455" s="0" t="n">
        <v>357</v>
      </c>
      <c r="AN455" s="0" t="n">
        <v>357</v>
      </c>
      <c r="AO455" s="0" t="s">
        <v>110</v>
      </c>
      <c r="AP455" s="0" t="n">
        <v>332</v>
      </c>
      <c r="AQ455" s="0" t="n">
        <v>349</v>
      </c>
      <c r="AR455" s="0" t="s">
        <v>210</v>
      </c>
      <c r="AS455" s="0" t="n">
        <v>86</v>
      </c>
      <c r="AT455" s="0" t="n">
        <v>89</v>
      </c>
      <c r="AU455" s="0" t="s">
        <v>119</v>
      </c>
      <c r="AV455" s="0" t="n">
        <v>357</v>
      </c>
      <c r="AW455" s="0" t="n">
        <v>357</v>
      </c>
      <c r="AX455" s="0" t="s">
        <v>110</v>
      </c>
      <c r="AY455" s="0" t="n">
        <v>332</v>
      </c>
      <c r="AZ455" s="0" t="n">
        <v>349</v>
      </c>
      <c r="BA455" s="0" t="s">
        <v>210</v>
      </c>
      <c r="BB455" s="0" t="n">
        <v>86</v>
      </c>
      <c r="BC455" s="0" t="n">
        <v>89</v>
      </c>
      <c r="BD455" s="0" t="s">
        <v>119</v>
      </c>
      <c r="BE455" s="2" t="n">
        <v>43544</v>
      </c>
    </row>
    <row r="456" customFormat="false" ht="14.25" hidden="false" customHeight="false" outlineLevel="0" collapsed="false">
      <c r="A456" s="0" t="n">
        <v>455</v>
      </c>
      <c r="B456" s="1" t="s">
        <v>1123</v>
      </c>
      <c r="C456" s="0" t="n">
        <v>461</v>
      </c>
      <c r="D456" s="0" t="n">
        <v>484</v>
      </c>
      <c r="E456" s="0" t="s">
        <v>634</v>
      </c>
      <c r="F456" s="0" t="n">
        <v>471</v>
      </c>
      <c r="G456" s="0" t="n">
        <v>475</v>
      </c>
      <c r="H456" s="0" t="s">
        <v>863</v>
      </c>
      <c r="I456" s="0" t="n">
        <v>366</v>
      </c>
      <c r="J456" s="0" t="n">
        <v>368</v>
      </c>
      <c r="K456" s="0" t="s">
        <v>516</v>
      </c>
      <c r="L456" s="0" t="n">
        <v>52</v>
      </c>
      <c r="M456" s="0" t="n">
        <v>52</v>
      </c>
      <c r="N456" s="0" t="s">
        <v>110</v>
      </c>
      <c r="AD456" s="0" t="n">
        <v>661</v>
      </c>
      <c r="AE456" s="0" t="n">
        <v>674</v>
      </c>
      <c r="AF456" s="0" t="s">
        <v>457</v>
      </c>
      <c r="AM456" s="0" t="n">
        <v>363</v>
      </c>
      <c r="AN456" s="0" t="n">
        <v>363</v>
      </c>
      <c r="AO456" s="0" t="s">
        <v>110</v>
      </c>
      <c r="AP456" s="0" t="n">
        <v>371</v>
      </c>
      <c r="AQ456" s="0" t="n">
        <v>371</v>
      </c>
      <c r="AR456" s="0" t="s">
        <v>110</v>
      </c>
      <c r="AS456" s="0" t="n">
        <v>40</v>
      </c>
      <c r="AT456" s="0" t="n">
        <v>41</v>
      </c>
      <c r="AU456" s="0" t="s">
        <v>497</v>
      </c>
      <c r="AV456" s="0" t="n">
        <v>363</v>
      </c>
      <c r="AW456" s="0" t="n">
        <v>363</v>
      </c>
      <c r="AX456" s="0" t="s">
        <v>110</v>
      </c>
      <c r="AY456" s="0" t="n">
        <v>371</v>
      </c>
      <c r="AZ456" s="0" t="n">
        <v>371</v>
      </c>
      <c r="BA456" s="0" t="s">
        <v>110</v>
      </c>
      <c r="BB456" s="0" t="n">
        <v>40</v>
      </c>
      <c r="BC456" s="0" t="n">
        <v>41</v>
      </c>
      <c r="BD456" s="0" t="s">
        <v>497</v>
      </c>
      <c r="BE456" s="2" t="n">
        <v>43545</v>
      </c>
    </row>
    <row r="457" customFormat="false" ht="14.25" hidden="false" customHeight="false" outlineLevel="0" collapsed="false">
      <c r="A457" s="0" t="n">
        <v>456</v>
      </c>
      <c r="B457" s="1" t="s">
        <v>1124</v>
      </c>
      <c r="C457" s="0" t="n">
        <v>469</v>
      </c>
      <c r="D457" s="0" t="n">
        <v>484</v>
      </c>
      <c r="E457" s="0" t="s">
        <v>758</v>
      </c>
      <c r="F457" s="0" t="n">
        <v>466</v>
      </c>
      <c r="G457" s="0" t="n">
        <v>475</v>
      </c>
      <c r="H457" s="0" t="s">
        <v>457</v>
      </c>
      <c r="I457" s="0" t="n">
        <v>416</v>
      </c>
      <c r="J457" s="0" t="n">
        <v>420</v>
      </c>
      <c r="K457" s="0" t="s">
        <v>870</v>
      </c>
      <c r="L457" s="0" t="n">
        <v>53</v>
      </c>
      <c r="M457" s="0" t="n">
        <v>53</v>
      </c>
      <c r="N457" s="0" t="s">
        <v>110</v>
      </c>
      <c r="AD457" s="0" t="n">
        <v>545</v>
      </c>
      <c r="AE457" s="0" t="n">
        <v>556</v>
      </c>
      <c r="AF457" s="0" t="s">
        <v>131</v>
      </c>
      <c r="AM457" s="0" t="n">
        <v>330</v>
      </c>
      <c r="AN457" s="0" t="n">
        <v>357</v>
      </c>
      <c r="AO457" s="0" t="s">
        <v>447</v>
      </c>
      <c r="AP457" s="0" t="n">
        <v>314</v>
      </c>
      <c r="AQ457" s="0" t="n">
        <v>341</v>
      </c>
      <c r="AR457" s="0" t="s">
        <v>598</v>
      </c>
      <c r="AS457" s="0" t="n">
        <v>105</v>
      </c>
      <c r="AT457" s="0" t="n">
        <v>113</v>
      </c>
      <c r="AU457" s="0" t="s">
        <v>207</v>
      </c>
      <c r="AV457" s="0" t="n">
        <v>330</v>
      </c>
      <c r="AW457" s="0" t="n">
        <v>357</v>
      </c>
      <c r="AX457" s="0" t="s">
        <v>447</v>
      </c>
      <c r="AY457" s="0" t="n">
        <v>314</v>
      </c>
      <c r="AZ457" s="0" t="n">
        <v>341</v>
      </c>
      <c r="BA457" s="0" t="s">
        <v>598</v>
      </c>
      <c r="BB457" s="0" t="n">
        <v>105</v>
      </c>
      <c r="BC457" s="0" t="n">
        <v>113</v>
      </c>
      <c r="BD457" s="0" t="s">
        <v>207</v>
      </c>
      <c r="BE457" s="2" t="n">
        <v>43546</v>
      </c>
    </row>
    <row r="458" customFormat="false" ht="14.25" hidden="false" customHeight="false" outlineLevel="0" collapsed="false">
      <c r="A458" s="0" t="n">
        <v>457</v>
      </c>
      <c r="B458" s="1" t="s">
        <v>1125</v>
      </c>
      <c r="BE458" s="2" t="n">
        <v>43548</v>
      </c>
    </row>
    <row r="459" customFormat="false" ht="14.25" hidden="false" customHeight="false" outlineLevel="0" collapsed="false">
      <c r="A459" s="0" t="n">
        <v>458</v>
      </c>
      <c r="B459" s="1" t="s">
        <v>1126</v>
      </c>
      <c r="C459" s="0" t="n">
        <v>454</v>
      </c>
      <c r="D459" s="0" t="n">
        <v>484</v>
      </c>
      <c r="E459" s="0" t="s">
        <v>383</v>
      </c>
      <c r="F459" s="0" t="n">
        <v>460</v>
      </c>
      <c r="G459" s="0" t="n">
        <v>475</v>
      </c>
      <c r="H459" s="0" t="s">
        <v>112</v>
      </c>
      <c r="I459" s="0" t="n">
        <v>351</v>
      </c>
      <c r="J459" s="0" t="n">
        <v>368</v>
      </c>
      <c r="K459" s="0" t="s">
        <v>188</v>
      </c>
      <c r="L459" s="0" t="n">
        <v>53</v>
      </c>
      <c r="M459" s="0" t="n">
        <v>53</v>
      </c>
      <c r="N459" s="0" t="s">
        <v>110</v>
      </c>
      <c r="AD459" s="0" t="n">
        <v>660</v>
      </c>
      <c r="AE459" s="0" t="n">
        <v>674</v>
      </c>
      <c r="AF459" s="0" t="s">
        <v>551</v>
      </c>
      <c r="AM459" s="0" t="n">
        <v>358</v>
      </c>
      <c r="AN459" s="0" t="n">
        <v>359</v>
      </c>
      <c r="AO459" s="0" t="s">
        <v>723</v>
      </c>
      <c r="AP459" s="0" t="n">
        <v>351</v>
      </c>
      <c r="AQ459" s="0" t="n">
        <v>356</v>
      </c>
      <c r="AR459" s="0" t="s">
        <v>790</v>
      </c>
      <c r="AV459" s="0" t="n">
        <v>358</v>
      </c>
      <c r="AW459" s="0" t="n">
        <v>359</v>
      </c>
      <c r="AX459" s="0" t="s">
        <v>723</v>
      </c>
      <c r="AY459" s="0" t="n">
        <v>351</v>
      </c>
      <c r="AZ459" s="0" t="n">
        <v>356</v>
      </c>
      <c r="BA459" s="0" t="s">
        <v>790</v>
      </c>
      <c r="BE459" s="2" t="n">
        <v>43549</v>
      </c>
    </row>
    <row r="460" customFormat="false" ht="14.25" hidden="false" customHeight="false" outlineLevel="0" collapsed="false">
      <c r="A460" s="0" t="n">
        <v>459</v>
      </c>
      <c r="B460" s="1" t="s">
        <v>1127</v>
      </c>
      <c r="C460" s="0" t="n">
        <v>456</v>
      </c>
      <c r="D460" s="0" t="n">
        <v>473</v>
      </c>
      <c r="E460" s="0" t="s">
        <v>187</v>
      </c>
      <c r="F460" s="0" t="n">
        <v>414</v>
      </c>
      <c r="G460" s="0" t="n">
        <v>415</v>
      </c>
      <c r="H460" s="0" t="s">
        <v>623</v>
      </c>
      <c r="I460" s="0" t="n">
        <v>351</v>
      </c>
      <c r="J460" s="0" t="n">
        <v>353</v>
      </c>
      <c r="K460" s="0" t="s">
        <v>824</v>
      </c>
      <c r="L460" s="0" t="n">
        <v>50</v>
      </c>
      <c r="M460" s="0" t="n">
        <v>51</v>
      </c>
      <c r="N460" s="0" t="s">
        <v>131</v>
      </c>
      <c r="AD460" s="0" t="n">
        <v>624</v>
      </c>
      <c r="AE460" s="0" t="n">
        <v>630</v>
      </c>
      <c r="AF460" s="0" t="s">
        <v>870</v>
      </c>
      <c r="AM460" s="0" t="n">
        <v>347</v>
      </c>
      <c r="AN460" s="0" t="n">
        <v>348</v>
      </c>
      <c r="AO460" s="0" t="s">
        <v>723</v>
      </c>
      <c r="AP460" s="0" t="n">
        <v>301</v>
      </c>
      <c r="AQ460" s="0" t="n">
        <v>304</v>
      </c>
      <c r="AR460" s="0" t="s">
        <v>870</v>
      </c>
      <c r="AS460" s="0" t="n">
        <v>85</v>
      </c>
      <c r="AT460" s="0" t="n">
        <v>85</v>
      </c>
      <c r="AU460" s="0" t="s">
        <v>110</v>
      </c>
      <c r="AV460" s="0" t="n">
        <v>347</v>
      </c>
      <c r="AW460" s="0" t="n">
        <v>348</v>
      </c>
      <c r="AX460" s="0" t="s">
        <v>723</v>
      </c>
      <c r="AY460" s="0" t="n">
        <v>301</v>
      </c>
      <c r="AZ460" s="0" t="n">
        <v>304</v>
      </c>
      <c r="BA460" s="0" t="s">
        <v>870</v>
      </c>
      <c r="BB460" s="0" t="n">
        <v>85</v>
      </c>
      <c r="BC460" s="0" t="n">
        <v>85</v>
      </c>
      <c r="BD460" s="0" t="s">
        <v>110</v>
      </c>
      <c r="BE460" s="2" t="n">
        <v>43550</v>
      </c>
    </row>
    <row r="461" customFormat="false" ht="14.25" hidden="false" customHeight="false" outlineLevel="0" collapsed="false">
      <c r="A461" s="0" t="n">
        <v>460</v>
      </c>
      <c r="B461" s="1" t="s">
        <v>1128</v>
      </c>
      <c r="C461" s="0" t="n">
        <v>470</v>
      </c>
      <c r="D461" s="0" t="n">
        <v>484</v>
      </c>
      <c r="E461" s="0" t="s">
        <v>492</v>
      </c>
      <c r="F461" s="0" t="n">
        <v>467</v>
      </c>
      <c r="G461" s="0" t="n">
        <v>475</v>
      </c>
      <c r="H461" s="0" t="s">
        <v>179</v>
      </c>
      <c r="I461" s="0" t="n">
        <v>368</v>
      </c>
      <c r="J461" s="0" t="n">
        <v>368</v>
      </c>
      <c r="K461" s="0" t="s">
        <v>110</v>
      </c>
      <c r="L461" s="0" t="n">
        <v>52</v>
      </c>
      <c r="M461" s="0" t="n">
        <v>52</v>
      </c>
      <c r="N461" s="0" t="s">
        <v>110</v>
      </c>
      <c r="AD461" s="0" t="n">
        <v>650</v>
      </c>
      <c r="AE461" s="0" t="n">
        <v>674</v>
      </c>
      <c r="AF461" s="0" t="s">
        <v>187</v>
      </c>
      <c r="AM461" s="0" t="n">
        <v>364</v>
      </c>
      <c r="AN461" s="0" t="n">
        <v>368</v>
      </c>
      <c r="AO461" s="0" t="s">
        <v>143</v>
      </c>
      <c r="AP461" s="0" t="n">
        <v>357</v>
      </c>
      <c r="AQ461" s="0" t="n">
        <v>357</v>
      </c>
      <c r="AR461" s="0" t="s">
        <v>110</v>
      </c>
      <c r="AS461" s="0" t="n">
        <v>75</v>
      </c>
      <c r="AT461" s="0" t="n">
        <v>76</v>
      </c>
      <c r="AU461" s="0" t="s">
        <v>789</v>
      </c>
      <c r="AV461" s="0" t="n">
        <v>364</v>
      </c>
      <c r="AW461" s="0" t="n">
        <v>368</v>
      </c>
      <c r="AX461" s="0" t="s">
        <v>143</v>
      </c>
      <c r="AY461" s="0" t="n">
        <v>357</v>
      </c>
      <c r="AZ461" s="0" t="n">
        <v>357</v>
      </c>
      <c r="BA461" s="0" t="s">
        <v>110</v>
      </c>
      <c r="BB461" s="0" t="n">
        <v>75</v>
      </c>
      <c r="BC461" s="0" t="n">
        <v>76</v>
      </c>
      <c r="BD461" s="0" t="s">
        <v>789</v>
      </c>
      <c r="BE461" s="2" t="n">
        <v>43551</v>
      </c>
    </row>
    <row r="462" customFormat="false" ht="14.25" hidden="false" customHeight="false" outlineLevel="0" collapsed="false">
      <c r="A462" s="0" t="n">
        <v>461</v>
      </c>
      <c r="B462" s="1" t="s">
        <v>1129</v>
      </c>
      <c r="C462" s="0" t="n">
        <v>470</v>
      </c>
      <c r="D462" s="0" t="n">
        <v>484</v>
      </c>
      <c r="E462" s="0" t="s">
        <v>492</v>
      </c>
      <c r="F462" s="0" t="n">
        <v>465</v>
      </c>
      <c r="G462" s="0" t="n">
        <v>475</v>
      </c>
      <c r="H462" s="0" t="s">
        <v>551</v>
      </c>
      <c r="I462" s="0" t="n">
        <v>366</v>
      </c>
      <c r="J462" s="0" t="n">
        <v>368</v>
      </c>
      <c r="K462" s="0" t="s">
        <v>516</v>
      </c>
      <c r="L462" s="0" t="n">
        <v>52</v>
      </c>
      <c r="M462" s="0" t="n">
        <v>52</v>
      </c>
      <c r="N462" s="0" t="s">
        <v>110</v>
      </c>
      <c r="AD462" s="0" t="n">
        <v>590</v>
      </c>
      <c r="AE462" s="0" t="n">
        <v>609</v>
      </c>
      <c r="AF462" s="0" t="s">
        <v>758</v>
      </c>
      <c r="AM462" s="0" t="n">
        <v>341</v>
      </c>
      <c r="AN462" s="0" t="n">
        <v>367</v>
      </c>
      <c r="AO462" s="0" t="s">
        <v>207</v>
      </c>
      <c r="AP462" s="0" t="n">
        <v>356</v>
      </c>
      <c r="AQ462" s="0" t="n">
        <v>354</v>
      </c>
      <c r="AR462" s="0" t="s">
        <v>443</v>
      </c>
      <c r="AS462" s="0" t="n">
        <v>102</v>
      </c>
      <c r="AT462" s="0" t="n">
        <v>106</v>
      </c>
      <c r="AU462" s="0" t="s">
        <v>200</v>
      </c>
      <c r="AV462" s="0" t="n">
        <v>341</v>
      </c>
      <c r="AW462" s="0" t="n">
        <v>367</v>
      </c>
      <c r="AX462" s="0" t="s">
        <v>207</v>
      </c>
      <c r="AY462" s="0" t="n">
        <v>356</v>
      </c>
      <c r="AZ462" s="0" t="n">
        <v>354</v>
      </c>
      <c r="BA462" s="0" t="s">
        <v>443</v>
      </c>
      <c r="BB462" s="0" t="n">
        <v>102</v>
      </c>
      <c r="BC462" s="0" t="n">
        <v>106</v>
      </c>
      <c r="BD462" s="0" t="s">
        <v>200</v>
      </c>
      <c r="BE462" s="2" t="n">
        <v>43552</v>
      </c>
    </row>
    <row r="463" customFormat="false" ht="14.25" hidden="false" customHeight="false" outlineLevel="0" collapsed="false">
      <c r="A463" s="0" t="n">
        <v>462</v>
      </c>
      <c r="B463" s="1" t="s">
        <v>1130</v>
      </c>
      <c r="C463" s="0" t="n">
        <v>466</v>
      </c>
      <c r="D463" s="0" t="n">
        <v>484</v>
      </c>
      <c r="E463" s="0" t="s">
        <v>182</v>
      </c>
      <c r="F463" s="0" t="n">
        <v>469</v>
      </c>
      <c r="G463" s="0" t="n">
        <v>475</v>
      </c>
      <c r="H463" s="0" t="s">
        <v>789</v>
      </c>
      <c r="I463" s="0" t="n">
        <v>418</v>
      </c>
      <c r="J463" s="0" t="n">
        <v>420</v>
      </c>
      <c r="K463" s="0" t="s">
        <v>516</v>
      </c>
      <c r="L463" s="0" t="n">
        <v>52</v>
      </c>
      <c r="M463" s="0" t="n">
        <v>52</v>
      </c>
      <c r="N463" s="0" t="s">
        <v>110</v>
      </c>
      <c r="AD463" s="0" t="n">
        <v>624</v>
      </c>
      <c r="AE463" s="0" t="n">
        <v>630</v>
      </c>
      <c r="AF463" s="0" t="s">
        <v>870</v>
      </c>
      <c r="AM463" s="0" t="n">
        <v>353</v>
      </c>
      <c r="AN463" s="0" t="n">
        <v>367</v>
      </c>
      <c r="AO463" s="0" t="s">
        <v>200</v>
      </c>
      <c r="AP463" s="0" t="n">
        <v>342</v>
      </c>
      <c r="AQ463" s="0" t="n">
        <v>351</v>
      </c>
      <c r="AR463" s="0" t="s">
        <v>139</v>
      </c>
      <c r="AS463" s="0" t="n">
        <v>80</v>
      </c>
      <c r="AT463" s="0" t="n">
        <v>83</v>
      </c>
      <c r="AU463" s="0" t="s">
        <v>187</v>
      </c>
      <c r="AV463" s="0" t="n">
        <v>353</v>
      </c>
      <c r="AW463" s="0" t="n">
        <v>367</v>
      </c>
      <c r="AX463" s="0" t="s">
        <v>200</v>
      </c>
      <c r="AY463" s="0" t="n">
        <v>342</v>
      </c>
      <c r="AZ463" s="0" t="n">
        <v>351</v>
      </c>
      <c r="BA463" s="0" t="s">
        <v>139</v>
      </c>
      <c r="BB463" s="0" t="n">
        <v>80</v>
      </c>
      <c r="BC463" s="0" t="n">
        <v>83</v>
      </c>
      <c r="BD463" s="0" t="s">
        <v>187</v>
      </c>
      <c r="BE463" s="2" t="n">
        <v>43553</v>
      </c>
    </row>
    <row r="464" customFormat="false" ht="14.25" hidden="false" customHeight="false" outlineLevel="0" collapsed="false">
      <c r="A464" s="0" t="n">
        <v>463</v>
      </c>
      <c r="B464" s="1" t="s">
        <v>1131</v>
      </c>
      <c r="C464" s="0" t="n">
        <v>339</v>
      </c>
      <c r="D464" s="0" t="n">
        <v>355</v>
      </c>
      <c r="E464" s="0" t="s">
        <v>127</v>
      </c>
      <c r="AM464" s="0" t="n">
        <v>100</v>
      </c>
      <c r="AN464" s="0" t="n">
        <v>100</v>
      </c>
      <c r="AO464" s="0" t="s">
        <v>110</v>
      </c>
      <c r="AR464" s="0" t="s">
        <v>110</v>
      </c>
      <c r="AV464" s="0" t="n">
        <v>100</v>
      </c>
      <c r="AW464" s="0" t="n">
        <v>100</v>
      </c>
      <c r="AX464" s="0" t="s">
        <v>110</v>
      </c>
      <c r="BA464" s="0" t="s">
        <v>110</v>
      </c>
      <c r="BE464" s="2" t="n">
        <v>43554</v>
      </c>
    </row>
    <row r="465" customFormat="false" ht="14.25" hidden="false" customHeight="false" outlineLevel="0" collapsed="false">
      <c r="A465" s="0" t="n">
        <v>464</v>
      </c>
      <c r="B465" s="1" t="s">
        <v>1132</v>
      </c>
      <c r="I465" s="0" t="n">
        <v>404</v>
      </c>
      <c r="J465" s="0" t="n">
        <v>422</v>
      </c>
      <c r="K465" s="0" t="s">
        <v>144</v>
      </c>
      <c r="BE465" s="2" t="n">
        <v>43555</v>
      </c>
    </row>
    <row r="466" customFormat="false" ht="14.25" hidden="false" customHeight="false" outlineLevel="0" collapsed="false">
      <c r="A466" s="0" t="n">
        <v>465</v>
      </c>
      <c r="B466" s="1" t="s">
        <v>1133</v>
      </c>
      <c r="C466" s="0" t="n">
        <v>461</v>
      </c>
      <c r="D466" s="0" t="n">
        <v>484</v>
      </c>
      <c r="E466" s="0" t="s">
        <v>634</v>
      </c>
      <c r="F466" s="0" t="n">
        <v>458</v>
      </c>
      <c r="G466" s="0" t="n">
        <v>475</v>
      </c>
      <c r="H466" s="0" t="s">
        <v>187</v>
      </c>
      <c r="I466" s="0" t="n">
        <v>262</v>
      </c>
      <c r="J466" s="0" t="n">
        <v>368</v>
      </c>
      <c r="K466" s="0" t="s">
        <v>171</v>
      </c>
      <c r="L466" s="0" t="n">
        <v>52</v>
      </c>
      <c r="M466" s="0" t="n">
        <v>52</v>
      </c>
      <c r="N466" s="0" t="s">
        <v>110</v>
      </c>
      <c r="AD466" s="0" t="n">
        <v>642</v>
      </c>
      <c r="AE466" s="0" t="n">
        <v>642</v>
      </c>
      <c r="AF466" s="0" t="s">
        <v>110</v>
      </c>
      <c r="AM466" s="0" t="n">
        <v>328</v>
      </c>
      <c r="AN466" s="0" t="n">
        <v>358</v>
      </c>
      <c r="AO466" s="0" t="s">
        <v>292</v>
      </c>
      <c r="AP466" s="0" t="n">
        <v>359</v>
      </c>
      <c r="AQ466" s="0" t="n">
        <v>360</v>
      </c>
      <c r="AR466" s="0" t="s">
        <v>723</v>
      </c>
      <c r="AS466" s="0" t="n">
        <v>63</v>
      </c>
      <c r="AT466" s="0" t="n">
        <v>66</v>
      </c>
      <c r="AU466" s="0" t="s">
        <v>127</v>
      </c>
      <c r="AV466" s="0" t="n">
        <v>328</v>
      </c>
      <c r="AW466" s="0" t="n">
        <v>358</v>
      </c>
      <c r="AX466" s="0" t="s">
        <v>292</v>
      </c>
      <c r="AY466" s="0" t="n">
        <v>359</v>
      </c>
      <c r="AZ466" s="0" t="n">
        <v>360</v>
      </c>
      <c r="BA466" s="0" t="s">
        <v>723</v>
      </c>
      <c r="BB466" s="0" t="n">
        <v>63</v>
      </c>
      <c r="BC466" s="0" t="n">
        <v>66</v>
      </c>
      <c r="BD466" s="0" t="s">
        <v>127</v>
      </c>
      <c r="BE466" s="2" t="n">
        <v>43556</v>
      </c>
    </row>
    <row r="467" customFormat="false" ht="14.25" hidden="false" customHeight="false" outlineLevel="0" collapsed="false">
      <c r="A467" s="0" t="n">
        <v>466</v>
      </c>
      <c r="B467" s="1" t="s">
        <v>1134</v>
      </c>
      <c r="C467" s="0" t="n">
        <v>349</v>
      </c>
      <c r="D467" s="0" t="n">
        <v>484</v>
      </c>
      <c r="E467" s="0" t="s">
        <v>1135</v>
      </c>
      <c r="F467" s="0" t="n">
        <v>408</v>
      </c>
      <c r="G467" s="0" t="n">
        <v>475</v>
      </c>
      <c r="H467" s="0" t="s">
        <v>1090</v>
      </c>
      <c r="I467" s="0" t="n">
        <v>354</v>
      </c>
      <c r="J467" s="0" t="n">
        <v>368</v>
      </c>
      <c r="K467" s="0" t="s">
        <v>200</v>
      </c>
      <c r="L467" s="0" t="n">
        <v>52</v>
      </c>
      <c r="M467" s="0" t="n">
        <v>52</v>
      </c>
      <c r="N467" s="0" t="s">
        <v>110</v>
      </c>
      <c r="AD467" s="0" t="n">
        <v>646</v>
      </c>
      <c r="AE467" s="0" t="n">
        <v>647</v>
      </c>
      <c r="AF467" s="0" t="s">
        <v>623</v>
      </c>
      <c r="AM467" s="0" t="n">
        <v>351</v>
      </c>
      <c r="AN467" s="0" t="n">
        <v>362</v>
      </c>
      <c r="AO467" s="0" t="s">
        <v>756</v>
      </c>
      <c r="AP467" s="0" t="n">
        <v>348</v>
      </c>
      <c r="AQ467" s="0" t="n">
        <v>351</v>
      </c>
      <c r="AR467" s="0" t="s">
        <v>798</v>
      </c>
      <c r="AS467" s="0" t="n">
        <v>80</v>
      </c>
      <c r="AT467" s="0" t="n">
        <v>101</v>
      </c>
      <c r="AU467" s="0" t="s">
        <v>676</v>
      </c>
      <c r="AV467" s="0" t="n">
        <v>351</v>
      </c>
      <c r="AW467" s="0" t="n">
        <v>362</v>
      </c>
      <c r="AX467" s="0" t="s">
        <v>756</v>
      </c>
      <c r="AY467" s="0" t="n">
        <v>348</v>
      </c>
      <c r="AZ467" s="0" t="n">
        <v>351</v>
      </c>
      <c r="BA467" s="0" t="s">
        <v>798</v>
      </c>
      <c r="BB467" s="0" t="n">
        <v>80</v>
      </c>
      <c r="BC467" s="0" t="n">
        <v>101</v>
      </c>
      <c r="BD467" s="0" t="s">
        <v>676</v>
      </c>
      <c r="BE467" s="2" t="n">
        <v>43557</v>
      </c>
    </row>
    <row r="468" customFormat="false" ht="14.25" hidden="false" customHeight="false" outlineLevel="0" collapsed="false">
      <c r="A468" s="0" t="n">
        <v>467</v>
      </c>
      <c r="B468" s="1" t="s">
        <v>1136</v>
      </c>
      <c r="C468" s="0" t="n">
        <v>450</v>
      </c>
      <c r="D468" s="0" t="n">
        <v>484</v>
      </c>
      <c r="E468" s="0" t="s">
        <v>586</v>
      </c>
      <c r="F468" s="0" t="n">
        <v>460</v>
      </c>
      <c r="G468" s="0" t="n">
        <v>475</v>
      </c>
      <c r="H468" s="0" t="s">
        <v>112</v>
      </c>
      <c r="I468" s="0" t="n">
        <v>360</v>
      </c>
      <c r="J468" s="0" t="n">
        <v>368</v>
      </c>
      <c r="K468" s="0" t="s">
        <v>652</v>
      </c>
      <c r="L468" s="0" t="n">
        <v>52</v>
      </c>
      <c r="M468" s="0" t="n">
        <v>52</v>
      </c>
      <c r="N468" s="0" t="s">
        <v>110</v>
      </c>
      <c r="AD468" s="0" t="n">
        <v>675</v>
      </c>
      <c r="AE468" s="0" t="n">
        <v>674</v>
      </c>
      <c r="AF468" s="0" t="s">
        <v>999</v>
      </c>
      <c r="AM468" s="0" t="n">
        <v>338</v>
      </c>
      <c r="AN468" s="0" t="n">
        <v>362</v>
      </c>
      <c r="AO468" s="0" t="s">
        <v>659</v>
      </c>
      <c r="AP468" s="0" t="n">
        <v>350</v>
      </c>
      <c r="AQ468" s="0" t="n">
        <v>357</v>
      </c>
      <c r="AR468" s="0" t="s">
        <v>131</v>
      </c>
      <c r="AS468" s="0" t="n">
        <v>105</v>
      </c>
      <c r="AT468" s="0" t="n">
        <v>110</v>
      </c>
      <c r="AU468" s="0" t="s">
        <v>127</v>
      </c>
      <c r="AV468" s="0" t="n">
        <v>338</v>
      </c>
      <c r="AW468" s="0" t="n">
        <v>362</v>
      </c>
      <c r="AX468" s="0" t="s">
        <v>659</v>
      </c>
      <c r="AY468" s="0" t="n">
        <v>350</v>
      </c>
      <c r="AZ468" s="0" t="n">
        <v>357</v>
      </c>
      <c r="BA468" s="0" t="s">
        <v>131</v>
      </c>
      <c r="BB468" s="0" t="n">
        <v>105</v>
      </c>
      <c r="BC468" s="0" t="n">
        <v>110</v>
      </c>
      <c r="BD468" s="0" t="s">
        <v>127</v>
      </c>
      <c r="BE468" s="2" t="n">
        <v>43558</v>
      </c>
    </row>
    <row r="469" customFormat="false" ht="14.25" hidden="false" customHeight="false" outlineLevel="0" collapsed="false">
      <c r="A469" s="0" t="n">
        <v>468</v>
      </c>
      <c r="B469" s="1" t="s">
        <v>1137</v>
      </c>
      <c r="C469" s="0" t="n">
        <v>473</v>
      </c>
      <c r="D469" s="0" t="n">
        <v>484</v>
      </c>
      <c r="E469" s="0" t="s">
        <v>138</v>
      </c>
      <c r="F469" s="0" t="n">
        <v>459</v>
      </c>
      <c r="G469" s="0" t="n">
        <v>475</v>
      </c>
      <c r="H469" s="0" t="s">
        <v>119</v>
      </c>
      <c r="I469" s="0" t="n">
        <v>358</v>
      </c>
      <c r="J469" s="0" t="n">
        <v>368</v>
      </c>
      <c r="K469" s="0" t="s">
        <v>149</v>
      </c>
      <c r="L469" s="0" t="n">
        <v>52</v>
      </c>
      <c r="M469" s="0" t="n">
        <v>52</v>
      </c>
      <c r="N469" s="0" t="s">
        <v>110</v>
      </c>
      <c r="AD469" s="0" t="n">
        <v>675</v>
      </c>
      <c r="AE469" s="0" t="n">
        <v>662</v>
      </c>
      <c r="AF469" s="0" t="s">
        <v>859</v>
      </c>
      <c r="AM469" s="0" t="n">
        <v>355</v>
      </c>
      <c r="AN469" s="0" t="n">
        <v>353</v>
      </c>
      <c r="AO469" s="0" t="s">
        <v>443</v>
      </c>
      <c r="AP469" s="0" t="n">
        <v>360</v>
      </c>
      <c r="AQ469" s="0" t="n">
        <v>354</v>
      </c>
      <c r="AR469" s="0" t="s">
        <v>612</v>
      </c>
      <c r="AS469" s="0" t="n">
        <v>84</v>
      </c>
      <c r="AT469" s="0" t="n">
        <v>104</v>
      </c>
      <c r="AU469" s="0" t="s">
        <v>482</v>
      </c>
      <c r="AV469" s="0" t="n">
        <v>355</v>
      </c>
      <c r="AW469" s="0" t="n">
        <v>353</v>
      </c>
      <c r="AX469" s="0" t="s">
        <v>443</v>
      </c>
      <c r="AY469" s="0" t="n">
        <v>360</v>
      </c>
      <c r="AZ469" s="0" t="n">
        <v>354</v>
      </c>
      <c r="BA469" s="0" t="s">
        <v>612</v>
      </c>
      <c r="BB469" s="0" t="n">
        <v>84</v>
      </c>
      <c r="BC469" s="0" t="n">
        <v>104</v>
      </c>
      <c r="BD469" s="0" t="s">
        <v>482</v>
      </c>
      <c r="BE469" s="2" t="n">
        <v>43528</v>
      </c>
    </row>
    <row r="470" customFormat="false" ht="14.25" hidden="false" customHeight="false" outlineLevel="0" collapsed="false">
      <c r="A470" s="0" t="n">
        <v>469</v>
      </c>
      <c r="B470" s="1" t="s">
        <v>1138</v>
      </c>
      <c r="C470" s="0" t="n">
        <v>473</v>
      </c>
      <c r="D470" s="0" t="n">
        <v>484</v>
      </c>
      <c r="E470" s="0" t="s">
        <v>138</v>
      </c>
      <c r="F470" s="0" t="n">
        <v>459</v>
      </c>
      <c r="G470" s="0" t="n">
        <v>475</v>
      </c>
      <c r="H470" s="0" t="s">
        <v>119</v>
      </c>
      <c r="I470" s="0" t="n">
        <v>358</v>
      </c>
      <c r="J470" s="0" t="n">
        <v>368</v>
      </c>
      <c r="K470" s="0" t="s">
        <v>149</v>
      </c>
      <c r="L470" s="0" t="n">
        <v>52</v>
      </c>
      <c r="M470" s="0" t="n">
        <v>52</v>
      </c>
      <c r="N470" s="0" t="s">
        <v>110</v>
      </c>
      <c r="AD470" s="0" t="n">
        <v>675</v>
      </c>
      <c r="AE470" s="0" t="n">
        <v>662</v>
      </c>
      <c r="AF470" s="0" t="s">
        <v>859</v>
      </c>
      <c r="AM470" s="0" t="n">
        <v>355</v>
      </c>
      <c r="AN470" s="0" t="n">
        <v>353</v>
      </c>
      <c r="AO470" s="0" t="s">
        <v>443</v>
      </c>
      <c r="AP470" s="0" t="n">
        <v>360</v>
      </c>
      <c r="AQ470" s="0" t="n">
        <v>354</v>
      </c>
      <c r="AR470" s="0" t="s">
        <v>612</v>
      </c>
      <c r="AS470" s="0" t="n">
        <v>84</v>
      </c>
      <c r="AT470" s="0" t="n">
        <v>104</v>
      </c>
      <c r="AU470" s="0" t="s">
        <v>482</v>
      </c>
      <c r="AV470" s="0" t="n">
        <v>355</v>
      </c>
      <c r="AW470" s="0" t="n">
        <v>353</v>
      </c>
      <c r="AX470" s="0" t="s">
        <v>443</v>
      </c>
      <c r="AY470" s="0" t="n">
        <v>360</v>
      </c>
      <c r="AZ470" s="0" t="n">
        <v>354</v>
      </c>
      <c r="BA470" s="0" t="s">
        <v>612</v>
      </c>
      <c r="BB470" s="0" t="n">
        <v>84</v>
      </c>
      <c r="BC470" s="0" t="n">
        <v>104</v>
      </c>
      <c r="BD470" s="0" t="s">
        <v>482</v>
      </c>
      <c r="BE470" s="2" t="n">
        <v>43559</v>
      </c>
    </row>
    <row r="471" customFormat="false" ht="14.25" hidden="false" customHeight="false" outlineLevel="0" collapsed="false">
      <c r="A471" s="0" t="n">
        <v>470</v>
      </c>
      <c r="B471" s="1" t="s">
        <v>1139</v>
      </c>
      <c r="C471" s="0" t="n">
        <v>463</v>
      </c>
      <c r="D471" s="0" t="n">
        <v>484</v>
      </c>
      <c r="E471" s="0" t="s">
        <v>144</v>
      </c>
      <c r="F471" s="0" t="n">
        <v>447</v>
      </c>
      <c r="G471" s="0" t="n">
        <v>475</v>
      </c>
      <c r="H471" s="0" t="s">
        <v>448</v>
      </c>
      <c r="I471" s="0" t="n">
        <v>345</v>
      </c>
      <c r="J471" s="0" t="n">
        <v>420</v>
      </c>
      <c r="K471" s="0" t="s">
        <v>681</v>
      </c>
      <c r="L471" s="0" t="n">
        <v>52</v>
      </c>
      <c r="M471" s="0" t="n">
        <v>52</v>
      </c>
      <c r="N471" s="0" t="s">
        <v>110</v>
      </c>
      <c r="AD471" s="0" t="n">
        <v>637</v>
      </c>
      <c r="AE471" s="0" t="n">
        <v>638</v>
      </c>
      <c r="AF471" s="0" t="s">
        <v>623</v>
      </c>
      <c r="AM471" s="0" t="n">
        <v>339</v>
      </c>
      <c r="AN471" s="0" t="n">
        <v>355</v>
      </c>
      <c r="AO471" s="0" t="s">
        <v>127</v>
      </c>
      <c r="AP471" s="0" t="n">
        <v>358</v>
      </c>
      <c r="AQ471" s="0" t="n">
        <v>365</v>
      </c>
      <c r="AR471" s="0" t="s">
        <v>457</v>
      </c>
      <c r="AS471" s="0" t="n">
        <v>105</v>
      </c>
      <c r="AT471" s="0" t="n">
        <v>109</v>
      </c>
      <c r="AU471" s="0" t="s">
        <v>182</v>
      </c>
      <c r="AV471" s="0" t="n">
        <v>339</v>
      </c>
      <c r="AW471" s="0" t="n">
        <v>355</v>
      </c>
      <c r="AX471" s="0" t="s">
        <v>127</v>
      </c>
      <c r="AY471" s="0" t="n">
        <v>358</v>
      </c>
      <c r="AZ471" s="0" t="n">
        <v>365</v>
      </c>
      <c r="BA471" s="0" t="s">
        <v>457</v>
      </c>
      <c r="BB471" s="0" t="n">
        <v>105</v>
      </c>
      <c r="BC471" s="0" t="n">
        <v>109</v>
      </c>
      <c r="BD471" s="0" t="s">
        <v>182</v>
      </c>
      <c r="BE471" s="2" t="n">
        <v>43560</v>
      </c>
    </row>
    <row r="472" customFormat="false" ht="14.25" hidden="false" customHeight="false" outlineLevel="0" collapsed="false">
      <c r="A472" s="0" t="n">
        <v>471</v>
      </c>
      <c r="B472" s="1" t="s">
        <v>1140</v>
      </c>
      <c r="C472" s="0" t="n">
        <v>465</v>
      </c>
      <c r="D472" s="0" t="n">
        <v>479</v>
      </c>
      <c r="E472" s="0" t="s">
        <v>492</v>
      </c>
      <c r="F472" s="0" t="n">
        <v>456</v>
      </c>
      <c r="G472" s="0" t="n">
        <v>470</v>
      </c>
      <c r="H472" s="0" t="s">
        <v>756</v>
      </c>
      <c r="I472" s="0" t="n">
        <v>357</v>
      </c>
      <c r="J472" s="0" t="n">
        <v>363</v>
      </c>
      <c r="K472" s="0" t="s">
        <v>179</v>
      </c>
      <c r="L472" s="0" t="n">
        <v>51</v>
      </c>
      <c r="M472" s="0" t="n">
        <v>52</v>
      </c>
      <c r="N472" s="0" t="s">
        <v>457</v>
      </c>
      <c r="AD472" s="0" t="n">
        <v>643</v>
      </c>
      <c r="AE472" s="0" t="n">
        <v>639</v>
      </c>
      <c r="AF472" s="0" t="s">
        <v>443</v>
      </c>
      <c r="AM472" s="0" t="n">
        <v>361</v>
      </c>
      <c r="AN472" s="0" t="n">
        <v>361</v>
      </c>
      <c r="AO472" s="0" t="s">
        <v>110</v>
      </c>
      <c r="AP472" s="0" t="n">
        <v>342</v>
      </c>
      <c r="AQ472" s="0" t="n">
        <v>359</v>
      </c>
      <c r="AR472" s="0" t="s">
        <v>753</v>
      </c>
      <c r="AS472" s="0" t="n">
        <v>70</v>
      </c>
      <c r="AT472" s="0" t="n">
        <v>80</v>
      </c>
      <c r="AU472" s="0" t="s">
        <v>321</v>
      </c>
      <c r="AV472" s="0" t="n">
        <v>361</v>
      </c>
      <c r="AW472" s="0" t="n">
        <v>361</v>
      </c>
      <c r="AX472" s="0" t="s">
        <v>110</v>
      </c>
      <c r="AY472" s="0" t="n">
        <v>342</v>
      </c>
      <c r="AZ472" s="0" t="n">
        <v>359</v>
      </c>
      <c r="BA472" s="0" t="s">
        <v>753</v>
      </c>
      <c r="BB472" s="0" t="n">
        <v>70</v>
      </c>
      <c r="BC472" s="0" t="n">
        <v>80</v>
      </c>
      <c r="BD472" s="0" t="s">
        <v>321</v>
      </c>
      <c r="BE472" s="2" t="n">
        <v>43564</v>
      </c>
    </row>
    <row r="473" customFormat="false" ht="14.25" hidden="false" customHeight="false" outlineLevel="0" collapsed="false">
      <c r="A473" s="0" t="n">
        <v>472</v>
      </c>
      <c r="B473" s="1" t="s">
        <v>1141</v>
      </c>
      <c r="C473" s="0" t="n">
        <v>471</v>
      </c>
      <c r="D473" s="0" t="n">
        <v>484</v>
      </c>
      <c r="E473" s="0" t="s">
        <v>149</v>
      </c>
      <c r="F473" s="0" t="n">
        <v>454</v>
      </c>
      <c r="G473" s="0" t="n">
        <v>475</v>
      </c>
      <c r="H473" s="0" t="s">
        <v>544</v>
      </c>
      <c r="I473" s="0" t="n">
        <v>363</v>
      </c>
      <c r="J473" s="0" t="n">
        <v>368</v>
      </c>
      <c r="K473" s="0" t="s">
        <v>790</v>
      </c>
      <c r="L473" s="0" t="n">
        <v>52</v>
      </c>
      <c r="M473" s="0" t="n">
        <v>52</v>
      </c>
      <c r="N473" s="0" t="s">
        <v>110</v>
      </c>
      <c r="AD473" s="0" t="n">
        <v>606</v>
      </c>
      <c r="AE473" s="0" t="n">
        <v>623</v>
      </c>
      <c r="AF473" s="0" t="s">
        <v>149</v>
      </c>
      <c r="AM473" s="0" t="n">
        <v>307</v>
      </c>
      <c r="AN473" s="0" t="n">
        <v>342</v>
      </c>
      <c r="AO473" s="0" t="s">
        <v>403</v>
      </c>
      <c r="AP473" s="0" t="n">
        <v>349</v>
      </c>
      <c r="AQ473" s="0" t="n">
        <v>354</v>
      </c>
      <c r="AR473" s="0" t="s">
        <v>790</v>
      </c>
      <c r="AS473" s="0" t="n">
        <v>75</v>
      </c>
      <c r="AT473" s="0" t="n">
        <v>79</v>
      </c>
      <c r="AU473" s="0" t="s">
        <v>142</v>
      </c>
      <c r="AV473" s="0" t="n">
        <v>307</v>
      </c>
      <c r="AW473" s="0" t="n">
        <v>342</v>
      </c>
      <c r="AX473" s="0" t="s">
        <v>403</v>
      </c>
      <c r="AY473" s="0" t="n">
        <v>349</v>
      </c>
      <c r="AZ473" s="0" t="n">
        <v>354</v>
      </c>
      <c r="BA473" s="0" t="s">
        <v>790</v>
      </c>
      <c r="BB473" s="0" t="n">
        <v>75</v>
      </c>
      <c r="BC473" s="0" t="n">
        <v>79</v>
      </c>
      <c r="BD473" s="0" t="s">
        <v>142</v>
      </c>
      <c r="BE473" s="2" t="n">
        <v>43565</v>
      </c>
    </row>
    <row r="474" customFormat="false" ht="14.25" hidden="false" customHeight="false" outlineLevel="0" collapsed="false">
      <c r="A474" s="0" t="n">
        <v>473</v>
      </c>
      <c r="B474" s="1" t="s">
        <v>1142</v>
      </c>
      <c r="C474" s="0" t="n">
        <v>466</v>
      </c>
      <c r="D474" s="0" t="n">
        <v>484</v>
      </c>
      <c r="E474" s="0" t="s">
        <v>182</v>
      </c>
      <c r="F474" s="0" t="n">
        <v>459</v>
      </c>
      <c r="G474" s="0" t="n">
        <v>475</v>
      </c>
      <c r="H474" s="0" t="s">
        <v>119</v>
      </c>
      <c r="I474" s="0" t="n">
        <v>368</v>
      </c>
      <c r="J474" s="0" t="n">
        <v>368</v>
      </c>
      <c r="K474" s="0" t="s">
        <v>110</v>
      </c>
      <c r="L474" s="0" t="n">
        <v>52</v>
      </c>
      <c r="M474" s="0" t="n">
        <v>52</v>
      </c>
      <c r="N474" s="0" t="s">
        <v>110</v>
      </c>
      <c r="AD474" s="0" t="n">
        <v>661</v>
      </c>
      <c r="AE474" s="0" t="n">
        <v>662</v>
      </c>
      <c r="AF474" s="0" t="s">
        <v>623</v>
      </c>
      <c r="AM474" s="0" t="n">
        <v>370</v>
      </c>
      <c r="AN474" s="0" t="n">
        <v>370</v>
      </c>
      <c r="AO474" s="0" t="s">
        <v>110</v>
      </c>
      <c r="AP474" s="0" t="n">
        <v>361</v>
      </c>
      <c r="AQ474" s="0" t="n">
        <v>364</v>
      </c>
      <c r="AR474" s="0" t="s">
        <v>863</v>
      </c>
      <c r="AS474" s="0" t="n">
        <v>73</v>
      </c>
      <c r="AT474" s="0" t="n">
        <v>73</v>
      </c>
      <c r="AU474" s="0" t="s">
        <v>110</v>
      </c>
      <c r="AV474" s="0" t="n">
        <v>370</v>
      </c>
      <c r="AW474" s="0" t="n">
        <v>370</v>
      </c>
      <c r="AX474" s="0" t="s">
        <v>110</v>
      </c>
      <c r="AY474" s="0" t="n">
        <v>361</v>
      </c>
      <c r="AZ474" s="0" t="n">
        <v>364</v>
      </c>
      <c r="BA474" s="0" t="s">
        <v>863</v>
      </c>
      <c r="BB474" s="0" t="n">
        <v>73</v>
      </c>
      <c r="BC474" s="0" t="n">
        <v>73</v>
      </c>
      <c r="BD474" s="0" t="s">
        <v>110</v>
      </c>
      <c r="BE474" s="2" t="n">
        <v>43566</v>
      </c>
    </row>
    <row r="475" customFormat="false" ht="14.25" hidden="false" customHeight="false" outlineLevel="0" collapsed="false">
      <c r="A475" s="0" t="n">
        <v>474</v>
      </c>
      <c r="B475" s="1" t="s">
        <v>1143</v>
      </c>
      <c r="C475" s="0" t="n">
        <v>469</v>
      </c>
      <c r="D475" s="0" t="n">
        <v>484</v>
      </c>
      <c r="E475" s="0" t="s">
        <v>758</v>
      </c>
      <c r="F475" s="0" t="n">
        <v>449</v>
      </c>
      <c r="G475" s="0" t="n">
        <v>475</v>
      </c>
      <c r="H475" s="0" t="s">
        <v>581</v>
      </c>
      <c r="I475" s="0" t="n">
        <v>406</v>
      </c>
      <c r="J475" s="0" t="n">
        <v>420</v>
      </c>
      <c r="K475" s="0" t="s">
        <v>538</v>
      </c>
      <c r="L475" s="0" t="n">
        <v>52</v>
      </c>
      <c r="M475" s="0" t="n">
        <v>52</v>
      </c>
      <c r="N475" s="0" t="s">
        <v>110</v>
      </c>
      <c r="AD475" s="0" t="n">
        <v>607</v>
      </c>
      <c r="AE475" s="0" t="n">
        <v>591</v>
      </c>
      <c r="AF475" s="0" t="s">
        <v>1144</v>
      </c>
      <c r="AM475" s="0" t="n">
        <v>365</v>
      </c>
      <c r="AN475" s="0" t="n">
        <v>358</v>
      </c>
      <c r="AO475" s="0" t="s">
        <v>859</v>
      </c>
      <c r="AP475" s="0" t="n">
        <v>321</v>
      </c>
      <c r="AQ475" s="0" t="n">
        <v>345</v>
      </c>
      <c r="AR475" s="0" t="s">
        <v>586</v>
      </c>
      <c r="AS475" s="0" t="n">
        <v>84</v>
      </c>
      <c r="AT475" s="0" t="n">
        <v>105</v>
      </c>
      <c r="AU475" s="0" t="s">
        <v>230</v>
      </c>
      <c r="AV475" s="0" t="n">
        <v>365</v>
      </c>
      <c r="AW475" s="0" t="n">
        <v>358</v>
      </c>
      <c r="AX475" s="0" t="s">
        <v>859</v>
      </c>
      <c r="AY475" s="0" t="n">
        <v>321</v>
      </c>
      <c r="AZ475" s="0" t="n">
        <v>345</v>
      </c>
      <c r="BA475" s="0" t="s">
        <v>586</v>
      </c>
      <c r="BB475" s="0" t="n">
        <v>84</v>
      </c>
      <c r="BC475" s="0" t="n">
        <v>105</v>
      </c>
      <c r="BD475" s="0" t="s">
        <v>230</v>
      </c>
      <c r="BE475" s="2" t="n">
        <v>43567</v>
      </c>
    </row>
    <row r="476" customFormat="false" ht="14.25" hidden="false" customHeight="false" outlineLevel="0" collapsed="false">
      <c r="A476" s="0" t="n">
        <v>475</v>
      </c>
      <c r="B476" s="1" t="s">
        <v>1145</v>
      </c>
      <c r="I476" s="0" t="n">
        <v>404</v>
      </c>
      <c r="J476" s="0" t="n">
        <v>422</v>
      </c>
      <c r="K476" s="0" t="s">
        <v>144</v>
      </c>
      <c r="BE476" s="2" t="n">
        <v>43569</v>
      </c>
    </row>
    <row r="477" customFormat="false" ht="14.25" hidden="false" customHeight="false" outlineLevel="0" collapsed="false">
      <c r="A477" s="0" t="n">
        <v>476</v>
      </c>
      <c r="B477" s="1" t="s">
        <v>1146</v>
      </c>
      <c r="C477" s="0" t="n">
        <v>469</v>
      </c>
      <c r="D477" s="0" t="n">
        <v>484</v>
      </c>
      <c r="E477" s="0" t="s">
        <v>758</v>
      </c>
      <c r="F477" s="0" t="n">
        <v>442</v>
      </c>
      <c r="G477" s="0" t="n">
        <v>475</v>
      </c>
      <c r="H477" s="0" t="s">
        <v>151</v>
      </c>
      <c r="I477" s="0" t="n">
        <v>354</v>
      </c>
      <c r="J477" s="0" t="n">
        <v>368</v>
      </c>
      <c r="K477" s="0" t="s">
        <v>200</v>
      </c>
      <c r="L477" s="0" t="n">
        <v>52</v>
      </c>
      <c r="M477" s="0" t="n">
        <v>52</v>
      </c>
      <c r="N477" s="0" t="s">
        <v>110</v>
      </c>
      <c r="AD477" s="0" t="n">
        <v>647</v>
      </c>
      <c r="AE477" s="0" t="n">
        <v>652</v>
      </c>
      <c r="AF477" s="0" t="s">
        <v>863</v>
      </c>
      <c r="AM477" s="0" t="n">
        <v>355</v>
      </c>
      <c r="AN477" s="0" t="n">
        <v>358</v>
      </c>
      <c r="AO477" s="0" t="s">
        <v>863</v>
      </c>
      <c r="AP477" s="0" t="n">
        <v>357</v>
      </c>
      <c r="AQ477" s="0" t="n">
        <v>364</v>
      </c>
      <c r="AR477" s="0" t="s">
        <v>457</v>
      </c>
      <c r="AS477" s="0" t="n">
        <v>83</v>
      </c>
      <c r="AT477" s="0" t="n">
        <v>83</v>
      </c>
      <c r="AU477" s="0" t="s">
        <v>110</v>
      </c>
      <c r="AV477" s="0" t="n">
        <v>355</v>
      </c>
      <c r="AW477" s="0" t="n">
        <v>358</v>
      </c>
      <c r="AX477" s="0" t="s">
        <v>863</v>
      </c>
      <c r="AY477" s="0" t="n">
        <v>357</v>
      </c>
      <c r="AZ477" s="0" t="n">
        <v>364</v>
      </c>
      <c r="BA477" s="0" t="s">
        <v>457</v>
      </c>
      <c r="BB477" s="0" t="n">
        <v>83</v>
      </c>
      <c r="BC477" s="0" t="n">
        <v>83</v>
      </c>
      <c r="BD477" s="0" t="s">
        <v>110</v>
      </c>
      <c r="BE477" s="2" t="n">
        <v>43570</v>
      </c>
    </row>
    <row r="478" customFormat="false" ht="14.25" hidden="false" customHeight="false" outlineLevel="0" collapsed="false">
      <c r="A478" s="0" t="n">
        <v>477</v>
      </c>
      <c r="B478" s="1" t="s">
        <v>1147</v>
      </c>
      <c r="C478" s="0" t="n">
        <v>463</v>
      </c>
      <c r="D478" s="0" t="n">
        <v>484</v>
      </c>
      <c r="E478" s="0" t="s">
        <v>144</v>
      </c>
      <c r="F478" s="0" t="n">
        <v>469</v>
      </c>
      <c r="G478" s="0" t="n">
        <v>475</v>
      </c>
      <c r="H478" s="0" t="s">
        <v>789</v>
      </c>
      <c r="I478" s="0" t="n">
        <v>362</v>
      </c>
      <c r="J478" s="0" t="n">
        <v>368</v>
      </c>
      <c r="K478" s="0" t="s">
        <v>706</v>
      </c>
      <c r="L478" s="0" t="n">
        <v>52</v>
      </c>
      <c r="M478" s="0" t="n">
        <v>52</v>
      </c>
      <c r="N478" s="0" t="s">
        <v>110</v>
      </c>
      <c r="AD478" s="0" t="n">
        <v>649</v>
      </c>
      <c r="AE478" s="0" t="n">
        <v>643</v>
      </c>
      <c r="AF478" s="0" t="s">
        <v>974</v>
      </c>
      <c r="AM478" s="0" t="n">
        <v>366</v>
      </c>
      <c r="AN478" s="0" t="n">
        <v>360</v>
      </c>
      <c r="AO478" s="0" t="s">
        <v>612</v>
      </c>
      <c r="AP478" s="0" t="n">
        <v>347</v>
      </c>
      <c r="AQ478" s="0" t="n">
        <v>366</v>
      </c>
      <c r="AR478" s="0" t="s">
        <v>191</v>
      </c>
      <c r="AS478" s="0" t="n">
        <v>74</v>
      </c>
      <c r="AT478" s="0" t="n">
        <v>65</v>
      </c>
      <c r="AU478" s="0" t="s">
        <v>1148</v>
      </c>
      <c r="AV478" s="0" t="n">
        <v>366</v>
      </c>
      <c r="AW478" s="0" t="n">
        <v>360</v>
      </c>
      <c r="AX478" s="0" t="s">
        <v>612</v>
      </c>
      <c r="AY478" s="0" t="n">
        <v>347</v>
      </c>
      <c r="AZ478" s="0" t="n">
        <v>366</v>
      </c>
      <c r="BA478" s="0" t="s">
        <v>191</v>
      </c>
      <c r="BB478" s="0" t="n">
        <v>74</v>
      </c>
      <c r="BC478" s="0" t="n">
        <v>65</v>
      </c>
      <c r="BD478" s="0" t="s">
        <v>1148</v>
      </c>
      <c r="BE478" s="2" t="n">
        <v>43571</v>
      </c>
    </row>
    <row r="479" customFormat="false" ht="14.25" hidden="false" customHeight="false" outlineLevel="0" collapsed="false">
      <c r="A479" s="0" t="n">
        <v>478</v>
      </c>
      <c r="B479" s="1" t="s">
        <v>1149</v>
      </c>
      <c r="C479" s="0" t="n">
        <v>463</v>
      </c>
      <c r="D479" s="0" t="n">
        <v>484</v>
      </c>
      <c r="E479" s="0" t="s">
        <v>144</v>
      </c>
      <c r="F479" s="0" t="n">
        <v>458</v>
      </c>
      <c r="G479" s="0" t="n">
        <v>475</v>
      </c>
      <c r="H479" s="0" t="s">
        <v>187</v>
      </c>
      <c r="I479" s="0" t="n">
        <v>356</v>
      </c>
      <c r="J479" s="0" t="n">
        <v>368</v>
      </c>
      <c r="K479" s="0" t="s">
        <v>538</v>
      </c>
      <c r="L479" s="0" t="n">
        <v>52</v>
      </c>
      <c r="M479" s="0" t="n">
        <v>52</v>
      </c>
      <c r="N479" s="0" t="s">
        <v>110</v>
      </c>
      <c r="AD479" s="0" t="n">
        <v>624</v>
      </c>
      <c r="AE479" s="0" t="n">
        <v>631</v>
      </c>
      <c r="AF479" s="0" t="s">
        <v>143</v>
      </c>
      <c r="AM479" s="0" t="n">
        <v>348</v>
      </c>
      <c r="AN479" s="0" t="n">
        <v>353</v>
      </c>
      <c r="AO479" s="0" t="s">
        <v>790</v>
      </c>
      <c r="AP479" s="0" t="n">
        <v>362</v>
      </c>
      <c r="AQ479" s="0" t="n">
        <v>355</v>
      </c>
      <c r="AR479" s="0" t="s">
        <v>859</v>
      </c>
      <c r="AS479" s="0" t="n">
        <v>71</v>
      </c>
      <c r="AT479" s="0" t="n">
        <v>105</v>
      </c>
      <c r="AU479" s="0" t="s">
        <v>247</v>
      </c>
      <c r="AV479" s="0" t="n">
        <v>348</v>
      </c>
      <c r="AW479" s="0" t="n">
        <v>353</v>
      </c>
      <c r="AX479" s="0" t="s">
        <v>790</v>
      </c>
      <c r="AY479" s="0" t="n">
        <v>362</v>
      </c>
      <c r="AZ479" s="0" t="n">
        <v>355</v>
      </c>
      <c r="BA479" s="0" t="s">
        <v>859</v>
      </c>
      <c r="BB479" s="0" t="n">
        <v>71</v>
      </c>
      <c r="BC479" s="0" t="n">
        <v>105</v>
      </c>
      <c r="BD479" s="0" t="s">
        <v>247</v>
      </c>
      <c r="BE479" s="2" t="n">
        <v>43572</v>
      </c>
    </row>
    <row r="480" customFormat="false" ht="14.25" hidden="false" customHeight="false" outlineLevel="0" collapsed="false">
      <c r="A480" s="0" t="n">
        <v>479</v>
      </c>
      <c r="B480" s="1" t="s">
        <v>1150</v>
      </c>
      <c r="C480" s="0" t="n">
        <v>450</v>
      </c>
      <c r="D480" s="0" t="n">
        <v>484</v>
      </c>
      <c r="E480" s="0" t="s">
        <v>586</v>
      </c>
      <c r="F480" s="0" t="n">
        <v>434</v>
      </c>
      <c r="G480" s="0" t="n">
        <v>475</v>
      </c>
      <c r="H480" s="0" t="s">
        <v>795</v>
      </c>
      <c r="I480" s="0" t="n">
        <v>358</v>
      </c>
      <c r="J480" s="0" t="n">
        <v>368</v>
      </c>
      <c r="K480" s="0" t="s">
        <v>149</v>
      </c>
      <c r="L480" s="0" t="n">
        <v>53</v>
      </c>
      <c r="M480" s="0" t="n">
        <v>52</v>
      </c>
      <c r="N480" s="0" t="s">
        <v>986</v>
      </c>
      <c r="AD480" s="0" t="n">
        <v>665</v>
      </c>
      <c r="AE480" s="0" t="n">
        <v>660</v>
      </c>
      <c r="AF480" s="0" t="s">
        <v>1151</v>
      </c>
      <c r="AM480" s="0" t="n">
        <v>223</v>
      </c>
      <c r="AN480" s="0" t="n">
        <v>364</v>
      </c>
      <c r="AO480" s="0" t="s">
        <v>1152</v>
      </c>
      <c r="AP480" s="0" t="n">
        <v>322</v>
      </c>
      <c r="AQ480" s="0" t="n">
        <v>342</v>
      </c>
      <c r="AR480" s="0" t="s">
        <v>141</v>
      </c>
      <c r="AS480" s="0" t="n">
        <v>86</v>
      </c>
      <c r="AT480" s="0" t="n">
        <v>105</v>
      </c>
      <c r="AU480" s="0" t="s">
        <v>477</v>
      </c>
      <c r="AV480" s="0" t="n">
        <v>223</v>
      </c>
      <c r="AW480" s="0" t="n">
        <v>364</v>
      </c>
      <c r="AX480" s="0" t="s">
        <v>1152</v>
      </c>
      <c r="AY480" s="0" t="n">
        <v>322</v>
      </c>
      <c r="AZ480" s="0" t="n">
        <v>342</v>
      </c>
      <c r="BA480" s="0" t="s">
        <v>141</v>
      </c>
      <c r="BB480" s="0" t="n">
        <v>86</v>
      </c>
      <c r="BC480" s="0" t="n">
        <v>105</v>
      </c>
      <c r="BD480" s="0" t="s">
        <v>477</v>
      </c>
      <c r="BE480" s="2" t="n">
        <v>43573</v>
      </c>
    </row>
    <row r="481" customFormat="false" ht="14.25" hidden="false" customHeight="false" outlineLevel="0" collapsed="false">
      <c r="A481" s="0" t="n">
        <v>480</v>
      </c>
      <c r="B481" s="1" t="s">
        <v>1153</v>
      </c>
      <c r="C481" s="0" t="n">
        <v>460</v>
      </c>
      <c r="D481" s="0" t="n">
        <v>484</v>
      </c>
      <c r="E481" s="0" t="s">
        <v>606</v>
      </c>
      <c r="F481" s="0" t="n">
        <v>447</v>
      </c>
      <c r="G481" s="0" t="n">
        <v>475</v>
      </c>
      <c r="H481" s="0" t="s">
        <v>448</v>
      </c>
      <c r="I481" s="0" t="n">
        <v>356</v>
      </c>
      <c r="J481" s="0" t="n">
        <v>368</v>
      </c>
      <c r="K481" s="0" t="s">
        <v>538</v>
      </c>
      <c r="L481" s="0" t="n">
        <v>52</v>
      </c>
      <c r="M481" s="0" t="n">
        <v>52</v>
      </c>
      <c r="N481" s="0" t="s">
        <v>110</v>
      </c>
      <c r="AD481" s="0" t="n">
        <v>639</v>
      </c>
      <c r="AE481" s="0" t="n">
        <v>645</v>
      </c>
      <c r="AF481" s="0" t="s">
        <v>798</v>
      </c>
      <c r="AM481" s="0" t="n">
        <v>330</v>
      </c>
      <c r="AN481" s="0" t="n">
        <v>354</v>
      </c>
      <c r="AO481" s="0" t="s">
        <v>491</v>
      </c>
      <c r="AP481" s="0" t="n">
        <v>361</v>
      </c>
      <c r="AQ481" s="0" t="n">
        <v>358</v>
      </c>
      <c r="AR481" s="0" t="s">
        <v>1151</v>
      </c>
      <c r="AV481" s="0" t="n">
        <v>330</v>
      </c>
      <c r="AW481" s="0" t="n">
        <v>354</v>
      </c>
      <c r="AX481" s="0" t="s">
        <v>491</v>
      </c>
      <c r="AY481" s="0" t="n">
        <v>361</v>
      </c>
      <c r="AZ481" s="0" t="n">
        <v>358</v>
      </c>
      <c r="BA481" s="0" t="s">
        <v>1151</v>
      </c>
      <c r="BE481" s="2" t="n">
        <v>43577</v>
      </c>
    </row>
    <row r="482" customFormat="false" ht="14.25" hidden="false" customHeight="false" outlineLevel="0" collapsed="false">
      <c r="A482" s="0" t="n">
        <v>481</v>
      </c>
      <c r="B482" s="1" t="s">
        <v>1154</v>
      </c>
      <c r="C482" s="0" t="n">
        <v>470</v>
      </c>
      <c r="D482" s="0" t="n">
        <v>484</v>
      </c>
      <c r="E482" s="0" t="s">
        <v>492</v>
      </c>
      <c r="F482" s="0" t="n">
        <v>460</v>
      </c>
      <c r="G482" s="0" t="n">
        <v>475</v>
      </c>
      <c r="H482" s="0" t="s">
        <v>112</v>
      </c>
      <c r="I482" s="0" t="n">
        <v>362</v>
      </c>
      <c r="J482" s="0" t="n">
        <v>368</v>
      </c>
      <c r="K482" s="0" t="s">
        <v>706</v>
      </c>
      <c r="L482" s="0" t="n">
        <v>51</v>
      </c>
      <c r="M482" s="0" t="n">
        <v>52</v>
      </c>
      <c r="N482" s="0" t="s">
        <v>457</v>
      </c>
      <c r="AD482" s="0" t="n">
        <v>615</v>
      </c>
      <c r="AE482" s="0" t="n">
        <v>625</v>
      </c>
      <c r="AF482" s="0" t="s">
        <v>706</v>
      </c>
      <c r="AM482" s="0" t="n">
        <v>318</v>
      </c>
      <c r="AN482" s="0" t="n">
        <v>334</v>
      </c>
      <c r="AO482" s="0" t="s">
        <v>634</v>
      </c>
      <c r="AP482" s="0" t="n">
        <v>352</v>
      </c>
      <c r="AQ482" s="0" t="n">
        <v>347</v>
      </c>
      <c r="AR482" s="0" t="s">
        <v>1086</v>
      </c>
      <c r="AS482" s="0" t="n">
        <v>62</v>
      </c>
      <c r="AT482" s="0" t="n">
        <v>104</v>
      </c>
      <c r="AU482" s="0" t="s">
        <v>1155</v>
      </c>
      <c r="AV482" s="0" t="n">
        <v>318</v>
      </c>
      <c r="AW482" s="0" t="n">
        <v>334</v>
      </c>
      <c r="AX482" s="0" t="s">
        <v>634</v>
      </c>
      <c r="AY482" s="0" t="n">
        <v>352</v>
      </c>
      <c r="AZ482" s="0" t="n">
        <v>347</v>
      </c>
      <c r="BA482" s="0" t="s">
        <v>1086</v>
      </c>
      <c r="BB482" s="0" t="n">
        <v>62</v>
      </c>
      <c r="BC482" s="0" t="n">
        <v>104</v>
      </c>
      <c r="BD482" s="0" t="s">
        <v>1155</v>
      </c>
      <c r="BE482" s="2" t="n">
        <v>43578</v>
      </c>
    </row>
    <row r="483" customFormat="false" ht="14.25" hidden="false" customHeight="false" outlineLevel="0" collapsed="false">
      <c r="A483" s="0" t="n">
        <v>482</v>
      </c>
      <c r="B483" s="1" t="s">
        <v>1156</v>
      </c>
      <c r="C483" s="0" t="n">
        <v>473</v>
      </c>
      <c r="D483" s="0" t="n">
        <v>484</v>
      </c>
      <c r="E483" s="0" t="s">
        <v>138</v>
      </c>
      <c r="F483" s="0" t="n">
        <v>462</v>
      </c>
      <c r="G483" s="0" t="n">
        <v>475</v>
      </c>
      <c r="H483" s="0" t="s">
        <v>149</v>
      </c>
      <c r="I483" s="0" t="n">
        <v>360</v>
      </c>
      <c r="J483" s="0" t="n">
        <v>368</v>
      </c>
      <c r="K483" s="0" t="s">
        <v>652</v>
      </c>
      <c r="L483" s="0" t="n">
        <v>52</v>
      </c>
      <c r="M483" s="0" t="n">
        <v>52</v>
      </c>
      <c r="N483" s="0" t="s">
        <v>110</v>
      </c>
      <c r="AD483" s="0" t="n">
        <v>665</v>
      </c>
      <c r="AE483" s="0" t="n">
        <v>653</v>
      </c>
      <c r="AF483" s="0" t="s">
        <v>979</v>
      </c>
      <c r="AM483" s="0" t="n">
        <v>364</v>
      </c>
      <c r="AN483" s="0" t="n">
        <v>357</v>
      </c>
      <c r="AO483" s="0" t="s">
        <v>859</v>
      </c>
      <c r="AP483" s="0" t="n">
        <v>373</v>
      </c>
      <c r="AQ483" s="0" t="n">
        <v>366</v>
      </c>
      <c r="AR483" s="0" t="s">
        <v>986</v>
      </c>
      <c r="AS483" s="0" t="n">
        <v>68</v>
      </c>
      <c r="AT483" s="0" t="n">
        <v>105</v>
      </c>
      <c r="AU483" s="0" t="s">
        <v>1157</v>
      </c>
      <c r="AV483" s="0" t="n">
        <v>364</v>
      </c>
      <c r="AW483" s="0" t="n">
        <v>357</v>
      </c>
      <c r="AX483" s="0" t="s">
        <v>859</v>
      </c>
      <c r="AY483" s="0" t="n">
        <v>373</v>
      </c>
      <c r="AZ483" s="0" t="n">
        <v>366</v>
      </c>
      <c r="BA483" s="0" t="s">
        <v>986</v>
      </c>
      <c r="BB483" s="0" t="n">
        <v>68</v>
      </c>
      <c r="BC483" s="0" t="n">
        <v>105</v>
      </c>
      <c r="BD483" s="0" t="s">
        <v>1157</v>
      </c>
      <c r="BE483" s="2" t="n">
        <v>43579</v>
      </c>
    </row>
    <row r="484" customFormat="false" ht="14.25" hidden="false" customHeight="false" outlineLevel="0" collapsed="false">
      <c r="A484" s="0" t="n">
        <v>483</v>
      </c>
      <c r="B484" s="1" t="s">
        <v>1158</v>
      </c>
      <c r="C484" s="0" t="n">
        <v>470</v>
      </c>
      <c r="D484" s="0" t="n">
        <v>484</v>
      </c>
      <c r="E484" s="0" t="s">
        <v>492</v>
      </c>
      <c r="F484" s="0" t="n">
        <v>463</v>
      </c>
      <c r="G484" s="0" t="n">
        <v>475</v>
      </c>
      <c r="H484" s="0" t="s">
        <v>370</v>
      </c>
      <c r="I484" s="0" t="n">
        <v>350</v>
      </c>
      <c r="J484" s="0" t="n">
        <v>368</v>
      </c>
      <c r="K484" s="0" t="s">
        <v>210</v>
      </c>
      <c r="L484" s="0" t="n">
        <v>52</v>
      </c>
      <c r="M484" s="0" t="n">
        <v>52</v>
      </c>
      <c r="N484" s="0" t="s">
        <v>110</v>
      </c>
      <c r="AD484" s="0" t="n">
        <v>636</v>
      </c>
      <c r="AE484" s="0" t="n">
        <v>640</v>
      </c>
      <c r="AF484" s="0" t="s">
        <v>824</v>
      </c>
      <c r="AM484" s="0" t="n">
        <v>346</v>
      </c>
      <c r="AN484" s="0" t="n">
        <v>356</v>
      </c>
      <c r="AO484" s="0" t="s">
        <v>128</v>
      </c>
      <c r="AP484" s="0" t="n">
        <v>346</v>
      </c>
      <c r="AQ484" s="0" t="n">
        <v>364</v>
      </c>
      <c r="AR484" s="0" t="s">
        <v>210</v>
      </c>
      <c r="AS484" s="0" t="n">
        <v>58</v>
      </c>
      <c r="AT484" s="0" t="n">
        <v>60</v>
      </c>
      <c r="AU484" s="0" t="s">
        <v>538</v>
      </c>
      <c r="AV484" s="0" t="n">
        <v>346</v>
      </c>
      <c r="AW484" s="0" t="n">
        <v>356</v>
      </c>
      <c r="AX484" s="0" t="s">
        <v>128</v>
      </c>
      <c r="AY484" s="0" t="n">
        <v>346</v>
      </c>
      <c r="AZ484" s="0" t="n">
        <v>364</v>
      </c>
      <c r="BA484" s="0" t="s">
        <v>210</v>
      </c>
      <c r="BB484" s="0" t="n">
        <v>58</v>
      </c>
      <c r="BC484" s="0" t="n">
        <v>60</v>
      </c>
      <c r="BD484" s="0" t="s">
        <v>538</v>
      </c>
      <c r="BE484" s="2" t="n">
        <v>43580</v>
      </c>
    </row>
    <row r="485" customFormat="false" ht="14.25" hidden="false" customHeight="false" outlineLevel="0" collapsed="false">
      <c r="A485" s="0" t="n">
        <v>484</v>
      </c>
      <c r="B485" s="1" t="s">
        <v>1159</v>
      </c>
      <c r="C485" s="0" t="n">
        <v>459</v>
      </c>
      <c r="D485" s="0" t="n">
        <v>483</v>
      </c>
      <c r="E485" s="0" t="s">
        <v>606</v>
      </c>
      <c r="F485" s="0" t="n">
        <v>460</v>
      </c>
      <c r="G485" s="0" t="n">
        <v>475</v>
      </c>
      <c r="H485" s="0" t="s">
        <v>112</v>
      </c>
      <c r="I485" s="0" t="n">
        <v>415</v>
      </c>
      <c r="J485" s="0" t="n">
        <v>420</v>
      </c>
      <c r="K485" s="0" t="s">
        <v>153</v>
      </c>
      <c r="L485" s="0" t="n">
        <v>51</v>
      </c>
      <c r="M485" s="0" t="n">
        <v>52</v>
      </c>
      <c r="N485" s="0" t="s">
        <v>457</v>
      </c>
      <c r="AD485" s="0" t="n">
        <v>648</v>
      </c>
      <c r="AE485" s="0" t="n">
        <v>667</v>
      </c>
      <c r="AF485" s="0" t="s">
        <v>128</v>
      </c>
      <c r="AM485" s="0" t="n">
        <v>348</v>
      </c>
      <c r="AN485" s="0" t="n">
        <v>348</v>
      </c>
      <c r="AO485" s="0" t="s">
        <v>110</v>
      </c>
      <c r="AP485" s="0" t="n">
        <v>340</v>
      </c>
      <c r="AQ485" s="0" t="n">
        <v>359</v>
      </c>
      <c r="AR485" s="0" t="s">
        <v>473</v>
      </c>
      <c r="AS485" s="0" t="n">
        <v>55</v>
      </c>
      <c r="AT485" s="0" t="n">
        <v>53</v>
      </c>
      <c r="AU485" s="0" t="s">
        <v>1040</v>
      </c>
      <c r="AV485" s="0" t="n">
        <v>348</v>
      </c>
      <c r="AW485" s="0" t="n">
        <v>348</v>
      </c>
      <c r="AX485" s="0" t="s">
        <v>110</v>
      </c>
      <c r="AY485" s="0" t="n">
        <v>340</v>
      </c>
      <c r="AZ485" s="0" t="n">
        <v>359</v>
      </c>
      <c r="BA485" s="0" t="s">
        <v>473</v>
      </c>
      <c r="BB485" s="0" t="n">
        <v>55</v>
      </c>
      <c r="BC485" s="0" t="n">
        <v>53</v>
      </c>
      <c r="BD485" s="0" t="s">
        <v>1040</v>
      </c>
      <c r="BE485" s="2" t="n">
        <v>43581</v>
      </c>
    </row>
    <row r="486" customFormat="false" ht="14.25" hidden="false" customHeight="false" outlineLevel="0" collapsed="false">
      <c r="A486" s="0" t="n">
        <v>485</v>
      </c>
      <c r="B486" s="1" t="s">
        <v>1160</v>
      </c>
      <c r="I486" s="0" t="n">
        <v>406</v>
      </c>
      <c r="J486" s="0" t="n">
        <v>422</v>
      </c>
      <c r="K486" s="0" t="s">
        <v>200</v>
      </c>
      <c r="BE486" s="2" t="n">
        <v>43583</v>
      </c>
    </row>
    <row r="487" customFormat="false" ht="14.25" hidden="false" customHeight="false" outlineLevel="0" collapsed="false">
      <c r="A487" s="0" t="n">
        <v>486</v>
      </c>
      <c r="B487" s="1" t="s">
        <v>1161</v>
      </c>
      <c r="C487" s="0" t="n">
        <v>448</v>
      </c>
      <c r="D487" s="0" t="n">
        <v>484</v>
      </c>
      <c r="E487" s="0" t="s">
        <v>437</v>
      </c>
      <c r="F487" s="0" t="n">
        <v>437</v>
      </c>
      <c r="G487" s="0" t="n">
        <v>475</v>
      </c>
      <c r="H487" s="0" t="s">
        <v>168</v>
      </c>
      <c r="I487" s="0" t="n">
        <v>361</v>
      </c>
      <c r="J487" s="0" t="n">
        <v>368</v>
      </c>
      <c r="K487" s="0" t="s">
        <v>457</v>
      </c>
      <c r="L487" s="0" t="n">
        <v>53</v>
      </c>
      <c r="M487" s="0" t="n">
        <v>52</v>
      </c>
      <c r="N487" s="0" t="s">
        <v>986</v>
      </c>
      <c r="AD487" s="0" t="n">
        <v>619</v>
      </c>
      <c r="AE487" s="0" t="n">
        <v>637</v>
      </c>
      <c r="AF487" s="0" t="s">
        <v>128</v>
      </c>
      <c r="AM487" s="0" t="n">
        <v>319</v>
      </c>
      <c r="AN487" s="0" t="n">
        <v>355</v>
      </c>
      <c r="AO487" s="0" t="s">
        <v>489</v>
      </c>
      <c r="AP487" s="0" t="n">
        <v>350</v>
      </c>
      <c r="AQ487" s="0" t="n">
        <v>359</v>
      </c>
      <c r="AR487" s="0" t="s">
        <v>370</v>
      </c>
      <c r="AV487" s="0" t="n">
        <v>319</v>
      </c>
      <c r="AW487" s="0" t="n">
        <v>355</v>
      </c>
      <c r="AX487" s="0" t="s">
        <v>489</v>
      </c>
      <c r="AY487" s="0" t="n">
        <v>350</v>
      </c>
      <c r="AZ487" s="0" t="n">
        <v>359</v>
      </c>
      <c r="BA487" s="0" t="s">
        <v>370</v>
      </c>
      <c r="BE487" s="2" t="n">
        <v>43584</v>
      </c>
    </row>
    <row r="488" customFormat="false" ht="14.25" hidden="false" customHeight="false" outlineLevel="0" collapsed="false">
      <c r="A488" s="0" t="n">
        <v>487</v>
      </c>
      <c r="B488" s="1" t="s">
        <v>1162</v>
      </c>
      <c r="C488" s="0" t="n">
        <v>464</v>
      </c>
      <c r="D488" s="0" t="n">
        <v>484</v>
      </c>
      <c r="E488" s="0" t="s">
        <v>777</v>
      </c>
      <c r="F488" s="0" t="n">
        <v>439</v>
      </c>
      <c r="G488" s="0" t="n">
        <v>475</v>
      </c>
      <c r="H488" s="0" t="s">
        <v>447</v>
      </c>
      <c r="L488" s="0" t="n">
        <v>52</v>
      </c>
      <c r="M488" s="0" t="n">
        <v>52</v>
      </c>
      <c r="N488" s="0" t="s">
        <v>110</v>
      </c>
      <c r="AD488" s="0" t="n">
        <v>665</v>
      </c>
      <c r="AE488" s="0" t="n">
        <v>674</v>
      </c>
      <c r="AF488" s="0" t="s">
        <v>789</v>
      </c>
      <c r="AM488" s="0" t="n">
        <v>337</v>
      </c>
      <c r="AN488" s="0" t="n">
        <v>355</v>
      </c>
      <c r="AO488" s="0" t="s">
        <v>142</v>
      </c>
      <c r="AP488" s="0" t="n">
        <v>356</v>
      </c>
      <c r="AQ488" s="0" t="n">
        <v>361</v>
      </c>
      <c r="AR488" s="0" t="s">
        <v>790</v>
      </c>
      <c r="AS488" s="0" t="n">
        <v>50</v>
      </c>
      <c r="AT488" s="0" t="n">
        <v>52</v>
      </c>
      <c r="AU488" s="0" t="s">
        <v>200</v>
      </c>
      <c r="AV488" s="0" t="n">
        <v>337</v>
      </c>
      <c r="AW488" s="0" t="n">
        <v>355</v>
      </c>
      <c r="AX488" s="0" t="s">
        <v>142</v>
      </c>
      <c r="AY488" s="0" t="n">
        <v>356</v>
      </c>
      <c r="AZ488" s="0" t="n">
        <v>361</v>
      </c>
      <c r="BA488" s="0" t="s">
        <v>790</v>
      </c>
      <c r="BB488" s="0" t="n">
        <v>50</v>
      </c>
      <c r="BC488" s="0" t="n">
        <v>52</v>
      </c>
      <c r="BD488" s="0" t="s">
        <v>200</v>
      </c>
      <c r="BE488" s="2" t="n">
        <v>43585</v>
      </c>
    </row>
    <row r="489" customFormat="false" ht="14.25" hidden="false" customHeight="false" outlineLevel="0" collapsed="false">
      <c r="A489" s="0" t="n">
        <v>488</v>
      </c>
      <c r="B489" s="1" t="s">
        <v>1163</v>
      </c>
      <c r="I489" s="0" t="n">
        <v>363</v>
      </c>
      <c r="J489" s="0" t="n">
        <v>368</v>
      </c>
      <c r="K489" s="0" t="s">
        <v>790</v>
      </c>
      <c r="BE489" s="2" t="n">
        <v>43586</v>
      </c>
    </row>
    <row r="490" customFormat="false" ht="14.25" hidden="false" customHeight="false" outlineLevel="0" collapsed="false">
      <c r="A490" s="0" t="n">
        <v>489</v>
      </c>
      <c r="B490" s="1" t="s">
        <v>1164</v>
      </c>
      <c r="C490" s="0" t="n">
        <v>467</v>
      </c>
      <c r="D490" s="0" t="n">
        <v>484</v>
      </c>
      <c r="E490" s="0" t="s">
        <v>291</v>
      </c>
      <c r="F490" s="0" t="n">
        <v>451</v>
      </c>
      <c r="G490" s="0" t="n">
        <v>475</v>
      </c>
      <c r="H490" s="0" t="s">
        <v>142</v>
      </c>
      <c r="I490" s="0" t="n">
        <v>359</v>
      </c>
      <c r="J490" s="0" t="n">
        <v>368</v>
      </c>
      <c r="K490" s="0" t="s">
        <v>497</v>
      </c>
      <c r="L490" s="0" t="n">
        <v>52</v>
      </c>
      <c r="M490" s="0" t="n">
        <v>52</v>
      </c>
      <c r="N490" s="0" t="s">
        <v>110</v>
      </c>
      <c r="AD490" s="0" t="n">
        <v>661</v>
      </c>
      <c r="AE490" s="0" t="n">
        <v>674</v>
      </c>
      <c r="AF490" s="0" t="s">
        <v>457</v>
      </c>
      <c r="AM490" s="0" t="n">
        <v>361</v>
      </c>
      <c r="AN490" s="0" t="n">
        <v>364</v>
      </c>
      <c r="AO490" s="0" t="s">
        <v>863</v>
      </c>
      <c r="AP490" s="0" t="n">
        <v>365</v>
      </c>
      <c r="AQ490" s="0" t="n">
        <v>366</v>
      </c>
      <c r="AR490" s="0" t="s">
        <v>723</v>
      </c>
      <c r="AS490" s="0" t="n">
        <v>50</v>
      </c>
      <c r="AT490" s="0" t="n">
        <v>51</v>
      </c>
      <c r="AU490" s="0" t="s">
        <v>131</v>
      </c>
      <c r="AV490" s="0" t="n">
        <v>361</v>
      </c>
      <c r="AW490" s="0" t="n">
        <v>364</v>
      </c>
      <c r="AX490" s="0" t="s">
        <v>863</v>
      </c>
      <c r="AY490" s="0" t="n">
        <v>365</v>
      </c>
      <c r="AZ490" s="0" t="n">
        <v>366</v>
      </c>
      <c r="BA490" s="0" t="s">
        <v>723</v>
      </c>
      <c r="BB490" s="0" t="n">
        <v>50</v>
      </c>
      <c r="BC490" s="0" t="n">
        <v>51</v>
      </c>
      <c r="BD490" s="0" t="s">
        <v>131</v>
      </c>
      <c r="BE490" s="2" t="n">
        <v>43587</v>
      </c>
    </row>
    <row r="491" customFormat="false" ht="14.25" hidden="false" customHeight="false" outlineLevel="0" collapsed="false">
      <c r="A491" s="0" t="n">
        <v>490</v>
      </c>
      <c r="B491" s="1" t="s">
        <v>1165</v>
      </c>
      <c r="C491" s="0" t="n">
        <v>478</v>
      </c>
      <c r="D491" s="0" t="n">
        <v>484</v>
      </c>
      <c r="E491" s="0" t="s">
        <v>153</v>
      </c>
      <c r="F491" s="0" t="n">
        <v>455</v>
      </c>
      <c r="G491" s="0" t="n">
        <v>475</v>
      </c>
      <c r="H491" s="0" t="s">
        <v>136</v>
      </c>
      <c r="I491" s="0" t="n">
        <v>411</v>
      </c>
      <c r="J491" s="0" t="n">
        <v>420</v>
      </c>
      <c r="K491" s="0" t="s">
        <v>551</v>
      </c>
      <c r="L491" s="0" t="n">
        <v>52</v>
      </c>
      <c r="M491" s="0" t="n">
        <v>52</v>
      </c>
      <c r="N491" s="0" t="s">
        <v>110</v>
      </c>
      <c r="AD491" s="0" t="n">
        <v>657</v>
      </c>
      <c r="AE491" s="0" t="n">
        <v>658</v>
      </c>
      <c r="AF491" s="0" t="s">
        <v>623</v>
      </c>
      <c r="AM491" s="0" t="n">
        <v>356</v>
      </c>
      <c r="AN491" s="0" t="n">
        <v>365</v>
      </c>
      <c r="AO491" s="0" t="s">
        <v>370</v>
      </c>
      <c r="AP491" s="0" t="n">
        <v>360</v>
      </c>
      <c r="AQ491" s="0" t="n">
        <v>365</v>
      </c>
      <c r="AR491" s="0" t="s">
        <v>790</v>
      </c>
      <c r="AS491" s="0" t="n">
        <v>50</v>
      </c>
      <c r="AT491" s="0" t="n">
        <v>52</v>
      </c>
      <c r="AU491" s="0" t="s">
        <v>200</v>
      </c>
      <c r="AV491" s="0" t="n">
        <v>356</v>
      </c>
      <c r="AW491" s="0" t="n">
        <v>365</v>
      </c>
      <c r="AX491" s="0" t="s">
        <v>370</v>
      </c>
      <c r="AY491" s="0" t="n">
        <v>360</v>
      </c>
      <c r="AZ491" s="0" t="n">
        <v>365</v>
      </c>
      <c r="BA491" s="0" t="s">
        <v>790</v>
      </c>
      <c r="BB491" s="0" t="n">
        <v>50</v>
      </c>
      <c r="BC491" s="0" t="n">
        <v>52</v>
      </c>
      <c r="BD491" s="0" t="s">
        <v>200</v>
      </c>
      <c r="BE491" s="2" t="n">
        <v>43588</v>
      </c>
    </row>
    <row r="492" customFormat="false" ht="14.25" hidden="false" customHeight="false" outlineLevel="0" collapsed="false">
      <c r="A492" s="0" t="n">
        <v>491</v>
      </c>
      <c r="B492" s="1" t="s">
        <v>1166</v>
      </c>
      <c r="C492" s="0" t="n">
        <v>453</v>
      </c>
      <c r="D492" s="0" t="n">
        <v>484</v>
      </c>
      <c r="E492" s="0" t="s">
        <v>434</v>
      </c>
      <c r="F492" s="0" t="n">
        <v>464</v>
      </c>
      <c r="G492" s="0" t="n">
        <v>475</v>
      </c>
      <c r="H492" s="0" t="s">
        <v>138</v>
      </c>
      <c r="I492" s="0" t="n">
        <v>362</v>
      </c>
      <c r="J492" s="0" t="n">
        <v>368</v>
      </c>
      <c r="K492" s="0" t="s">
        <v>706</v>
      </c>
      <c r="L492" s="0" t="n">
        <v>53</v>
      </c>
      <c r="M492" s="0" t="n">
        <v>53</v>
      </c>
      <c r="N492" s="0" t="s">
        <v>110</v>
      </c>
      <c r="AD492" s="0" t="n">
        <v>641</v>
      </c>
      <c r="AE492" s="0" t="n">
        <v>674</v>
      </c>
      <c r="AF492" s="0" t="s">
        <v>210</v>
      </c>
      <c r="AM492" s="0" t="n">
        <v>344</v>
      </c>
      <c r="AN492" s="0" t="n">
        <v>364</v>
      </c>
      <c r="AO492" s="0" t="s">
        <v>581</v>
      </c>
      <c r="AP492" s="0" t="n">
        <v>352</v>
      </c>
      <c r="AQ492" s="0" t="n">
        <v>355</v>
      </c>
      <c r="AR492" s="0" t="s">
        <v>863</v>
      </c>
      <c r="AV492" s="0" t="n">
        <v>344</v>
      </c>
      <c r="AW492" s="0" t="n">
        <v>364</v>
      </c>
      <c r="AX492" s="0" t="s">
        <v>581</v>
      </c>
      <c r="AY492" s="0" t="n">
        <v>352</v>
      </c>
      <c r="AZ492" s="0" t="n">
        <v>355</v>
      </c>
      <c r="BA492" s="0" t="s">
        <v>863</v>
      </c>
      <c r="BE492" s="2" t="n">
        <v>43591</v>
      </c>
    </row>
    <row r="493" customFormat="false" ht="14.25" hidden="false" customHeight="false" outlineLevel="0" collapsed="false">
      <c r="A493" s="0" t="n">
        <v>492</v>
      </c>
      <c r="B493" s="1" t="s">
        <v>1167</v>
      </c>
      <c r="C493" s="0" t="n">
        <v>460</v>
      </c>
      <c r="D493" s="0" t="n">
        <v>484</v>
      </c>
      <c r="E493" s="0" t="s">
        <v>606</v>
      </c>
      <c r="F493" s="0" t="n">
        <v>460</v>
      </c>
      <c r="G493" s="0" t="n">
        <v>475</v>
      </c>
      <c r="H493" s="0" t="s">
        <v>112</v>
      </c>
      <c r="I493" s="0" t="n">
        <v>327</v>
      </c>
      <c r="J493" s="0" t="n">
        <v>368</v>
      </c>
      <c r="K493" s="0" t="s">
        <v>394</v>
      </c>
      <c r="L493" s="0" t="n">
        <v>51</v>
      </c>
      <c r="M493" s="0" t="n">
        <v>52</v>
      </c>
      <c r="N493" s="0" t="s">
        <v>457</v>
      </c>
      <c r="AD493" s="0" t="n">
        <v>623</v>
      </c>
      <c r="AE493" s="0" t="n">
        <v>664</v>
      </c>
      <c r="AF493" s="0" t="s">
        <v>383</v>
      </c>
      <c r="AM493" s="0" t="n">
        <v>363</v>
      </c>
      <c r="AN493" s="0" t="n">
        <v>367</v>
      </c>
      <c r="AO493" s="0" t="s">
        <v>143</v>
      </c>
      <c r="AP493" s="0" t="n">
        <v>340</v>
      </c>
      <c r="AQ493" s="0" t="n">
        <v>358</v>
      </c>
      <c r="AR493" s="0" t="s">
        <v>606</v>
      </c>
      <c r="AV493" s="0" t="n">
        <v>363</v>
      </c>
      <c r="AW493" s="0" t="n">
        <v>367</v>
      </c>
      <c r="AX493" s="0" t="s">
        <v>143</v>
      </c>
      <c r="AY493" s="0" t="n">
        <v>340</v>
      </c>
      <c r="AZ493" s="0" t="n">
        <v>358</v>
      </c>
      <c r="BA493" s="0" t="s">
        <v>606</v>
      </c>
      <c r="BE493" s="2" t="n">
        <v>43592</v>
      </c>
    </row>
    <row r="494" customFormat="false" ht="14.25" hidden="false" customHeight="false" outlineLevel="0" collapsed="false">
      <c r="A494" s="0" t="n">
        <v>493</v>
      </c>
      <c r="B494" s="1" t="s">
        <v>1168</v>
      </c>
      <c r="C494" s="0" t="n">
        <v>466</v>
      </c>
      <c r="D494" s="0" t="n">
        <v>484</v>
      </c>
      <c r="E494" s="0" t="s">
        <v>182</v>
      </c>
      <c r="F494" s="0" t="n">
        <v>458</v>
      </c>
      <c r="G494" s="0" t="n">
        <v>475</v>
      </c>
      <c r="H494" s="0" t="s">
        <v>187</v>
      </c>
      <c r="I494" s="0" t="n">
        <v>363</v>
      </c>
      <c r="J494" s="0" t="n">
        <v>368</v>
      </c>
      <c r="K494" s="0" t="s">
        <v>790</v>
      </c>
      <c r="L494" s="0" t="n">
        <v>52</v>
      </c>
      <c r="M494" s="0" t="n">
        <v>52</v>
      </c>
      <c r="N494" s="0" t="s">
        <v>110</v>
      </c>
      <c r="AD494" s="0" t="n">
        <v>636</v>
      </c>
      <c r="AE494" s="0" t="n">
        <v>674</v>
      </c>
      <c r="AF494" s="0" t="s">
        <v>160</v>
      </c>
      <c r="AM494" s="0" t="n">
        <v>360</v>
      </c>
      <c r="AN494" s="0" t="n">
        <v>369</v>
      </c>
      <c r="AO494" s="0" t="s">
        <v>497</v>
      </c>
      <c r="AP494" s="0" t="n">
        <v>351</v>
      </c>
      <c r="AQ494" s="0" t="n">
        <v>356</v>
      </c>
      <c r="AR494" s="0" t="s">
        <v>790</v>
      </c>
      <c r="AS494" s="0" t="n">
        <v>55</v>
      </c>
      <c r="AT494" s="0" t="n">
        <v>57</v>
      </c>
      <c r="AU494" s="0" t="s">
        <v>291</v>
      </c>
      <c r="AV494" s="0" t="n">
        <v>360</v>
      </c>
      <c r="AW494" s="0" t="n">
        <v>369</v>
      </c>
      <c r="AX494" s="0" t="s">
        <v>497</v>
      </c>
      <c r="AY494" s="0" t="n">
        <v>351</v>
      </c>
      <c r="AZ494" s="0" t="n">
        <v>356</v>
      </c>
      <c r="BA494" s="0" t="s">
        <v>790</v>
      </c>
      <c r="BB494" s="0" t="n">
        <v>55</v>
      </c>
      <c r="BC494" s="0" t="n">
        <v>57</v>
      </c>
      <c r="BD494" s="0" t="s">
        <v>291</v>
      </c>
      <c r="BE494" s="2" t="n">
        <v>43593</v>
      </c>
    </row>
    <row r="495" customFormat="false" ht="14.25" hidden="false" customHeight="false" outlineLevel="0" collapsed="false">
      <c r="A495" s="0" t="n">
        <v>494</v>
      </c>
      <c r="B495" s="1" t="s">
        <v>1169</v>
      </c>
      <c r="C495" s="0" t="n">
        <v>475</v>
      </c>
      <c r="D495" s="0" t="n">
        <v>484</v>
      </c>
      <c r="E495" s="0" t="s">
        <v>457</v>
      </c>
      <c r="F495" s="0" t="n">
        <v>459</v>
      </c>
      <c r="G495" s="0" t="n">
        <v>475</v>
      </c>
      <c r="H495" s="0" t="s">
        <v>119</v>
      </c>
      <c r="I495" s="0" t="n">
        <v>364</v>
      </c>
      <c r="J495" s="0" t="n">
        <v>368</v>
      </c>
      <c r="K495" s="0" t="s">
        <v>143</v>
      </c>
      <c r="L495" s="0" t="n">
        <v>51</v>
      </c>
      <c r="M495" s="0" t="n">
        <v>52</v>
      </c>
      <c r="N495" s="0" t="s">
        <v>457</v>
      </c>
      <c r="AD495" s="0" t="n">
        <v>639</v>
      </c>
      <c r="AE495" s="0" t="n">
        <v>674</v>
      </c>
      <c r="AF495" s="0" t="s">
        <v>191</v>
      </c>
      <c r="AM495" s="0" t="n">
        <v>371</v>
      </c>
      <c r="AN495" s="0" t="n">
        <v>372</v>
      </c>
      <c r="AO495" s="0" t="s">
        <v>723</v>
      </c>
      <c r="AP495" s="0" t="n">
        <v>351</v>
      </c>
      <c r="AQ495" s="0" t="n">
        <v>358</v>
      </c>
      <c r="AR495" s="0" t="s">
        <v>131</v>
      </c>
      <c r="AS495" s="0" t="n">
        <v>55</v>
      </c>
      <c r="AT495" s="0" t="n">
        <v>56</v>
      </c>
      <c r="AU495" s="0" t="s">
        <v>600</v>
      </c>
      <c r="AV495" s="0" t="n">
        <v>371</v>
      </c>
      <c r="AW495" s="0" t="n">
        <v>372</v>
      </c>
      <c r="AX495" s="0" t="s">
        <v>723</v>
      </c>
      <c r="AY495" s="0" t="n">
        <v>351</v>
      </c>
      <c r="AZ495" s="0" t="n">
        <v>358</v>
      </c>
      <c r="BA495" s="0" t="s">
        <v>131</v>
      </c>
      <c r="BB495" s="0" t="n">
        <v>55</v>
      </c>
      <c r="BC495" s="0" t="n">
        <v>56</v>
      </c>
      <c r="BD495" s="0" t="s">
        <v>600</v>
      </c>
      <c r="BE495" s="2" t="n">
        <v>43594</v>
      </c>
    </row>
    <row r="496" customFormat="false" ht="14.25" hidden="false" customHeight="false" outlineLevel="0" collapsed="false">
      <c r="A496" s="0" t="n">
        <v>495</v>
      </c>
      <c r="B496" s="1" t="s">
        <v>1170</v>
      </c>
      <c r="C496" s="0" t="n">
        <v>448</v>
      </c>
      <c r="D496" s="0" t="n">
        <v>470</v>
      </c>
      <c r="E496" s="0" t="s">
        <v>753</v>
      </c>
      <c r="F496" s="0" t="n">
        <v>440</v>
      </c>
      <c r="G496" s="0" t="n">
        <v>462</v>
      </c>
      <c r="H496" s="0" t="s">
        <v>634</v>
      </c>
      <c r="I496" s="0" t="n">
        <v>385</v>
      </c>
      <c r="J496" s="0" t="n">
        <v>420</v>
      </c>
      <c r="K496" s="0" t="s">
        <v>363</v>
      </c>
      <c r="L496" s="0" t="n">
        <v>52</v>
      </c>
      <c r="M496" s="0" t="n">
        <v>52</v>
      </c>
      <c r="N496" s="0" t="s">
        <v>110</v>
      </c>
      <c r="AD496" s="0" t="n">
        <v>599</v>
      </c>
      <c r="AE496" s="0" t="n">
        <v>608</v>
      </c>
      <c r="AF496" s="0" t="s">
        <v>120</v>
      </c>
      <c r="AM496" s="0" t="n">
        <v>340</v>
      </c>
      <c r="AN496" s="0" t="n">
        <v>349</v>
      </c>
      <c r="AO496" s="0" t="s">
        <v>139</v>
      </c>
      <c r="AP496" s="0" t="n">
        <v>307</v>
      </c>
      <c r="AQ496" s="0" t="n">
        <v>334</v>
      </c>
      <c r="AR496" s="0" t="s">
        <v>398</v>
      </c>
      <c r="AS496" s="0" t="n">
        <v>55</v>
      </c>
      <c r="AT496" s="0" t="n">
        <v>58</v>
      </c>
      <c r="AU496" s="0" t="s">
        <v>191</v>
      </c>
      <c r="AV496" s="0" t="n">
        <v>340</v>
      </c>
      <c r="AW496" s="0" t="n">
        <v>349</v>
      </c>
      <c r="AX496" s="0" t="s">
        <v>139</v>
      </c>
      <c r="AY496" s="0" t="n">
        <v>307</v>
      </c>
      <c r="AZ496" s="0" t="n">
        <v>334</v>
      </c>
      <c r="BA496" s="0" t="s">
        <v>398</v>
      </c>
      <c r="BB496" s="0" t="n">
        <v>55</v>
      </c>
      <c r="BC496" s="0" t="n">
        <v>58</v>
      </c>
      <c r="BD496" s="0" t="s">
        <v>191</v>
      </c>
      <c r="BE496" s="2" t="n">
        <v>43595</v>
      </c>
    </row>
    <row r="497" customFormat="false" ht="14.25" hidden="false" customHeight="false" outlineLevel="0" collapsed="false">
      <c r="A497" s="0" t="n">
        <v>496</v>
      </c>
      <c r="B497" s="1" t="s">
        <v>1171</v>
      </c>
      <c r="I497" s="0" t="n">
        <v>320</v>
      </c>
      <c r="J497" s="0" t="n">
        <v>417</v>
      </c>
      <c r="K497" s="0" t="s">
        <v>901</v>
      </c>
      <c r="BE497" s="2" t="n">
        <v>43597</v>
      </c>
    </row>
    <row r="498" customFormat="false" ht="14.25" hidden="false" customHeight="false" outlineLevel="0" collapsed="false">
      <c r="A498" s="0" t="n">
        <v>497</v>
      </c>
      <c r="B498" s="1" t="s">
        <v>1172</v>
      </c>
      <c r="C498" s="0" t="n">
        <v>427</v>
      </c>
      <c r="D498" s="0" t="n">
        <v>484</v>
      </c>
      <c r="E498" s="0" t="s">
        <v>216</v>
      </c>
      <c r="F498" s="0" t="n">
        <v>466</v>
      </c>
      <c r="G498" s="0" t="n">
        <v>473</v>
      </c>
      <c r="H498" s="0" t="s">
        <v>120</v>
      </c>
      <c r="I498" s="0" t="n">
        <v>359</v>
      </c>
      <c r="J498" s="0" t="n">
        <v>366</v>
      </c>
      <c r="K498" s="0" t="s">
        <v>457</v>
      </c>
      <c r="L498" s="0" t="n">
        <v>53</v>
      </c>
      <c r="M498" s="0" t="n">
        <v>52</v>
      </c>
      <c r="N498" s="0" t="s">
        <v>986</v>
      </c>
      <c r="AD498" s="0" t="n">
        <v>619</v>
      </c>
      <c r="AE498" s="0" t="n">
        <v>629</v>
      </c>
      <c r="AF498" s="0" t="s">
        <v>706</v>
      </c>
      <c r="AM498" s="0" t="n">
        <v>353</v>
      </c>
      <c r="AN498" s="0" t="n">
        <v>365</v>
      </c>
      <c r="AO498" s="0" t="s">
        <v>538</v>
      </c>
      <c r="AP498" s="0" t="n">
        <v>343</v>
      </c>
      <c r="AQ498" s="0" t="n">
        <v>358</v>
      </c>
      <c r="AR498" s="0" t="s">
        <v>136</v>
      </c>
      <c r="AS498" s="0" t="n">
        <v>61</v>
      </c>
      <c r="AT498" s="0" t="n">
        <v>62</v>
      </c>
      <c r="AU498" s="0" t="s">
        <v>706</v>
      </c>
      <c r="AV498" s="0" t="n">
        <v>353</v>
      </c>
      <c r="AW498" s="0" t="n">
        <v>365</v>
      </c>
      <c r="AX498" s="0" t="s">
        <v>538</v>
      </c>
      <c r="AY498" s="0" t="n">
        <v>343</v>
      </c>
      <c r="AZ498" s="0" t="n">
        <v>358</v>
      </c>
      <c r="BA498" s="0" t="s">
        <v>136</v>
      </c>
      <c r="BB498" s="0" t="n">
        <v>61</v>
      </c>
      <c r="BC498" s="0" t="n">
        <v>62</v>
      </c>
      <c r="BD498" s="0" t="s">
        <v>706</v>
      </c>
      <c r="BE498" s="2" t="n">
        <v>43598</v>
      </c>
    </row>
    <row r="499" customFormat="false" ht="14.25" hidden="false" customHeight="false" outlineLevel="0" collapsed="false">
      <c r="A499" s="0" t="n">
        <v>498</v>
      </c>
      <c r="B499" s="1" t="s">
        <v>1173</v>
      </c>
      <c r="C499" s="0" t="n">
        <v>467</v>
      </c>
      <c r="D499" s="0" t="n">
        <v>481</v>
      </c>
      <c r="E499" s="0" t="s">
        <v>492</v>
      </c>
      <c r="F499" s="0" t="n">
        <v>462</v>
      </c>
      <c r="G499" s="0" t="n">
        <v>472</v>
      </c>
      <c r="H499" s="0" t="s">
        <v>551</v>
      </c>
      <c r="I499" s="0" t="n">
        <v>353</v>
      </c>
      <c r="J499" s="0" t="n">
        <v>365</v>
      </c>
      <c r="K499" s="0" t="s">
        <v>538</v>
      </c>
      <c r="L499" s="0" t="n">
        <v>51</v>
      </c>
      <c r="M499" s="0" t="n">
        <v>52</v>
      </c>
      <c r="N499" s="0" t="s">
        <v>457</v>
      </c>
      <c r="AD499" s="0" t="n">
        <v>639</v>
      </c>
      <c r="AE499" s="0" t="n">
        <v>674</v>
      </c>
      <c r="AF499" s="0" t="s">
        <v>191</v>
      </c>
      <c r="AM499" s="0" t="n">
        <v>361</v>
      </c>
      <c r="AN499" s="0" t="n">
        <v>356</v>
      </c>
      <c r="AO499" s="0" t="s">
        <v>1086</v>
      </c>
      <c r="AP499" s="0" t="n">
        <v>45</v>
      </c>
      <c r="AQ499" s="0" t="n">
        <v>45</v>
      </c>
      <c r="AR499" s="0" t="s">
        <v>110</v>
      </c>
      <c r="AV499" s="0" t="n">
        <v>361</v>
      </c>
      <c r="AW499" s="0" t="n">
        <v>356</v>
      </c>
      <c r="AX499" s="0" t="s">
        <v>1086</v>
      </c>
      <c r="AY499" s="0" t="n">
        <v>45</v>
      </c>
      <c r="AZ499" s="0" t="n">
        <v>45</v>
      </c>
      <c r="BA499" s="0" t="s">
        <v>110</v>
      </c>
      <c r="BE499" s="2" t="n">
        <v>43599</v>
      </c>
    </row>
    <row r="500" customFormat="false" ht="14.25" hidden="false" customHeight="false" outlineLevel="0" collapsed="false">
      <c r="A500" s="0" t="n">
        <v>499</v>
      </c>
      <c r="B500" s="1" t="s">
        <v>1174</v>
      </c>
      <c r="C500" s="0" t="n">
        <v>382</v>
      </c>
      <c r="D500" s="0" t="n">
        <v>481</v>
      </c>
      <c r="E500" s="0" t="s">
        <v>242</v>
      </c>
      <c r="F500" s="0" t="n">
        <v>434</v>
      </c>
      <c r="G500" s="0" t="n">
        <v>472</v>
      </c>
      <c r="H500" s="0" t="s">
        <v>398</v>
      </c>
      <c r="I500" s="0" t="n">
        <v>339</v>
      </c>
      <c r="J500" s="0" t="n">
        <v>365</v>
      </c>
      <c r="K500" s="0" t="s">
        <v>207</v>
      </c>
      <c r="L500" s="0" t="n">
        <v>48</v>
      </c>
      <c r="M500" s="0" t="n">
        <v>48</v>
      </c>
      <c r="N500" s="0" t="s">
        <v>110</v>
      </c>
      <c r="AD500" s="0" t="n">
        <v>566</v>
      </c>
      <c r="AE500" s="0" t="n">
        <v>587</v>
      </c>
      <c r="AF500" s="0" t="s">
        <v>187</v>
      </c>
      <c r="AM500" s="0" t="n">
        <v>296</v>
      </c>
      <c r="AN500" s="0" t="n">
        <v>309</v>
      </c>
      <c r="AO500" s="0" t="s">
        <v>136</v>
      </c>
      <c r="AP500" s="0" t="n">
        <v>336</v>
      </c>
      <c r="AQ500" s="0" t="n">
        <v>336</v>
      </c>
      <c r="AR500" s="0" t="s">
        <v>110</v>
      </c>
      <c r="AS500" s="0" t="n">
        <v>50</v>
      </c>
      <c r="AT500" s="0" t="n">
        <v>51</v>
      </c>
      <c r="AU500" s="0" t="s">
        <v>131</v>
      </c>
      <c r="AV500" s="0" t="n">
        <v>296</v>
      </c>
      <c r="AW500" s="0" t="n">
        <v>309</v>
      </c>
      <c r="AX500" s="0" t="s">
        <v>136</v>
      </c>
      <c r="AY500" s="0" t="n">
        <v>336</v>
      </c>
      <c r="AZ500" s="0" t="n">
        <v>336</v>
      </c>
      <c r="BA500" s="0" t="s">
        <v>110</v>
      </c>
      <c r="BB500" s="0" t="n">
        <v>50</v>
      </c>
      <c r="BC500" s="0" t="n">
        <v>51</v>
      </c>
      <c r="BD500" s="0" t="s">
        <v>131</v>
      </c>
      <c r="BE500" s="2" t="n">
        <v>43600</v>
      </c>
    </row>
    <row r="501" customFormat="false" ht="14.25" hidden="false" customHeight="false" outlineLevel="0" collapsed="false">
      <c r="A501" s="0" t="n">
        <v>500</v>
      </c>
      <c r="B501" s="1" t="s">
        <v>1175</v>
      </c>
      <c r="C501" s="0" t="n">
        <v>445</v>
      </c>
      <c r="D501" s="0" t="n">
        <v>481</v>
      </c>
      <c r="E501" s="0" t="s">
        <v>578</v>
      </c>
      <c r="F501" s="0" t="n">
        <v>456</v>
      </c>
      <c r="G501" s="0" t="n">
        <v>472</v>
      </c>
      <c r="H501" s="0" t="s">
        <v>119</v>
      </c>
      <c r="I501" s="0" t="n">
        <v>355</v>
      </c>
      <c r="J501" s="0" t="n">
        <v>364</v>
      </c>
      <c r="K501" s="0" t="s">
        <v>370</v>
      </c>
      <c r="L501" s="0" t="n">
        <v>51</v>
      </c>
      <c r="M501" s="0" t="n">
        <v>52</v>
      </c>
      <c r="N501" s="0" t="s">
        <v>457</v>
      </c>
      <c r="AD501" s="0" t="n">
        <v>601</v>
      </c>
      <c r="AE501" s="0" t="n">
        <v>674</v>
      </c>
      <c r="AF501" s="0" t="s">
        <v>124</v>
      </c>
      <c r="AM501" s="0" t="n">
        <v>381</v>
      </c>
      <c r="AN501" s="0" t="n">
        <v>382</v>
      </c>
      <c r="AO501" s="0" t="s">
        <v>723</v>
      </c>
      <c r="AP501" s="0" t="n">
        <v>340</v>
      </c>
      <c r="AQ501" s="0" t="n">
        <v>354</v>
      </c>
      <c r="AR501" s="0" t="s">
        <v>438</v>
      </c>
      <c r="AS501" s="0" t="n">
        <v>55</v>
      </c>
      <c r="AT501" s="0" t="n">
        <v>56</v>
      </c>
      <c r="AU501" s="0" t="s">
        <v>600</v>
      </c>
      <c r="AV501" s="0" t="n">
        <v>381</v>
      </c>
      <c r="AW501" s="0" t="n">
        <v>382</v>
      </c>
      <c r="AX501" s="0" t="s">
        <v>723</v>
      </c>
      <c r="AY501" s="0" t="n">
        <v>340</v>
      </c>
      <c r="AZ501" s="0" t="n">
        <v>354</v>
      </c>
      <c r="BA501" s="0" t="s">
        <v>438</v>
      </c>
      <c r="BB501" s="0" t="n">
        <v>55</v>
      </c>
      <c r="BC501" s="0" t="n">
        <v>56</v>
      </c>
      <c r="BD501" s="0" t="s">
        <v>600</v>
      </c>
      <c r="BE501" s="2" t="n">
        <v>43601</v>
      </c>
    </row>
    <row r="502" customFormat="false" ht="14.25" hidden="false" customHeight="false" outlineLevel="0" collapsed="false">
      <c r="A502" s="0" t="n">
        <v>501</v>
      </c>
      <c r="B502" s="1" t="s">
        <v>1176</v>
      </c>
      <c r="C502" s="0" t="n">
        <v>450</v>
      </c>
      <c r="D502" s="0" t="n">
        <v>481</v>
      </c>
      <c r="E502" s="0" t="s">
        <v>434</v>
      </c>
      <c r="F502" s="0" t="n">
        <v>356</v>
      </c>
      <c r="G502" s="0" t="n">
        <v>472</v>
      </c>
      <c r="H502" s="0" t="s">
        <v>540</v>
      </c>
      <c r="I502" s="0" t="n">
        <v>405</v>
      </c>
      <c r="J502" s="0" t="n">
        <v>416</v>
      </c>
      <c r="K502" s="0" t="s">
        <v>139</v>
      </c>
      <c r="L502" s="0" t="n">
        <v>53</v>
      </c>
      <c r="M502" s="0" t="n">
        <v>52</v>
      </c>
      <c r="N502" s="0" t="s">
        <v>986</v>
      </c>
      <c r="AD502" s="0" t="n">
        <v>614</v>
      </c>
      <c r="AE502" s="0" t="n">
        <v>607</v>
      </c>
      <c r="AF502" s="0" t="s">
        <v>621</v>
      </c>
      <c r="AM502" s="0" t="n">
        <v>303</v>
      </c>
      <c r="AN502" s="0" t="n">
        <v>354</v>
      </c>
      <c r="AO502" s="0" t="s">
        <v>217</v>
      </c>
      <c r="AP502" s="0" t="n">
        <v>356</v>
      </c>
      <c r="AQ502" s="0" t="n">
        <v>358</v>
      </c>
      <c r="AR502" s="0" t="s">
        <v>824</v>
      </c>
      <c r="AS502" s="0" t="n">
        <v>57</v>
      </c>
      <c r="AT502" s="0" t="n">
        <v>105</v>
      </c>
      <c r="AU502" s="0" t="s">
        <v>1177</v>
      </c>
      <c r="AV502" s="0" t="n">
        <v>303</v>
      </c>
      <c r="AW502" s="0" t="n">
        <v>354</v>
      </c>
      <c r="AX502" s="0" t="s">
        <v>217</v>
      </c>
      <c r="AY502" s="0" t="n">
        <v>356</v>
      </c>
      <c r="AZ502" s="0" t="n">
        <v>358</v>
      </c>
      <c r="BA502" s="0" t="s">
        <v>824</v>
      </c>
      <c r="BB502" s="0" t="n">
        <v>57</v>
      </c>
      <c r="BC502" s="0" t="n">
        <v>105</v>
      </c>
      <c r="BD502" s="0" t="s">
        <v>1177</v>
      </c>
      <c r="BE502" s="2" t="n">
        <v>43602</v>
      </c>
    </row>
    <row r="503" customFormat="false" ht="14.25" hidden="false" customHeight="false" outlineLevel="0" collapsed="false">
      <c r="A503" s="0" t="n">
        <v>502</v>
      </c>
      <c r="B503" s="1" t="s">
        <v>1178</v>
      </c>
      <c r="C503" s="0" t="n">
        <v>457</v>
      </c>
      <c r="D503" s="0" t="n">
        <v>467</v>
      </c>
      <c r="E503" s="0" t="s">
        <v>551</v>
      </c>
      <c r="F503" s="0" t="n">
        <v>445</v>
      </c>
      <c r="G503" s="0" t="n">
        <v>472</v>
      </c>
      <c r="H503" s="0" t="s">
        <v>523</v>
      </c>
      <c r="I503" s="0" t="n">
        <v>357</v>
      </c>
      <c r="J503" s="0" t="n">
        <v>365</v>
      </c>
      <c r="K503" s="0" t="s">
        <v>652</v>
      </c>
      <c r="L503" s="0" t="n">
        <v>52</v>
      </c>
      <c r="M503" s="0" t="n">
        <v>52</v>
      </c>
      <c r="N503" s="0" t="s">
        <v>110</v>
      </c>
      <c r="AD503" s="0" t="n">
        <v>578</v>
      </c>
      <c r="AE503" s="0" t="n">
        <v>645</v>
      </c>
      <c r="AF503" s="0" t="s">
        <v>377</v>
      </c>
      <c r="AM503" s="0" t="n">
        <v>321</v>
      </c>
      <c r="AN503" s="0" t="n">
        <v>361</v>
      </c>
      <c r="AO503" s="0" t="s">
        <v>394</v>
      </c>
      <c r="AV503" s="0" t="n">
        <v>321</v>
      </c>
      <c r="AW503" s="0" t="n">
        <v>361</v>
      </c>
      <c r="AX503" s="0" t="s">
        <v>394</v>
      </c>
      <c r="BE503" s="2" t="n">
        <v>43605</v>
      </c>
    </row>
    <row r="504" customFormat="false" ht="14.25" hidden="false" customHeight="false" outlineLevel="0" collapsed="false">
      <c r="A504" s="0" t="n">
        <v>503</v>
      </c>
      <c r="B504" s="1" t="s">
        <v>1179</v>
      </c>
      <c r="C504" s="0" t="n">
        <v>454</v>
      </c>
      <c r="D504" s="0" t="n">
        <v>481</v>
      </c>
      <c r="E504" s="0" t="s">
        <v>160</v>
      </c>
      <c r="F504" s="0" t="n">
        <v>464</v>
      </c>
      <c r="G504" s="0" t="n">
        <v>472</v>
      </c>
      <c r="H504" s="0" t="s">
        <v>179</v>
      </c>
      <c r="I504" s="0" t="n">
        <v>350</v>
      </c>
      <c r="J504" s="0" t="n">
        <v>365</v>
      </c>
      <c r="K504" s="0" t="s">
        <v>777</v>
      </c>
      <c r="L504" s="0" t="n">
        <v>52</v>
      </c>
      <c r="M504" s="0" t="n">
        <v>52</v>
      </c>
      <c r="N504" s="0" t="s">
        <v>110</v>
      </c>
      <c r="AD504" s="0" t="n">
        <v>623</v>
      </c>
      <c r="AE504" s="0" t="n">
        <v>674</v>
      </c>
      <c r="AF504" s="0" t="s">
        <v>447</v>
      </c>
      <c r="AM504" s="0" t="n">
        <v>308</v>
      </c>
      <c r="AN504" s="0" t="n">
        <v>361</v>
      </c>
      <c r="AO504" s="0" t="s">
        <v>390</v>
      </c>
      <c r="AP504" s="0" t="n">
        <v>324</v>
      </c>
      <c r="AQ504" s="0" t="n">
        <v>353</v>
      </c>
      <c r="AR504" s="0" t="s">
        <v>709</v>
      </c>
      <c r="AS504" s="0" t="n">
        <v>56</v>
      </c>
      <c r="AT504" s="0" t="n">
        <v>63</v>
      </c>
      <c r="AU504" s="0" t="s">
        <v>394</v>
      </c>
      <c r="AV504" s="0" t="n">
        <v>308</v>
      </c>
      <c r="AW504" s="0" t="n">
        <v>361</v>
      </c>
      <c r="AX504" s="0" t="s">
        <v>390</v>
      </c>
      <c r="AY504" s="0" t="n">
        <v>324</v>
      </c>
      <c r="AZ504" s="0" t="n">
        <v>353</v>
      </c>
      <c r="BA504" s="0" t="s">
        <v>709</v>
      </c>
      <c r="BB504" s="0" t="n">
        <v>56</v>
      </c>
      <c r="BC504" s="0" t="n">
        <v>63</v>
      </c>
      <c r="BD504" s="0" t="s">
        <v>394</v>
      </c>
      <c r="BE504" s="2" t="n">
        <v>43606</v>
      </c>
    </row>
    <row r="505" customFormat="false" ht="14.25" hidden="false" customHeight="false" outlineLevel="0" collapsed="false">
      <c r="A505" s="0" t="n">
        <v>504</v>
      </c>
      <c r="B505" s="1" t="s">
        <v>1180</v>
      </c>
      <c r="C505" s="0" t="n">
        <v>466</v>
      </c>
      <c r="D505" s="0" t="n">
        <v>481</v>
      </c>
      <c r="E505" s="0" t="s">
        <v>758</v>
      </c>
      <c r="F505" s="0" t="n">
        <v>461</v>
      </c>
      <c r="G505" s="0" t="n">
        <v>472</v>
      </c>
      <c r="H505" s="0" t="s">
        <v>138</v>
      </c>
      <c r="I505" s="0" t="n">
        <v>347</v>
      </c>
      <c r="J505" s="0" t="n">
        <v>365</v>
      </c>
      <c r="K505" s="0" t="s">
        <v>210</v>
      </c>
      <c r="L505" s="0" t="n">
        <v>53</v>
      </c>
      <c r="M505" s="0" t="n">
        <v>52</v>
      </c>
      <c r="N505" s="0" t="s">
        <v>986</v>
      </c>
      <c r="AD505" s="0" t="n">
        <v>625</v>
      </c>
      <c r="AE505" s="0" t="n">
        <v>674</v>
      </c>
      <c r="AF505" s="0" t="s">
        <v>618</v>
      </c>
      <c r="AM505" s="0" t="n">
        <v>305</v>
      </c>
      <c r="AN505" s="0" t="n">
        <v>363</v>
      </c>
      <c r="AO505" s="0" t="s">
        <v>1181</v>
      </c>
      <c r="AP505" s="0" t="n">
        <v>364</v>
      </c>
      <c r="AQ505" s="0" t="n">
        <v>364</v>
      </c>
      <c r="AR505" s="0" t="s">
        <v>110</v>
      </c>
      <c r="AS505" s="0" t="n">
        <v>58</v>
      </c>
      <c r="AT505" s="0" t="n">
        <v>62</v>
      </c>
      <c r="AU505" s="0" t="s">
        <v>713</v>
      </c>
      <c r="AV505" s="0" t="n">
        <v>305</v>
      </c>
      <c r="AW505" s="0" t="n">
        <v>363</v>
      </c>
      <c r="AX505" s="0" t="s">
        <v>1181</v>
      </c>
      <c r="AY505" s="0" t="n">
        <v>364</v>
      </c>
      <c r="AZ505" s="0" t="n">
        <v>364</v>
      </c>
      <c r="BA505" s="0" t="s">
        <v>110</v>
      </c>
      <c r="BB505" s="0" t="n">
        <v>58</v>
      </c>
      <c r="BC505" s="0" t="n">
        <v>62</v>
      </c>
      <c r="BD505" s="0" t="s">
        <v>713</v>
      </c>
      <c r="BE505" s="2" t="n">
        <v>42877</v>
      </c>
    </row>
    <row r="506" customFormat="false" ht="14.25" hidden="false" customHeight="false" outlineLevel="0" collapsed="false">
      <c r="A506" s="0" t="n">
        <v>505</v>
      </c>
      <c r="B506" s="1" t="s">
        <v>1182</v>
      </c>
      <c r="C506" s="0" t="n">
        <v>466</v>
      </c>
      <c r="D506" s="0" t="n">
        <v>481</v>
      </c>
      <c r="E506" s="0" t="s">
        <v>758</v>
      </c>
      <c r="F506" s="0" t="n">
        <v>461</v>
      </c>
      <c r="G506" s="0" t="n">
        <v>472</v>
      </c>
      <c r="H506" s="0" t="s">
        <v>138</v>
      </c>
      <c r="I506" s="0" t="n">
        <v>347</v>
      </c>
      <c r="J506" s="0" t="n">
        <v>365</v>
      </c>
      <c r="K506" s="0" t="s">
        <v>210</v>
      </c>
      <c r="L506" s="0" t="n">
        <v>53</v>
      </c>
      <c r="M506" s="0" t="n">
        <v>52</v>
      </c>
      <c r="N506" s="0" t="s">
        <v>986</v>
      </c>
      <c r="AD506" s="0" t="n">
        <v>625</v>
      </c>
      <c r="AE506" s="0" t="n">
        <v>674</v>
      </c>
      <c r="AF506" s="0" t="s">
        <v>618</v>
      </c>
      <c r="AM506" s="0" t="n">
        <v>305</v>
      </c>
      <c r="AN506" s="0" t="n">
        <v>363</v>
      </c>
      <c r="AO506" s="0" t="s">
        <v>1181</v>
      </c>
      <c r="AP506" s="0" t="n">
        <v>364</v>
      </c>
      <c r="AQ506" s="0" t="n">
        <v>364</v>
      </c>
      <c r="AR506" s="0" t="s">
        <v>110</v>
      </c>
      <c r="AS506" s="0" t="n">
        <v>58</v>
      </c>
      <c r="AT506" s="0" t="n">
        <v>62</v>
      </c>
      <c r="AU506" s="0" t="s">
        <v>713</v>
      </c>
      <c r="AV506" s="0" t="n">
        <v>305</v>
      </c>
      <c r="AW506" s="0" t="n">
        <v>363</v>
      </c>
      <c r="AX506" s="0" t="s">
        <v>1181</v>
      </c>
      <c r="AY506" s="0" t="n">
        <v>364</v>
      </c>
      <c r="AZ506" s="0" t="n">
        <v>364</v>
      </c>
      <c r="BA506" s="0" t="s">
        <v>110</v>
      </c>
      <c r="BB506" s="0" t="n">
        <v>58</v>
      </c>
      <c r="BC506" s="0" t="n">
        <v>62</v>
      </c>
      <c r="BD506" s="0" t="s">
        <v>713</v>
      </c>
      <c r="BE506" s="2" t="n">
        <v>43607</v>
      </c>
    </row>
    <row r="507" customFormat="false" ht="14.25" hidden="false" customHeight="false" outlineLevel="0" collapsed="false">
      <c r="A507" s="0" t="n">
        <v>506</v>
      </c>
      <c r="B507" s="1" t="s">
        <v>1183</v>
      </c>
      <c r="C507" s="0" t="n">
        <v>445</v>
      </c>
      <c r="D507" s="0" t="n">
        <v>481</v>
      </c>
      <c r="E507" s="0" t="s">
        <v>578</v>
      </c>
      <c r="F507" s="0" t="n">
        <v>462</v>
      </c>
      <c r="G507" s="0" t="n">
        <v>472</v>
      </c>
      <c r="H507" s="0" t="s">
        <v>551</v>
      </c>
      <c r="I507" s="0" t="n">
        <v>361</v>
      </c>
      <c r="J507" s="0" t="n">
        <v>365</v>
      </c>
      <c r="K507" s="0" t="s">
        <v>143</v>
      </c>
      <c r="L507" s="0" t="n">
        <v>52</v>
      </c>
      <c r="M507" s="0" t="n">
        <v>52</v>
      </c>
      <c r="N507" s="0" t="s">
        <v>110</v>
      </c>
      <c r="AD507" s="0" t="n">
        <v>592</v>
      </c>
      <c r="AE507" s="0" t="n">
        <v>674</v>
      </c>
      <c r="AF507" s="0" t="s">
        <v>916</v>
      </c>
      <c r="AM507" s="0" t="n">
        <v>350</v>
      </c>
      <c r="AN507" s="0" t="n">
        <v>369</v>
      </c>
      <c r="AO507" s="0" t="s">
        <v>142</v>
      </c>
      <c r="AP507" s="0" t="n">
        <v>308</v>
      </c>
      <c r="AQ507" s="0" t="n">
        <v>345</v>
      </c>
      <c r="AR507" s="0" t="s">
        <v>574</v>
      </c>
      <c r="AS507" s="0" t="n">
        <v>55</v>
      </c>
      <c r="AT507" s="0" t="n">
        <v>59</v>
      </c>
      <c r="AU507" s="0" t="s">
        <v>491</v>
      </c>
      <c r="AV507" s="0" t="n">
        <v>350</v>
      </c>
      <c r="AW507" s="0" t="n">
        <v>369</v>
      </c>
      <c r="AX507" s="0" t="s">
        <v>142</v>
      </c>
      <c r="AY507" s="0" t="n">
        <v>308</v>
      </c>
      <c r="AZ507" s="0" t="n">
        <v>345</v>
      </c>
      <c r="BA507" s="0" t="s">
        <v>574</v>
      </c>
      <c r="BB507" s="0" t="n">
        <v>55</v>
      </c>
      <c r="BC507" s="0" t="n">
        <v>59</v>
      </c>
      <c r="BD507" s="0" t="s">
        <v>491</v>
      </c>
      <c r="BE507" s="2" t="n">
        <v>43608</v>
      </c>
    </row>
    <row r="508" customFormat="false" ht="14.25" hidden="false" customHeight="false" outlineLevel="0" collapsed="false">
      <c r="A508" s="0" t="n">
        <v>507</v>
      </c>
      <c r="B508" s="1" t="s">
        <v>1184</v>
      </c>
      <c r="C508" s="0" t="n">
        <v>454</v>
      </c>
      <c r="D508" s="0" t="n">
        <v>481</v>
      </c>
      <c r="E508" s="0" t="s">
        <v>160</v>
      </c>
      <c r="F508" s="0" t="n">
        <v>453</v>
      </c>
      <c r="G508" s="0" t="n">
        <v>475</v>
      </c>
      <c r="H508" s="0" t="s">
        <v>188</v>
      </c>
      <c r="I508" s="0" t="n">
        <v>392</v>
      </c>
      <c r="J508" s="0" t="n">
        <v>417</v>
      </c>
      <c r="K508" s="0" t="s">
        <v>526</v>
      </c>
      <c r="L508" s="0" t="n">
        <v>53</v>
      </c>
      <c r="M508" s="0" t="n">
        <v>52</v>
      </c>
      <c r="N508" s="0" t="s">
        <v>986</v>
      </c>
      <c r="AD508" s="0" t="n">
        <v>678</v>
      </c>
      <c r="AE508" s="0" t="n">
        <v>678</v>
      </c>
      <c r="AF508" s="0" t="s">
        <v>110</v>
      </c>
      <c r="AM508" s="0" t="n">
        <v>350</v>
      </c>
      <c r="AN508" s="0" t="n">
        <v>360</v>
      </c>
      <c r="AO508" s="0" t="s">
        <v>128</v>
      </c>
      <c r="AP508" s="0" t="n">
        <v>355</v>
      </c>
      <c r="AQ508" s="0" t="n">
        <v>365</v>
      </c>
      <c r="AR508" s="0" t="s">
        <v>149</v>
      </c>
      <c r="AS508" s="0" t="n">
        <v>60</v>
      </c>
      <c r="AT508" s="0" t="n">
        <v>63</v>
      </c>
      <c r="AU508" s="0" t="s">
        <v>634</v>
      </c>
      <c r="AV508" s="0" t="n">
        <v>350</v>
      </c>
      <c r="AW508" s="0" t="n">
        <v>360</v>
      </c>
      <c r="AX508" s="0" t="s">
        <v>128</v>
      </c>
      <c r="AY508" s="0" t="n">
        <v>355</v>
      </c>
      <c r="AZ508" s="0" t="n">
        <v>365</v>
      </c>
      <c r="BA508" s="0" t="s">
        <v>149</v>
      </c>
      <c r="BB508" s="0" t="n">
        <v>60</v>
      </c>
      <c r="BC508" s="0" t="n">
        <v>63</v>
      </c>
      <c r="BD508" s="0" t="s">
        <v>634</v>
      </c>
      <c r="BE508" s="2" t="n">
        <v>43609</v>
      </c>
    </row>
    <row r="509" customFormat="false" ht="14.25" hidden="false" customHeight="false" outlineLevel="0" collapsed="false">
      <c r="A509" s="0" t="n">
        <v>508</v>
      </c>
      <c r="B509" s="1" t="s">
        <v>1185</v>
      </c>
      <c r="I509" s="0" t="n">
        <v>326</v>
      </c>
      <c r="J509" s="0" t="n">
        <v>355</v>
      </c>
      <c r="K509" s="0" t="s">
        <v>709</v>
      </c>
      <c r="N509" s="0" t="s">
        <v>111</v>
      </c>
      <c r="AD509" s="0" t="n">
        <v>395</v>
      </c>
      <c r="AE509" s="0" t="n">
        <v>426</v>
      </c>
      <c r="AF509" s="0" t="s">
        <v>618</v>
      </c>
      <c r="AS509" s="0" t="n">
        <v>57</v>
      </c>
      <c r="AT509" s="0" t="n">
        <v>60</v>
      </c>
      <c r="AU509" s="0" t="s">
        <v>606</v>
      </c>
      <c r="BB509" s="0" t="n">
        <v>57</v>
      </c>
      <c r="BC509" s="0" t="n">
        <v>60</v>
      </c>
      <c r="BD509" s="0" t="s">
        <v>606</v>
      </c>
      <c r="BE509" s="2" t="n">
        <v>43610</v>
      </c>
    </row>
    <row r="510" customFormat="false" ht="14.25" hidden="false" customHeight="false" outlineLevel="0" collapsed="false">
      <c r="A510" s="0" t="n">
        <v>509</v>
      </c>
      <c r="B510" s="1" t="s">
        <v>1186</v>
      </c>
      <c r="I510" s="0" t="n">
        <v>397</v>
      </c>
      <c r="J510" s="0" t="n">
        <v>422</v>
      </c>
      <c r="K510" s="0" t="s">
        <v>448</v>
      </c>
      <c r="BE510" s="2" t="n">
        <v>43611</v>
      </c>
    </row>
    <row r="511" customFormat="false" ht="14.25" hidden="false" customHeight="false" outlineLevel="0" collapsed="false">
      <c r="A511" s="0" t="n">
        <v>510</v>
      </c>
      <c r="B511" s="1" t="s">
        <v>1187</v>
      </c>
      <c r="C511" s="0" t="n">
        <v>453</v>
      </c>
      <c r="D511" s="0" t="n">
        <v>481</v>
      </c>
      <c r="E511" s="0" t="s">
        <v>141</v>
      </c>
      <c r="F511" s="0" t="n">
        <v>457</v>
      </c>
      <c r="G511" s="0" t="n">
        <v>472</v>
      </c>
      <c r="H511" s="0" t="s">
        <v>112</v>
      </c>
      <c r="I511" s="0" t="n">
        <v>360</v>
      </c>
      <c r="J511" s="0" t="n">
        <v>365</v>
      </c>
      <c r="K511" s="0" t="s">
        <v>790</v>
      </c>
      <c r="L511" s="0" t="n">
        <v>52</v>
      </c>
      <c r="M511" s="0" t="n">
        <v>52</v>
      </c>
      <c r="N511" s="0" t="s">
        <v>110</v>
      </c>
      <c r="AD511" s="0" t="n">
        <v>648</v>
      </c>
      <c r="AE511" s="0" t="n">
        <v>674</v>
      </c>
      <c r="AF511" s="0" t="s">
        <v>594</v>
      </c>
      <c r="AM511" s="0" t="n">
        <v>364</v>
      </c>
      <c r="AN511" s="0" t="n">
        <v>382</v>
      </c>
      <c r="AO511" s="0" t="s">
        <v>753</v>
      </c>
      <c r="AP511" s="0" t="n">
        <v>325</v>
      </c>
      <c r="AQ511" s="0" t="n">
        <v>357</v>
      </c>
      <c r="AR511" s="0" t="s">
        <v>658</v>
      </c>
      <c r="AS511" s="0" t="n">
        <v>41</v>
      </c>
      <c r="AT511" s="0" t="n">
        <v>34</v>
      </c>
      <c r="AU511" s="0" t="s">
        <v>1188</v>
      </c>
      <c r="AV511" s="0" t="n">
        <v>364</v>
      </c>
      <c r="AW511" s="0" t="n">
        <v>382</v>
      </c>
      <c r="AX511" s="0" t="s">
        <v>753</v>
      </c>
      <c r="AY511" s="0" t="n">
        <v>325</v>
      </c>
      <c r="AZ511" s="0" t="n">
        <v>357</v>
      </c>
      <c r="BA511" s="0" t="s">
        <v>658</v>
      </c>
      <c r="BB511" s="0" t="n">
        <v>41</v>
      </c>
      <c r="BC511" s="0" t="n">
        <v>34</v>
      </c>
      <c r="BD511" s="0" t="s">
        <v>1188</v>
      </c>
      <c r="BE511" s="2" t="n">
        <v>43612</v>
      </c>
    </row>
    <row r="512" customFormat="false" ht="14.25" hidden="false" customHeight="false" outlineLevel="0" collapsed="false">
      <c r="A512" s="0" t="n">
        <v>511</v>
      </c>
      <c r="B512" s="1" t="s">
        <v>1189</v>
      </c>
      <c r="C512" s="0" t="n">
        <v>469</v>
      </c>
      <c r="D512" s="0" t="n">
        <v>481</v>
      </c>
      <c r="E512" s="0" t="s">
        <v>370</v>
      </c>
      <c r="F512" s="0" t="n">
        <v>459</v>
      </c>
      <c r="G512" s="0" t="n">
        <v>472</v>
      </c>
      <c r="H512" s="0" t="s">
        <v>128</v>
      </c>
      <c r="I512" s="0" t="n">
        <v>359</v>
      </c>
      <c r="J512" s="0" t="n">
        <v>365</v>
      </c>
      <c r="K512" s="0" t="s">
        <v>706</v>
      </c>
      <c r="L512" s="0" t="n">
        <v>53</v>
      </c>
      <c r="M512" s="0" t="n">
        <v>52</v>
      </c>
      <c r="N512" s="0" t="s">
        <v>986</v>
      </c>
      <c r="AD512" s="0" t="n">
        <v>662</v>
      </c>
      <c r="AE512" s="0" t="n">
        <v>674</v>
      </c>
      <c r="AF512" s="0" t="s">
        <v>600</v>
      </c>
      <c r="AM512" s="0" t="n">
        <v>320</v>
      </c>
      <c r="AN512" s="0" t="n">
        <v>362</v>
      </c>
      <c r="AO512" s="0" t="s">
        <v>400</v>
      </c>
      <c r="AP512" s="0" t="n">
        <v>368</v>
      </c>
      <c r="AQ512" s="0" t="n">
        <v>368</v>
      </c>
      <c r="AR512" s="0" t="s">
        <v>110</v>
      </c>
      <c r="AS512" s="0" t="n">
        <v>40</v>
      </c>
      <c r="AT512" s="0" t="n">
        <v>42</v>
      </c>
      <c r="AU512" s="0" t="s">
        <v>634</v>
      </c>
      <c r="AV512" s="0" t="n">
        <v>320</v>
      </c>
      <c r="AW512" s="0" t="n">
        <v>362</v>
      </c>
      <c r="AX512" s="0" t="s">
        <v>400</v>
      </c>
      <c r="AY512" s="0" t="n">
        <v>368</v>
      </c>
      <c r="AZ512" s="0" t="n">
        <v>368</v>
      </c>
      <c r="BA512" s="0" t="s">
        <v>110</v>
      </c>
      <c r="BB512" s="0" t="n">
        <v>40</v>
      </c>
      <c r="BC512" s="0" t="n">
        <v>42</v>
      </c>
      <c r="BD512" s="0" t="s">
        <v>634</v>
      </c>
      <c r="BE512" s="2" t="n">
        <v>43613</v>
      </c>
    </row>
    <row r="513" customFormat="false" ht="14.25" hidden="false" customHeight="false" outlineLevel="0" collapsed="false">
      <c r="A513" s="0" t="n">
        <v>512</v>
      </c>
      <c r="B513" s="1" t="s">
        <v>1190</v>
      </c>
      <c r="C513" s="0" t="n">
        <v>474</v>
      </c>
      <c r="D513" s="0" t="n">
        <v>481</v>
      </c>
      <c r="E513" s="0" t="s">
        <v>120</v>
      </c>
      <c r="F513" s="0" t="n">
        <v>459</v>
      </c>
      <c r="G513" s="0" t="n">
        <v>472</v>
      </c>
      <c r="H513" s="0" t="s">
        <v>128</v>
      </c>
      <c r="I513" s="0" t="n">
        <v>356</v>
      </c>
      <c r="J513" s="0" t="n">
        <v>365</v>
      </c>
      <c r="K513" s="0" t="s">
        <v>370</v>
      </c>
      <c r="L513" s="0" t="n">
        <v>52</v>
      </c>
      <c r="M513" s="0" t="n">
        <v>52</v>
      </c>
      <c r="N513" s="0" t="s">
        <v>110</v>
      </c>
      <c r="AD513" s="0" t="n">
        <v>661</v>
      </c>
      <c r="AE513" s="0" t="n">
        <v>674</v>
      </c>
      <c r="AF513" s="0" t="s">
        <v>457</v>
      </c>
      <c r="AM513" s="0" t="n">
        <v>359</v>
      </c>
      <c r="AN513" s="0" t="n">
        <v>372</v>
      </c>
      <c r="AO513" s="0" t="s">
        <v>291</v>
      </c>
      <c r="AP513" s="0" t="n">
        <v>365</v>
      </c>
      <c r="AQ513" s="0" t="n">
        <v>365</v>
      </c>
      <c r="AR513" s="0" t="s">
        <v>110</v>
      </c>
      <c r="AS513" s="0" t="n">
        <v>40</v>
      </c>
      <c r="AT513" s="0" t="n">
        <v>41</v>
      </c>
      <c r="AU513" s="0" t="s">
        <v>497</v>
      </c>
      <c r="AV513" s="0" t="n">
        <v>359</v>
      </c>
      <c r="AW513" s="0" t="n">
        <v>372</v>
      </c>
      <c r="AX513" s="0" t="s">
        <v>291</v>
      </c>
      <c r="AY513" s="0" t="n">
        <v>365</v>
      </c>
      <c r="AZ513" s="0" t="n">
        <v>365</v>
      </c>
      <c r="BA513" s="0" t="s">
        <v>110</v>
      </c>
      <c r="BB513" s="0" t="n">
        <v>40</v>
      </c>
      <c r="BC513" s="0" t="n">
        <v>41</v>
      </c>
      <c r="BD513" s="0" t="s">
        <v>497</v>
      </c>
      <c r="BE513" s="2" t="n">
        <v>43614</v>
      </c>
    </row>
    <row r="514" customFormat="false" ht="14.25" hidden="false" customHeight="false" outlineLevel="0" collapsed="false">
      <c r="A514" s="0" t="n">
        <v>513</v>
      </c>
      <c r="B514" s="1" t="s">
        <v>1191</v>
      </c>
      <c r="C514" s="0" t="n">
        <v>416</v>
      </c>
      <c r="D514" s="0" t="n">
        <v>481</v>
      </c>
      <c r="E514" s="0" t="s">
        <v>418</v>
      </c>
      <c r="F514" s="0" t="n">
        <v>422</v>
      </c>
      <c r="G514" s="0" t="n">
        <v>472</v>
      </c>
      <c r="H514" s="0" t="s">
        <v>396</v>
      </c>
      <c r="I514" s="0" t="n">
        <v>352</v>
      </c>
      <c r="J514" s="0" t="n">
        <v>365</v>
      </c>
      <c r="K514" s="0" t="s">
        <v>187</v>
      </c>
      <c r="L514" s="0" t="n">
        <v>50</v>
      </c>
      <c r="M514" s="0" t="n">
        <v>52</v>
      </c>
      <c r="N514" s="0" t="s">
        <v>200</v>
      </c>
      <c r="AD514" s="0" t="n">
        <v>618</v>
      </c>
      <c r="AE514" s="0" t="n">
        <v>639</v>
      </c>
      <c r="AF514" s="0" t="s">
        <v>538</v>
      </c>
      <c r="AM514" s="0" t="n">
        <v>349</v>
      </c>
      <c r="AN514" s="0" t="n">
        <v>350</v>
      </c>
      <c r="AO514" s="0" t="s">
        <v>723</v>
      </c>
      <c r="AP514" s="0" t="n">
        <v>330</v>
      </c>
      <c r="AQ514" s="0" t="n">
        <v>330</v>
      </c>
      <c r="AR514" s="0" t="s">
        <v>110</v>
      </c>
      <c r="AS514" s="0" t="n">
        <v>35</v>
      </c>
      <c r="AT514" s="0" t="n">
        <v>35</v>
      </c>
      <c r="AU514" s="0" t="s">
        <v>110</v>
      </c>
      <c r="AV514" s="0" t="n">
        <v>349</v>
      </c>
      <c r="AW514" s="0" t="n">
        <v>350</v>
      </c>
      <c r="AX514" s="0" t="s">
        <v>723</v>
      </c>
      <c r="AY514" s="0" t="n">
        <v>330</v>
      </c>
      <c r="AZ514" s="0" t="n">
        <v>330</v>
      </c>
      <c r="BA514" s="0" t="s">
        <v>110</v>
      </c>
      <c r="BB514" s="0" t="n">
        <v>35</v>
      </c>
      <c r="BC514" s="0" t="n">
        <v>35</v>
      </c>
      <c r="BD514" s="0" t="s">
        <v>110</v>
      </c>
      <c r="BE514" s="2" t="n">
        <v>43615</v>
      </c>
    </row>
    <row r="515" customFormat="false" ht="14.25" hidden="false" customHeight="false" outlineLevel="0" collapsed="false">
      <c r="A515" s="0" t="n">
        <v>514</v>
      </c>
      <c r="B515" s="1" t="s">
        <v>1192</v>
      </c>
      <c r="C515" s="0" t="n">
        <v>464</v>
      </c>
      <c r="D515" s="0" t="n">
        <v>481</v>
      </c>
      <c r="E515" s="0" t="s">
        <v>291</v>
      </c>
      <c r="F515" s="0" t="n">
        <v>462</v>
      </c>
      <c r="G515" s="0" t="n">
        <v>472</v>
      </c>
      <c r="H515" s="0" t="s">
        <v>551</v>
      </c>
      <c r="I515" s="0" t="n">
        <v>39</v>
      </c>
      <c r="J515" s="0" t="n">
        <v>417</v>
      </c>
      <c r="K515" s="0" t="s">
        <v>1193</v>
      </c>
      <c r="L515" s="0" t="n">
        <v>52</v>
      </c>
      <c r="M515" s="0" t="n">
        <v>52</v>
      </c>
      <c r="N515" s="0" t="s">
        <v>110</v>
      </c>
      <c r="AD515" s="0" t="n">
        <v>677</v>
      </c>
      <c r="AE515" s="0" t="n">
        <v>697</v>
      </c>
      <c r="AF515" s="0" t="s">
        <v>492</v>
      </c>
      <c r="AM515" s="0" t="n">
        <v>322</v>
      </c>
      <c r="AN515" s="0" t="n">
        <v>355</v>
      </c>
      <c r="AO515" s="0" t="s">
        <v>186</v>
      </c>
      <c r="AS515" s="0" t="n">
        <v>105</v>
      </c>
      <c r="AT515" s="0" t="n">
        <v>112</v>
      </c>
      <c r="AU515" s="0" t="s">
        <v>383</v>
      </c>
      <c r="AV515" s="0" t="n">
        <v>322</v>
      </c>
      <c r="AW515" s="0" t="n">
        <v>355</v>
      </c>
      <c r="AX515" s="0" t="s">
        <v>186</v>
      </c>
      <c r="BB515" s="0" t="n">
        <v>105</v>
      </c>
      <c r="BC515" s="0" t="n">
        <v>112</v>
      </c>
      <c r="BD515" s="0" t="s">
        <v>383</v>
      </c>
      <c r="BE515" s="2" t="n">
        <v>43616</v>
      </c>
    </row>
    <row r="516" customFormat="false" ht="14.25" hidden="false" customHeight="false" outlineLevel="0" collapsed="false">
      <c r="A516" s="0" t="n">
        <v>515</v>
      </c>
      <c r="B516" s="1" t="s">
        <v>1194</v>
      </c>
      <c r="C516" s="0" t="n">
        <v>439</v>
      </c>
      <c r="D516" s="0" t="n">
        <v>481</v>
      </c>
      <c r="E516" s="0" t="s">
        <v>174</v>
      </c>
      <c r="F516" s="0" t="n">
        <v>443</v>
      </c>
      <c r="G516" s="0" t="n">
        <v>472</v>
      </c>
      <c r="H516" s="0" t="s">
        <v>604</v>
      </c>
      <c r="I516" s="0" t="n">
        <v>352</v>
      </c>
      <c r="J516" s="0" t="n">
        <v>365</v>
      </c>
      <c r="K516" s="0" t="s">
        <v>187</v>
      </c>
      <c r="L516" s="0" t="n">
        <v>53</v>
      </c>
      <c r="M516" s="0" t="n">
        <v>52</v>
      </c>
      <c r="N516" s="0" t="s">
        <v>986</v>
      </c>
      <c r="AD516" s="0" t="n">
        <v>628</v>
      </c>
      <c r="AE516" s="0" t="n">
        <v>673</v>
      </c>
      <c r="AF516" s="0" t="s">
        <v>490</v>
      </c>
      <c r="AM516" s="0" t="n">
        <v>344</v>
      </c>
      <c r="AN516" s="0" t="n">
        <v>539</v>
      </c>
      <c r="AO516" s="0" t="s">
        <v>1195</v>
      </c>
      <c r="AP516" s="0" t="n">
        <v>349</v>
      </c>
      <c r="AQ516" s="0" t="n">
        <v>349</v>
      </c>
      <c r="AR516" s="0" t="s">
        <v>110</v>
      </c>
      <c r="AV516" s="0" t="n">
        <v>344</v>
      </c>
      <c r="AW516" s="0" t="n">
        <v>539</v>
      </c>
      <c r="AX516" s="0" t="s">
        <v>1195</v>
      </c>
      <c r="AY516" s="0" t="n">
        <v>349</v>
      </c>
      <c r="AZ516" s="0" t="n">
        <v>349</v>
      </c>
      <c r="BA516" s="0" t="s">
        <v>110</v>
      </c>
      <c r="BE516" s="2" t="n">
        <v>43619</v>
      </c>
    </row>
    <row r="517" customFormat="false" ht="14.25" hidden="false" customHeight="false" outlineLevel="0" collapsed="false">
      <c r="A517" s="0" t="n">
        <v>516</v>
      </c>
      <c r="B517" s="1" t="s">
        <v>1196</v>
      </c>
      <c r="C517" s="0" t="n">
        <v>440</v>
      </c>
      <c r="D517" s="0" t="n">
        <v>473</v>
      </c>
      <c r="E517" s="0" t="s">
        <v>586</v>
      </c>
      <c r="F517" s="0" t="n">
        <v>441</v>
      </c>
      <c r="G517" s="0" t="n">
        <v>465</v>
      </c>
      <c r="H517" s="0" t="s">
        <v>191</v>
      </c>
      <c r="I517" s="0" t="n">
        <v>347</v>
      </c>
      <c r="J517" s="0" t="n">
        <v>358</v>
      </c>
      <c r="K517" s="0" t="s">
        <v>758</v>
      </c>
      <c r="L517" s="0" t="n">
        <v>52</v>
      </c>
      <c r="M517" s="0" t="n">
        <v>52</v>
      </c>
      <c r="N517" s="0" t="s">
        <v>110</v>
      </c>
      <c r="AD517" s="0" t="n">
        <v>642</v>
      </c>
      <c r="AE517" s="0" t="n">
        <v>688</v>
      </c>
      <c r="AF517" s="0" t="s">
        <v>490</v>
      </c>
      <c r="AM517" s="0" t="n">
        <v>336</v>
      </c>
      <c r="AN517" s="0" t="n">
        <v>382</v>
      </c>
      <c r="AO517" s="0" t="s">
        <v>158</v>
      </c>
      <c r="AP517" s="0" t="n">
        <v>343</v>
      </c>
      <c r="AQ517" s="0" t="n">
        <v>350</v>
      </c>
      <c r="AR517" s="0" t="s">
        <v>131</v>
      </c>
      <c r="AV517" s="0" t="n">
        <v>336</v>
      </c>
      <c r="AW517" s="0" t="n">
        <v>382</v>
      </c>
      <c r="AX517" s="0" t="s">
        <v>158</v>
      </c>
      <c r="AY517" s="0" t="n">
        <v>343</v>
      </c>
      <c r="AZ517" s="0" t="n">
        <v>350</v>
      </c>
      <c r="BA517" s="0" t="s">
        <v>131</v>
      </c>
      <c r="BE517" s="2" t="n">
        <v>43620</v>
      </c>
    </row>
    <row r="518" customFormat="false" ht="14.25" hidden="false" customHeight="false" outlineLevel="0" collapsed="false">
      <c r="A518" s="0" t="n">
        <v>517</v>
      </c>
      <c r="B518" s="1" t="s">
        <v>1197</v>
      </c>
      <c r="C518" s="0" t="n">
        <v>457</v>
      </c>
      <c r="D518" s="0" t="n">
        <v>481</v>
      </c>
      <c r="E518" s="0" t="s">
        <v>606</v>
      </c>
      <c r="F518" s="0" t="n">
        <v>458</v>
      </c>
      <c r="G518" s="0" t="n">
        <v>472</v>
      </c>
      <c r="H518" s="0" t="s">
        <v>756</v>
      </c>
      <c r="I518" s="0" t="n">
        <v>349</v>
      </c>
      <c r="J518" s="0" t="n">
        <v>365</v>
      </c>
      <c r="K518" s="0" t="s">
        <v>544</v>
      </c>
      <c r="L518" s="0" t="n">
        <v>52</v>
      </c>
      <c r="M518" s="0" t="n">
        <v>52</v>
      </c>
      <c r="N518" s="0" t="s">
        <v>110</v>
      </c>
      <c r="AD518" s="0" t="n">
        <v>674</v>
      </c>
      <c r="AE518" s="0" t="n">
        <v>674</v>
      </c>
      <c r="AF518" s="0" t="s">
        <v>110</v>
      </c>
      <c r="AM518" s="0" t="n">
        <v>372</v>
      </c>
      <c r="AN518" s="0" t="n">
        <v>372</v>
      </c>
      <c r="AO518" s="0" t="s">
        <v>110</v>
      </c>
      <c r="AP518" s="0" t="n">
        <v>357</v>
      </c>
      <c r="AQ518" s="0" t="n">
        <v>358</v>
      </c>
      <c r="AR518" s="0" t="s">
        <v>723</v>
      </c>
      <c r="AV518" s="0" t="n">
        <v>372</v>
      </c>
      <c r="AW518" s="0" t="n">
        <v>372</v>
      </c>
      <c r="AX518" s="0" t="s">
        <v>110</v>
      </c>
      <c r="AY518" s="0" t="n">
        <v>357</v>
      </c>
      <c r="AZ518" s="0" t="n">
        <v>358</v>
      </c>
      <c r="BA518" s="0" t="s">
        <v>723</v>
      </c>
      <c r="BE518" s="2" t="n">
        <v>43621</v>
      </c>
    </row>
    <row r="519" customFormat="false" ht="14.25" hidden="false" customHeight="false" outlineLevel="0" collapsed="false">
      <c r="A519" s="0" t="n">
        <v>518</v>
      </c>
      <c r="B519" s="1" t="s">
        <v>1198</v>
      </c>
      <c r="C519" s="0" t="n">
        <v>444</v>
      </c>
      <c r="D519" s="0" t="n">
        <v>481</v>
      </c>
      <c r="E519" s="0" t="s">
        <v>193</v>
      </c>
      <c r="F519" s="0" t="n">
        <v>459</v>
      </c>
      <c r="G519" s="0" t="n">
        <v>472</v>
      </c>
      <c r="H519" s="0" t="s">
        <v>128</v>
      </c>
      <c r="I519" s="0" t="n">
        <v>357</v>
      </c>
      <c r="J519" s="0" t="n">
        <v>365</v>
      </c>
      <c r="K519" s="0" t="s">
        <v>652</v>
      </c>
      <c r="L519" s="0" t="n">
        <v>52</v>
      </c>
      <c r="M519" s="0" t="n">
        <v>52</v>
      </c>
      <c r="N519" s="0" t="s">
        <v>110</v>
      </c>
      <c r="AD519" s="0" t="n">
        <v>653</v>
      </c>
      <c r="AE519" s="0" t="n">
        <v>674</v>
      </c>
      <c r="AF519" s="0" t="s">
        <v>758</v>
      </c>
      <c r="AM519" s="0" t="n">
        <v>314</v>
      </c>
      <c r="AN519" s="0" t="n">
        <v>359</v>
      </c>
      <c r="AO519" s="0" t="s">
        <v>321</v>
      </c>
      <c r="AP519" s="0" t="n">
        <v>356</v>
      </c>
      <c r="AQ519" s="0" t="n">
        <v>364</v>
      </c>
      <c r="AR519" s="0" t="s">
        <v>652</v>
      </c>
      <c r="AV519" s="0" t="n">
        <v>314</v>
      </c>
      <c r="AW519" s="0" t="n">
        <v>359</v>
      </c>
      <c r="AX519" s="0" t="s">
        <v>321</v>
      </c>
      <c r="AY519" s="0" t="n">
        <v>356</v>
      </c>
      <c r="AZ519" s="0" t="n">
        <v>364</v>
      </c>
      <c r="BA519" s="0" t="s">
        <v>652</v>
      </c>
      <c r="BE519" s="2" t="n">
        <v>43622</v>
      </c>
    </row>
    <row r="520" customFormat="false" ht="14.25" hidden="false" customHeight="false" outlineLevel="0" collapsed="false">
      <c r="A520" s="0" t="n">
        <v>519</v>
      </c>
      <c r="B520" s="1" t="s">
        <v>1199</v>
      </c>
      <c r="C520" s="0" t="n">
        <v>462</v>
      </c>
      <c r="D520" s="0" t="n">
        <v>481</v>
      </c>
      <c r="E520" s="0" t="s">
        <v>438</v>
      </c>
      <c r="F520" s="0" t="n">
        <v>454</v>
      </c>
      <c r="G520" s="0" t="n">
        <v>472</v>
      </c>
      <c r="H520" s="0" t="s">
        <v>200</v>
      </c>
      <c r="I520" s="0" t="n">
        <v>398</v>
      </c>
      <c r="J520" s="0" t="n">
        <v>417</v>
      </c>
      <c r="K520" s="0" t="s">
        <v>188</v>
      </c>
      <c r="L520" s="0" t="n">
        <v>52</v>
      </c>
      <c r="M520" s="0" t="n">
        <v>52</v>
      </c>
      <c r="N520" s="0" t="s">
        <v>110</v>
      </c>
      <c r="AD520" s="0" t="n">
        <v>693</v>
      </c>
      <c r="AE520" s="0" t="n">
        <v>693</v>
      </c>
      <c r="AF520" s="0" t="s">
        <v>110</v>
      </c>
      <c r="AM520" s="0" t="n">
        <v>320</v>
      </c>
      <c r="AN520" s="0" t="n">
        <v>356</v>
      </c>
      <c r="AO520" s="0" t="s">
        <v>489</v>
      </c>
      <c r="AP520" s="0" t="n">
        <v>348</v>
      </c>
      <c r="AQ520" s="0" t="n">
        <v>352</v>
      </c>
      <c r="AR520" s="0" t="s">
        <v>143</v>
      </c>
      <c r="AV520" s="0" t="n">
        <v>320</v>
      </c>
      <c r="AW520" s="0" t="n">
        <v>356</v>
      </c>
      <c r="AX520" s="0" t="s">
        <v>489</v>
      </c>
      <c r="AY520" s="0" t="n">
        <v>348</v>
      </c>
      <c r="AZ520" s="0" t="n">
        <v>352</v>
      </c>
      <c r="BA520" s="0" t="s">
        <v>143</v>
      </c>
      <c r="BE520" s="2" t="n">
        <v>43623</v>
      </c>
    </row>
    <row r="521" customFormat="false" ht="14.25" hidden="false" customHeight="false" outlineLevel="0" collapsed="false">
      <c r="A521" s="0" t="n">
        <v>520</v>
      </c>
      <c r="B521" s="1" t="s">
        <v>1200</v>
      </c>
      <c r="C521" s="0" t="n">
        <v>334</v>
      </c>
      <c r="D521" s="0" t="n">
        <v>355</v>
      </c>
      <c r="E521" s="0" t="s">
        <v>448</v>
      </c>
      <c r="F521" s="0" t="n">
        <v>332</v>
      </c>
      <c r="G521" s="0" t="n">
        <v>355</v>
      </c>
      <c r="H521" s="0" t="s">
        <v>713</v>
      </c>
      <c r="BE521" s="2" t="n">
        <v>43624</v>
      </c>
    </row>
    <row r="522" customFormat="false" ht="14.25" hidden="false" customHeight="false" outlineLevel="0" collapsed="false">
      <c r="A522" s="0" t="n">
        <v>521</v>
      </c>
      <c r="B522" s="1" t="s">
        <v>1201</v>
      </c>
      <c r="I522" s="0" t="n">
        <v>407</v>
      </c>
      <c r="J522" s="0" t="n">
        <v>419</v>
      </c>
      <c r="K522" s="0" t="s">
        <v>492</v>
      </c>
      <c r="BE522" s="2" t="n">
        <v>43625</v>
      </c>
    </row>
    <row r="523" customFormat="false" ht="14.25" hidden="false" customHeight="false" outlineLevel="0" collapsed="false">
      <c r="A523" s="0" t="n">
        <v>522</v>
      </c>
      <c r="B523" s="1" t="s">
        <v>1202</v>
      </c>
      <c r="C523" s="0" t="n">
        <v>447</v>
      </c>
      <c r="D523" s="0" t="n">
        <v>481</v>
      </c>
      <c r="E523" s="0" t="s">
        <v>207</v>
      </c>
      <c r="F523" s="0" t="n">
        <v>424</v>
      </c>
      <c r="G523" s="0" t="n">
        <v>472</v>
      </c>
      <c r="H523" s="0" t="s">
        <v>403</v>
      </c>
      <c r="I523" s="0" t="n">
        <v>343</v>
      </c>
      <c r="J523" s="0" t="n">
        <v>365</v>
      </c>
      <c r="K523" s="0" t="s">
        <v>526</v>
      </c>
      <c r="L523" s="0" t="n">
        <v>52</v>
      </c>
      <c r="M523" s="0" t="n">
        <v>52</v>
      </c>
      <c r="N523" s="0" t="s">
        <v>110</v>
      </c>
      <c r="AD523" s="0" t="n">
        <v>658</v>
      </c>
      <c r="AE523" s="0" t="n">
        <v>674</v>
      </c>
      <c r="AF523" s="0" t="s">
        <v>497</v>
      </c>
      <c r="AM523" s="0" t="n">
        <v>357</v>
      </c>
      <c r="AN523" s="0" t="n">
        <v>371</v>
      </c>
      <c r="AO523" s="0" t="s">
        <v>200</v>
      </c>
      <c r="AP523" s="0" t="n">
        <v>308</v>
      </c>
      <c r="AQ523" s="0" t="n">
        <v>337</v>
      </c>
      <c r="AR523" s="0" t="s">
        <v>795</v>
      </c>
      <c r="AV523" s="0" t="n">
        <v>357</v>
      </c>
      <c r="AW523" s="0" t="n">
        <v>371</v>
      </c>
      <c r="AX523" s="0" t="s">
        <v>200</v>
      </c>
      <c r="AY523" s="0" t="n">
        <v>308</v>
      </c>
      <c r="AZ523" s="0" t="n">
        <v>337</v>
      </c>
      <c r="BA523" s="0" t="s">
        <v>795</v>
      </c>
      <c r="BE523" s="2" t="n">
        <v>43626</v>
      </c>
    </row>
    <row r="524" customFormat="false" ht="14.25" hidden="false" customHeight="false" outlineLevel="0" collapsed="false">
      <c r="A524" s="0" t="n">
        <v>523</v>
      </c>
      <c r="B524" s="1" t="s">
        <v>1203</v>
      </c>
      <c r="C524" s="0" t="n">
        <v>463</v>
      </c>
      <c r="D524" s="0" t="n">
        <v>481</v>
      </c>
      <c r="E524" s="0" t="s">
        <v>182</v>
      </c>
      <c r="F524" s="0" t="n">
        <v>434</v>
      </c>
      <c r="G524" s="0" t="n">
        <v>472</v>
      </c>
      <c r="H524" s="0" t="s">
        <v>398</v>
      </c>
      <c r="I524" s="0" t="n">
        <v>330</v>
      </c>
      <c r="J524" s="0" t="n">
        <v>365</v>
      </c>
      <c r="K524" s="0" t="s">
        <v>463</v>
      </c>
      <c r="L524" s="0" t="n">
        <v>50</v>
      </c>
      <c r="M524" s="0" t="n">
        <v>52</v>
      </c>
      <c r="N524" s="0" t="s">
        <v>200</v>
      </c>
      <c r="AD524" s="0" t="n">
        <v>674</v>
      </c>
      <c r="AE524" s="0" t="n">
        <v>674</v>
      </c>
      <c r="AF524" s="0" t="s">
        <v>110</v>
      </c>
      <c r="AM524" s="0" t="n">
        <v>351</v>
      </c>
      <c r="AN524" s="0" t="n">
        <v>366</v>
      </c>
      <c r="AO524" s="0" t="s">
        <v>777</v>
      </c>
      <c r="AP524" s="0" t="n">
        <v>363</v>
      </c>
      <c r="AQ524" s="0" t="n">
        <v>364</v>
      </c>
      <c r="AR524" s="0" t="s">
        <v>723</v>
      </c>
      <c r="AV524" s="0" t="n">
        <v>351</v>
      </c>
      <c r="AW524" s="0" t="n">
        <v>366</v>
      </c>
      <c r="AX524" s="0" t="s">
        <v>777</v>
      </c>
      <c r="AY524" s="0" t="n">
        <v>363</v>
      </c>
      <c r="AZ524" s="0" t="n">
        <v>364</v>
      </c>
      <c r="BA524" s="0" t="s">
        <v>723</v>
      </c>
      <c r="BE524" s="2" t="n">
        <v>43627</v>
      </c>
    </row>
    <row r="525" customFormat="false" ht="14.25" hidden="false" customHeight="false" outlineLevel="0" collapsed="false">
      <c r="A525" s="0" t="n">
        <v>524</v>
      </c>
      <c r="B525" s="1" t="s">
        <v>1204</v>
      </c>
      <c r="C525" s="0" t="n">
        <v>452</v>
      </c>
      <c r="D525" s="0" t="n">
        <v>481</v>
      </c>
      <c r="E525" s="0" t="s">
        <v>526</v>
      </c>
      <c r="F525" s="0" t="n">
        <v>455</v>
      </c>
      <c r="G525" s="0" t="n">
        <v>472</v>
      </c>
      <c r="H525" s="0" t="s">
        <v>187</v>
      </c>
      <c r="I525" s="0" t="n">
        <v>354</v>
      </c>
      <c r="J525" s="0" t="n">
        <v>365</v>
      </c>
      <c r="K525" s="0" t="s">
        <v>756</v>
      </c>
      <c r="L525" s="0" t="n">
        <v>51</v>
      </c>
      <c r="M525" s="0" t="n">
        <v>49</v>
      </c>
      <c r="N525" s="0" t="s">
        <v>967</v>
      </c>
      <c r="AD525" s="0" t="n">
        <v>674</v>
      </c>
      <c r="AE525" s="0" t="n">
        <v>674</v>
      </c>
      <c r="AF525" s="0" t="s">
        <v>110</v>
      </c>
      <c r="AM525" s="0" t="n">
        <v>342</v>
      </c>
      <c r="AN525" s="0" t="n">
        <v>363</v>
      </c>
      <c r="AO525" s="0" t="s">
        <v>141</v>
      </c>
      <c r="AP525" s="0" t="n">
        <v>356</v>
      </c>
      <c r="AQ525" s="0" t="n">
        <v>361</v>
      </c>
      <c r="AR525" s="0" t="s">
        <v>790</v>
      </c>
      <c r="AV525" s="0" t="n">
        <v>342</v>
      </c>
      <c r="AW525" s="0" t="n">
        <v>363</v>
      </c>
      <c r="AX525" s="0" t="s">
        <v>141</v>
      </c>
      <c r="AY525" s="0" t="n">
        <v>356</v>
      </c>
      <c r="AZ525" s="0" t="n">
        <v>361</v>
      </c>
      <c r="BA525" s="0" t="s">
        <v>790</v>
      </c>
      <c r="BE525" s="2" t="n">
        <v>43628</v>
      </c>
    </row>
    <row r="526" customFormat="false" ht="14.25" hidden="false" customHeight="false" outlineLevel="0" collapsed="false">
      <c r="A526" s="0" t="n">
        <v>525</v>
      </c>
      <c r="B526" s="1" t="s">
        <v>1205</v>
      </c>
      <c r="C526" s="0" t="n">
        <v>463</v>
      </c>
      <c r="D526" s="0" t="n">
        <v>481</v>
      </c>
      <c r="E526" s="0" t="s">
        <v>182</v>
      </c>
      <c r="F526" s="0" t="n">
        <v>433</v>
      </c>
      <c r="G526" s="0" t="n">
        <v>472</v>
      </c>
      <c r="H526" s="0" t="s">
        <v>363</v>
      </c>
      <c r="I526" s="0" t="n">
        <v>349</v>
      </c>
      <c r="J526" s="0" t="n">
        <v>365</v>
      </c>
      <c r="K526" s="0" t="s">
        <v>544</v>
      </c>
      <c r="L526" s="0" t="n">
        <v>45</v>
      </c>
      <c r="M526" s="0" t="n">
        <v>45</v>
      </c>
      <c r="N526" s="0" t="s">
        <v>110</v>
      </c>
      <c r="AD526" s="0" t="n">
        <v>698</v>
      </c>
      <c r="AE526" s="0" t="n">
        <v>699</v>
      </c>
      <c r="AF526" s="0" t="s">
        <v>834</v>
      </c>
      <c r="AM526" s="0" t="n">
        <v>332</v>
      </c>
      <c r="AN526" s="0" t="n">
        <v>352</v>
      </c>
      <c r="AO526" s="0" t="s">
        <v>523</v>
      </c>
      <c r="AP526" s="0" t="n">
        <v>353</v>
      </c>
      <c r="AQ526" s="0" t="n">
        <v>364</v>
      </c>
      <c r="AR526" s="0" t="s">
        <v>756</v>
      </c>
      <c r="AV526" s="0" t="n">
        <v>332</v>
      </c>
      <c r="AW526" s="0" t="n">
        <v>352</v>
      </c>
      <c r="AX526" s="0" t="s">
        <v>523</v>
      </c>
      <c r="AY526" s="0" t="n">
        <v>353</v>
      </c>
      <c r="AZ526" s="0" t="n">
        <v>364</v>
      </c>
      <c r="BA526" s="0" t="s">
        <v>756</v>
      </c>
      <c r="BE526" s="2" t="n">
        <v>43629</v>
      </c>
    </row>
    <row r="527" customFormat="false" ht="14.25" hidden="false" customHeight="false" outlineLevel="0" collapsed="false">
      <c r="A527" s="0" t="n">
        <v>526</v>
      </c>
      <c r="B527" s="1" t="s">
        <v>1206</v>
      </c>
      <c r="I527" s="0" t="n">
        <v>398</v>
      </c>
      <c r="J527" s="0" t="n">
        <v>422</v>
      </c>
      <c r="K527" s="0" t="s">
        <v>523</v>
      </c>
      <c r="BE527" s="2" t="n">
        <v>43632</v>
      </c>
    </row>
    <row r="528" customFormat="false" ht="14.25" hidden="false" customHeight="false" outlineLevel="0" collapsed="false">
      <c r="A528" s="0" t="n">
        <v>527</v>
      </c>
      <c r="B528" s="1" t="s">
        <v>1207</v>
      </c>
      <c r="C528" s="0" t="n">
        <v>455</v>
      </c>
      <c r="D528" s="0" t="n">
        <v>481</v>
      </c>
      <c r="E528" s="0" t="s">
        <v>332</v>
      </c>
      <c r="F528" s="0" t="n">
        <v>446</v>
      </c>
      <c r="G528" s="0" t="n">
        <v>472</v>
      </c>
      <c r="H528" s="0" t="s">
        <v>581</v>
      </c>
      <c r="I528" s="0" t="n">
        <v>353</v>
      </c>
      <c r="J528" s="0" t="n">
        <v>365</v>
      </c>
      <c r="K528" s="0" t="s">
        <v>538</v>
      </c>
      <c r="L528" s="0" t="n">
        <v>47</v>
      </c>
      <c r="M528" s="0" t="n">
        <v>47</v>
      </c>
      <c r="N528" s="0" t="s">
        <v>110</v>
      </c>
      <c r="AD528" s="0" t="n">
        <v>675</v>
      </c>
      <c r="AE528" s="0" t="n">
        <v>676</v>
      </c>
      <c r="AF528" s="0" t="s">
        <v>834</v>
      </c>
      <c r="AM528" s="0" t="n">
        <v>328</v>
      </c>
      <c r="AN528" s="0" t="n">
        <v>335</v>
      </c>
      <c r="AO528" s="0" t="s">
        <v>551</v>
      </c>
      <c r="AP528" s="0" t="n">
        <v>350</v>
      </c>
      <c r="AQ528" s="0" t="n">
        <v>366</v>
      </c>
      <c r="AR528" s="0" t="s">
        <v>544</v>
      </c>
      <c r="AV528" s="0" t="n">
        <v>328</v>
      </c>
      <c r="AW528" s="0" t="n">
        <v>335</v>
      </c>
      <c r="AX528" s="0" t="s">
        <v>551</v>
      </c>
      <c r="AY528" s="0" t="n">
        <v>350</v>
      </c>
      <c r="AZ528" s="0" t="n">
        <v>366</v>
      </c>
      <c r="BA528" s="0" t="s">
        <v>544</v>
      </c>
      <c r="BE528" s="2" t="n">
        <v>43633</v>
      </c>
    </row>
    <row r="529" customFormat="false" ht="14.25" hidden="false" customHeight="false" outlineLevel="0" collapsed="false">
      <c r="A529" s="0" t="n">
        <v>528</v>
      </c>
      <c r="B529" s="1" t="s">
        <v>1208</v>
      </c>
      <c r="C529" s="0" t="n">
        <v>459</v>
      </c>
      <c r="D529" s="0" t="n">
        <v>473</v>
      </c>
      <c r="E529" s="0" t="s">
        <v>756</v>
      </c>
      <c r="F529" s="0" t="n">
        <v>445</v>
      </c>
      <c r="G529" s="0" t="n">
        <v>465</v>
      </c>
      <c r="H529" s="0" t="s">
        <v>144</v>
      </c>
      <c r="I529" s="0" t="n">
        <v>350</v>
      </c>
      <c r="J529" s="0" t="n">
        <v>361</v>
      </c>
      <c r="K529" s="0" t="s">
        <v>756</v>
      </c>
      <c r="L529" s="0" t="n">
        <v>44</v>
      </c>
      <c r="M529" s="0" t="n">
        <v>44</v>
      </c>
      <c r="N529" s="0" t="s">
        <v>110</v>
      </c>
      <c r="AD529" s="0" t="n">
        <v>661</v>
      </c>
      <c r="AE529" s="0" t="n">
        <v>661</v>
      </c>
      <c r="AF529" s="0" t="s">
        <v>110</v>
      </c>
      <c r="AM529" s="0" t="n">
        <v>347</v>
      </c>
      <c r="AN529" s="0" t="n">
        <v>350</v>
      </c>
      <c r="AO529" s="0" t="s">
        <v>798</v>
      </c>
      <c r="AP529" s="0" t="n">
        <v>354</v>
      </c>
      <c r="AQ529" s="0" t="n">
        <v>354</v>
      </c>
      <c r="AR529" s="0" t="s">
        <v>110</v>
      </c>
      <c r="AV529" s="0" t="n">
        <v>347</v>
      </c>
      <c r="AW529" s="0" t="n">
        <v>350</v>
      </c>
      <c r="AX529" s="0" t="s">
        <v>798</v>
      </c>
      <c r="AY529" s="0" t="n">
        <v>354</v>
      </c>
      <c r="AZ529" s="0" t="n">
        <v>354</v>
      </c>
      <c r="BA529" s="0" t="s">
        <v>110</v>
      </c>
      <c r="BE529" s="2" t="n">
        <v>43634</v>
      </c>
    </row>
    <row r="530" customFormat="false" ht="14.25" hidden="false" customHeight="false" outlineLevel="0" collapsed="false">
      <c r="A530" s="0" t="n">
        <v>529</v>
      </c>
      <c r="B530" s="1" t="s">
        <v>1209</v>
      </c>
      <c r="C530" s="0" t="n">
        <v>462</v>
      </c>
      <c r="D530" s="0" t="n">
        <v>481</v>
      </c>
      <c r="E530" s="0" t="s">
        <v>438</v>
      </c>
      <c r="F530" s="0" t="n">
        <v>449</v>
      </c>
      <c r="G530" s="0" t="n">
        <v>472</v>
      </c>
      <c r="H530" s="0" t="s">
        <v>210</v>
      </c>
      <c r="I530" s="0" t="n">
        <v>409</v>
      </c>
      <c r="J530" s="0" t="n">
        <v>417</v>
      </c>
      <c r="K530" s="0" t="s">
        <v>457</v>
      </c>
      <c r="L530" s="0" t="n">
        <v>45</v>
      </c>
      <c r="M530" s="0" t="n">
        <v>45</v>
      </c>
      <c r="N530" s="0" t="s">
        <v>110</v>
      </c>
      <c r="AD530" s="0" t="n">
        <v>680</v>
      </c>
      <c r="AE530" s="0" t="n">
        <v>681</v>
      </c>
      <c r="AF530" s="0" t="s">
        <v>834</v>
      </c>
      <c r="AM530" s="0" t="n">
        <v>341</v>
      </c>
      <c r="AN530" s="0" t="n">
        <v>369</v>
      </c>
      <c r="AO530" s="0" t="s">
        <v>447</v>
      </c>
      <c r="AP530" s="0" t="n">
        <v>370</v>
      </c>
      <c r="AQ530" s="0" t="n">
        <v>370</v>
      </c>
      <c r="AR530" s="0" t="s">
        <v>110</v>
      </c>
      <c r="AV530" s="0" t="n">
        <v>341</v>
      </c>
      <c r="AW530" s="0" t="n">
        <v>369</v>
      </c>
      <c r="AX530" s="0" t="s">
        <v>447</v>
      </c>
      <c r="AY530" s="0" t="n">
        <v>370</v>
      </c>
      <c r="AZ530" s="0" t="n">
        <v>370</v>
      </c>
      <c r="BA530" s="0" t="s">
        <v>110</v>
      </c>
      <c r="BE530" s="2" t="n">
        <v>43635</v>
      </c>
    </row>
    <row r="531" customFormat="false" ht="14.25" hidden="false" customHeight="false" outlineLevel="0" collapsed="false">
      <c r="A531" s="0" t="n">
        <v>530</v>
      </c>
      <c r="B531" s="1" t="s">
        <v>1210</v>
      </c>
      <c r="C531" s="0" t="n">
        <v>438</v>
      </c>
      <c r="D531" s="0" t="n">
        <v>481</v>
      </c>
      <c r="E531" s="0" t="s">
        <v>646</v>
      </c>
      <c r="F531" s="0" t="n">
        <v>440</v>
      </c>
      <c r="G531" s="0" t="n">
        <v>472</v>
      </c>
      <c r="H531" s="0" t="s">
        <v>491</v>
      </c>
      <c r="I531" s="0" t="n">
        <v>343</v>
      </c>
      <c r="J531" s="0" t="n">
        <v>365</v>
      </c>
      <c r="K531" s="0" t="s">
        <v>526</v>
      </c>
      <c r="L531" s="0" t="n">
        <v>45</v>
      </c>
      <c r="M531" s="0" t="n">
        <v>45</v>
      </c>
      <c r="N531" s="0" t="s">
        <v>110</v>
      </c>
      <c r="AD531" s="0" t="n">
        <v>624</v>
      </c>
      <c r="AE531" s="0" t="n">
        <v>632</v>
      </c>
      <c r="AF531" s="0" t="s">
        <v>789</v>
      </c>
      <c r="AM531" s="0" t="n">
        <v>367</v>
      </c>
      <c r="AN531" s="0" t="n">
        <v>372</v>
      </c>
      <c r="AO531" s="0" t="s">
        <v>789</v>
      </c>
      <c r="AP531" s="0" t="n">
        <v>313</v>
      </c>
      <c r="AQ531" s="0" t="n">
        <v>358</v>
      </c>
      <c r="AR531" s="0" t="s">
        <v>419</v>
      </c>
      <c r="AV531" s="0" t="n">
        <v>367</v>
      </c>
      <c r="AW531" s="0" t="n">
        <v>372</v>
      </c>
      <c r="AX531" s="0" t="s">
        <v>789</v>
      </c>
      <c r="AY531" s="0" t="n">
        <v>313</v>
      </c>
      <c r="AZ531" s="0" t="n">
        <v>358</v>
      </c>
      <c r="BA531" s="0" t="s">
        <v>419</v>
      </c>
      <c r="BE531" s="2" t="n">
        <v>43640</v>
      </c>
    </row>
    <row r="532" customFormat="false" ht="14.25" hidden="false" customHeight="false" outlineLevel="0" collapsed="false">
      <c r="A532" s="0" t="n">
        <v>531</v>
      </c>
      <c r="B532" s="1" t="s">
        <v>1211</v>
      </c>
      <c r="C532" s="0" t="n">
        <v>437</v>
      </c>
      <c r="D532" s="0" t="n">
        <v>473</v>
      </c>
      <c r="E532" s="0" t="s">
        <v>447</v>
      </c>
      <c r="F532" s="0" t="n">
        <v>442</v>
      </c>
      <c r="G532" s="0" t="n">
        <v>465</v>
      </c>
      <c r="H532" s="0" t="s">
        <v>210</v>
      </c>
      <c r="I532" s="0" t="n">
        <v>350</v>
      </c>
      <c r="J532" s="0" t="n">
        <v>358</v>
      </c>
      <c r="K532" s="0" t="s">
        <v>652</v>
      </c>
      <c r="L532" s="0" t="n">
        <v>44</v>
      </c>
      <c r="M532" s="0" t="n">
        <v>45</v>
      </c>
      <c r="N532" s="0" t="s">
        <v>652</v>
      </c>
      <c r="AD532" s="0" t="n">
        <v>617</v>
      </c>
      <c r="AE532" s="0" t="n">
        <v>636</v>
      </c>
      <c r="AF532" s="0" t="s">
        <v>756</v>
      </c>
      <c r="AM532" s="0" t="n">
        <v>328</v>
      </c>
      <c r="AN532" s="0" t="n">
        <v>347</v>
      </c>
      <c r="AO532" s="0" t="s">
        <v>581</v>
      </c>
      <c r="AP532" s="0" t="n">
        <v>362</v>
      </c>
      <c r="AQ532" s="0" t="n">
        <v>362</v>
      </c>
      <c r="AR532" s="0" t="s">
        <v>110</v>
      </c>
      <c r="AV532" s="0" t="n">
        <v>328</v>
      </c>
      <c r="AW532" s="0" t="n">
        <v>347</v>
      </c>
      <c r="AX532" s="0" t="s">
        <v>581</v>
      </c>
      <c r="AY532" s="0" t="n">
        <v>362</v>
      </c>
      <c r="AZ532" s="0" t="n">
        <v>362</v>
      </c>
      <c r="BA532" s="0" t="s">
        <v>110</v>
      </c>
      <c r="BE532" s="2" t="n">
        <v>43641</v>
      </c>
    </row>
    <row r="533" customFormat="false" ht="14.25" hidden="false" customHeight="false" outlineLevel="0" collapsed="false">
      <c r="A533" s="0" t="n">
        <v>532</v>
      </c>
      <c r="B533" s="1" t="s">
        <v>1212</v>
      </c>
      <c r="C533" s="0" t="n">
        <v>454</v>
      </c>
      <c r="D533" s="0" t="n">
        <v>481</v>
      </c>
      <c r="E533" s="0" t="s">
        <v>160</v>
      </c>
      <c r="F533" s="0" t="n">
        <v>428</v>
      </c>
      <c r="G533" s="0" t="n">
        <v>472</v>
      </c>
      <c r="H533" s="0" t="s">
        <v>186</v>
      </c>
      <c r="I533" s="0" t="n">
        <v>353</v>
      </c>
      <c r="J533" s="0" t="n">
        <v>365</v>
      </c>
      <c r="K533" s="0" t="s">
        <v>538</v>
      </c>
      <c r="L533" s="0" t="n">
        <v>44</v>
      </c>
      <c r="M533" s="0" t="n">
        <v>45</v>
      </c>
      <c r="N533" s="0" t="s">
        <v>652</v>
      </c>
      <c r="U533" s="0" t="n">
        <v>674</v>
      </c>
      <c r="V533" s="0" t="n">
        <v>674</v>
      </c>
      <c r="W533" s="0" t="s">
        <v>110</v>
      </c>
      <c r="AD533" s="0" t="n">
        <v>362</v>
      </c>
      <c r="AE533" s="0" t="n">
        <v>372</v>
      </c>
      <c r="AF533" s="0" t="s">
        <v>149</v>
      </c>
      <c r="AG533" s="0" t="n">
        <v>299</v>
      </c>
      <c r="AH533" s="0" t="n">
        <v>348</v>
      </c>
      <c r="AI533" s="0" t="s">
        <v>1090</v>
      </c>
      <c r="BE533" s="2" t="n">
        <v>43642</v>
      </c>
    </row>
    <row r="534" customFormat="false" ht="14.25" hidden="false" customHeight="false" outlineLevel="0" collapsed="false">
      <c r="A534" s="0" t="n">
        <v>533</v>
      </c>
      <c r="B534" s="1" t="s">
        <v>1213</v>
      </c>
      <c r="C534" s="0" t="n">
        <v>465</v>
      </c>
      <c r="D534" s="0" t="n">
        <v>481</v>
      </c>
      <c r="E534" s="0" t="s">
        <v>538</v>
      </c>
      <c r="F534" s="0" t="n">
        <v>454</v>
      </c>
      <c r="G534" s="0" t="n">
        <v>472</v>
      </c>
      <c r="H534" s="0" t="s">
        <v>200</v>
      </c>
      <c r="I534" s="0" t="n">
        <v>354</v>
      </c>
      <c r="J534" s="0" t="n">
        <v>365</v>
      </c>
      <c r="K534" s="0" t="s">
        <v>756</v>
      </c>
      <c r="L534" s="0" t="n">
        <v>45</v>
      </c>
      <c r="M534" s="0" t="n">
        <v>45</v>
      </c>
      <c r="N534" s="0" t="s">
        <v>110</v>
      </c>
      <c r="AD534" s="0" t="n">
        <v>588</v>
      </c>
      <c r="AE534" s="0" t="n">
        <v>618</v>
      </c>
      <c r="AF534" s="0" t="s">
        <v>210</v>
      </c>
      <c r="AM534" s="0" t="n">
        <v>351</v>
      </c>
      <c r="AN534" s="0" t="n">
        <v>356</v>
      </c>
      <c r="AO534" s="0" t="s">
        <v>790</v>
      </c>
      <c r="AP534" s="0" t="n">
        <v>358</v>
      </c>
      <c r="AQ534" s="0" t="n">
        <v>358</v>
      </c>
      <c r="AR534" s="0" t="s">
        <v>110</v>
      </c>
      <c r="AV534" s="0" t="n">
        <v>351</v>
      </c>
      <c r="AW534" s="0" t="n">
        <v>356</v>
      </c>
      <c r="AX534" s="0" t="s">
        <v>790</v>
      </c>
      <c r="AY534" s="0" t="n">
        <v>358</v>
      </c>
      <c r="AZ534" s="0" t="n">
        <v>358</v>
      </c>
      <c r="BA534" s="0" t="s">
        <v>110</v>
      </c>
      <c r="BE534" s="2" t="n">
        <v>43643</v>
      </c>
    </row>
    <row r="535" customFormat="false" ht="14.25" hidden="false" customHeight="false" outlineLevel="0" collapsed="false">
      <c r="A535" s="0" t="n">
        <v>534</v>
      </c>
      <c r="B535" s="1" t="s">
        <v>1214</v>
      </c>
      <c r="C535" s="0" t="n">
        <v>450</v>
      </c>
      <c r="D535" s="0" t="n">
        <v>481</v>
      </c>
      <c r="E535" s="0" t="s">
        <v>434</v>
      </c>
      <c r="F535" s="0" t="n">
        <v>458</v>
      </c>
      <c r="G535" s="0" t="n">
        <v>472</v>
      </c>
      <c r="H535" s="0" t="s">
        <v>756</v>
      </c>
      <c r="I535" s="0" t="n">
        <v>405</v>
      </c>
      <c r="J535" s="0" t="n">
        <v>417</v>
      </c>
      <c r="K535" s="0" t="s">
        <v>492</v>
      </c>
      <c r="L535" s="0" t="n">
        <v>45</v>
      </c>
      <c r="M535" s="0" t="n">
        <v>47</v>
      </c>
      <c r="N535" s="0" t="s">
        <v>144</v>
      </c>
      <c r="AD535" s="0" t="n">
        <v>672</v>
      </c>
      <c r="AE535" s="0" t="n">
        <v>674</v>
      </c>
      <c r="AF535" s="0" t="s">
        <v>723</v>
      </c>
      <c r="AM535" s="0" t="n">
        <v>363</v>
      </c>
      <c r="AN535" s="0" t="n">
        <v>363</v>
      </c>
      <c r="AO535" s="0" t="s">
        <v>110</v>
      </c>
      <c r="AP535" s="0" t="n">
        <v>363</v>
      </c>
      <c r="AQ535" s="0" t="n">
        <v>365</v>
      </c>
      <c r="AR535" s="0" t="s">
        <v>516</v>
      </c>
      <c r="AV535" s="0" t="n">
        <v>363</v>
      </c>
      <c r="AW535" s="0" t="n">
        <v>363</v>
      </c>
      <c r="AX535" s="0" t="s">
        <v>110</v>
      </c>
      <c r="AY535" s="0" t="n">
        <v>363</v>
      </c>
      <c r="AZ535" s="0" t="n">
        <v>365</v>
      </c>
      <c r="BA535" s="0" t="s">
        <v>516</v>
      </c>
      <c r="BE535" s="2" t="n">
        <v>43644</v>
      </c>
    </row>
    <row r="536" customFormat="false" ht="14.25" hidden="false" customHeight="false" outlineLevel="0" collapsed="false">
      <c r="A536" s="0" t="n">
        <v>535</v>
      </c>
      <c r="B536" s="1" t="s">
        <v>1215</v>
      </c>
      <c r="C536" s="0" t="n">
        <v>438</v>
      </c>
      <c r="D536" s="0" t="n">
        <v>481</v>
      </c>
      <c r="E536" s="0" t="s">
        <v>646</v>
      </c>
      <c r="F536" s="0" t="n">
        <v>459</v>
      </c>
      <c r="G536" s="0" t="n">
        <v>472</v>
      </c>
      <c r="H536" s="0" t="s">
        <v>128</v>
      </c>
      <c r="I536" s="0" t="n">
        <v>341</v>
      </c>
      <c r="J536" s="0" t="n">
        <v>365</v>
      </c>
      <c r="K536" s="0" t="s">
        <v>659</v>
      </c>
      <c r="L536" s="0" t="n">
        <v>41</v>
      </c>
      <c r="M536" s="0" t="n">
        <v>42</v>
      </c>
      <c r="N536" s="0" t="s">
        <v>497</v>
      </c>
      <c r="AD536" s="0" t="n">
        <v>629</v>
      </c>
      <c r="AE536" s="0" t="n">
        <v>674</v>
      </c>
      <c r="AF536" s="0" t="s">
        <v>490</v>
      </c>
      <c r="AM536" s="0" t="n">
        <v>335</v>
      </c>
      <c r="AN536" s="0" t="n">
        <v>355</v>
      </c>
      <c r="AO536" s="0" t="s">
        <v>160</v>
      </c>
      <c r="AP536" s="0" t="n">
        <v>334</v>
      </c>
      <c r="AQ536" s="0" t="n">
        <v>365</v>
      </c>
      <c r="AR536" s="0" t="s">
        <v>204</v>
      </c>
      <c r="AV536" s="0" t="n">
        <v>335</v>
      </c>
      <c r="AW536" s="0" t="n">
        <v>355</v>
      </c>
      <c r="AX536" s="0" t="s">
        <v>160</v>
      </c>
      <c r="AY536" s="0" t="n">
        <v>334</v>
      </c>
      <c r="AZ536" s="0" t="n">
        <v>365</v>
      </c>
      <c r="BA536" s="0" t="s">
        <v>204</v>
      </c>
      <c r="BE536" s="2" t="n">
        <v>43647</v>
      </c>
    </row>
    <row r="537" customFormat="false" ht="14.25" hidden="false" customHeight="false" outlineLevel="0" collapsed="false">
      <c r="A537" s="0" t="n">
        <v>536</v>
      </c>
      <c r="B537" s="1" t="s">
        <v>1216</v>
      </c>
      <c r="C537" s="0" t="n">
        <v>448</v>
      </c>
      <c r="D537" s="0" t="n">
        <v>473</v>
      </c>
      <c r="E537" s="0" t="s">
        <v>473</v>
      </c>
      <c r="F537" s="0" t="n">
        <v>451</v>
      </c>
      <c r="G537" s="0" t="n">
        <v>465</v>
      </c>
      <c r="H537" s="0" t="s">
        <v>756</v>
      </c>
      <c r="I537" s="0" t="n">
        <v>347</v>
      </c>
      <c r="J537" s="0" t="n">
        <v>358</v>
      </c>
      <c r="K537" s="0" t="s">
        <v>758</v>
      </c>
      <c r="L537" s="0" t="n">
        <v>41</v>
      </c>
      <c r="M537" s="0" t="n">
        <v>42</v>
      </c>
      <c r="N537" s="0" t="s">
        <v>497</v>
      </c>
      <c r="AD537" s="0" t="n">
        <v>668</v>
      </c>
      <c r="AE537" s="0" t="n">
        <v>674</v>
      </c>
      <c r="AF537" s="0" t="s">
        <v>798</v>
      </c>
      <c r="AM537" s="0" t="n">
        <v>362</v>
      </c>
      <c r="AN537" s="0" t="n">
        <v>363</v>
      </c>
      <c r="AO537" s="0" t="s">
        <v>723</v>
      </c>
      <c r="AP537" s="0" t="n">
        <v>354</v>
      </c>
      <c r="AQ537" s="0" t="n">
        <v>366</v>
      </c>
      <c r="AR537" s="0" t="s">
        <v>538</v>
      </c>
      <c r="AV537" s="0" t="n">
        <v>362</v>
      </c>
      <c r="AW537" s="0" t="n">
        <v>363</v>
      </c>
      <c r="AX537" s="0" t="s">
        <v>723</v>
      </c>
      <c r="AY537" s="0" t="n">
        <v>354</v>
      </c>
      <c r="AZ537" s="0" t="n">
        <v>366</v>
      </c>
      <c r="BA537" s="0" t="s">
        <v>538</v>
      </c>
      <c r="BE537" s="2" t="n">
        <v>43648</v>
      </c>
    </row>
    <row r="538" customFormat="false" ht="14.25" hidden="false" customHeight="false" outlineLevel="0" collapsed="false">
      <c r="A538" s="0" t="n">
        <v>537</v>
      </c>
      <c r="B538" s="1" t="s">
        <v>1217</v>
      </c>
      <c r="C538" s="0" t="n">
        <v>470</v>
      </c>
      <c r="D538" s="0" t="n">
        <v>470</v>
      </c>
      <c r="E538" s="0" t="s">
        <v>110</v>
      </c>
      <c r="F538" s="0" t="n">
        <v>353</v>
      </c>
      <c r="G538" s="0" t="n">
        <v>453</v>
      </c>
      <c r="H538" s="0" t="s">
        <v>241</v>
      </c>
      <c r="I538" s="0" t="n">
        <v>358</v>
      </c>
      <c r="J538" s="0" t="n">
        <v>358</v>
      </c>
      <c r="K538" s="0" t="s">
        <v>110</v>
      </c>
      <c r="L538" s="0" t="n">
        <v>41</v>
      </c>
      <c r="M538" s="0" t="n">
        <v>42</v>
      </c>
      <c r="N538" s="0" t="s">
        <v>497</v>
      </c>
      <c r="AD538" s="0" t="n">
        <v>618</v>
      </c>
      <c r="AE538" s="0" t="n">
        <v>674</v>
      </c>
      <c r="AF538" s="0" t="s">
        <v>363</v>
      </c>
      <c r="AM538" s="0" t="n">
        <v>357</v>
      </c>
      <c r="AN538" s="0" t="n">
        <v>360</v>
      </c>
      <c r="AO538" s="0" t="s">
        <v>863</v>
      </c>
      <c r="AP538" s="0" t="n">
        <v>350</v>
      </c>
      <c r="AQ538" s="0" t="n">
        <v>354</v>
      </c>
      <c r="AR538" s="0" t="s">
        <v>143</v>
      </c>
      <c r="AS538" s="0" t="n">
        <v>40</v>
      </c>
      <c r="AT538" s="0" t="n">
        <v>40</v>
      </c>
      <c r="AU538" s="0" t="s">
        <v>110</v>
      </c>
      <c r="AV538" s="0" t="n">
        <v>357</v>
      </c>
      <c r="AW538" s="0" t="n">
        <v>360</v>
      </c>
      <c r="AX538" s="0" t="s">
        <v>863</v>
      </c>
      <c r="AY538" s="0" t="n">
        <v>350</v>
      </c>
      <c r="AZ538" s="0" t="n">
        <v>354</v>
      </c>
      <c r="BA538" s="0" t="s">
        <v>143</v>
      </c>
      <c r="BB538" s="0" t="n">
        <v>40</v>
      </c>
      <c r="BC538" s="0" t="n">
        <v>40</v>
      </c>
      <c r="BD538" s="0" t="s">
        <v>110</v>
      </c>
      <c r="BE538" s="2" t="n">
        <v>43649</v>
      </c>
    </row>
    <row r="539" customFormat="false" ht="14.25" hidden="false" customHeight="false" outlineLevel="0" collapsed="false">
      <c r="A539" s="0" t="n">
        <v>538</v>
      </c>
      <c r="B539" s="1" t="s">
        <v>1218</v>
      </c>
      <c r="C539" s="0" t="n">
        <v>467</v>
      </c>
      <c r="D539" s="0" t="n">
        <v>481</v>
      </c>
      <c r="E539" s="0" t="s">
        <v>492</v>
      </c>
      <c r="F539" s="0" t="n">
        <v>467</v>
      </c>
      <c r="G539" s="0" t="n">
        <v>472</v>
      </c>
      <c r="H539" s="0" t="s">
        <v>143</v>
      </c>
      <c r="I539" s="0" t="n">
        <v>351</v>
      </c>
      <c r="J539" s="0" t="n">
        <v>365</v>
      </c>
      <c r="K539" s="0" t="s">
        <v>200</v>
      </c>
      <c r="L539" s="0" t="n">
        <v>43</v>
      </c>
      <c r="M539" s="0" t="n">
        <v>42</v>
      </c>
      <c r="N539" s="0" t="s">
        <v>785</v>
      </c>
      <c r="AD539" s="0" t="n">
        <v>671</v>
      </c>
      <c r="AE539" s="0" t="n">
        <v>674</v>
      </c>
      <c r="AF539" s="0" t="s">
        <v>899</v>
      </c>
      <c r="AM539" s="0" t="n">
        <v>359</v>
      </c>
      <c r="AN539" s="0" t="n">
        <v>359</v>
      </c>
      <c r="AO539" s="0" t="s">
        <v>110</v>
      </c>
      <c r="AP539" s="0" t="n">
        <v>357</v>
      </c>
      <c r="AQ539" s="0" t="n">
        <v>365</v>
      </c>
      <c r="AR539" s="0" t="s">
        <v>652</v>
      </c>
      <c r="AV539" s="0" t="n">
        <v>359</v>
      </c>
      <c r="AW539" s="0" t="n">
        <v>359</v>
      </c>
      <c r="AX539" s="0" t="s">
        <v>110</v>
      </c>
      <c r="AY539" s="0" t="n">
        <v>357</v>
      </c>
      <c r="AZ539" s="0" t="n">
        <v>365</v>
      </c>
      <c r="BA539" s="0" t="s">
        <v>652</v>
      </c>
      <c r="BE539" s="2" t="n">
        <v>43650</v>
      </c>
    </row>
    <row r="540" customFormat="false" ht="14.25" hidden="false" customHeight="false" outlineLevel="0" collapsed="false">
      <c r="A540" s="0" t="n">
        <v>539</v>
      </c>
      <c r="B540" s="1" t="s">
        <v>1219</v>
      </c>
      <c r="C540" s="0" t="n">
        <v>478</v>
      </c>
      <c r="D540" s="0" t="n">
        <v>481</v>
      </c>
      <c r="E540" s="0" t="s">
        <v>824</v>
      </c>
      <c r="F540" s="0" t="n">
        <v>450</v>
      </c>
      <c r="G540" s="0" t="n">
        <v>472</v>
      </c>
      <c r="H540" s="0" t="s">
        <v>753</v>
      </c>
      <c r="I540" s="0" t="n">
        <v>390</v>
      </c>
      <c r="J540" s="0" t="n">
        <v>417</v>
      </c>
      <c r="K540" s="0" t="s">
        <v>713</v>
      </c>
      <c r="L540" s="0" t="n">
        <v>43</v>
      </c>
      <c r="M540" s="0" t="n">
        <v>42</v>
      </c>
      <c r="N540" s="0" t="s">
        <v>785</v>
      </c>
      <c r="AD540" s="0" t="n">
        <v>634</v>
      </c>
      <c r="AE540" s="0" t="n">
        <v>635</v>
      </c>
      <c r="AF540" s="0" t="s">
        <v>623</v>
      </c>
      <c r="AM540" s="0" t="n">
        <v>348</v>
      </c>
      <c r="AN540" s="0" t="n">
        <v>372</v>
      </c>
      <c r="AO540" s="0" t="s">
        <v>713</v>
      </c>
      <c r="AP540" s="0" t="n">
        <v>326</v>
      </c>
      <c r="AQ540" s="0" t="n">
        <v>355</v>
      </c>
      <c r="AR540" s="0" t="s">
        <v>709</v>
      </c>
      <c r="AS540" s="0" t="n">
        <v>43</v>
      </c>
      <c r="AT540" s="0" t="n">
        <v>46</v>
      </c>
      <c r="AU540" s="0" t="s">
        <v>713</v>
      </c>
      <c r="AV540" s="0" t="n">
        <v>348</v>
      </c>
      <c r="AW540" s="0" t="n">
        <v>372</v>
      </c>
      <c r="AX540" s="0" t="s">
        <v>713</v>
      </c>
      <c r="AY540" s="0" t="n">
        <v>326</v>
      </c>
      <c r="AZ540" s="0" t="n">
        <v>355</v>
      </c>
      <c r="BA540" s="0" t="s">
        <v>709</v>
      </c>
      <c r="BB540" s="0" t="n">
        <v>43</v>
      </c>
      <c r="BC540" s="0" t="n">
        <v>46</v>
      </c>
      <c r="BD540" s="0" t="s">
        <v>713</v>
      </c>
      <c r="BE540" s="2" t="n">
        <v>43651</v>
      </c>
    </row>
    <row r="541" customFormat="false" ht="14.25" hidden="false" customHeight="false" outlineLevel="0" collapsed="false">
      <c r="A541" s="0" t="n">
        <v>540</v>
      </c>
      <c r="B541" s="1" t="s">
        <v>1220</v>
      </c>
      <c r="I541" s="0" t="n">
        <v>349</v>
      </c>
      <c r="J541" s="0" t="n">
        <v>419</v>
      </c>
      <c r="K541" s="0" t="s">
        <v>657</v>
      </c>
      <c r="BE541" s="2" t="n">
        <v>43653</v>
      </c>
    </row>
    <row r="542" customFormat="false" ht="14.25" hidden="false" customHeight="false" outlineLevel="0" collapsed="false">
      <c r="A542" s="0" t="n">
        <v>541</v>
      </c>
      <c r="B542" s="1" t="s">
        <v>1221</v>
      </c>
      <c r="C542" s="0" t="n">
        <v>443</v>
      </c>
      <c r="D542" s="0" t="n">
        <v>481</v>
      </c>
      <c r="E542" s="0" t="s">
        <v>598</v>
      </c>
      <c r="F542" s="0" t="n">
        <v>452</v>
      </c>
      <c r="G542" s="0" t="n">
        <v>470</v>
      </c>
      <c r="H542" s="0" t="s">
        <v>200</v>
      </c>
      <c r="I542" s="0" t="n">
        <v>336</v>
      </c>
      <c r="J542" s="0" t="n">
        <v>366</v>
      </c>
      <c r="K542" s="0" t="s">
        <v>709</v>
      </c>
      <c r="L542" s="0" t="n">
        <v>42</v>
      </c>
      <c r="M542" s="0" t="n">
        <v>42</v>
      </c>
      <c r="N542" s="0" t="s">
        <v>110</v>
      </c>
      <c r="AD542" s="0" t="n">
        <v>674</v>
      </c>
      <c r="AE542" s="0" t="n">
        <v>674</v>
      </c>
      <c r="AF542" s="0" t="s">
        <v>110</v>
      </c>
      <c r="AM542" s="0" t="n">
        <v>327</v>
      </c>
      <c r="AN542" s="0" t="n">
        <v>369</v>
      </c>
      <c r="AO542" s="0" t="s">
        <v>305</v>
      </c>
      <c r="AP542" s="0" t="n">
        <v>275</v>
      </c>
      <c r="AQ542" s="0" t="n">
        <v>349</v>
      </c>
      <c r="AR542" s="0" t="s">
        <v>236</v>
      </c>
      <c r="AS542" s="0" t="n">
        <v>40</v>
      </c>
      <c r="AT542" s="0" t="n">
        <v>47</v>
      </c>
      <c r="AU542" s="0" t="s">
        <v>365</v>
      </c>
      <c r="AV542" s="0" t="n">
        <v>327</v>
      </c>
      <c r="AW542" s="0" t="n">
        <v>369</v>
      </c>
      <c r="AX542" s="0" t="s">
        <v>305</v>
      </c>
      <c r="AY542" s="0" t="n">
        <v>275</v>
      </c>
      <c r="AZ542" s="0" t="n">
        <v>349</v>
      </c>
      <c r="BA542" s="0" t="s">
        <v>236</v>
      </c>
      <c r="BB542" s="0" t="n">
        <v>40</v>
      </c>
      <c r="BC542" s="0" t="n">
        <v>47</v>
      </c>
      <c r="BD542" s="0" t="s">
        <v>365</v>
      </c>
      <c r="BE542" s="2" t="n">
        <v>43654</v>
      </c>
    </row>
    <row r="543" customFormat="false" ht="14.25" hidden="false" customHeight="false" outlineLevel="0" collapsed="false">
      <c r="A543" s="0" t="n">
        <v>542</v>
      </c>
      <c r="B543" s="1" t="s">
        <v>1222</v>
      </c>
      <c r="C543" s="0" t="n">
        <v>455</v>
      </c>
      <c r="D543" s="0" t="n">
        <v>481</v>
      </c>
      <c r="E543" s="0" t="s">
        <v>332</v>
      </c>
      <c r="F543" s="0" t="n">
        <v>418</v>
      </c>
      <c r="G543" s="0" t="n">
        <v>472</v>
      </c>
      <c r="H543" s="0" t="s">
        <v>305</v>
      </c>
      <c r="I543" s="0" t="n">
        <v>358</v>
      </c>
      <c r="J543" s="0" t="n">
        <v>365</v>
      </c>
      <c r="K543" s="0" t="s">
        <v>457</v>
      </c>
      <c r="L543" s="0" t="n">
        <v>42</v>
      </c>
      <c r="M543" s="0" t="n">
        <v>42</v>
      </c>
      <c r="N543" s="0" t="s">
        <v>110</v>
      </c>
      <c r="AD543" s="0" t="n">
        <v>655</v>
      </c>
      <c r="AE543" s="0" t="n">
        <v>664</v>
      </c>
      <c r="AF543" s="0" t="s">
        <v>790</v>
      </c>
      <c r="AM543" s="0" t="n">
        <v>365</v>
      </c>
      <c r="AN543" s="0" t="n">
        <v>372</v>
      </c>
      <c r="AO543" s="0" t="s">
        <v>457</v>
      </c>
      <c r="AP543" s="0" t="n">
        <v>351</v>
      </c>
      <c r="AQ543" s="0" t="n">
        <v>351</v>
      </c>
      <c r="AR543" s="0" t="s">
        <v>110</v>
      </c>
      <c r="AS543" s="0" t="n">
        <v>40</v>
      </c>
      <c r="AT543" s="0" t="n">
        <v>41</v>
      </c>
      <c r="AU543" s="0" t="s">
        <v>497</v>
      </c>
      <c r="AV543" s="0" t="n">
        <v>365</v>
      </c>
      <c r="AW543" s="0" t="n">
        <v>372</v>
      </c>
      <c r="AX543" s="0" t="s">
        <v>457</v>
      </c>
      <c r="AY543" s="0" t="n">
        <v>351</v>
      </c>
      <c r="AZ543" s="0" t="n">
        <v>351</v>
      </c>
      <c r="BA543" s="0" t="s">
        <v>110</v>
      </c>
      <c r="BB543" s="0" t="n">
        <v>40</v>
      </c>
      <c r="BC543" s="0" t="n">
        <v>41</v>
      </c>
      <c r="BD543" s="0" t="s">
        <v>497</v>
      </c>
      <c r="BE543" s="2" t="n">
        <v>43655</v>
      </c>
    </row>
    <row r="544" customFormat="false" ht="14.25" hidden="false" customHeight="false" outlineLevel="0" collapsed="false">
      <c r="A544" s="0" t="n">
        <v>543</v>
      </c>
      <c r="B544" s="1" t="s">
        <v>1223</v>
      </c>
      <c r="C544" s="0" t="n">
        <v>474</v>
      </c>
      <c r="D544" s="0" t="n">
        <v>481</v>
      </c>
      <c r="E544" s="0" t="s">
        <v>120</v>
      </c>
      <c r="F544" s="0" t="n">
        <v>453</v>
      </c>
      <c r="G544" s="0" t="n">
        <v>472</v>
      </c>
      <c r="H544" s="0" t="s">
        <v>438</v>
      </c>
      <c r="I544" s="0" t="n">
        <v>350</v>
      </c>
      <c r="J544" s="0" t="n">
        <v>365</v>
      </c>
      <c r="K544" s="0" t="s">
        <v>777</v>
      </c>
      <c r="L544" s="0" t="n">
        <v>42</v>
      </c>
      <c r="M544" s="0" t="n">
        <v>42</v>
      </c>
      <c r="N544" s="0" t="s">
        <v>110</v>
      </c>
      <c r="AD544" s="0" t="n">
        <v>641</v>
      </c>
      <c r="AE544" s="0" t="n">
        <v>674</v>
      </c>
      <c r="AF544" s="0" t="s">
        <v>210</v>
      </c>
      <c r="AM544" s="0" t="n">
        <v>345</v>
      </c>
      <c r="AN544" s="0" t="n">
        <v>358</v>
      </c>
      <c r="AO544" s="0" t="s">
        <v>187</v>
      </c>
      <c r="AP544" s="0" t="n">
        <v>354</v>
      </c>
      <c r="AQ544" s="0" t="n">
        <v>357</v>
      </c>
      <c r="AR544" s="0" t="s">
        <v>863</v>
      </c>
      <c r="AS544" s="0" t="n">
        <v>40</v>
      </c>
      <c r="AT544" s="0" t="n">
        <v>40</v>
      </c>
      <c r="AU544" s="0" t="s">
        <v>110</v>
      </c>
      <c r="AV544" s="0" t="n">
        <v>345</v>
      </c>
      <c r="AW544" s="0" t="n">
        <v>358</v>
      </c>
      <c r="AX544" s="0" t="s">
        <v>187</v>
      </c>
      <c r="AY544" s="0" t="n">
        <v>354</v>
      </c>
      <c r="AZ544" s="0" t="n">
        <v>357</v>
      </c>
      <c r="BA544" s="0" t="s">
        <v>863</v>
      </c>
      <c r="BB544" s="0" t="n">
        <v>40</v>
      </c>
      <c r="BC544" s="0" t="n">
        <v>40</v>
      </c>
      <c r="BD544" s="0" t="s">
        <v>110</v>
      </c>
      <c r="BE544" s="2" t="n">
        <v>43656</v>
      </c>
    </row>
    <row r="545" customFormat="false" ht="14.25" hidden="false" customHeight="false" outlineLevel="0" collapsed="false">
      <c r="A545" s="0" t="n">
        <v>544</v>
      </c>
      <c r="B545" s="1" t="s">
        <v>1224</v>
      </c>
      <c r="C545" s="0" t="n">
        <v>479</v>
      </c>
      <c r="D545" s="0" t="n">
        <v>481</v>
      </c>
      <c r="E545" s="0" t="s">
        <v>899</v>
      </c>
      <c r="F545" s="0" t="n">
        <v>457</v>
      </c>
      <c r="G545" s="0" t="n">
        <v>472</v>
      </c>
      <c r="H545" s="0" t="s">
        <v>112</v>
      </c>
      <c r="I545" s="0" t="n">
        <v>356</v>
      </c>
      <c r="J545" s="0" t="n">
        <v>365</v>
      </c>
      <c r="K545" s="0" t="s">
        <v>370</v>
      </c>
      <c r="L545" s="0" t="n">
        <v>43</v>
      </c>
      <c r="M545" s="0" t="n">
        <v>42</v>
      </c>
      <c r="N545" s="0" t="s">
        <v>785</v>
      </c>
      <c r="AD545" s="0" t="n">
        <v>681</v>
      </c>
      <c r="AE545" s="0" t="n">
        <v>681</v>
      </c>
      <c r="AF545" s="0" t="s">
        <v>110</v>
      </c>
      <c r="AM545" s="0" t="n">
        <v>350</v>
      </c>
      <c r="AN545" s="0" t="n">
        <v>370</v>
      </c>
      <c r="AO545" s="0" t="s">
        <v>332</v>
      </c>
      <c r="AP545" s="0" t="n">
        <v>320</v>
      </c>
      <c r="AQ545" s="0" t="n">
        <v>348</v>
      </c>
      <c r="AR545" s="0" t="s">
        <v>168</v>
      </c>
      <c r="AS545" s="0" t="n">
        <v>40</v>
      </c>
      <c r="AT545" s="0" t="n">
        <v>44</v>
      </c>
      <c r="AU545" s="0" t="s">
        <v>452</v>
      </c>
      <c r="AV545" s="0" t="n">
        <v>350</v>
      </c>
      <c r="AW545" s="0" t="n">
        <v>370</v>
      </c>
      <c r="AX545" s="0" t="s">
        <v>332</v>
      </c>
      <c r="AY545" s="0" t="n">
        <v>320</v>
      </c>
      <c r="AZ545" s="0" t="n">
        <v>348</v>
      </c>
      <c r="BA545" s="0" t="s">
        <v>168</v>
      </c>
      <c r="BB545" s="0" t="n">
        <v>40</v>
      </c>
      <c r="BC545" s="0" t="n">
        <v>44</v>
      </c>
      <c r="BD545" s="0" t="s">
        <v>452</v>
      </c>
      <c r="BE545" s="2" t="n">
        <v>43657</v>
      </c>
    </row>
    <row r="546" customFormat="false" ht="14.25" hidden="false" customHeight="false" outlineLevel="0" collapsed="false">
      <c r="A546" s="0" t="n">
        <v>545</v>
      </c>
      <c r="B546" s="1" t="s">
        <v>1225</v>
      </c>
      <c r="C546" s="0" t="n">
        <v>464</v>
      </c>
      <c r="D546" s="0" t="n">
        <v>469</v>
      </c>
      <c r="E546" s="0" t="s">
        <v>143</v>
      </c>
      <c r="F546" s="0" t="n">
        <v>460</v>
      </c>
      <c r="G546" s="0" t="n">
        <v>467</v>
      </c>
      <c r="H546" s="0" t="s">
        <v>120</v>
      </c>
      <c r="I546" s="0" t="n">
        <v>408</v>
      </c>
      <c r="J546" s="0" t="n">
        <v>412</v>
      </c>
      <c r="K546" s="0" t="s">
        <v>870</v>
      </c>
      <c r="L546" s="0" t="n">
        <v>42</v>
      </c>
      <c r="M546" s="0" t="n">
        <v>42</v>
      </c>
      <c r="N546" s="0" t="s">
        <v>110</v>
      </c>
      <c r="AD546" s="0" t="n">
        <v>641</v>
      </c>
      <c r="AE546" s="0" t="n">
        <v>652</v>
      </c>
      <c r="AF546" s="0" t="s">
        <v>179</v>
      </c>
      <c r="AM546" s="0" t="n">
        <v>340</v>
      </c>
      <c r="AN546" s="0" t="n">
        <v>348</v>
      </c>
      <c r="AO546" s="0" t="s">
        <v>138</v>
      </c>
      <c r="AP546" s="0" t="n">
        <v>355</v>
      </c>
      <c r="AQ546" s="0" t="n">
        <v>357</v>
      </c>
      <c r="AR546" s="0" t="s">
        <v>824</v>
      </c>
      <c r="AS546" s="0" t="n">
        <v>40</v>
      </c>
      <c r="AT546" s="0" t="n">
        <v>40</v>
      </c>
      <c r="AU546" s="0" t="s">
        <v>110</v>
      </c>
      <c r="AV546" s="0" t="n">
        <v>340</v>
      </c>
      <c r="AW546" s="0" t="n">
        <v>348</v>
      </c>
      <c r="AX546" s="0" t="s">
        <v>138</v>
      </c>
      <c r="AY546" s="0" t="n">
        <v>355</v>
      </c>
      <c r="AZ546" s="0" t="n">
        <v>357</v>
      </c>
      <c r="BA546" s="0" t="s">
        <v>824</v>
      </c>
      <c r="BB546" s="0" t="n">
        <v>40</v>
      </c>
      <c r="BC546" s="0" t="n">
        <v>40</v>
      </c>
      <c r="BD546" s="0" t="s">
        <v>110</v>
      </c>
      <c r="BE546" s="2" t="n">
        <v>43658</v>
      </c>
    </row>
    <row r="547" customFormat="false" ht="14.25" hidden="false" customHeight="false" outlineLevel="0" collapsed="false">
      <c r="A547" s="0" t="n">
        <v>546</v>
      </c>
      <c r="B547" s="1" t="s">
        <v>1226</v>
      </c>
      <c r="I547" s="0" t="n">
        <v>266</v>
      </c>
      <c r="J547" s="0" t="n">
        <v>273</v>
      </c>
      <c r="K547" s="0" t="s">
        <v>139</v>
      </c>
      <c r="BE547" s="2" t="n">
        <v>43660</v>
      </c>
    </row>
    <row r="548" customFormat="false" ht="14.25" hidden="false" customHeight="false" outlineLevel="0" collapsed="false">
      <c r="A548" s="0" t="n">
        <v>547</v>
      </c>
      <c r="B548" s="1" t="s">
        <v>1227</v>
      </c>
      <c r="C548" s="0" t="n">
        <v>454</v>
      </c>
      <c r="D548" s="0" t="n">
        <v>481</v>
      </c>
      <c r="E548" s="0" t="s">
        <v>160</v>
      </c>
      <c r="F548" s="0" t="n">
        <v>442</v>
      </c>
      <c r="G548" s="0" t="n">
        <v>472</v>
      </c>
      <c r="H548" s="0" t="s">
        <v>434</v>
      </c>
      <c r="I548" s="0" t="n">
        <v>359</v>
      </c>
      <c r="J548" s="0" t="n">
        <v>365</v>
      </c>
      <c r="K548" s="0" t="s">
        <v>706</v>
      </c>
      <c r="L548" s="0" t="n">
        <v>42</v>
      </c>
      <c r="M548" s="0" t="n">
        <v>42</v>
      </c>
      <c r="N548" s="0" t="s">
        <v>110</v>
      </c>
      <c r="AD548" s="0" t="n">
        <v>663</v>
      </c>
      <c r="AE548" s="0" t="n">
        <v>674</v>
      </c>
      <c r="AF548" s="0" t="s">
        <v>706</v>
      </c>
      <c r="AM548" s="0" t="n">
        <v>350</v>
      </c>
      <c r="AN548" s="0" t="n">
        <v>363</v>
      </c>
      <c r="AO548" s="0" t="s">
        <v>187</v>
      </c>
      <c r="AP548" s="0" t="n">
        <v>355</v>
      </c>
      <c r="AQ548" s="0" t="n">
        <v>365</v>
      </c>
      <c r="AR548" s="0" t="s">
        <v>149</v>
      </c>
      <c r="AS548" s="0" t="n">
        <v>22</v>
      </c>
      <c r="AT548" s="0" t="n">
        <v>15</v>
      </c>
      <c r="AU548" s="0" t="s">
        <v>1228</v>
      </c>
      <c r="AV548" s="0" t="n">
        <v>350</v>
      </c>
      <c r="AW548" s="0" t="n">
        <v>363</v>
      </c>
      <c r="AX548" s="0" t="s">
        <v>187</v>
      </c>
      <c r="AY548" s="0" t="n">
        <v>355</v>
      </c>
      <c r="AZ548" s="0" t="n">
        <v>365</v>
      </c>
      <c r="BA548" s="0" t="s">
        <v>149</v>
      </c>
      <c r="BB548" s="0" t="n">
        <v>22</v>
      </c>
      <c r="BC548" s="0" t="n">
        <v>15</v>
      </c>
      <c r="BD548" s="0" t="s">
        <v>1228</v>
      </c>
      <c r="BE548" s="2" t="n">
        <v>43661</v>
      </c>
    </row>
    <row r="549" customFormat="false" ht="14.25" hidden="false" customHeight="false" outlineLevel="0" collapsed="false">
      <c r="A549" s="0" t="n">
        <v>548</v>
      </c>
      <c r="B549" s="1" t="s">
        <v>1229</v>
      </c>
      <c r="C549" s="0" t="n">
        <v>407</v>
      </c>
      <c r="D549" s="0" t="n">
        <v>481</v>
      </c>
      <c r="E549" s="0" t="s">
        <v>369</v>
      </c>
      <c r="F549" s="0" t="n">
        <v>435</v>
      </c>
      <c r="G549" s="0" t="n">
        <v>472</v>
      </c>
      <c r="H549" s="0" t="s">
        <v>335</v>
      </c>
      <c r="I549" s="0" t="n">
        <v>356</v>
      </c>
      <c r="J549" s="0" t="n">
        <v>365</v>
      </c>
      <c r="K549" s="0" t="s">
        <v>370</v>
      </c>
      <c r="AD549" s="0" t="n">
        <v>534</v>
      </c>
      <c r="AE549" s="0" t="n">
        <v>587</v>
      </c>
      <c r="AF549" s="0" t="s">
        <v>658</v>
      </c>
      <c r="AM549" s="0" t="n">
        <v>273</v>
      </c>
      <c r="AN549" s="0" t="n">
        <v>313</v>
      </c>
      <c r="AO549" s="0" t="s">
        <v>409</v>
      </c>
      <c r="AP549" s="0" t="n">
        <v>338</v>
      </c>
      <c r="AQ549" s="0" t="n">
        <v>341</v>
      </c>
      <c r="AR549" s="0" t="s">
        <v>798</v>
      </c>
      <c r="AS549" s="0" t="n">
        <v>40</v>
      </c>
      <c r="AT549" s="0" t="n">
        <v>44</v>
      </c>
      <c r="AU549" s="0" t="s">
        <v>452</v>
      </c>
      <c r="AV549" s="0" t="n">
        <v>273</v>
      </c>
      <c r="AW549" s="0" t="n">
        <v>313</v>
      </c>
      <c r="AX549" s="0" t="s">
        <v>409</v>
      </c>
      <c r="AY549" s="0" t="n">
        <v>338</v>
      </c>
      <c r="AZ549" s="0" t="n">
        <v>341</v>
      </c>
      <c r="BA549" s="0" t="s">
        <v>798</v>
      </c>
      <c r="BB549" s="0" t="n">
        <v>40</v>
      </c>
      <c r="BC549" s="0" t="n">
        <v>44</v>
      </c>
      <c r="BD549" s="0" t="s">
        <v>452</v>
      </c>
      <c r="BE549" s="2" t="n">
        <v>43662</v>
      </c>
    </row>
    <row r="550" customFormat="false" ht="14.25" hidden="false" customHeight="false" outlineLevel="0" collapsed="false">
      <c r="A550" s="0" t="n">
        <v>549</v>
      </c>
      <c r="B550" s="1" t="s">
        <v>1230</v>
      </c>
      <c r="C550" s="0" t="n">
        <v>433</v>
      </c>
      <c r="D550" s="0" t="n">
        <v>481</v>
      </c>
      <c r="E550" s="0" t="s">
        <v>415</v>
      </c>
      <c r="F550" s="0" t="n">
        <v>457</v>
      </c>
      <c r="G550" s="0" t="n">
        <v>472</v>
      </c>
      <c r="H550" s="0" t="s">
        <v>112</v>
      </c>
      <c r="I550" s="0" t="n">
        <v>358</v>
      </c>
      <c r="J550" s="0" t="n">
        <v>365</v>
      </c>
      <c r="K550" s="0" t="s">
        <v>457</v>
      </c>
      <c r="L550" s="0" t="n">
        <v>43</v>
      </c>
      <c r="M550" s="0" t="n">
        <v>42</v>
      </c>
      <c r="N550" s="0" t="s">
        <v>785</v>
      </c>
      <c r="AD550" s="0" t="n">
        <v>674</v>
      </c>
      <c r="AE550" s="0" t="n">
        <v>674</v>
      </c>
      <c r="AF550" s="0" t="s">
        <v>110</v>
      </c>
      <c r="AM550" s="0" t="n">
        <v>375</v>
      </c>
      <c r="AN550" s="0" t="n">
        <v>375</v>
      </c>
      <c r="AO550" s="0" t="s">
        <v>110</v>
      </c>
      <c r="AS550" s="0" t="n">
        <v>40</v>
      </c>
      <c r="AT550" s="0" t="n">
        <v>40</v>
      </c>
      <c r="AU550" s="0" t="s">
        <v>110</v>
      </c>
      <c r="AV550" s="0" t="n">
        <v>375</v>
      </c>
      <c r="AW550" s="0" t="n">
        <v>375</v>
      </c>
      <c r="AX550" s="0" t="s">
        <v>110</v>
      </c>
      <c r="BB550" s="0" t="n">
        <v>40</v>
      </c>
      <c r="BC550" s="0" t="n">
        <v>40</v>
      </c>
      <c r="BD550" s="0" t="s">
        <v>110</v>
      </c>
      <c r="BE550" s="2" t="n">
        <v>43663</v>
      </c>
    </row>
    <row r="551" customFormat="false" ht="14.25" hidden="false" customHeight="false" outlineLevel="0" collapsed="false">
      <c r="A551" s="0" t="n">
        <v>550</v>
      </c>
      <c r="B551" s="1" t="s">
        <v>1231</v>
      </c>
      <c r="C551" s="0" t="n">
        <v>456</v>
      </c>
      <c r="D551" s="0" t="n">
        <v>481</v>
      </c>
      <c r="E551" s="0" t="s">
        <v>191</v>
      </c>
      <c r="F551" s="0" t="n">
        <v>463</v>
      </c>
      <c r="G551" s="0" t="n">
        <v>472</v>
      </c>
      <c r="H551" s="0" t="s">
        <v>457</v>
      </c>
      <c r="I551" s="0" t="n">
        <v>361</v>
      </c>
      <c r="J551" s="0" t="n">
        <v>365</v>
      </c>
      <c r="K551" s="0" t="s">
        <v>143</v>
      </c>
      <c r="L551" s="0" t="n">
        <v>43</v>
      </c>
      <c r="M551" s="0" t="n">
        <v>42</v>
      </c>
      <c r="N551" s="0" t="s">
        <v>785</v>
      </c>
      <c r="AD551" s="0" t="n">
        <v>676</v>
      </c>
      <c r="AE551" s="0" t="n">
        <v>681</v>
      </c>
      <c r="AF551" s="0" t="s">
        <v>596</v>
      </c>
      <c r="AM551" s="0" t="n">
        <v>370</v>
      </c>
      <c r="AN551" s="0" t="n">
        <v>371</v>
      </c>
      <c r="AO551" s="0" t="s">
        <v>723</v>
      </c>
      <c r="AP551" s="0" t="n">
        <v>341</v>
      </c>
      <c r="AQ551" s="0" t="n">
        <v>346</v>
      </c>
      <c r="AR551" s="0" t="s">
        <v>790</v>
      </c>
      <c r="AS551" s="0" t="n">
        <v>18</v>
      </c>
      <c r="AT551" s="0" t="n">
        <v>13</v>
      </c>
      <c r="AU551" s="0" t="s">
        <v>1232</v>
      </c>
      <c r="AV551" s="0" t="n">
        <v>370</v>
      </c>
      <c r="AW551" s="0" t="n">
        <v>371</v>
      </c>
      <c r="AX551" s="0" t="s">
        <v>723</v>
      </c>
      <c r="AY551" s="0" t="n">
        <v>341</v>
      </c>
      <c r="AZ551" s="0" t="n">
        <v>346</v>
      </c>
      <c r="BA551" s="0" t="s">
        <v>790</v>
      </c>
      <c r="BB551" s="0" t="n">
        <v>18</v>
      </c>
      <c r="BC551" s="0" t="n">
        <v>13</v>
      </c>
      <c r="BD551" s="0" t="s">
        <v>1232</v>
      </c>
      <c r="BE551" s="2" t="n">
        <v>43664</v>
      </c>
    </row>
    <row r="552" customFormat="false" ht="14.25" hidden="false" customHeight="false" outlineLevel="0" collapsed="false">
      <c r="A552" s="0" t="n">
        <v>551</v>
      </c>
      <c r="B552" s="1" t="s">
        <v>1233</v>
      </c>
      <c r="C552" s="0" t="n">
        <v>457</v>
      </c>
      <c r="D552" s="0" t="n">
        <v>481</v>
      </c>
      <c r="E552" s="0" t="s">
        <v>606</v>
      </c>
      <c r="F552" s="0" t="n">
        <v>452</v>
      </c>
      <c r="G552" s="0" t="n">
        <v>467</v>
      </c>
      <c r="H552" s="0" t="s">
        <v>112</v>
      </c>
      <c r="I552" s="0" t="n">
        <v>411</v>
      </c>
      <c r="J552" s="0" t="n">
        <v>417</v>
      </c>
      <c r="K552" s="0" t="s">
        <v>790</v>
      </c>
      <c r="L552" s="0" t="n">
        <v>42</v>
      </c>
      <c r="M552" s="0" t="n">
        <v>42</v>
      </c>
      <c r="N552" s="0" t="s">
        <v>110</v>
      </c>
      <c r="AD552" s="0" t="n">
        <v>667</v>
      </c>
      <c r="AE552" s="0" t="n">
        <v>667</v>
      </c>
      <c r="AF552" s="0" t="s">
        <v>110</v>
      </c>
      <c r="AM552" s="0" t="n">
        <v>322</v>
      </c>
      <c r="AN552" s="0" t="n">
        <v>326</v>
      </c>
      <c r="AO552" s="0" t="s">
        <v>153</v>
      </c>
      <c r="AP552" s="0" t="n">
        <v>357</v>
      </c>
      <c r="AQ552" s="0" t="n">
        <v>360</v>
      </c>
      <c r="AR552" s="0" t="s">
        <v>863</v>
      </c>
      <c r="AS552" s="0" t="n">
        <v>37</v>
      </c>
      <c r="AT552" s="0" t="n">
        <v>38</v>
      </c>
      <c r="AU552" s="0" t="s">
        <v>139</v>
      </c>
      <c r="AV552" s="0" t="n">
        <v>322</v>
      </c>
      <c r="AW552" s="0" t="n">
        <v>326</v>
      </c>
      <c r="AX552" s="0" t="s">
        <v>153</v>
      </c>
      <c r="AY552" s="0" t="n">
        <v>357</v>
      </c>
      <c r="AZ552" s="0" t="n">
        <v>360</v>
      </c>
      <c r="BA552" s="0" t="s">
        <v>863</v>
      </c>
      <c r="BB552" s="0" t="n">
        <v>37</v>
      </c>
      <c r="BC552" s="0" t="n">
        <v>38</v>
      </c>
      <c r="BD552" s="0" t="s">
        <v>139</v>
      </c>
      <c r="BE552" s="2" t="n">
        <v>43665</v>
      </c>
    </row>
    <row r="553" customFormat="false" ht="14.25" hidden="false" customHeight="false" outlineLevel="0" collapsed="false">
      <c r="A553" s="0" t="n">
        <v>552</v>
      </c>
      <c r="B553" s="1" t="s">
        <v>1234</v>
      </c>
      <c r="C553" s="0" t="n">
        <v>346</v>
      </c>
      <c r="D553" s="0" t="n">
        <v>355</v>
      </c>
      <c r="E553" s="0" t="s">
        <v>370</v>
      </c>
      <c r="K553" s="0" t="s">
        <v>370</v>
      </c>
      <c r="BE553" s="2" t="n">
        <v>43666</v>
      </c>
    </row>
    <row r="554" customFormat="false" ht="14.25" hidden="false" customHeight="false" outlineLevel="0" collapsed="false">
      <c r="A554" s="0" t="n">
        <v>553</v>
      </c>
      <c r="B554" s="1" t="s">
        <v>1235</v>
      </c>
      <c r="C554" s="0" t="n">
        <v>463</v>
      </c>
      <c r="D554" s="0" t="n">
        <v>481</v>
      </c>
      <c r="E554" s="0" t="s">
        <v>182</v>
      </c>
      <c r="F554" s="0" t="n">
        <v>454</v>
      </c>
      <c r="G554" s="0" t="n">
        <v>472</v>
      </c>
      <c r="H554" s="0" t="s">
        <v>200</v>
      </c>
      <c r="I554" s="0" t="n">
        <v>350</v>
      </c>
      <c r="J554" s="0" t="n">
        <v>365</v>
      </c>
      <c r="K554" s="0" t="s">
        <v>777</v>
      </c>
      <c r="L554" s="0" t="n">
        <v>43</v>
      </c>
      <c r="M554" s="0" t="n">
        <v>42</v>
      </c>
      <c r="N554" s="0" t="s">
        <v>785</v>
      </c>
      <c r="AD554" s="0" t="n">
        <v>664</v>
      </c>
      <c r="AE554" s="0" t="n">
        <v>695</v>
      </c>
      <c r="AF554" s="0" t="s">
        <v>127</v>
      </c>
      <c r="AM554" s="0" t="n">
        <v>352</v>
      </c>
      <c r="AN554" s="0" t="n">
        <v>366</v>
      </c>
      <c r="AO554" s="0" t="s">
        <v>200</v>
      </c>
      <c r="AP554" s="0" t="n">
        <v>349</v>
      </c>
      <c r="AQ554" s="0" t="n">
        <v>361</v>
      </c>
      <c r="AR554" s="0" t="s">
        <v>538</v>
      </c>
      <c r="AS554" s="0" t="n">
        <v>42</v>
      </c>
      <c r="AT554" s="0" t="n">
        <v>44</v>
      </c>
      <c r="AU554" s="0" t="s">
        <v>127</v>
      </c>
      <c r="AV554" s="0" t="n">
        <v>352</v>
      </c>
      <c r="AW554" s="0" t="n">
        <v>366</v>
      </c>
      <c r="AX554" s="0" t="s">
        <v>200</v>
      </c>
      <c r="AY554" s="0" t="n">
        <v>349</v>
      </c>
      <c r="AZ554" s="0" t="n">
        <v>361</v>
      </c>
      <c r="BA554" s="0" t="s">
        <v>538</v>
      </c>
      <c r="BB554" s="0" t="n">
        <v>42</v>
      </c>
      <c r="BC554" s="0" t="n">
        <v>44</v>
      </c>
      <c r="BD554" s="0" t="s">
        <v>127</v>
      </c>
      <c r="BE554" s="2" t="n">
        <v>43668</v>
      </c>
    </row>
    <row r="555" customFormat="false" ht="14.25" hidden="false" customHeight="false" outlineLevel="0" collapsed="false">
      <c r="A555" s="0" t="n">
        <v>554</v>
      </c>
      <c r="B555" s="1" t="s">
        <v>1236</v>
      </c>
      <c r="C555" s="0" t="n">
        <v>448</v>
      </c>
      <c r="D555" s="0" t="n">
        <v>473</v>
      </c>
      <c r="E555" s="0" t="s">
        <v>473</v>
      </c>
      <c r="F555" s="0" t="n">
        <v>445</v>
      </c>
      <c r="G555" s="0" t="n">
        <v>465</v>
      </c>
      <c r="H555" s="0" t="s">
        <v>144</v>
      </c>
      <c r="I555" s="0" t="n">
        <v>346</v>
      </c>
      <c r="J555" s="0" t="n">
        <v>358</v>
      </c>
      <c r="K555" s="0" t="s">
        <v>119</v>
      </c>
      <c r="L555" s="0" t="n">
        <v>41</v>
      </c>
      <c r="M555" s="0" t="n">
        <v>41</v>
      </c>
      <c r="N555" s="0" t="s">
        <v>110</v>
      </c>
      <c r="AD555" s="0" t="n">
        <v>642</v>
      </c>
      <c r="AE555" s="0" t="n">
        <v>652</v>
      </c>
      <c r="AF555" s="0" t="s">
        <v>120</v>
      </c>
      <c r="AM555" s="0" t="n">
        <v>346</v>
      </c>
      <c r="AN555" s="0" t="n">
        <v>355</v>
      </c>
      <c r="AO555" s="0" t="s">
        <v>370</v>
      </c>
      <c r="AP555" s="0" t="n">
        <v>338</v>
      </c>
      <c r="AQ555" s="0" t="n">
        <v>339</v>
      </c>
      <c r="AR555" s="0" t="s">
        <v>723</v>
      </c>
      <c r="AS555" s="0" t="n">
        <v>40</v>
      </c>
      <c r="AT555" s="0" t="n">
        <v>41</v>
      </c>
      <c r="AU555" s="0" t="s">
        <v>497</v>
      </c>
      <c r="AV555" s="0" t="n">
        <v>346</v>
      </c>
      <c r="AW555" s="0" t="n">
        <v>355</v>
      </c>
      <c r="AX555" s="0" t="s">
        <v>370</v>
      </c>
      <c r="AY555" s="0" t="n">
        <v>338</v>
      </c>
      <c r="AZ555" s="0" t="n">
        <v>339</v>
      </c>
      <c r="BA555" s="0" t="s">
        <v>723</v>
      </c>
      <c r="BB555" s="0" t="n">
        <v>40</v>
      </c>
      <c r="BC555" s="0" t="n">
        <v>41</v>
      </c>
      <c r="BD555" s="0" t="s">
        <v>497</v>
      </c>
      <c r="BE555" s="2" t="n">
        <v>43669</v>
      </c>
    </row>
    <row r="556" customFormat="false" ht="14.25" hidden="false" customHeight="false" outlineLevel="0" collapsed="false">
      <c r="A556" s="0" t="n">
        <v>555</v>
      </c>
      <c r="B556" s="1" t="s">
        <v>1237</v>
      </c>
      <c r="C556" s="0" t="n">
        <v>470</v>
      </c>
      <c r="D556" s="0" t="n">
        <v>481</v>
      </c>
      <c r="E556" s="0" t="s">
        <v>138</v>
      </c>
      <c r="F556" s="0" t="n">
        <v>461</v>
      </c>
      <c r="G556" s="0" t="n">
        <v>477</v>
      </c>
      <c r="H556" s="0" t="s">
        <v>119</v>
      </c>
      <c r="I556" s="0" t="n">
        <v>356</v>
      </c>
      <c r="J556" s="0" t="n">
        <v>365</v>
      </c>
      <c r="K556" s="0" t="s">
        <v>370</v>
      </c>
      <c r="BE556" s="2" t="n">
        <v>43670</v>
      </c>
    </row>
    <row r="557" customFormat="false" ht="14.25" hidden="false" customHeight="false" outlineLevel="0" collapsed="false">
      <c r="A557" s="0" t="n">
        <v>556</v>
      </c>
      <c r="B557" s="1" t="s">
        <v>1238</v>
      </c>
      <c r="C557" s="0" t="n">
        <v>462</v>
      </c>
      <c r="D557" s="0" t="n">
        <v>481</v>
      </c>
      <c r="E557" s="0" t="s">
        <v>438</v>
      </c>
      <c r="F557" s="0" t="n">
        <v>457</v>
      </c>
      <c r="G557" s="0" t="n">
        <v>472</v>
      </c>
      <c r="H557" s="0" t="s">
        <v>112</v>
      </c>
      <c r="I557" s="0" t="n">
        <v>354</v>
      </c>
      <c r="J557" s="0" t="n">
        <v>365</v>
      </c>
      <c r="K557" s="0" t="s">
        <v>756</v>
      </c>
      <c r="L557" s="0" t="n">
        <v>42</v>
      </c>
      <c r="M557" s="0" t="n">
        <v>41</v>
      </c>
      <c r="N557" s="0" t="s">
        <v>785</v>
      </c>
      <c r="AD557" s="0" t="n">
        <v>589</v>
      </c>
      <c r="AE557" s="0" t="n">
        <v>594</v>
      </c>
      <c r="AF557" s="0" t="s">
        <v>863</v>
      </c>
      <c r="AM557" s="0" t="n">
        <v>363</v>
      </c>
      <c r="AN557" s="0" t="n">
        <v>363</v>
      </c>
      <c r="AO557" s="0" t="s">
        <v>110</v>
      </c>
      <c r="AP557" s="0" t="n">
        <v>298</v>
      </c>
      <c r="AQ557" s="0" t="n">
        <v>300</v>
      </c>
      <c r="AR557" s="0" t="s">
        <v>596</v>
      </c>
      <c r="AS557" s="0" t="n">
        <v>30</v>
      </c>
      <c r="AT557" s="0" t="n">
        <v>30</v>
      </c>
      <c r="AU557" s="0" t="s">
        <v>110</v>
      </c>
      <c r="AV557" s="0" t="n">
        <v>363</v>
      </c>
      <c r="AW557" s="0" t="n">
        <v>363</v>
      </c>
      <c r="AX557" s="0" t="s">
        <v>110</v>
      </c>
      <c r="AY557" s="0" t="n">
        <v>298</v>
      </c>
      <c r="AZ557" s="0" t="n">
        <v>300</v>
      </c>
      <c r="BA557" s="0" t="s">
        <v>596</v>
      </c>
      <c r="BB557" s="0" t="n">
        <v>30</v>
      </c>
      <c r="BC557" s="0" t="n">
        <v>30</v>
      </c>
      <c r="BD557" s="0" t="s">
        <v>110</v>
      </c>
      <c r="BE557" s="2" t="n">
        <v>43672</v>
      </c>
    </row>
    <row r="558" customFormat="false" ht="14.25" hidden="false" customHeight="false" outlineLevel="0" collapsed="false">
      <c r="A558" s="0" t="n">
        <v>557</v>
      </c>
      <c r="B558" s="1" t="s">
        <v>1239</v>
      </c>
      <c r="C558" s="0" t="n">
        <v>462</v>
      </c>
      <c r="D558" s="0" t="n">
        <v>481</v>
      </c>
      <c r="E558" s="0" t="s">
        <v>438</v>
      </c>
      <c r="F558" s="0" t="n">
        <v>457</v>
      </c>
      <c r="G558" s="0" t="n">
        <v>472</v>
      </c>
      <c r="H558" s="0" t="s">
        <v>112</v>
      </c>
      <c r="I558" s="0" t="n">
        <v>354</v>
      </c>
      <c r="J558" s="0" t="n">
        <v>365</v>
      </c>
      <c r="K558" s="0" t="s">
        <v>756</v>
      </c>
      <c r="L558" s="0" t="n">
        <v>42</v>
      </c>
      <c r="M558" s="0" t="n">
        <v>42</v>
      </c>
      <c r="N558" s="0" t="s">
        <v>110</v>
      </c>
      <c r="BE558" s="2" t="n">
        <v>43671</v>
      </c>
    </row>
    <row r="559" customFormat="false" ht="14.25" hidden="false" customHeight="false" outlineLevel="0" collapsed="false">
      <c r="A559" s="0" t="n">
        <v>558</v>
      </c>
      <c r="B559" s="1" t="s">
        <v>1240</v>
      </c>
      <c r="K559" s="0" t="s">
        <v>200</v>
      </c>
      <c r="BE559" s="2" t="n">
        <v>43674</v>
      </c>
    </row>
    <row r="560" customFormat="false" ht="14.25" hidden="false" customHeight="false" outlineLevel="0" collapsed="false">
      <c r="A560" s="0" t="n">
        <v>559</v>
      </c>
      <c r="B560" s="1" t="s">
        <v>1241</v>
      </c>
      <c r="C560" s="0" t="n">
        <v>442</v>
      </c>
      <c r="D560" s="0" t="n">
        <v>481</v>
      </c>
      <c r="E560" s="0" t="s">
        <v>398</v>
      </c>
      <c r="F560" s="0" t="n">
        <v>451</v>
      </c>
      <c r="G560" s="0" t="n">
        <v>472</v>
      </c>
      <c r="H560" s="0" t="s">
        <v>544</v>
      </c>
      <c r="L560" s="0" t="n">
        <v>42</v>
      </c>
      <c r="M560" s="0" t="n">
        <v>42</v>
      </c>
      <c r="N560" s="0" t="s">
        <v>110</v>
      </c>
      <c r="AD560" s="0" t="n">
        <v>619</v>
      </c>
      <c r="AE560" s="0" t="n">
        <v>637</v>
      </c>
      <c r="AF560" s="0" t="s">
        <v>128</v>
      </c>
      <c r="AM560" s="0" t="n">
        <v>346</v>
      </c>
      <c r="AN560" s="0" t="n">
        <v>351</v>
      </c>
      <c r="AO560" s="0" t="s">
        <v>790</v>
      </c>
      <c r="AV560" s="0" t="n">
        <v>346</v>
      </c>
      <c r="AW560" s="0" t="n">
        <v>351</v>
      </c>
      <c r="AX560" s="0" t="s">
        <v>790</v>
      </c>
      <c r="BE560" s="2" t="n">
        <v>43675</v>
      </c>
    </row>
    <row r="561" customFormat="false" ht="14.25" hidden="false" customHeight="false" outlineLevel="0" collapsed="false">
      <c r="A561" s="0" t="n">
        <v>560</v>
      </c>
      <c r="B561" s="1" t="s">
        <v>1242</v>
      </c>
      <c r="C561" s="0" t="n">
        <v>466</v>
      </c>
      <c r="D561" s="0" t="n">
        <v>481</v>
      </c>
      <c r="E561" s="0" t="s">
        <v>758</v>
      </c>
      <c r="F561" s="0" t="n">
        <v>464</v>
      </c>
      <c r="G561" s="0" t="n">
        <v>472</v>
      </c>
      <c r="H561" s="0" t="s">
        <v>179</v>
      </c>
      <c r="L561" s="0" t="n">
        <v>41</v>
      </c>
      <c r="M561" s="0" t="n">
        <v>42</v>
      </c>
      <c r="N561" s="0" t="s">
        <v>497</v>
      </c>
      <c r="AD561" s="0" t="n">
        <v>619</v>
      </c>
      <c r="AE561" s="0" t="n">
        <v>637</v>
      </c>
      <c r="AF561" s="0" t="s">
        <v>128</v>
      </c>
      <c r="AM561" s="0" t="n">
        <v>372</v>
      </c>
      <c r="AN561" s="0" t="n">
        <v>372</v>
      </c>
      <c r="AO561" s="0" t="s">
        <v>110</v>
      </c>
      <c r="AV561" s="0" t="n">
        <v>372</v>
      </c>
      <c r="AW561" s="0" t="n">
        <v>372</v>
      </c>
      <c r="AX561" s="0" t="s">
        <v>110</v>
      </c>
      <c r="BE561" s="2" t="n">
        <v>43676</v>
      </c>
    </row>
    <row r="562" customFormat="false" ht="14.25" hidden="false" customHeight="false" outlineLevel="0" collapsed="false">
      <c r="A562" s="0" t="n">
        <v>561</v>
      </c>
      <c r="B562" s="1" t="s">
        <v>1243</v>
      </c>
      <c r="C562" s="0" t="n">
        <v>468</v>
      </c>
      <c r="D562" s="0" t="n">
        <v>481</v>
      </c>
      <c r="E562" s="0" t="s">
        <v>149</v>
      </c>
      <c r="F562" s="0" t="n">
        <v>457</v>
      </c>
      <c r="G562" s="0" t="n">
        <v>472</v>
      </c>
      <c r="H562" s="0" t="s">
        <v>112</v>
      </c>
      <c r="L562" s="0" t="n">
        <v>41</v>
      </c>
      <c r="M562" s="0" t="n">
        <v>42</v>
      </c>
      <c r="N562" s="0" t="s">
        <v>497</v>
      </c>
      <c r="AD562" s="0" t="n">
        <v>619</v>
      </c>
      <c r="AE562" s="0" t="n">
        <v>637</v>
      </c>
      <c r="AF562" s="0" t="s">
        <v>128</v>
      </c>
      <c r="AM562" s="0" t="n">
        <v>370</v>
      </c>
      <c r="AN562" s="0" t="n">
        <v>370</v>
      </c>
      <c r="AO562" s="0" t="s">
        <v>110</v>
      </c>
      <c r="AV562" s="0" t="n">
        <v>370</v>
      </c>
      <c r="AW562" s="0" t="n">
        <v>370</v>
      </c>
      <c r="AX562" s="0" t="s">
        <v>110</v>
      </c>
      <c r="BE562" s="2" t="n">
        <v>43677</v>
      </c>
    </row>
    <row r="563" customFormat="false" ht="14.25" hidden="false" customHeight="false" outlineLevel="0" collapsed="false">
      <c r="A563" s="0" t="n">
        <v>562</v>
      </c>
      <c r="B563" s="1" t="s">
        <v>1244</v>
      </c>
      <c r="C563" s="0" t="n">
        <v>467</v>
      </c>
      <c r="D563" s="0" t="n">
        <v>481</v>
      </c>
      <c r="E563" s="0" t="s">
        <v>492</v>
      </c>
      <c r="F563" s="0" t="n">
        <v>460</v>
      </c>
      <c r="G563" s="0" t="n">
        <v>474</v>
      </c>
      <c r="H563" s="0" t="s">
        <v>756</v>
      </c>
      <c r="L563" s="0" t="n">
        <v>43</v>
      </c>
      <c r="M563" s="0" t="n">
        <v>42</v>
      </c>
      <c r="N563" s="0" t="s">
        <v>785</v>
      </c>
      <c r="AF563" s="0" t="s">
        <v>1245</v>
      </c>
      <c r="AM563" s="0" t="n">
        <v>367</v>
      </c>
      <c r="AN563" s="0" t="n">
        <v>369</v>
      </c>
      <c r="AO563" s="0" t="s">
        <v>516</v>
      </c>
      <c r="AV563" s="0" t="n">
        <v>367</v>
      </c>
      <c r="AW563" s="0" t="n">
        <v>369</v>
      </c>
      <c r="AX563" s="0" t="s">
        <v>516</v>
      </c>
      <c r="BE563" s="2" t="n">
        <v>43679</v>
      </c>
    </row>
    <row r="564" customFormat="false" ht="14.25" hidden="false" customHeight="false" outlineLevel="0" collapsed="false">
      <c r="A564" s="0" t="n">
        <v>563</v>
      </c>
      <c r="B564" s="1" t="s">
        <v>1246</v>
      </c>
      <c r="C564" s="0" t="n">
        <v>461</v>
      </c>
      <c r="D564" s="0" t="n">
        <v>481</v>
      </c>
      <c r="E564" s="0" t="s">
        <v>136</v>
      </c>
      <c r="F564" s="0" t="n">
        <v>453</v>
      </c>
      <c r="G564" s="0" t="n">
        <v>472</v>
      </c>
      <c r="H564" s="0" t="s">
        <v>438</v>
      </c>
      <c r="L564" s="0" t="n">
        <v>41</v>
      </c>
      <c r="M564" s="0" t="n">
        <v>42</v>
      </c>
      <c r="N564" s="0" t="s">
        <v>497</v>
      </c>
      <c r="AD564" s="0" t="n">
        <v>619</v>
      </c>
      <c r="AE564" s="0" t="n">
        <v>637</v>
      </c>
      <c r="AF564" s="0" t="s">
        <v>128</v>
      </c>
      <c r="AM564" s="0" t="n">
        <v>357</v>
      </c>
      <c r="AN564" s="0" t="n">
        <v>357</v>
      </c>
      <c r="AO564" s="0" t="s">
        <v>110</v>
      </c>
      <c r="AV564" s="0" t="n">
        <v>357</v>
      </c>
      <c r="AW564" s="0" t="n">
        <v>357</v>
      </c>
      <c r="AX564" s="0" t="s">
        <v>110</v>
      </c>
      <c r="BE564" s="2" t="n">
        <v>43678</v>
      </c>
    </row>
    <row r="565" customFormat="false" ht="14.25" hidden="false" customHeight="false" outlineLevel="0" collapsed="false">
      <c r="A565" s="0" t="n">
        <v>564</v>
      </c>
      <c r="B565" s="1" t="s">
        <v>1247</v>
      </c>
      <c r="C565" s="0" t="n">
        <v>440</v>
      </c>
      <c r="D565" s="0" t="n">
        <v>481</v>
      </c>
      <c r="E565" s="0" t="s">
        <v>204</v>
      </c>
      <c r="F565" s="0" t="n">
        <v>409</v>
      </c>
      <c r="G565" s="0" t="n">
        <v>472</v>
      </c>
      <c r="H565" s="0" t="s">
        <v>382</v>
      </c>
      <c r="L565" s="0" t="n">
        <v>42</v>
      </c>
      <c r="M565" s="0" t="n">
        <v>42</v>
      </c>
      <c r="N565" s="0" t="s">
        <v>110</v>
      </c>
      <c r="AD565" s="0" t="n">
        <v>619</v>
      </c>
      <c r="AE565" s="0" t="n">
        <v>637</v>
      </c>
      <c r="AF565" s="0" t="s">
        <v>128</v>
      </c>
      <c r="AM565" s="0" t="n">
        <v>347</v>
      </c>
      <c r="AN565" s="0" t="n">
        <v>353</v>
      </c>
      <c r="AO565" s="0" t="s">
        <v>179</v>
      </c>
      <c r="AV565" s="0" t="n">
        <v>347</v>
      </c>
      <c r="AW565" s="0" t="n">
        <v>353</v>
      </c>
      <c r="AX565" s="0" t="s">
        <v>179</v>
      </c>
      <c r="BE565" s="2" t="n">
        <v>43682</v>
      </c>
    </row>
    <row r="566" customFormat="false" ht="14.25" hidden="false" customHeight="false" outlineLevel="0" collapsed="false">
      <c r="A566" s="0" t="n">
        <v>565</v>
      </c>
      <c r="B566" s="1" t="s">
        <v>1248</v>
      </c>
      <c r="C566" s="0" t="n">
        <v>468</v>
      </c>
      <c r="D566" s="0" t="n">
        <v>481</v>
      </c>
      <c r="E566" s="0" t="s">
        <v>149</v>
      </c>
      <c r="F566" s="0" t="n">
        <v>435</v>
      </c>
      <c r="G566" s="0" t="n">
        <v>452</v>
      </c>
      <c r="H566" s="0" t="s">
        <v>200</v>
      </c>
      <c r="I566" s="0" t="n">
        <v>76</v>
      </c>
      <c r="J566" s="0" t="n">
        <v>79</v>
      </c>
      <c r="K566" s="0" t="s">
        <v>200</v>
      </c>
      <c r="L566" s="0" t="n">
        <v>42</v>
      </c>
      <c r="M566" s="0" t="n">
        <v>42</v>
      </c>
      <c r="N566" s="0" t="s">
        <v>110</v>
      </c>
      <c r="AD566" s="0" t="n">
        <v>619</v>
      </c>
      <c r="AE566" s="0" t="n">
        <v>637</v>
      </c>
      <c r="AF566" s="0" t="s">
        <v>128</v>
      </c>
      <c r="AM566" s="0" t="n">
        <v>361</v>
      </c>
      <c r="AN566" s="0" t="n">
        <v>366</v>
      </c>
      <c r="AO566" s="0" t="s">
        <v>790</v>
      </c>
      <c r="AV566" s="0" t="n">
        <v>361</v>
      </c>
      <c r="AW566" s="0" t="n">
        <v>366</v>
      </c>
      <c r="AX566" s="0" t="s">
        <v>790</v>
      </c>
      <c r="BE566" s="2" t="n">
        <v>43683</v>
      </c>
    </row>
    <row r="567" customFormat="false" ht="14.25" hidden="false" customHeight="false" outlineLevel="0" collapsed="false">
      <c r="A567" s="0" t="n">
        <v>566</v>
      </c>
      <c r="B567" s="1" t="s">
        <v>1249</v>
      </c>
      <c r="C567" s="0" t="n">
        <v>468</v>
      </c>
      <c r="D567" s="0" t="n">
        <v>481</v>
      </c>
      <c r="E567" s="0" t="s">
        <v>149</v>
      </c>
      <c r="F567" s="0" t="n">
        <v>431</v>
      </c>
      <c r="G567" s="0" t="n">
        <v>452</v>
      </c>
      <c r="H567" s="0" t="s">
        <v>188</v>
      </c>
      <c r="I567" s="0" t="n">
        <v>81</v>
      </c>
      <c r="J567" s="0" t="n">
        <v>80</v>
      </c>
      <c r="K567" s="0" t="s">
        <v>653</v>
      </c>
      <c r="L567" s="0" t="n">
        <v>42</v>
      </c>
      <c r="M567" s="0" t="n">
        <v>42</v>
      </c>
      <c r="N567" s="0" t="s">
        <v>110</v>
      </c>
      <c r="AM567" s="0" t="n">
        <v>344</v>
      </c>
      <c r="AN567" s="0" t="n">
        <v>344</v>
      </c>
      <c r="AO567" s="0" t="s">
        <v>110</v>
      </c>
      <c r="AV567" s="0" t="n">
        <v>344</v>
      </c>
      <c r="AW567" s="0" t="n">
        <v>344</v>
      </c>
      <c r="AX567" s="0" t="s">
        <v>110</v>
      </c>
      <c r="BE567" s="2" t="n">
        <v>43684</v>
      </c>
    </row>
    <row r="568" customFormat="false" ht="14.25" hidden="false" customHeight="false" outlineLevel="0" collapsed="false">
      <c r="A568" s="0" t="n">
        <v>567</v>
      </c>
      <c r="B568" s="1" t="s">
        <v>1250</v>
      </c>
      <c r="C568" s="0" t="n">
        <v>465</v>
      </c>
      <c r="D568" s="0" t="n">
        <v>481</v>
      </c>
      <c r="E568" s="0" t="s">
        <v>538</v>
      </c>
      <c r="F568" s="0" t="n">
        <v>444</v>
      </c>
      <c r="G568" s="0" t="n">
        <v>457</v>
      </c>
      <c r="H568" s="0" t="s">
        <v>128</v>
      </c>
      <c r="I568" s="0" t="n">
        <v>346</v>
      </c>
      <c r="J568" s="0" t="n">
        <v>365</v>
      </c>
      <c r="K568" s="0" t="s">
        <v>191</v>
      </c>
      <c r="L568" s="0" t="n">
        <v>42</v>
      </c>
      <c r="M568" s="0" t="n">
        <v>42</v>
      </c>
      <c r="N568" s="0" t="s">
        <v>110</v>
      </c>
      <c r="AD568" s="0" t="n">
        <v>633</v>
      </c>
      <c r="AE568" s="0" t="n">
        <v>654</v>
      </c>
      <c r="AF568" s="0" t="s">
        <v>112</v>
      </c>
      <c r="AM568" s="0" t="n">
        <v>356</v>
      </c>
      <c r="AN568" s="0" t="n">
        <v>362</v>
      </c>
      <c r="AO568" s="0" t="s">
        <v>179</v>
      </c>
      <c r="AP568" s="0" t="n">
        <v>362</v>
      </c>
      <c r="AQ568" s="0" t="n">
        <v>362</v>
      </c>
      <c r="AR568" s="0" t="s">
        <v>110</v>
      </c>
      <c r="AV568" s="0" t="n">
        <v>356</v>
      </c>
      <c r="AW568" s="0" t="n">
        <v>362</v>
      </c>
      <c r="AX568" s="0" t="s">
        <v>179</v>
      </c>
      <c r="AY568" s="0" t="n">
        <v>362</v>
      </c>
      <c r="AZ568" s="0" t="n">
        <v>362</v>
      </c>
      <c r="BA568" s="0" t="s">
        <v>110</v>
      </c>
      <c r="BE568" s="2" t="n">
        <v>43685</v>
      </c>
    </row>
    <row r="569" customFormat="false" ht="14.25" hidden="false" customHeight="false" outlineLevel="0" collapsed="false">
      <c r="A569" s="0" t="n">
        <v>568</v>
      </c>
      <c r="B569" s="1" t="s">
        <v>1251</v>
      </c>
      <c r="C569" s="0" t="n">
        <v>460</v>
      </c>
      <c r="D569" s="0" t="n">
        <v>481</v>
      </c>
      <c r="E569" s="0" t="s">
        <v>544</v>
      </c>
      <c r="F569" s="0" t="n">
        <v>465</v>
      </c>
      <c r="G569" s="0" t="n">
        <v>472</v>
      </c>
      <c r="H569" s="0" t="s">
        <v>120</v>
      </c>
      <c r="I569" s="0" t="n">
        <v>407</v>
      </c>
      <c r="J569" s="0" t="n">
        <v>417</v>
      </c>
      <c r="K569" s="0" t="s">
        <v>497</v>
      </c>
      <c r="L569" s="0" t="n">
        <v>41</v>
      </c>
      <c r="M569" s="0" t="n">
        <v>42</v>
      </c>
      <c r="N569" s="0" t="s">
        <v>497</v>
      </c>
      <c r="AD569" s="0" t="n">
        <v>630</v>
      </c>
      <c r="AE569" s="0" t="n">
        <v>631</v>
      </c>
      <c r="AF569" s="0" t="s">
        <v>623</v>
      </c>
      <c r="AM569" s="0" t="n">
        <v>347</v>
      </c>
      <c r="AN569" s="0" t="n">
        <v>350</v>
      </c>
      <c r="AO569" s="0" t="s">
        <v>798</v>
      </c>
      <c r="AP569" s="0" t="n">
        <v>366</v>
      </c>
      <c r="AQ569" s="0" t="n">
        <v>370</v>
      </c>
      <c r="AR569" s="0" t="s">
        <v>143</v>
      </c>
      <c r="AS569" s="0" t="n">
        <v>26</v>
      </c>
      <c r="AT569" s="0" t="n">
        <v>26</v>
      </c>
      <c r="AU569" s="0" t="s">
        <v>110</v>
      </c>
      <c r="AV569" s="0" t="n">
        <v>347</v>
      </c>
      <c r="AW569" s="0" t="n">
        <v>350</v>
      </c>
      <c r="AX569" s="0" t="s">
        <v>798</v>
      </c>
      <c r="AY569" s="0" t="n">
        <v>366</v>
      </c>
      <c r="AZ569" s="0" t="n">
        <v>370</v>
      </c>
      <c r="BA569" s="0" t="s">
        <v>143</v>
      </c>
      <c r="BB569" s="0" t="n">
        <v>26</v>
      </c>
      <c r="BC569" s="0" t="n">
        <v>26</v>
      </c>
      <c r="BD569" s="0" t="s">
        <v>110</v>
      </c>
      <c r="BE569" s="2" t="n">
        <v>43686</v>
      </c>
    </row>
    <row r="570" customFormat="false" ht="14.25" hidden="false" customHeight="false" outlineLevel="0" collapsed="false">
      <c r="A570" s="0" t="n">
        <v>569</v>
      </c>
      <c r="B570" s="1" t="s">
        <v>1252</v>
      </c>
      <c r="C570" s="0" t="n">
        <v>459</v>
      </c>
      <c r="D570" s="0" t="n">
        <v>484</v>
      </c>
      <c r="E570" s="0" t="s">
        <v>191</v>
      </c>
      <c r="F570" s="0" t="n">
        <v>450</v>
      </c>
      <c r="G570" s="0" t="n">
        <v>475</v>
      </c>
      <c r="H570" s="0" t="s">
        <v>473</v>
      </c>
      <c r="I570" s="0" t="n">
        <v>357</v>
      </c>
      <c r="J570" s="0" t="n">
        <v>368</v>
      </c>
      <c r="K570" s="0" t="s">
        <v>756</v>
      </c>
      <c r="L570" s="0" t="n">
        <v>42</v>
      </c>
      <c r="M570" s="0" t="n">
        <v>42</v>
      </c>
      <c r="N570" s="0" t="s">
        <v>110</v>
      </c>
      <c r="AD570" s="0" t="n">
        <v>637</v>
      </c>
      <c r="AE570" s="0" t="n">
        <v>649</v>
      </c>
      <c r="AF570" s="0" t="s">
        <v>600</v>
      </c>
      <c r="AM570" s="0" t="n">
        <v>372</v>
      </c>
      <c r="AN570" s="0" t="n">
        <v>372</v>
      </c>
      <c r="AO570" s="0" t="s">
        <v>110</v>
      </c>
      <c r="AP570" s="0" t="n">
        <v>356</v>
      </c>
      <c r="AQ570" s="0" t="n">
        <v>361</v>
      </c>
      <c r="AR570" s="0" t="s">
        <v>790</v>
      </c>
      <c r="AV570" s="0" t="n">
        <v>372</v>
      </c>
      <c r="AW570" s="0" t="n">
        <v>372</v>
      </c>
      <c r="AX570" s="0" t="s">
        <v>110</v>
      </c>
      <c r="AY570" s="0" t="n">
        <v>356</v>
      </c>
      <c r="AZ570" s="0" t="n">
        <v>361</v>
      </c>
      <c r="BA570" s="0" t="s">
        <v>790</v>
      </c>
      <c r="BE570" s="2" t="n">
        <v>43689</v>
      </c>
    </row>
    <row r="571" customFormat="false" ht="14.25" hidden="false" customHeight="false" outlineLevel="0" collapsed="false">
      <c r="A571" s="0" t="n">
        <v>570</v>
      </c>
      <c r="B571" s="1" t="s">
        <v>1253</v>
      </c>
      <c r="C571" s="0" t="n">
        <v>465</v>
      </c>
      <c r="D571" s="0" t="n">
        <v>484</v>
      </c>
      <c r="E571" s="0" t="s">
        <v>594</v>
      </c>
      <c r="F571" s="0" t="n">
        <v>441</v>
      </c>
      <c r="G571" s="0" t="n">
        <v>475</v>
      </c>
      <c r="H571" s="0" t="s">
        <v>475</v>
      </c>
      <c r="I571" s="0" t="n">
        <v>356</v>
      </c>
      <c r="J571" s="0" t="n">
        <v>368</v>
      </c>
      <c r="K571" s="0" t="s">
        <v>538</v>
      </c>
      <c r="L571" s="0" t="n">
        <v>42</v>
      </c>
      <c r="M571" s="0" t="n">
        <v>42</v>
      </c>
      <c r="N571" s="0" t="s">
        <v>110</v>
      </c>
      <c r="AD571" s="0" t="n">
        <v>664</v>
      </c>
      <c r="AE571" s="0" t="n">
        <v>664</v>
      </c>
      <c r="AF571" s="0" t="s">
        <v>110</v>
      </c>
      <c r="AM571" s="0" t="n">
        <v>364</v>
      </c>
      <c r="AN571" s="0" t="n">
        <v>368</v>
      </c>
      <c r="AO571" s="0" t="s">
        <v>143</v>
      </c>
      <c r="AP571" s="0" t="n">
        <v>337</v>
      </c>
      <c r="AQ571" s="0" t="n">
        <v>349</v>
      </c>
      <c r="AR571" s="0" t="s">
        <v>119</v>
      </c>
      <c r="AS571" s="0" t="n">
        <v>30</v>
      </c>
      <c r="AT571" s="0" t="n">
        <v>27</v>
      </c>
      <c r="AU571" s="0" t="s">
        <v>1254</v>
      </c>
      <c r="AV571" s="0" t="n">
        <v>364</v>
      </c>
      <c r="AW571" s="0" t="n">
        <v>368</v>
      </c>
      <c r="AX571" s="0" t="s">
        <v>143</v>
      </c>
      <c r="AY571" s="0" t="n">
        <v>337</v>
      </c>
      <c r="AZ571" s="0" t="n">
        <v>349</v>
      </c>
      <c r="BA571" s="0" t="s">
        <v>119</v>
      </c>
      <c r="BB571" s="0" t="n">
        <v>30</v>
      </c>
      <c r="BC571" s="0" t="n">
        <v>27</v>
      </c>
      <c r="BD571" s="0" t="s">
        <v>1254</v>
      </c>
      <c r="BE571" s="2" t="n">
        <v>43690</v>
      </c>
    </row>
    <row r="572" customFormat="false" ht="14.25" hidden="false" customHeight="false" outlineLevel="0" collapsed="false">
      <c r="A572" s="0" t="n">
        <v>571</v>
      </c>
      <c r="B572" s="1" t="s">
        <v>1255</v>
      </c>
      <c r="C572" s="0" t="n">
        <v>451</v>
      </c>
      <c r="D572" s="0" t="n">
        <v>484</v>
      </c>
      <c r="E572" s="0" t="s">
        <v>491</v>
      </c>
      <c r="F572" s="0" t="n">
        <v>454</v>
      </c>
      <c r="G572" s="0" t="n">
        <v>475</v>
      </c>
      <c r="H572" s="0" t="s">
        <v>544</v>
      </c>
      <c r="I572" s="0" t="n">
        <v>354</v>
      </c>
      <c r="J572" s="0" t="n">
        <v>368</v>
      </c>
      <c r="K572" s="0" t="s">
        <v>200</v>
      </c>
      <c r="L572" s="0" t="n">
        <v>42</v>
      </c>
      <c r="M572" s="0" t="n">
        <v>42</v>
      </c>
      <c r="N572" s="0" t="s">
        <v>110</v>
      </c>
      <c r="AD572" s="0" t="n">
        <v>651</v>
      </c>
      <c r="AE572" s="0" t="n">
        <v>668</v>
      </c>
      <c r="AF572" s="0" t="s">
        <v>370</v>
      </c>
      <c r="AM572" s="0" t="n">
        <v>340</v>
      </c>
      <c r="AN572" s="0" t="n">
        <v>348</v>
      </c>
      <c r="AO572" s="0" t="s">
        <v>138</v>
      </c>
      <c r="AP572" s="0" t="n">
        <v>354</v>
      </c>
      <c r="AQ572" s="0" t="n">
        <v>366</v>
      </c>
      <c r="AR572" s="0" t="s">
        <v>538</v>
      </c>
      <c r="AS572" s="0" t="n">
        <v>35</v>
      </c>
      <c r="AT572" s="0" t="n">
        <v>35</v>
      </c>
      <c r="AU572" s="0" t="s">
        <v>110</v>
      </c>
      <c r="AV572" s="0" t="n">
        <v>340</v>
      </c>
      <c r="AW572" s="0" t="n">
        <v>348</v>
      </c>
      <c r="AX572" s="0" t="s">
        <v>138</v>
      </c>
      <c r="AY572" s="0" t="n">
        <v>354</v>
      </c>
      <c r="AZ572" s="0" t="n">
        <v>366</v>
      </c>
      <c r="BA572" s="0" t="s">
        <v>538</v>
      </c>
      <c r="BB572" s="0" t="n">
        <v>35</v>
      </c>
      <c r="BC572" s="0" t="n">
        <v>35</v>
      </c>
      <c r="BD572" s="0" t="s">
        <v>110</v>
      </c>
      <c r="BE572" s="2" t="n">
        <v>43691</v>
      </c>
    </row>
    <row r="573" customFormat="false" ht="14.25" hidden="false" customHeight="false" outlineLevel="0" collapsed="false">
      <c r="A573" s="0" t="n">
        <v>572</v>
      </c>
      <c r="B573" s="1" t="s">
        <v>1256</v>
      </c>
      <c r="C573" s="0" t="n">
        <v>470</v>
      </c>
      <c r="D573" s="0" t="n">
        <v>484</v>
      </c>
      <c r="E573" s="0" t="s">
        <v>492</v>
      </c>
      <c r="F573" s="0" t="n">
        <v>451</v>
      </c>
      <c r="G573" s="0" t="n">
        <v>475</v>
      </c>
      <c r="H573" s="0" t="s">
        <v>142</v>
      </c>
      <c r="I573" s="0" t="n">
        <v>359</v>
      </c>
      <c r="J573" s="0" t="n">
        <v>368</v>
      </c>
      <c r="K573" s="0" t="s">
        <v>497</v>
      </c>
      <c r="L573" s="0" t="n">
        <v>42</v>
      </c>
      <c r="M573" s="0" t="n">
        <v>42</v>
      </c>
      <c r="N573" s="0" t="s">
        <v>110</v>
      </c>
      <c r="AD573" s="0" t="n">
        <v>666</v>
      </c>
      <c r="AE573" s="0" t="n">
        <v>665</v>
      </c>
      <c r="AF573" s="0" t="s">
        <v>1012</v>
      </c>
      <c r="AM573" s="0" t="n">
        <v>370</v>
      </c>
      <c r="AN573" s="0" t="n">
        <v>372</v>
      </c>
      <c r="AO573" s="0" t="s">
        <v>516</v>
      </c>
      <c r="AP573" s="0" t="n">
        <v>318</v>
      </c>
      <c r="AQ573" s="0" t="n">
        <v>348</v>
      </c>
      <c r="AR573" s="0" t="s">
        <v>795</v>
      </c>
      <c r="AS573" s="0" t="n">
        <v>40</v>
      </c>
      <c r="AT573" s="0" t="n">
        <v>11</v>
      </c>
      <c r="AU573" s="0" t="s">
        <v>1257</v>
      </c>
      <c r="AV573" s="0" t="n">
        <v>370</v>
      </c>
      <c r="AW573" s="0" t="n">
        <v>372</v>
      </c>
      <c r="AX573" s="0" t="s">
        <v>516</v>
      </c>
      <c r="AY573" s="0" t="n">
        <v>318</v>
      </c>
      <c r="AZ573" s="0" t="n">
        <v>348</v>
      </c>
      <c r="BA573" s="0" t="s">
        <v>795</v>
      </c>
      <c r="BB573" s="0" t="n">
        <v>40</v>
      </c>
      <c r="BC573" s="0" t="n">
        <v>11</v>
      </c>
      <c r="BD573" s="0" t="s">
        <v>1257</v>
      </c>
      <c r="BE573" s="2" t="n">
        <v>43692</v>
      </c>
    </row>
    <row r="574" customFormat="false" ht="14.25" hidden="false" customHeight="false" outlineLevel="0" collapsed="false">
      <c r="A574" s="0" t="n">
        <v>573</v>
      </c>
      <c r="B574" s="1" t="s">
        <v>1258</v>
      </c>
      <c r="C574" s="0" t="n">
        <v>464</v>
      </c>
      <c r="D574" s="0" t="n">
        <v>484</v>
      </c>
      <c r="E574" s="0" t="s">
        <v>777</v>
      </c>
      <c r="F574" s="0" t="n">
        <v>462</v>
      </c>
      <c r="G574" s="0" t="n">
        <v>475</v>
      </c>
      <c r="H574" s="0" t="s">
        <v>149</v>
      </c>
      <c r="I574" s="0" t="n">
        <v>405</v>
      </c>
      <c r="J574" s="0" t="n">
        <v>420</v>
      </c>
      <c r="K574" s="0" t="s">
        <v>187</v>
      </c>
      <c r="L574" s="0" t="n">
        <v>41</v>
      </c>
      <c r="M574" s="0" t="n">
        <v>42</v>
      </c>
      <c r="N574" s="0" t="s">
        <v>497</v>
      </c>
      <c r="AD574" s="0" t="n">
        <v>624</v>
      </c>
      <c r="AE574" s="0" t="n">
        <v>629</v>
      </c>
      <c r="AF574" s="0" t="s">
        <v>863</v>
      </c>
      <c r="AM574" s="0" t="n">
        <v>372</v>
      </c>
      <c r="AN574" s="0" t="n">
        <v>375</v>
      </c>
      <c r="AO574" s="0" t="s">
        <v>863</v>
      </c>
      <c r="AP574" s="0" t="n">
        <v>355</v>
      </c>
      <c r="AQ574" s="0" t="n">
        <v>355</v>
      </c>
      <c r="AR574" s="0" t="s">
        <v>110</v>
      </c>
      <c r="AS574" s="0" t="n">
        <v>40</v>
      </c>
      <c r="AT574" s="0" t="n">
        <v>40</v>
      </c>
      <c r="AU574" s="0" t="s">
        <v>110</v>
      </c>
      <c r="AV574" s="0" t="n">
        <v>372</v>
      </c>
      <c r="AW574" s="0" t="n">
        <v>375</v>
      </c>
      <c r="AX574" s="0" t="s">
        <v>863</v>
      </c>
      <c r="AY574" s="0" t="n">
        <v>355</v>
      </c>
      <c r="AZ574" s="0" t="n">
        <v>355</v>
      </c>
      <c r="BA574" s="0" t="s">
        <v>110</v>
      </c>
      <c r="BB574" s="0" t="n">
        <v>40</v>
      </c>
      <c r="BC574" s="0" t="n">
        <v>40</v>
      </c>
      <c r="BD574" s="0" t="s">
        <v>110</v>
      </c>
      <c r="BE574" s="2" t="n">
        <v>43693</v>
      </c>
    </row>
    <row r="575" customFormat="false" ht="14.25" hidden="false" customHeight="false" outlineLevel="0" collapsed="false">
      <c r="A575" s="0" t="n">
        <v>574</v>
      </c>
      <c r="B575" s="1" t="s">
        <v>1259</v>
      </c>
      <c r="F575" s="0" t="n">
        <v>334</v>
      </c>
      <c r="G575" s="0" t="n">
        <v>352</v>
      </c>
      <c r="H575" s="0" t="s">
        <v>142</v>
      </c>
      <c r="BE575" s="2" t="n">
        <v>43694</v>
      </c>
    </row>
    <row r="576" customFormat="false" ht="14.25" hidden="false" customHeight="false" outlineLevel="0" collapsed="false">
      <c r="A576" s="0" t="n">
        <v>575</v>
      </c>
      <c r="B576" s="1" t="s">
        <v>1260</v>
      </c>
      <c r="I576" s="0" t="n">
        <v>398</v>
      </c>
      <c r="J576" s="0" t="n">
        <v>419</v>
      </c>
      <c r="K576" s="0" t="s">
        <v>606</v>
      </c>
      <c r="BE576" s="2" t="n">
        <v>43695</v>
      </c>
    </row>
    <row r="577" customFormat="false" ht="14.25" hidden="false" customHeight="false" outlineLevel="0" collapsed="false">
      <c r="A577" s="0" t="n">
        <v>576</v>
      </c>
      <c r="B577" s="1" t="s">
        <v>1261</v>
      </c>
      <c r="C577" s="0" t="n">
        <v>384</v>
      </c>
      <c r="D577" s="0" t="n">
        <v>488</v>
      </c>
      <c r="E577" s="0" t="s">
        <v>1262</v>
      </c>
      <c r="F577" s="0" t="n">
        <v>430</v>
      </c>
      <c r="G577" s="0" t="n">
        <v>475</v>
      </c>
      <c r="H577" s="0" t="s">
        <v>608</v>
      </c>
      <c r="I577" s="0" t="n">
        <v>356</v>
      </c>
      <c r="J577" s="0" t="n">
        <v>368</v>
      </c>
      <c r="K577" s="0" t="s">
        <v>538</v>
      </c>
      <c r="L577" s="0" t="n">
        <v>42</v>
      </c>
      <c r="M577" s="0" t="n">
        <v>42</v>
      </c>
      <c r="N577" s="0" t="s">
        <v>110</v>
      </c>
      <c r="AD577" s="0" t="n">
        <v>654</v>
      </c>
      <c r="AE577" s="0" t="n">
        <v>665</v>
      </c>
      <c r="AF577" s="0" t="s">
        <v>179</v>
      </c>
      <c r="AM577" s="0" t="n">
        <v>359</v>
      </c>
      <c r="AN577" s="0" t="n">
        <v>372</v>
      </c>
      <c r="AO577" s="0" t="s">
        <v>291</v>
      </c>
      <c r="AP577" s="0" t="n">
        <v>345</v>
      </c>
      <c r="AQ577" s="0" t="n">
        <v>354</v>
      </c>
      <c r="AR577" s="0" t="s">
        <v>370</v>
      </c>
      <c r="AS577" s="0" t="n">
        <v>34</v>
      </c>
      <c r="AT577" s="0" t="n">
        <v>35</v>
      </c>
      <c r="AU577" s="0" t="s">
        <v>492</v>
      </c>
      <c r="AV577" s="0" t="n">
        <v>359</v>
      </c>
      <c r="AW577" s="0" t="n">
        <v>372</v>
      </c>
      <c r="AX577" s="0" t="s">
        <v>291</v>
      </c>
      <c r="AY577" s="0" t="n">
        <v>345</v>
      </c>
      <c r="AZ577" s="0" t="n">
        <v>354</v>
      </c>
      <c r="BA577" s="0" t="s">
        <v>370</v>
      </c>
      <c r="BB577" s="0" t="n">
        <v>34</v>
      </c>
      <c r="BC577" s="0" t="n">
        <v>35</v>
      </c>
      <c r="BD577" s="0" t="s">
        <v>492</v>
      </c>
      <c r="BE577" s="2" t="n">
        <v>43696</v>
      </c>
    </row>
    <row r="578" customFormat="false" ht="14.25" hidden="false" customHeight="false" outlineLevel="0" collapsed="false">
      <c r="A578" s="0" t="n">
        <v>577</v>
      </c>
      <c r="B578" s="1" t="s">
        <v>1263</v>
      </c>
      <c r="C578" s="0" t="n">
        <v>447</v>
      </c>
      <c r="D578" s="0" t="n">
        <v>516</v>
      </c>
      <c r="E578" s="0" t="s">
        <v>296</v>
      </c>
      <c r="F578" s="0" t="n">
        <v>439</v>
      </c>
      <c r="G578" s="0" t="n">
        <v>464</v>
      </c>
      <c r="H578" s="0" t="s">
        <v>332</v>
      </c>
      <c r="I578" s="0" t="n">
        <v>351</v>
      </c>
      <c r="J578" s="0" t="n">
        <v>358</v>
      </c>
      <c r="K578" s="0" t="s">
        <v>131</v>
      </c>
      <c r="L578" s="0" t="n">
        <v>40</v>
      </c>
      <c r="M578" s="0" t="n">
        <v>41</v>
      </c>
      <c r="N578" s="0" t="s">
        <v>497</v>
      </c>
      <c r="AD578" s="0" t="n">
        <v>634</v>
      </c>
      <c r="AE578" s="0" t="n">
        <v>652</v>
      </c>
      <c r="AF578" s="0" t="s">
        <v>128</v>
      </c>
      <c r="AM578" s="0" t="n">
        <v>360</v>
      </c>
      <c r="AN578" s="0" t="n">
        <v>360</v>
      </c>
      <c r="AO578" s="0" t="s">
        <v>110</v>
      </c>
      <c r="AP578" s="0" t="n">
        <v>326</v>
      </c>
      <c r="AQ578" s="0" t="n">
        <v>337</v>
      </c>
      <c r="AR578" s="0" t="s">
        <v>538</v>
      </c>
      <c r="AS578" s="0" t="n">
        <v>40</v>
      </c>
      <c r="AT578" s="0" t="n">
        <v>41</v>
      </c>
      <c r="AU578" s="0" t="s">
        <v>497</v>
      </c>
      <c r="AV578" s="0" t="n">
        <v>360</v>
      </c>
      <c r="AW578" s="0" t="n">
        <v>360</v>
      </c>
      <c r="AX578" s="0" t="s">
        <v>110</v>
      </c>
      <c r="AY578" s="0" t="n">
        <v>326</v>
      </c>
      <c r="AZ578" s="0" t="n">
        <v>337</v>
      </c>
      <c r="BA578" s="0" t="s">
        <v>538</v>
      </c>
      <c r="BB578" s="0" t="n">
        <v>40</v>
      </c>
      <c r="BC578" s="0" t="n">
        <v>41</v>
      </c>
      <c r="BD578" s="0" t="s">
        <v>497</v>
      </c>
      <c r="BE578" s="2" t="n">
        <v>43697</v>
      </c>
    </row>
    <row r="579" customFormat="false" ht="14.25" hidden="false" customHeight="false" outlineLevel="0" collapsed="false">
      <c r="A579" s="0" t="n">
        <v>578</v>
      </c>
      <c r="B579" s="1" t="s">
        <v>1264</v>
      </c>
      <c r="C579" s="0" t="n">
        <v>465</v>
      </c>
      <c r="D579" s="0" t="n">
        <v>484</v>
      </c>
      <c r="E579" s="0" t="s">
        <v>594</v>
      </c>
      <c r="F579" s="0" t="n">
        <v>460</v>
      </c>
      <c r="G579" s="0" t="n">
        <v>475</v>
      </c>
      <c r="H579" s="0" t="s">
        <v>112</v>
      </c>
      <c r="I579" s="0" t="n">
        <v>356</v>
      </c>
      <c r="J579" s="0" t="n">
        <v>368</v>
      </c>
      <c r="K579" s="0" t="s">
        <v>538</v>
      </c>
      <c r="L579" s="0" t="n">
        <v>43</v>
      </c>
      <c r="M579" s="0" t="n">
        <v>42</v>
      </c>
      <c r="N579" s="0" t="s">
        <v>785</v>
      </c>
      <c r="AD579" s="0" t="n">
        <v>613</v>
      </c>
      <c r="AE579" s="0" t="n">
        <v>641</v>
      </c>
      <c r="AF579" s="0" t="s">
        <v>544</v>
      </c>
      <c r="AM579" s="0" t="n">
        <v>356</v>
      </c>
      <c r="AN579" s="0" t="n">
        <v>356</v>
      </c>
      <c r="AO579" s="0" t="s">
        <v>110</v>
      </c>
      <c r="AP579" s="0" t="n">
        <v>362</v>
      </c>
      <c r="AQ579" s="0" t="n">
        <v>366</v>
      </c>
      <c r="AR579" s="0" t="s">
        <v>143</v>
      </c>
      <c r="AS579" s="0" t="n">
        <v>40</v>
      </c>
      <c r="AT579" s="0" t="n">
        <v>40</v>
      </c>
      <c r="AU579" s="0" t="s">
        <v>110</v>
      </c>
      <c r="AV579" s="0" t="n">
        <v>356</v>
      </c>
      <c r="AW579" s="0" t="n">
        <v>356</v>
      </c>
      <c r="AX579" s="0" t="s">
        <v>110</v>
      </c>
      <c r="AY579" s="0" t="n">
        <v>362</v>
      </c>
      <c r="AZ579" s="0" t="n">
        <v>366</v>
      </c>
      <c r="BA579" s="0" t="s">
        <v>143</v>
      </c>
      <c r="BB579" s="0" t="n">
        <v>40</v>
      </c>
      <c r="BC579" s="0" t="n">
        <v>40</v>
      </c>
      <c r="BD579" s="0" t="s">
        <v>110</v>
      </c>
      <c r="BE579" s="2" t="n">
        <v>43698</v>
      </c>
    </row>
    <row r="580" customFormat="false" ht="14.25" hidden="false" customHeight="false" outlineLevel="0" collapsed="false">
      <c r="A580" s="0" t="n">
        <v>579</v>
      </c>
      <c r="B580" s="1" t="s">
        <v>1265</v>
      </c>
      <c r="C580" s="0" t="n">
        <v>459</v>
      </c>
      <c r="D580" s="0" t="n">
        <v>484</v>
      </c>
      <c r="E580" s="0" t="s">
        <v>191</v>
      </c>
      <c r="F580" s="0" t="n">
        <v>451</v>
      </c>
      <c r="G580" s="0" t="n">
        <v>475</v>
      </c>
      <c r="H580" s="0" t="s">
        <v>142</v>
      </c>
      <c r="I580" s="0" t="n">
        <v>357</v>
      </c>
      <c r="J580" s="0" t="n">
        <v>368</v>
      </c>
      <c r="K580" s="0" t="s">
        <v>756</v>
      </c>
      <c r="L580" s="0" t="n">
        <v>42</v>
      </c>
      <c r="M580" s="0" t="n">
        <v>42</v>
      </c>
      <c r="N580" s="0" t="s">
        <v>110</v>
      </c>
      <c r="AD580" s="0" t="n">
        <v>658</v>
      </c>
      <c r="AE580" s="0" t="n">
        <v>669</v>
      </c>
      <c r="AF580" s="0" t="s">
        <v>706</v>
      </c>
      <c r="AM580" s="0" t="n">
        <v>354</v>
      </c>
      <c r="AN580" s="0" t="n">
        <v>364</v>
      </c>
      <c r="AO580" s="0" t="s">
        <v>149</v>
      </c>
      <c r="AP580" s="0" t="n">
        <v>326</v>
      </c>
      <c r="AQ580" s="0" t="n">
        <v>355</v>
      </c>
      <c r="AR580" s="0" t="s">
        <v>709</v>
      </c>
      <c r="AS580" s="0" t="n">
        <v>40</v>
      </c>
      <c r="AT580" s="0" t="n">
        <v>42</v>
      </c>
      <c r="AU580" s="0" t="s">
        <v>634</v>
      </c>
      <c r="AV580" s="0" t="n">
        <v>354</v>
      </c>
      <c r="AW580" s="0" t="n">
        <v>364</v>
      </c>
      <c r="AX580" s="0" t="s">
        <v>149</v>
      </c>
      <c r="AY580" s="0" t="n">
        <v>326</v>
      </c>
      <c r="AZ580" s="0" t="n">
        <v>355</v>
      </c>
      <c r="BA580" s="0" t="s">
        <v>709</v>
      </c>
      <c r="BB580" s="0" t="n">
        <v>40</v>
      </c>
      <c r="BC580" s="0" t="n">
        <v>42</v>
      </c>
      <c r="BD580" s="0" t="s">
        <v>634</v>
      </c>
      <c r="BE580" s="2" t="n">
        <v>43699</v>
      </c>
    </row>
    <row r="581" customFormat="false" ht="14.25" hidden="false" customHeight="false" outlineLevel="0" collapsed="false">
      <c r="A581" s="0" t="n">
        <v>580</v>
      </c>
      <c r="B581" s="1" t="s">
        <v>1266</v>
      </c>
      <c r="C581" s="0" t="n">
        <v>470</v>
      </c>
      <c r="D581" s="0" t="n">
        <v>484</v>
      </c>
      <c r="E581" s="0" t="s">
        <v>492</v>
      </c>
      <c r="F581" s="0" t="n">
        <v>448</v>
      </c>
      <c r="G581" s="0" t="n">
        <v>475</v>
      </c>
      <c r="H581" s="0" t="s">
        <v>523</v>
      </c>
      <c r="I581" s="0" t="n">
        <v>405</v>
      </c>
      <c r="J581" s="0" t="n">
        <v>420</v>
      </c>
      <c r="K581" s="0" t="s">
        <v>187</v>
      </c>
      <c r="L581" s="0" t="n">
        <v>42</v>
      </c>
      <c r="M581" s="0" t="n">
        <v>42</v>
      </c>
      <c r="N581" s="0" t="s">
        <v>110</v>
      </c>
      <c r="AD581" s="0" t="n">
        <v>624</v>
      </c>
      <c r="AE581" s="0" t="n">
        <v>647</v>
      </c>
      <c r="AF581" s="0" t="s">
        <v>187</v>
      </c>
      <c r="AM581" s="0" t="n">
        <v>314</v>
      </c>
      <c r="AN581" s="0" t="n">
        <v>365</v>
      </c>
      <c r="AO581" s="0" t="s">
        <v>504</v>
      </c>
      <c r="AP581" s="0" t="n">
        <v>345</v>
      </c>
      <c r="AQ581" s="0" t="n">
        <v>378</v>
      </c>
      <c r="AR581" s="0" t="s">
        <v>174</v>
      </c>
      <c r="AS581" s="0" t="n">
        <v>102</v>
      </c>
      <c r="AT581" s="0" t="n">
        <v>116</v>
      </c>
      <c r="AU581" s="0" t="s">
        <v>311</v>
      </c>
      <c r="AV581" s="0" t="n">
        <v>314</v>
      </c>
      <c r="AW581" s="0" t="n">
        <v>365</v>
      </c>
      <c r="AX581" s="0" t="s">
        <v>504</v>
      </c>
      <c r="AY581" s="0" t="n">
        <v>345</v>
      </c>
      <c r="AZ581" s="0" t="n">
        <v>378</v>
      </c>
      <c r="BA581" s="0" t="s">
        <v>174</v>
      </c>
      <c r="BB581" s="0" t="n">
        <v>102</v>
      </c>
      <c r="BC581" s="0" t="n">
        <v>116</v>
      </c>
      <c r="BD581" s="0" t="s">
        <v>311</v>
      </c>
      <c r="BE581" s="2" t="n">
        <v>43700</v>
      </c>
    </row>
    <row r="582" customFormat="false" ht="14.25" hidden="false" customHeight="false" outlineLevel="0" collapsed="false">
      <c r="A582" s="0" t="n">
        <v>581</v>
      </c>
      <c r="B582" s="1" t="s">
        <v>1267</v>
      </c>
      <c r="E582" s="0" t="s">
        <v>530</v>
      </c>
      <c r="H582" s="0" t="s">
        <v>187</v>
      </c>
      <c r="K582" s="0" t="s">
        <v>538</v>
      </c>
      <c r="N582" s="0" t="s">
        <v>110</v>
      </c>
      <c r="AF582" s="0" t="s">
        <v>457</v>
      </c>
      <c r="AO582" s="0" t="s">
        <v>110</v>
      </c>
      <c r="AR582" s="0" t="s">
        <v>824</v>
      </c>
      <c r="AX582" s="0" t="s">
        <v>110</v>
      </c>
      <c r="BA582" s="0" t="s">
        <v>824</v>
      </c>
      <c r="BE582" s="2" t="n">
        <v>43701</v>
      </c>
    </row>
    <row r="583" customFormat="false" ht="14.25" hidden="false" customHeight="false" outlineLevel="0" collapsed="false">
      <c r="A583" s="0" t="n">
        <v>582</v>
      </c>
      <c r="B583" s="1" t="s">
        <v>1268</v>
      </c>
      <c r="C583" s="0" t="n">
        <v>436</v>
      </c>
      <c r="D583" s="0" t="n">
        <v>484</v>
      </c>
      <c r="E583" s="0" t="s">
        <v>530</v>
      </c>
      <c r="F583" s="0" t="n">
        <v>458</v>
      </c>
      <c r="G583" s="0" t="n">
        <v>475</v>
      </c>
      <c r="H583" s="0" t="s">
        <v>187</v>
      </c>
      <c r="I583" s="0" t="n">
        <v>349</v>
      </c>
      <c r="J583" s="0" t="n">
        <v>361</v>
      </c>
      <c r="K583" s="0" t="s">
        <v>538</v>
      </c>
      <c r="L583" s="0" t="n">
        <v>42</v>
      </c>
      <c r="M583" s="0" t="n">
        <v>42</v>
      </c>
      <c r="N583" s="0" t="s">
        <v>110</v>
      </c>
      <c r="AD583" s="0" t="n">
        <v>661</v>
      </c>
      <c r="AE583" s="0" t="n">
        <v>674</v>
      </c>
      <c r="AF583" s="0" t="s">
        <v>457</v>
      </c>
      <c r="AM583" s="0" t="n">
        <v>359</v>
      </c>
      <c r="AN583" s="0" t="n">
        <v>359</v>
      </c>
      <c r="AO583" s="0" t="s">
        <v>110</v>
      </c>
      <c r="AP583" s="0" t="n">
        <v>353</v>
      </c>
      <c r="AQ583" s="0" t="n">
        <v>355</v>
      </c>
      <c r="AR583" s="0" t="s">
        <v>824</v>
      </c>
      <c r="AV583" s="0" t="n">
        <v>359</v>
      </c>
      <c r="AW583" s="0" t="n">
        <v>359</v>
      </c>
      <c r="AX583" s="0" t="s">
        <v>110</v>
      </c>
      <c r="AY583" s="0" t="n">
        <v>353</v>
      </c>
      <c r="AZ583" s="0" t="n">
        <v>355</v>
      </c>
      <c r="BA583" s="0" t="s">
        <v>824</v>
      </c>
      <c r="BE583" s="2" t="n">
        <v>43703</v>
      </c>
    </row>
    <row r="584" customFormat="false" ht="14.25" hidden="false" customHeight="false" outlineLevel="0" collapsed="false">
      <c r="A584" s="0" t="n">
        <v>583</v>
      </c>
      <c r="B584" s="1" t="s">
        <v>1269</v>
      </c>
      <c r="C584" s="0" t="n">
        <v>467</v>
      </c>
      <c r="D584" s="0" t="n">
        <v>484</v>
      </c>
      <c r="E584" s="0" t="s">
        <v>291</v>
      </c>
      <c r="F584" s="0" t="n">
        <v>457</v>
      </c>
      <c r="G584" s="0" t="n">
        <v>475</v>
      </c>
      <c r="H584" s="0" t="s">
        <v>200</v>
      </c>
      <c r="I584" s="0" t="n">
        <v>362</v>
      </c>
      <c r="J584" s="0" t="n">
        <v>368</v>
      </c>
      <c r="K584" s="0" t="s">
        <v>706</v>
      </c>
      <c r="L584" s="0" t="n">
        <v>40</v>
      </c>
      <c r="M584" s="0" t="n">
        <v>42</v>
      </c>
      <c r="N584" s="0" t="s">
        <v>634</v>
      </c>
      <c r="AD584" s="0" t="n">
        <v>632</v>
      </c>
      <c r="AE584" s="0" t="n">
        <v>674</v>
      </c>
      <c r="AF584" s="0" t="s">
        <v>383</v>
      </c>
      <c r="AM584" s="0" t="n">
        <v>360</v>
      </c>
      <c r="AN584" s="0" t="n">
        <v>361</v>
      </c>
      <c r="AO584" s="0" t="s">
        <v>723</v>
      </c>
      <c r="AP584" s="0" t="n">
        <v>335</v>
      </c>
      <c r="AQ584" s="0" t="n">
        <v>359</v>
      </c>
      <c r="AR584" s="0" t="s">
        <v>490</v>
      </c>
      <c r="AS584" s="0" t="n">
        <v>35</v>
      </c>
      <c r="AT584" s="0" t="n">
        <v>37</v>
      </c>
      <c r="AU584" s="0" t="s">
        <v>332</v>
      </c>
      <c r="AV584" s="0" t="n">
        <v>360</v>
      </c>
      <c r="AW584" s="0" t="n">
        <v>361</v>
      </c>
      <c r="AX584" s="0" t="s">
        <v>723</v>
      </c>
      <c r="AY584" s="0" t="n">
        <v>335</v>
      </c>
      <c r="AZ584" s="0" t="n">
        <v>359</v>
      </c>
      <c r="BA584" s="0" t="s">
        <v>490</v>
      </c>
      <c r="BB584" s="0" t="n">
        <v>35</v>
      </c>
      <c r="BC584" s="0" t="n">
        <v>37</v>
      </c>
      <c r="BD584" s="0" t="s">
        <v>332</v>
      </c>
      <c r="BE584" s="2" t="n">
        <v>43704</v>
      </c>
    </row>
    <row r="585" customFormat="false" ht="14.25" hidden="false" customHeight="false" outlineLevel="0" collapsed="false">
      <c r="A585" s="0" t="n">
        <v>584</v>
      </c>
      <c r="B585" s="1" t="s">
        <v>1270</v>
      </c>
      <c r="C585" s="0" t="n">
        <v>460</v>
      </c>
      <c r="D585" s="0" t="n">
        <v>484</v>
      </c>
      <c r="E585" s="0" t="s">
        <v>606</v>
      </c>
      <c r="F585" s="0" t="n">
        <v>446</v>
      </c>
      <c r="G585" s="0" t="n">
        <v>475</v>
      </c>
      <c r="H585" s="0" t="s">
        <v>604</v>
      </c>
      <c r="I585" s="0" t="n">
        <v>351</v>
      </c>
      <c r="J585" s="0" t="n">
        <v>368</v>
      </c>
      <c r="K585" s="0" t="s">
        <v>188</v>
      </c>
      <c r="L585" s="0" t="n">
        <v>42</v>
      </c>
      <c r="M585" s="0" t="n">
        <v>42</v>
      </c>
      <c r="N585" s="0" t="s">
        <v>110</v>
      </c>
      <c r="AD585" s="0" t="n">
        <v>662</v>
      </c>
      <c r="AE585" s="0" t="n">
        <v>674</v>
      </c>
      <c r="AF585" s="0" t="s">
        <v>600</v>
      </c>
      <c r="AM585" s="0" t="n">
        <v>342</v>
      </c>
      <c r="AN585" s="0" t="n">
        <v>357</v>
      </c>
      <c r="AO585" s="0" t="s">
        <v>136</v>
      </c>
      <c r="AP585" s="0" t="n">
        <v>348</v>
      </c>
      <c r="AQ585" s="0" t="n">
        <v>353</v>
      </c>
      <c r="AR585" s="0" t="s">
        <v>790</v>
      </c>
      <c r="AS585" s="0" t="n">
        <v>28</v>
      </c>
      <c r="AT585" s="0" t="n">
        <v>26</v>
      </c>
      <c r="AU585" s="0" t="s">
        <v>1271</v>
      </c>
      <c r="AV585" s="0" t="n">
        <v>342</v>
      </c>
      <c r="AW585" s="0" t="n">
        <v>357</v>
      </c>
      <c r="AX585" s="0" t="s">
        <v>136</v>
      </c>
      <c r="AY585" s="0" t="n">
        <v>348</v>
      </c>
      <c r="AZ585" s="0" t="n">
        <v>353</v>
      </c>
      <c r="BA585" s="0" t="s">
        <v>790</v>
      </c>
      <c r="BB585" s="0" t="n">
        <v>28</v>
      </c>
      <c r="BC585" s="0" t="n">
        <v>26</v>
      </c>
      <c r="BD585" s="0" t="s">
        <v>1271</v>
      </c>
      <c r="BE585" s="2" t="n">
        <v>43705</v>
      </c>
    </row>
    <row r="586" customFormat="false" ht="14.25" hidden="false" customHeight="false" outlineLevel="0" collapsed="false">
      <c r="A586" s="0" t="n">
        <v>585</v>
      </c>
      <c r="B586" s="1" t="s">
        <v>1272</v>
      </c>
      <c r="C586" s="0" t="n">
        <v>453</v>
      </c>
      <c r="D586" s="0" t="n">
        <v>484</v>
      </c>
      <c r="E586" s="0" t="s">
        <v>434</v>
      </c>
      <c r="F586" s="0" t="n">
        <v>455</v>
      </c>
      <c r="G586" s="0" t="n">
        <v>475</v>
      </c>
      <c r="H586" s="0" t="s">
        <v>136</v>
      </c>
      <c r="I586" s="0" t="n">
        <v>359</v>
      </c>
      <c r="J586" s="0" t="n">
        <v>368</v>
      </c>
      <c r="K586" s="0" t="s">
        <v>497</v>
      </c>
      <c r="L586" s="0" t="n">
        <v>42</v>
      </c>
      <c r="M586" s="0" t="n">
        <v>42</v>
      </c>
      <c r="N586" s="0" t="s">
        <v>110</v>
      </c>
      <c r="AD586" s="0" t="n">
        <v>674</v>
      </c>
      <c r="AE586" s="0" t="n">
        <v>674</v>
      </c>
      <c r="AF586" s="0" t="s">
        <v>110</v>
      </c>
      <c r="AM586" s="0" t="n">
        <v>372</v>
      </c>
      <c r="AN586" s="0" t="n">
        <v>376</v>
      </c>
      <c r="AO586" s="0" t="s">
        <v>143</v>
      </c>
      <c r="AP586" s="0" t="n">
        <v>316</v>
      </c>
      <c r="AQ586" s="0" t="n">
        <v>350</v>
      </c>
      <c r="AR586" s="0" t="s">
        <v>373</v>
      </c>
      <c r="AS586" s="0" t="n">
        <v>40</v>
      </c>
      <c r="AT586" s="0" t="n">
        <v>42</v>
      </c>
      <c r="AU586" s="0" t="s">
        <v>634</v>
      </c>
      <c r="AV586" s="0" t="n">
        <v>372</v>
      </c>
      <c r="AW586" s="0" t="n">
        <v>376</v>
      </c>
      <c r="AX586" s="0" t="s">
        <v>143</v>
      </c>
      <c r="AY586" s="0" t="n">
        <v>316</v>
      </c>
      <c r="AZ586" s="0" t="n">
        <v>350</v>
      </c>
      <c r="BA586" s="0" t="s">
        <v>373</v>
      </c>
      <c r="BB586" s="0" t="n">
        <v>40</v>
      </c>
      <c r="BC586" s="0" t="n">
        <v>42</v>
      </c>
      <c r="BD586" s="0" t="s">
        <v>634</v>
      </c>
      <c r="BE586" s="2" t="n">
        <v>43706</v>
      </c>
    </row>
    <row r="587" customFormat="false" ht="14.25" hidden="false" customHeight="false" outlineLevel="0" collapsed="false">
      <c r="A587" s="0" t="n">
        <v>586</v>
      </c>
      <c r="B587" s="1" t="s">
        <v>1273</v>
      </c>
      <c r="C587" s="0" t="n">
        <v>464</v>
      </c>
      <c r="D587" s="0" t="n">
        <v>484</v>
      </c>
      <c r="E587" s="0" t="s">
        <v>777</v>
      </c>
      <c r="F587" s="0" t="n">
        <v>358</v>
      </c>
      <c r="G587" s="0" t="n">
        <v>371</v>
      </c>
      <c r="H587" s="0" t="s">
        <v>291</v>
      </c>
      <c r="I587" s="0" t="n">
        <v>391</v>
      </c>
      <c r="J587" s="0" t="n">
        <v>420</v>
      </c>
      <c r="K587" s="0" t="s">
        <v>151</v>
      </c>
      <c r="L587" s="0" t="n">
        <v>42</v>
      </c>
      <c r="M587" s="0" t="n">
        <v>42</v>
      </c>
      <c r="N587" s="0" t="s">
        <v>110</v>
      </c>
      <c r="AD587" s="0" t="n">
        <v>660</v>
      </c>
      <c r="AE587" s="0" t="n">
        <v>661</v>
      </c>
      <c r="AF587" s="0" t="s">
        <v>623</v>
      </c>
      <c r="AM587" s="0" t="n">
        <v>367</v>
      </c>
      <c r="AN587" s="0" t="n">
        <v>368</v>
      </c>
      <c r="AO587" s="0" t="s">
        <v>723</v>
      </c>
      <c r="AP587" s="0" t="n">
        <v>350</v>
      </c>
      <c r="AQ587" s="0" t="n">
        <v>350</v>
      </c>
      <c r="AR587" s="0" t="s">
        <v>110</v>
      </c>
      <c r="AS587" s="0" t="n">
        <v>40</v>
      </c>
      <c r="AT587" s="0" t="n">
        <v>81</v>
      </c>
      <c r="AU587" s="0" t="s">
        <v>1274</v>
      </c>
      <c r="AV587" s="0" t="n">
        <v>367</v>
      </c>
      <c r="AW587" s="0" t="n">
        <v>368</v>
      </c>
      <c r="AX587" s="0" t="s">
        <v>723</v>
      </c>
      <c r="AY587" s="0" t="n">
        <v>350</v>
      </c>
      <c r="AZ587" s="0" t="n">
        <v>350</v>
      </c>
      <c r="BA587" s="0" t="s">
        <v>110</v>
      </c>
      <c r="BB587" s="0" t="n">
        <v>40</v>
      </c>
      <c r="BC587" s="0" t="n">
        <v>81</v>
      </c>
      <c r="BD587" s="0" t="s">
        <v>1274</v>
      </c>
      <c r="BE587" s="2" t="n">
        <v>43707</v>
      </c>
    </row>
    <row r="588" customFormat="false" ht="14.25" hidden="false" customHeight="false" outlineLevel="0" collapsed="false">
      <c r="A588" s="0" t="n">
        <v>587</v>
      </c>
      <c r="B588" s="1" t="s">
        <v>1275</v>
      </c>
      <c r="I588" s="0" t="n">
        <v>403</v>
      </c>
      <c r="J588" s="0" t="n">
        <v>422</v>
      </c>
      <c r="K588" s="0" t="s">
        <v>127</v>
      </c>
      <c r="BE588" s="2" t="n">
        <v>43709</v>
      </c>
    </row>
    <row r="589" customFormat="false" ht="14.25" hidden="false" customHeight="false" outlineLevel="0" collapsed="false">
      <c r="A589" s="0" t="n">
        <v>588</v>
      </c>
      <c r="B589" s="1" t="s">
        <v>1276</v>
      </c>
      <c r="C589" s="0" t="n">
        <v>456</v>
      </c>
      <c r="D589" s="0" t="n">
        <v>484</v>
      </c>
      <c r="E589" s="0" t="s">
        <v>141</v>
      </c>
      <c r="F589" s="0" t="n">
        <v>358</v>
      </c>
      <c r="G589" s="0" t="n">
        <v>373</v>
      </c>
      <c r="H589" s="0" t="s">
        <v>438</v>
      </c>
      <c r="I589" s="0" t="n">
        <v>403</v>
      </c>
      <c r="J589" s="0" t="n">
        <v>415</v>
      </c>
      <c r="K589" s="0" t="s">
        <v>492</v>
      </c>
      <c r="L589" s="0" t="n">
        <v>42</v>
      </c>
      <c r="M589" s="0" t="n">
        <v>42</v>
      </c>
      <c r="N589" s="0" t="s">
        <v>110</v>
      </c>
      <c r="AD589" s="0" t="n">
        <v>627</v>
      </c>
      <c r="AE589" s="0" t="n">
        <v>674</v>
      </c>
      <c r="AF589" s="0" t="s">
        <v>586</v>
      </c>
      <c r="AM589" s="0" t="n">
        <v>369</v>
      </c>
      <c r="AN589" s="0" t="n">
        <v>371</v>
      </c>
      <c r="AO589" s="0" t="s">
        <v>516</v>
      </c>
      <c r="AP589" s="0" t="n">
        <v>326</v>
      </c>
      <c r="AQ589" s="0" t="n">
        <v>357</v>
      </c>
      <c r="AR589" s="0" t="s">
        <v>174</v>
      </c>
      <c r="AS589" s="0" t="n">
        <v>56</v>
      </c>
      <c r="AT589" s="0" t="n">
        <v>58</v>
      </c>
      <c r="AU589" s="0" t="s">
        <v>119</v>
      </c>
      <c r="AV589" s="0" t="n">
        <v>369</v>
      </c>
      <c r="AW589" s="0" t="n">
        <v>371</v>
      </c>
      <c r="AX589" s="0" t="s">
        <v>516</v>
      </c>
      <c r="AY589" s="0" t="n">
        <v>326</v>
      </c>
      <c r="AZ589" s="0" t="n">
        <v>357</v>
      </c>
      <c r="BA589" s="0" t="s">
        <v>174</v>
      </c>
      <c r="BB589" s="0" t="n">
        <v>56</v>
      </c>
      <c r="BC589" s="0" t="n">
        <v>58</v>
      </c>
      <c r="BD589" s="0" t="s">
        <v>119</v>
      </c>
      <c r="BE589" s="2" t="n">
        <v>43710</v>
      </c>
    </row>
    <row r="590" customFormat="false" ht="14.25" hidden="false" customHeight="false" outlineLevel="0" collapsed="false">
      <c r="A590" s="0" t="n">
        <v>589</v>
      </c>
      <c r="B590" s="1" t="s">
        <v>1277</v>
      </c>
      <c r="C590" s="0" t="n">
        <v>466</v>
      </c>
      <c r="D590" s="0" t="n">
        <v>479</v>
      </c>
      <c r="E590" s="0" t="s">
        <v>149</v>
      </c>
      <c r="F590" s="0" t="n">
        <v>463</v>
      </c>
      <c r="G590" s="0" t="n">
        <v>472</v>
      </c>
      <c r="H590" s="0" t="s">
        <v>457</v>
      </c>
      <c r="I590" s="0" t="n">
        <v>356</v>
      </c>
      <c r="J590" s="0" t="n">
        <v>365</v>
      </c>
      <c r="K590" s="0" t="s">
        <v>370</v>
      </c>
      <c r="L590" s="0" t="n">
        <v>41</v>
      </c>
      <c r="M590" s="0" t="n">
        <v>42</v>
      </c>
      <c r="N590" s="0" t="s">
        <v>497</v>
      </c>
      <c r="AD590" s="0" t="n">
        <v>666</v>
      </c>
      <c r="AE590" s="0" t="n">
        <v>674</v>
      </c>
      <c r="AF590" s="0" t="s">
        <v>153</v>
      </c>
      <c r="AM590" s="0" t="n">
        <v>364</v>
      </c>
      <c r="AN590" s="0" t="n">
        <v>365</v>
      </c>
      <c r="AO590" s="0" t="s">
        <v>723</v>
      </c>
      <c r="AP590" s="0" t="n">
        <v>331</v>
      </c>
      <c r="AQ590" s="0" t="n">
        <v>346</v>
      </c>
      <c r="AR590" s="0" t="s">
        <v>144</v>
      </c>
      <c r="AS590" s="0" t="n">
        <v>47</v>
      </c>
      <c r="AT590" s="0" t="n">
        <v>48</v>
      </c>
      <c r="AU590" s="0" t="s">
        <v>551</v>
      </c>
      <c r="AV590" s="0" t="n">
        <v>364</v>
      </c>
      <c r="AW590" s="0" t="n">
        <v>365</v>
      </c>
      <c r="AX590" s="0" t="s">
        <v>723</v>
      </c>
      <c r="AY590" s="0" t="n">
        <v>331</v>
      </c>
      <c r="AZ590" s="0" t="n">
        <v>346</v>
      </c>
      <c r="BA590" s="0" t="s">
        <v>144</v>
      </c>
      <c r="BB590" s="0" t="n">
        <v>47</v>
      </c>
      <c r="BC590" s="0" t="n">
        <v>48</v>
      </c>
      <c r="BD590" s="0" t="s">
        <v>551</v>
      </c>
      <c r="BE590" s="2" t="n">
        <v>43711</v>
      </c>
    </row>
    <row r="591" customFormat="false" ht="14.25" hidden="false" customHeight="false" outlineLevel="0" collapsed="false">
      <c r="A591" s="0" t="n">
        <v>590</v>
      </c>
      <c r="B591" s="1" t="s">
        <v>1278</v>
      </c>
      <c r="C591" s="0" t="n">
        <v>463</v>
      </c>
      <c r="D591" s="0" t="n">
        <v>484</v>
      </c>
      <c r="E591" s="0" t="s">
        <v>144</v>
      </c>
      <c r="F591" s="0" t="n">
        <v>460</v>
      </c>
      <c r="G591" s="0" t="n">
        <v>475</v>
      </c>
      <c r="H591" s="0" t="s">
        <v>112</v>
      </c>
      <c r="I591" s="0" t="n">
        <v>358</v>
      </c>
      <c r="J591" s="0" t="n">
        <v>368</v>
      </c>
      <c r="K591" s="0" t="s">
        <v>149</v>
      </c>
      <c r="L591" s="0" t="n">
        <v>42</v>
      </c>
      <c r="M591" s="0" t="n">
        <v>42</v>
      </c>
      <c r="N591" s="0" t="s">
        <v>110</v>
      </c>
      <c r="AD591" s="0" t="n">
        <v>658</v>
      </c>
      <c r="AE591" s="0" t="n">
        <v>664</v>
      </c>
      <c r="AF591" s="0" t="s">
        <v>798</v>
      </c>
      <c r="AM591" s="0" t="n">
        <v>362</v>
      </c>
      <c r="AN591" s="0" t="n">
        <v>362</v>
      </c>
      <c r="AO591" s="0" t="s">
        <v>110</v>
      </c>
      <c r="AP591" s="0" t="n">
        <v>341</v>
      </c>
      <c r="AQ591" s="0" t="n">
        <v>344</v>
      </c>
      <c r="AR591" s="0" t="s">
        <v>798</v>
      </c>
      <c r="AS591" s="0" t="n">
        <v>50</v>
      </c>
      <c r="AT591" s="0" t="n">
        <v>50</v>
      </c>
      <c r="AU591" s="0" t="s">
        <v>110</v>
      </c>
      <c r="AV591" s="0" t="n">
        <v>362</v>
      </c>
      <c r="AW591" s="0" t="n">
        <v>362</v>
      </c>
      <c r="AX591" s="0" t="s">
        <v>110</v>
      </c>
      <c r="AY591" s="0" t="n">
        <v>341</v>
      </c>
      <c r="AZ591" s="0" t="n">
        <v>344</v>
      </c>
      <c r="BA591" s="0" t="s">
        <v>798</v>
      </c>
      <c r="BB591" s="0" t="n">
        <v>50</v>
      </c>
      <c r="BC591" s="0" t="n">
        <v>50</v>
      </c>
      <c r="BD591" s="0" t="s">
        <v>110</v>
      </c>
      <c r="BE591" s="2" t="n">
        <v>43712</v>
      </c>
    </row>
    <row r="592" customFormat="false" ht="14.25" hidden="false" customHeight="false" outlineLevel="0" collapsed="false">
      <c r="A592" s="0" t="n">
        <v>591</v>
      </c>
      <c r="B592" s="1" t="s">
        <v>1279</v>
      </c>
      <c r="C592" s="0" t="n">
        <v>457</v>
      </c>
      <c r="D592" s="0" t="n">
        <v>484</v>
      </c>
      <c r="E592" s="0" t="s">
        <v>160</v>
      </c>
      <c r="F592" s="0" t="n">
        <v>454</v>
      </c>
      <c r="G592" s="0" t="n">
        <v>475</v>
      </c>
      <c r="H592" s="0" t="s">
        <v>544</v>
      </c>
      <c r="I592" s="0" t="n">
        <v>358</v>
      </c>
      <c r="J592" s="0" t="n">
        <v>368</v>
      </c>
      <c r="K592" s="0" t="s">
        <v>149</v>
      </c>
      <c r="L592" s="0" t="n">
        <v>36</v>
      </c>
      <c r="M592" s="0" t="n">
        <v>42</v>
      </c>
      <c r="N592" s="0" t="s">
        <v>381</v>
      </c>
      <c r="AD592" s="0" t="n">
        <v>639</v>
      </c>
      <c r="AE592" s="0" t="n">
        <v>645</v>
      </c>
      <c r="AF592" s="0" t="s">
        <v>798</v>
      </c>
      <c r="AM592" s="0" t="n">
        <v>358</v>
      </c>
      <c r="AN592" s="0" t="n">
        <v>362</v>
      </c>
      <c r="AO592" s="0" t="s">
        <v>143</v>
      </c>
      <c r="AP592" s="0" t="n">
        <v>293</v>
      </c>
      <c r="AQ592" s="0" t="n">
        <v>351</v>
      </c>
      <c r="AR592" s="0" t="s">
        <v>684</v>
      </c>
      <c r="AS592" s="0" t="n">
        <v>48</v>
      </c>
      <c r="AT592" s="0" t="n">
        <v>44</v>
      </c>
      <c r="AU592" s="0" t="s">
        <v>1280</v>
      </c>
      <c r="AV592" s="0" t="n">
        <v>358</v>
      </c>
      <c r="AW592" s="0" t="n">
        <v>362</v>
      </c>
      <c r="AX592" s="0" t="s">
        <v>143</v>
      </c>
      <c r="AY592" s="0" t="n">
        <v>293</v>
      </c>
      <c r="AZ592" s="0" t="n">
        <v>351</v>
      </c>
      <c r="BA592" s="0" t="s">
        <v>684</v>
      </c>
      <c r="BB592" s="0" t="n">
        <v>48</v>
      </c>
      <c r="BC592" s="0" t="n">
        <v>44</v>
      </c>
      <c r="BD592" s="0" t="s">
        <v>1280</v>
      </c>
      <c r="BE592" s="2" t="n">
        <v>43713</v>
      </c>
    </row>
    <row r="593" customFormat="false" ht="14.25" hidden="false" customHeight="false" outlineLevel="0" collapsed="false">
      <c r="A593" s="0" t="n">
        <v>592</v>
      </c>
      <c r="B593" s="1" t="s">
        <v>1281</v>
      </c>
      <c r="C593" s="0" t="n">
        <v>464</v>
      </c>
      <c r="D593" s="0" t="n">
        <v>484</v>
      </c>
      <c r="E593" s="0" t="s">
        <v>777</v>
      </c>
      <c r="F593" s="0" t="n">
        <v>448</v>
      </c>
      <c r="G593" s="0" t="n">
        <v>475</v>
      </c>
      <c r="H593" s="0" t="s">
        <v>523</v>
      </c>
      <c r="L593" s="0" t="n">
        <v>41</v>
      </c>
      <c r="M593" s="0" t="n">
        <v>42</v>
      </c>
      <c r="N593" s="0" t="s">
        <v>497</v>
      </c>
      <c r="AD593" s="0" t="n">
        <v>661</v>
      </c>
      <c r="AE593" s="0" t="n">
        <v>667</v>
      </c>
      <c r="AF593" s="0" t="s">
        <v>798</v>
      </c>
      <c r="AM593" s="0" t="n">
        <v>353</v>
      </c>
      <c r="AN593" s="0" t="n">
        <v>360</v>
      </c>
      <c r="AO593" s="0" t="s">
        <v>457</v>
      </c>
      <c r="AP593" s="0" t="n">
        <v>347</v>
      </c>
      <c r="AQ593" s="0" t="n">
        <v>366</v>
      </c>
      <c r="AR593" s="0" t="s">
        <v>191</v>
      </c>
      <c r="AS593" s="0" t="n">
        <v>45</v>
      </c>
      <c r="AT593" s="0" t="n">
        <v>46</v>
      </c>
      <c r="AU593" s="0" t="s">
        <v>652</v>
      </c>
      <c r="AV593" s="0" t="n">
        <v>353</v>
      </c>
      <c r="AW593" s="0" t="n">
        <v>360</v>
      </c>
      <c r="AX593" s="0" t="s">
        <v>457</v>
      </c>
      <c r="AY593" s="0" t="n">
        <v>347</v>
      </c>
      <c r="AZ593" s="0" t="n">
        <v>366</v>
      </c>
      <c r="BA593" s="0" t="s">
        <v>191</v>
      </c>
      <c r="BB593" s="0" t="n">
        <v>45</v>
      </c>
      <c r="BC593" s="0" t="n">
        <v>46</v>
      </c>
      <c r="BD593" s="0" t="s">
        <v>652</v>
      </c>
      <c r="BE593" s="2" t="n">
        <v>43714</v>
      </c>
    </row>
    <row r="594" customFormat="false" ht="14.25" hidden="false" customHeight="false" outlineLevel="0" collapsed="false">
      <c r="A594" s="0" t="n">
        <v>593</v>
      </c>
      <c r="B594" s="1" t="s">
        <v>1282</v>
      </c>
      <c r="C594" s="0" t="n">
        <v>458</v>
      </c>
      <c r="D594" s="0" t="n">
        <v>484</v>
      </c>
      <c r="E594" s="0" t="s">
        <v>332</v>
      </c>
      <c r="F594" s="0" t="n">
        <v>451</v>
      </c>
      <c r="G594" s="0" t="n">
        <v>475</v>
      </c>
      <c r="H594" s="0" t="s">
        <v>142</v>
      </c>
      <c r="I594" s="0" t="n">
        <v>349</v>
      </c>
      <c r="J594" s="0" t="n">
        <v>368</v>
      </c>
      <c r="K594" s="0" t="s">
        <v>191</v>
      </c>
      <c r="L594" s="0" t="n">
        <v>28</v>
      </c>
      <c r="M594" s="0" t="n">
        <v>42</v>
      </c>
      <c r="N594" s="0" t="s">
        <v>627</v>
      </c>
      <c r="AD594" s="0" t="n">
        <v>631</v>
      </c>
      <c r="AE594" s="0" t="n">
        <v>674</v>
      </c>
      <c r="AF594" s="0" t="s">
        <v>434</v>
      </c>
      <c r="AM594" s="0" t="n">
        <v>346</v>
      </c>
      <c r="AN594" s="0" t="n">
        <v>356</v>
      </c>
      <c r="AO594" s="0" t="s">
        <v>128</v>
      </c>
      <c r="AP594" s="0" t="n">
        <v>329</v>
      </c>
      <c r="AQ594" s="0" t="n">
        <v>351</v>
      </c>
      <c r="AR594" s="0" t="s">
        <v>467</v>
      </c>
      <c r="AV594" s="0" t="n">
        <v>346</v>
      </c>
      <c r="AW594" s="0" t="n">
        <v>356</v>
      </c>
      <c r="AX594" s="0" t="s">
        <v>128</v>
      </c>
      <c r="AY594" s="0" t="n">
        <v>329</v>
      </c>
      <c r="AZ594" s="0" t="n">
        <v>351</v>
      </c>
      <c r="BA594" s="0" t="s">
        <v>467</v>
      </c>
      <c r="BE594" s="2" t="n">
        <v>43717</v>
      </c>
    </row>
    <row r="595" customFormat="false" ht="14.25" hidden="false" customHeight="false" outlineLevel="0" collapsed="false">
      <c r="A595" s="0" t="n">
        <v>594</v>
      </c>
      <c r="B595" s="1" t="s">
        <v>1283</v>
      </c>
      <c r="C595" s="0" t="n">
        <v>478</v>
      </c>
      <c r="D595" s="0" t="n">
        <v>497</v>
      </c>
      <c r="E595" s="0" t="s">
        <v>200</v>
      </c>
      <c r="F595" s="0" t="n">
        <v>470</v>
      </c>
      <c r="G595" s="0" t="n">
        <v>492</v>
      </c>
      <c r="H595" s="0" t="s">
        <v>127</v>
      </c>
      <c r="I595" s="0" t="n">
        <v>363</v>
      </c>
      <c r="J595" s="0" t="n">
        <v>375</v>
      </c>
      <c r="K595" s="0" t="s">
        <v>112</v>
      </c>
      <c r="L595" s="0" t="n">
        <v>36</v>
      </c>
      <c r="M595" s="0" t="n">
        <v>38</v>
      </c>
      <c r="N595" s="0" t="s">
        <v>473</v>
      </c>
      <c r="AD595" s="0" t="n">
        <v>642</v>
      </c>
      <c r="AE595" s="0" t="n">
        <v>674</v>
      </c>
      <c r="AF595" s="0" t="s">
        <v>753</v>
      </c>
      <c r="AM595" s="0" t="n">
        <v>364</v>
      </c>
      <c r="AN595" s="0" t="n">
        <v>365</v>
      </c>
      <c r="AO595" s="0" t="s">
        <v>723</v>
      </c>
      <c r="AP595" s="0" t="n">
        <v>340</v>
      </c>
      <c r="AQ595" s="0" t="n">
        <v>358</v>
      </c>
      <c r="AR595" s="0" t="s">
        <v>606</v>
      </c>
      <c r="AS595" s="0" t="n">
        <v>50</v>
      </c>
      <c r="AT595" s="0" t="n">
        <v>50</v>
      </c>
      <c r="AU595" s="0" t="s">
        <v>110</v>
      </c>
      <c r="AV595" s="0" t="n">
        <v>364</v>
      </c>
      <c r="AW595" s="0" t="n">
        <v>365</v>
      </c>
      <c r="AX595" s="0" t="s">
        <v>723</v>
      </c>
      <c r="AY595" s="0" t="n">
        <v>340</v>
      </c>
      <c r="AZ595" s="0" t="n">
        <v>358</v>
      </c>
      <c r="BA595" s="0" t="s">
        <v>606</v>
      </c>
      <c r="BB595" s="0" t="n">
        <v>50</v>
      </c>
      <c r="BC595" s="0" t="n">
        <v>50</v>
      </c>
      <c r="BD595" s="0" t="s">
        <v>110</v>
      </c>
      <c r="BE595" s="2" t="n">
        <v>43718</v>
      </c>
    </row>
    <row r="596" customFormat="false" ht="14.25" hidden="false" customHeight="false" outlineLevel="0" collapsed="false">
      <c r="A596" s="0" t="n">
        <v>595</v>
      </c>
      <c r="B596" s="1" t="s">
        <v>1284</v>
      </c>
      <c r="C596" s="0" t="n">
        <v>466</v>
      </c>
      <c r="D596" s="0" t="n">
        <v>484</v>
      </c>
      <c r="E596" s="0" t="s">
        <v>182</v>
      </c>
      <c r="F596" s="0" t="n">
        <v>459</v>
      </c>
      <c r="G596" s="0" t="n">
        <v>475</v>
      </c>
      <c r="H596" s="0" t="s">
        <v>119</v>
      </c>
      <c r="I596" s="0" t="n">
        <v>358</v>
      </c>
      <c r="J596" s="0" t="n">
        <v>368</v>
      </c>
      <c r="K596" s="0" t="s">
        <v>149</v>
      </c>
      <c r="L596" s="0" t="n">
        <v>42</v>
      </c>
      <c r="M596" s="0" t="n">
        <v>42</v>
      </c>
      <c r="N596" s="0" t="s">
        <v>110</v>
      </c>
      <c r="AD596" s="0" t="n">
        <v>665</v>
      </c>
      <c r="AE596" s="0" t="n">
        <v>674</v>
      </c>
      <c r="AF596" s="0" t="s">
        <v>789</v>
      </c>
      <c r="AM596" s="0" t="n">
        <v>356</v>
      </c>
      <c r="AN596" s="0" t="n">
        <v>363</v>
      </c>
      <c r="AO596" s="0" t="s">
        <v>457</v>
      </c>
      <c r="AP596" s="0" t="n">
        <v>342</v>
      </c>
      <c r="AQ596" s="0" t="n">
        <v>360</v>
      </c>
      <c r="AR596" s="0" t="s">
        <v>606</v>
      </c>
      <c r="AS596" s="0" t="n">
        <v>48</v>
      </c>
      <c r="AT596" s="0" t="n">
        <v>50</v>
      </c>
      <c r="AU596" s="0" t="s">
        <v>438</v>
      </c>
      <c r="AV596" s="0" t="n">
        <v>356</v>
      </c>
      <c r="AW596" s="0" t="n">
        <v>363</v>
      </c>
      <c r="AX596" s="0" t="s">
        <v>457</v>
      </c>
      <c r="AY596" s="0" t="n">
        <v>342</v>
      </c>
      <c r="AZ596" s="0" t="n">
        <v>360</v>
      </c>
      <c r="BA596" s="0" t="s">
        <v>606</v>
      </c>
      <c r="BB596" s="0" t="n">
        <v>48</v>
      </c>
      <c r="BC596" s="0" t="n">
        <v>50</v>
      </c>
      <c r="BD596" s="0" t="s">
        <v>438</v>
      </c>
      <c r="BE596" s="2" t="n">
        <v>43719</v>
      </c>
    </row>
    <row r="597" customFormat="false" ht="14.25" hidden="false" customHeight="false" outlineLevel="0" collapsed="false">
      <c r="A597" s="0" t="n">
        <v>596</v>
      </c>
      <c r="B597" s="1" t="s">
        <v>1285</v>
      </c>
      <c r="C597" s="0" t="n">
        <v>469</v>
      </c>
      <c r="D597" s="0" t="n">
        <v>484</v>
      </c>
      <c r="E597" s="0" t="s">
        <v>758</v>
      </c>
      <c r="F597" s="0" t="n">
        <v>459</v>
      </c>
      <c r="G597" s="0" t="n">
        <v>475</v>
      </c>
      <c r="H597" s="0" t="s">
        <v>119</v>
      </c>
      <c r="I597" s="0" t="n">
        <v>358</v>
      </c>
      <c r="J597" s="0" t="n">
        <v>368</v>
      </c>
      <c r="K597" s="0" t="s">
        <v>149</v>
      </c>
      <c r="L597" s="0" t="n">
        <v>42</v>
      </c>
      <c r="M597" s="0" t="n">
        <v>42</v>
      </c>
      <c r="N597" s="0" t="s">
        <v>110</v>
      </c>
      <c r="AD597" s="0" t="n">
        <v>516</v>
      </c>
      <c r="AE597" s="0" t="n">
        <v>674</v>
      </c>
      <c r="AF597" s="0" t="s">
        <v>1286</v>
      </c>
      <c r="AM597" s="0" t="n">
        <v>349</v>
      </c>
      <c r="AN597" s="0" t="n">
        <v>438</v>
      </c>
      <c r="AO597" s="0" t="s">
        <v>445</v>
      </c>
      <c r="AP597" s="0" t="n">
        <v>343</v>
      </c>
      <c r="AQ597" s="0" t="n">
        <v>425</v>
      </c>
      <c r="AR597" s="0" t="s">
        <v>309</v>
      </c>
      <c r="AV597" s="0" t="n">
        <v>349</v>
      </c>
      <c r="AW597" s="0" t="n">
        <v>438</v>
      </c>
      <c r="AX597" s="0" t="s">
        <v>445</v>
      </c>
      <c r="AY597" s="0" t="n">
        <v>343</v>
      </c>
      <c r="AZ597" s="0" t="n">
        <v>425</v>
      </c>
      <c r="BA597" s="0" t="s">
        <v>309</v>
      </c>
      <c r="BE597" s="2" t="n">
        <v>43720</v>
      </c>
    </row>
    <row r="598" customFormat="false" ht="14.25" hidden="false" customHeight="false" outlineLevel="0" collapsed="false">
      <c r="A598" s="0" t="n">
        <v>597</v>
      </c>
      <c r="B598" s="1" t="s">
        <v>1287</v>
      </c>
      <c r="C598" s="0" t="n">
        <v>456</v>
      </c>
      <c r="D598" s="0" t="n">
        <v>484</v>
      </c>
      <c r="E598" s="0" t="s">
        <v>141</v>
      </c>
      <c r="F598" s="0" t="n">
        <v>462</v>
      </c>
      <c r="G598" s="0" t="n">
        <v>475</v>
      </c>
      <c r="H598" s="0" t="s">
        <v>149</v>
      </c>
      <c r="I598" s="0" t="n">
        <v>395</v>
      </c>
      <c r="J598" s="0" t="n">
        <v>420</v>
      </c>
      <c r="K598" s="0" t="s">
        <v>526</v>
      </c>
      <c r="L598" s="0" t="n">
        <v>42</v>
      </c>
      <c r="M598" s="0" t="n">
        <v>42</v>
      </c>
      <c r="N598" s="0" t="s">
        <v>110</v>
      </c>
      <c r="AD598" s="0" t="n">
        <v>621</v>
      </c>
      <c r="AE598" s="0" t="n">
        <v>656</v>
      </c>
      <c r="AF598" s="0" t="s">
        <v>473</v>
      </c>
      <c r="AM598" s="0" t="n">
        <v>370</v>
      </c>
      <c r="AN598" s="0" t="n">
        <v>371</v>
      </c>
      <c r="AO598" s="0" t="s">
        <v>723</v>
      </c>
      <c r="AP598" s="0" t="n">
        <v>273</v>
      </c>
      <c r="AQ598" s="0" t="n">
        <v>345</v>
      </c>
      <c r="AR598" s="0" t="s">
        <v>894</v>
      </c>
      <c r="AS598" s="0" t="n">
        <v>60</v>
      </c>
      <c r="AT598" s="0" t="n">
        <v>68</v>
      </c>
      <c r="AU598" s="0" t="s">
        <v>216</v>
      </c>
      <c r="AV598" s="0" t="n">
        <v>370</v>
      </c>
      <c r="AW598" s="0" t="n">
        <v>371</v>
      </c>
      <c r="AX598" s="0" t="s">
        <v>723</v>
      </c>
      <c r="AY598" s="0" t="n">
        <v>273</v>
      </c>
      <c r="AZ598" s="0" t="n">
        <v>345</v>
      </c>
      <c r="BA598" s="0" t="s">
        <v>894</v>
      </c>
      <c r="BB598" s="0" t="n">
        <v>60</v>
      </c>
      <c r="BC598" s="0" t="n">
        <v>68</v>
      </c>
      <c r="BD598" s="0" t="s">
        <v>216</v>
      </c>
      <c r="BE598" s="2" t="n">
        <v>43721</v>
      </c>
    </row>
    <row r="599" customFormat="false" ht="14.25" hidden="false" customHeight="false" outlineLevel="0" collapsed="false">
      <c r="A599" s="0" t="n">
        <v>598</v>
      </c>
      <c r="B599" s="1" t="s">
        <v>1288</v>
      </c>
      <c r="I599" s="0" t="n">
        <v>410</v>
      </c>
      <c r="J599" s="0" t="n">
        <v>422</v>
      </c>
      <c r="K599" s="0" t="s">
        <v>128</v>
      </c>
      <c r="BE599" s="2" t="n">
        <v>43723</v>
      </c>
    </row>
    <row r="600" customFormat="false" ht="14.25" hidden="false" customHeight="false" outlineLevel="0" collapsed="false">
      <c r="A600" s="0" t="n">
        <v>599</v>
      </c>
      <c r="B600" s="1" t="s">
        <v>1289</v>
      </c>
      <c r="C600" s="0" t="n">
        <v>446</v>
      </c>
      <c r="D600" s="0" t="n">
        <v>484</v>
      </c>
      <c r="E600" s="0" t="s">
        <v>598</v>
      </c>
      <c r="F600" s="0" t="n">
        <v>455</v>
      </c>
      <c r="G600" s="0" t="n">
        <v>475</v>
      </c>
      <c r="H600" s="0" t="s">
        <v>136</v>
      </c>
      <c r="I600" s="0" t="n">
        <v>354</v>
      </c>
      <c r="J600" s="0" t="n">
        <v>368</v>
      </c>
      <c r="K600" s="0" t="s">
        <v>200</v>
      </c>
      <c r="L600" s="0" t="n">
        <v>43</v>
      </c>
      <c r="M600" s="0" t="n">
        <v>42</v>
      </c>
      <c r="N600" s="0" t="s">
        <v>785</v>
      </c>
      <c r="AD600" s="0" t="n">
        <v>632</v>
      </c>
      <c r="AE600" s="0" t="n">
        <v>674</v>
      </c>
      <c r="AF600" s="0" t="s">
        <v>383</v>
      </c>
      <c r="AM600" s="0" t="n">
        <v>347</v>
      </c>
      <c r="AN600" s="0" t="n">
        <v>353</v>
      </c>
      <c r="AO600" s="0" t="s">
        <v>179</v>
      </c>
      <c r="AP600" s="0" t="n">
        <v>316</v>
      </c>
      <c r="AQ600" s="0" t="n">
        <v>349</v>
      </c>
      <c r="AR600" s="0" t="s">
        <v>608</v>
      </c>
      <c r="AS600" s="0" t="n">
        <v>60</v>
      </c>
      <c r="AT600" s="0" t="n">
        <v>64</v>
      </c>
      <c r="AU600" s="0" t="s">
        <v>383</v>
      </c>
      <c r="AV600" s="0" t="n">
        <v>347</v>
      </c>
      <c r="AW600" s="0" t="n">
        <v>353</v>
      </c>
      <c r="AX600" s="0" t="s">
        <v>179</v>
      </c>
      <c r="AY600" s="0" t="n">
        <v>316</v>
      </c>
      <c r="AZ600" s="0" t="n">
        <v>349</v>
      </c>
      <c r="BA600" s="0" t="s">
        <v>608</v>
      </c>
      <c r="BB600" s="0" t="n">
        <v>60</v>
      </c>
      <c r="BC600" s="0" t="n">
        <v>64</v>
      </c>
      <c r="BD600" s="0" t="s">
        <v>383</v>
      </c>
      <c r="BE600" s="2" t="n">
        <v>43724</v>
      </c>
    </row>
    <row r="601" customFormat="false" ht="14.25" hidden="false" customHeight="false" outlineLevel="0" collapsed="false">
      <c r="A601" s="0" t="n">
        <v>600</v>
      </c>
      <c r="B601" s="1" t="s">
        <v>1290</v>
      </c>
      <c r="BE601" s="2" t="n">
        <v>43725</v>
      </c>
    </row>
    <row r="602" customFormat="false" ht="14.25" hidden="false" customHeight="false" outlineLevel="0" collapsed="false">
      <c r="A602" s="0" t="n">
        <v>601</v>
      </c>
      <c r="B602" s="1" t="s">
        <v>1291</v>
      </c>
      <c r="C602" s="0" t="n">
        <v>460</v>
      </c>
      <c r="D602" s="0" t="n">
        <v>484</v>
      </c>
      <c r="E602" s="0" t="s">
        <v>606</v>
      </c>
      <c r="F602" s="0" t="n">
        <v>464</v>
      </c>
      <c r="G602" s="0" t="n">
        <v>475</v>
      </c>
      <c r="H602" s="0" t="s">
        <v>138</v>
      </c>
      <c r="I602" s="0" t="n">
        <v>342</v>
      </c>
      <c r="J602" s="0" t="n">
        <v>368</v>
      </c>
      <c r="K602" s="0" t="s">
        <v>207</v>
      </c>
      <c r="L602" s="0" t="n">
        <v>41</v>
      </c>
      <c r="M602" s="0" t="n">
        <v>42</v>
      </c>
      <c r="N602" s="0" t="s">
        <v>497</v>
      </c>
      <c r="AD602" s="0" t="n">
        <v>667</v>
      </c>
      <c r="AE602" s="0" t="n">
        <v>674</v>
      </c>
      <c r="AF602" s="0" t="s">
        <v>870</v>
      </c>
      <c r="AM602" s="0" t="n">
        <v>346</v>
      </c>
      <c r="AN602" s="0" t="n">
        <v>356</v>
      </c>
      <c r="AO602" s="0" t="s">
        <v>128</v>
      </c>
      <c r="AP602" s="0" t="n">
        <v>347</v>
      </c>
      <c r="AQ602" s="0" t="n">
        <v>349</v>
      </c>
      <c r="AR602" s="0" t="s">
        <v>824</v>
      </c>
      <c r="AS602" s="0" t="n">
        <v>54</v>
      </c>
      <c r="AT602" s="0" t="n">
        <v>55</v>
      </c>
      <c r="AU602" s="0" t="s">
        <v>600</v>
      </c>
      <c r="AV602" s="0" t="n">
        <v>346</v>
      </c>
      <c r="AW602" s="0" t="n">
        <v>356</v>
      </c>
      <c r="AX602" s="0" t="s">
        <v>128</v>
      </c>
      <c r="AY602" s="0" t="n">
        <v>347</v>
      </c>
      <c r="AZ602" s="0" t="n">
        <v>349</v>
      </c>
      <c r="BA602" s="0" t="s">
        <v>824</v>
      </c>
      <c r="BB602" s="0" t="n">
        <v>54</v>
      </c>
      <c r="BC602" s="0" t="n">
        <v>55</v>
      </c>
      <c r="BD602" s="0" t="s">
        <v>600</v>
      </c>
      <c r="BE602" s="2" t="n">
        <v>43726</v>
      </c>
    </row>
    <row r="603" customFormat="false" ht="14.25" hidden="false" customHeight="false" outlineLevel="0" collapsed="false">
      <c r="A603" s="0" t="n">
        <v>602</v>
      </c>
      <c r="B603" s="1" t="s">
        <v>1292</v>
      </c>
      <c r="C603" s="0" t="n">
        <v>474</v>
      </c>
      <c r="D603" s="0" t="n">
        <v>484</v>
      </c>
      <c r="E603" s="0" t="s">
        <v>551</v>
      </c>
      <c r="F603" s="0" t="n">
        <v>463</v>
      </c>
      <c r="G603" s="0" t="n">
        <v>475</v>
      </c>
      <c r="H603" s="0" t="s">
        <v>370</v>
      </c>
      <c r="I603" s="0" t="n">
        <v>355</v>
      </c>
      <c r="J603" s="0" t="n">
        <v>368</v>
      </c>
      <c r="K603" s="0" t="s">
        <v>291</v>
      </c>
      <c r="L603" s="0" t="n">
        <v>41</v>
      </c>
      <c r="M603" s="0" t="n">
        <v>42</v>
      </c>
      <c r="N603" s="0" t="s">
        <v>497</v>
      </c>
      <c r="AD603" s="0" t="n">
        <v>666</v>
      </c>
      <c r="AE603" s="0" t="n">
        <v>668</v>
      </c>
      <c r="AF603" s="0" t="s">
        <v>723</v>
      </c>
      <c r="AM603" s="0" t="n">
        <v>338</v>
      </c>
      <c r="AN603" s="0" t="n">
        <v>356</v>
      </c>
      <c r="AO603" s="0" t="s">
        <v>142</v>
      </c>
      <c r="AP603" s="0" t="n">
        <v>349</v>
      </c>
      <c r="AQ603" s="0" t="n">
        <v>350</v>
      </c>
      <c r="AR603" s="0" t="s">
        <v>723</v>
      </c>
      <c r="AS603" s="0" t="n">
        <v>60</v>
      </c>
      <c r="AT603" s="0" t="n">
        <v>54</v>
      </c>
      <c r="AU603" s="0" t="s">
        <v>1254</v>
      </c>
      <c r="AV603" s="0" t="n">
        <v>338</v>
      </c>
      <c r="AW603" s="0" t="n">
        <v>356</v>
      </c>
      <c r="AX603" s="0" t="s">
        <v>142</v>
      </c>
      <c r="AY603" s="0" t="n">
        <v>349</v>
      </c>
      <c r="AZ603" s="0" t="n">
        <v>350</v>
      </c>
      <c r="BA603" s="0" t="s">
        <v>723</v>
      </c>
      <c r="BB603" s="0" t="n">
        <v>60</v>
      </c>
      <c r="BC603" s="0" t="n">
        <v>54</v>
      </c>
      <c r="BD603" s="0" t="s">
        <v>1254</v>
      </c>
      <c r="BE603" s="2" t="n">
        <v>43727</v>
      </c>
    </row>
    <row r="604" customFormat="false" ht="14.25" hidden="false" customHeight="false" outlineLevel="0" collapsed="false">
      <c r="A604" s="0" t="n">
        <v>603</v>
      </c>
      <c r="B604" s="1" t="s">
        <v>1293</v>
      </c>
      <c r="C604" s="0" t="n">
        <v>470</v>
      </c>
      <c r="D604" s="0" t="n">
        <v>484</v>
      </c>
      <c r="E604" s="0" t="s">
        <v>492</v>
      </c>
      <c r="F604" s="0" t="n">
        <v>460</v>
      </c>
      <c r="G604" s="0" t="n">
        <v>475</v>
      </c>
      <c r="H604" s="0" t="s">
        <v>112</v>
      </c>
      <c r="I604" s="0" t="n">
        <v>399</v>
      </c>
      <c r="J604" s="0" t="n">
        <v>421</v>
      </c>
      <c r="K604" s="0" t="s">
        <v>191</v>
      </c>
      <c r="L604" s="0" t="n">
        <v>42</v>
      </c>
      <c r="M604" s="0" t="n">
        <v>42</v>
      </c>
      <c r="N604" s="0" t="s">
        <v>110</v>
      </c>
      <c r="AD604" s="0" t="n">
        <v>653</v>
      </c>
      <c r="AE604" s="0" t="n">
        <v>664</v>
      </c>
      <c r="AF604" s="0" t="s">
        <v>179</v>
      </c>
      <c r="AM604" s="0" t="n">
        <v>359</v>
      </c>
      <c r="AN604" s="0" t="n">
        <v>359</v>
      </c>
      <c r="AO604" s="0" t="s">
        <v>110</v>
      </c>
      <c r="AP604" s="0" t="n">
        <v>353</v>
      </c>
      <c r="AQ604" s="0" t="n">
        <v>354</v>
      </c>
      <c r="AR604" s="0" t="s">
        <v>723</v>
      </c>
      <c r="AS604" s="0" t="n">
        <v>52</v>
      </c>
      <c r="AT604" s="0" t="n">
        <v>52</v>
      </c>
      <c r="AU604" s="0" t="s">
        <v>110</v>
      </c>
      <c r="AV604" s="0" t="n">
        <v>359</v>
      </c>
      <c r="AW604" s="0" t="n">
        <v>359</v>
      </c>
      <c r="AX604" s="0" t="s">
        <v>110</v>
      </c>
      <c r="AY604" s="0" t="n">
        <v>353</v>
      </c>
      <c r="AZ604" s="0" t="n">
        <v>354</v>
      </c>
      <c r="BA604" s="0" t="s">
        <v>723</v>
      </c>
      <c r="BB604" s="0" t="n">
        <v>52</v>
      </c>
      <c r="BC604" s="0" t="n">
        <v>52</v>
      </c>
      <c r="BD604" s="0" t="s">
        <v>110</v>
      </c>
      <c r="BE604" s="2" t="n">
        <v>43728</v>
      </c>
    </row>
    <row r="605" customFormat="false" ht="14.25" hidden="false" customHeight="false" outlineLevel="0" collapsed="false">
      <c r="A605" s="0" t="n">
        <v>604</v>
      </c>
      <c r="B605" s="1" t="s">
        <v>1294</v>
      </c>
      <c r="I605" s="0" t="n">
        <v>268</v>
      </c>
      <c r="J605" s="0" t="n">
        <v>273</v>
      </c>
      <c r="K605" s="0" t="s">
        <v>600</v>
      </c>
      <c r="BE605" s="2" t="n">
        <v>43730</v>
      </c>
    </row>
    <row r="606" customFormat="false" ht="14.25" hidden="false" customHeight="false" outlineLevel="0" collapsed="false">
      <c r="A606" s="0" t="n">
        <v>605</v>
      </c>
      <c r="B606" s="1" t="s">
        <v>1295</v>
      </c>
      <c r="C606" s="0" t="n">
        <v>466</v>
      </c>
      <c r="D606" s="0" t="n">
        <v>484</v>
      </c>
      <c r="E606" s="0" t="s">
        <v>182</v>
      </c>
      <c r="F606" s="0" t="n">
        <v>463</v>
      </c>
      <c r="G606" s="0" t="n">
        <v>475</v>
      </c>
      <c r="H606" s="0" t="s">
        <v>370</v>
      </c>
      <c r="I606" s="0" t="n">
        <v>356</v>
      </c>
      <c r="J606" s="0" t="n">
        <v>368</v>
      </c>
      <c r="K606" s="0" t="s">
        <v>538</v>
      </c>
      <c r="L606" s="0" t="n">
        <v>42</v>
      </c>
      <c r="M606" s="0" t="n">
        <v>42</v>
      </c>
      <c r="N606" s="0" t="s">
        <v>110</v>
      </c>
      <c r="AD606" s="0" t="n">
        <v>635</v>
      </c>
      <c r="AE606" s="0" t="n">
        <v>674</v>
      </c>
      <c r="AF606" s="0" t="s">
        <v>141</v>
      </c>
      <c r="AM606" s="0" t="n">
        <v>348</v>
      </c>
      <c r="AN606" s="0" t="n">
        <v>362</v>
      </c>
      <c r="AO606" s="0" t="s">
        <v>594</v>
      </c>
      <c r="AP606" s="0" t="n">
        <v>319</v>
      </c>
      <c r="AQ606" s="0" t="n">
        <v>354</v>
      </c>
      <c r="AR606" s="0" t="s">
        <v>530</v>
      </c>
      <c r="AS606" s="0" t="n">
        <v>35</v>
      </c>
      <c r="AT606" s="0" t="n">
        <v>37</v>
      </c>
      <c r="AU606" s="0" t="s">
        <v>332</v>
      </c>
      <c r="AV606" s="0" t="n">
        <v>348</v>
      </c>
      <c r="AW606" s="0" t="n">
        <v>362</v>
      </c>
      <c r="AX606" s="0" t="s">
        <v>594</v>
      </c>
      <c r="AY606" s="0" t="n">
        <v>319</v>
      </c>
      <c r="AZ606" s="0" t="n">
        <v>354</v>
      </c>
      <c r="BA606" s="0" t="s">
        <v>530</v>
      </c>
      <c r="BB606" s="0" t="n">
        <v>35</v>
      </c>
      <c r="BC606" s="0" t="n">
        <v>37</v>
      </c>
      <c r="BD606" s="0" t="s">
        <v>332</v>
      </c>
      <c r="BE606" s="2" t="n">
        <v>43731</v>
      </c>
    </row>
    <row r="607" customFormat="false" ht="14.25" hidden="false" customHeight="false" outlineLevel="0" collapsed="false">
      <c r="A607" s="0" t="n">
        <v>606</v>
      </c>
      <c r="B607" s="1" t="s">
        <v>1296</v>
      </c>
      <c r="C607" s="0" t="n">
        <v>467</v>
      </c>
      <c r="D607" s="0" t="n">
        <v>478</v>
      </c>
      <c r="E607" s="0" t="s">
        <v>138</v>
      </c>
      <c r="F607" s="0" t="n">
        <v>464</v>
      </c>
      <c r="G607" s="0" t="n">
        <v>470</v>
      </c>
      <c r="H607" s="0" t="s">
        <v>789</v>
      </c>
      <c r="I607" s="0" t="n">
        <v>357</v>
      </c>
      <c r="J607" s="0" t="n">
        <v>363</v>
      </c>
      <c r="K607" s="0" t="s">
        <v>179</v>
      </c>
      <c r="L607" s="0" t="n">
        <v>41</v>
      </c>
      <c r="M607" s="0" t="n">
        <v>42</v>
      </c>
      <c r="N607" s="0" t="s">
        <v>497</v>
      </c>
      <c r="AD607" s="0" t="n">
        <v>624</v>
      </c>
      <c r="AE607" s="0" t="n">
        <v>652</v>
      </c>
      <c r="AF607" s="0" t="s">
        <v>144</v>
      </c>
      <c r="AM607" s="0" t="n">
        <v>355</v>
      </c>
      <c r="AN607" s="0" t="n">
        <v>355</v>
      </c>
      <c r="AO607" s="0" t="s">
        <v>110</v>
      </c>
      <c r="AP607" s="0" t="n">
        <v>338</v>
      </c>
      <c r="AQ607" s="0" t="n">
        <v>343</v>
      </c>
      <c r="AR607" s="0" t="s">
        <v>120</v>
      </c>
      <c r="AS607" s="0" t="n">
        <v>60</v>
      </c>
      <c r="AT607" s="0" t="n">
        <v>60</v>
      </c>
      <c r="AU607" s="0" t="s">
        <v>110</v>
      </c>
      <c r="AV607" s="0" t="n">
        <v>355</v>
      </c>
      <c r="AW607" s="0" t="n">
        <v>355</v>
      </c>
      <c r="AX607" s="0" t="s">
        <v>110</v>
      </c>
      <c r="AY607" s="0" t="n">
        <v>338</v>
      </c>
      <c r="AZ607" s="0" t="n">
        <v>343</v>
      </c>
      <c r="BA607" s="0" t="s">
        <v>120</v>
      </c>
      <c r="BB607" s="0" t="n">
        <v>60</v>
      </c>
      <c r="BC607" s="0" t="n">
        <v>60</v>
      </c>
      <c r="BD607" s="0" t="s">
        <v>110</v>
      </c>
      <c r="BE607" s="2" t="n">
        <v>43732</v>
      </c>
    </row>
    <row r="608" customFormat="false" ht="14.25" hidden="false" customHeight="false" outlineLevel="0" collapsed="false">
      <c r="A608" s="0" t="n">
        <v>607</v>
      </c>
      <c r="B608" s="1" t="s">
        <v>1297</v>
      </c>
      <c r="C608" s="0" t="n">
        <v>467</v>
      </c>
      <c r="D608" s="0" t="n">
        <v>480</v>
      </c>
      <c r="E608" s="0" t="s">
        <v>149</v>
      </c>
      <c r="F608" s="0" t="n">
        <v>466</v>
      </c>
      <c r="G608" s="0" t="n">
        <v>473</v>
      </c>
      <c r="H608" s="0" t="s">
        <v>120</v>
      </c>
      <c r="I608" s="0" t="n">
        <v>361</v>
      </c>
      <c r="J608" s="0" t="n">
        <v>368</v>
      </c>
      <c r="K608" s="0" t="s">
        <v>457</v>
      </c>
      <c r="L608" s="0" t="n">
        <v>42</v>
      </c>
      <c r="M608" s="0" t="n">
        <v>42</v>
      </c>
      <c r="N608" s="0" t="s">
        <v>110</v>
      </c>
      <c r="AD608" s="0" t="n">
        <v>678</v>
      </c>
      <c r="AE608" s="0" t="n">
        <v>674</v>
      </c>
      <c r="AF608" s="0" t="s">
        <v>443</v>
      </c>
      <c r="AM608" s="0" t="n">
        <v>363</v>
      </c>
      <c r="AN608" s="0" t="n">
        <v>363</v>
      </c>
      <c r="AO608" s="0" t="s">
        <v>110</v>
      </c>
      <c r="AP608" s="0" t="n">
        <v>355</v>
      </c>
      <c r="AQ608" s="0" t="n">
        <v>357</v>
      </c>
      <c r="AR608" s="0" t="s">
        <v>824</v>
      </c>
      <c r="AS608" s="0" t="n">
        <v>60</v>
      </c>
      <c r="AT608" s="0" t="n">
        <v>60</v>
      </c>
      <c r="AU608" s="0" t="s">
        <v>110</v>
      </c>
      <c r="AV608" s="0" t="n">
        <v>363</v>
      </c>
      <c r="AW608" s="0" t="n">
        <v>363</v>
      </c>
      <c r="AX608" s="0" t="s">
        <v>110</v>
      </c>
      <c r="AY608" s="0" t="n">
        <v>355</v>
      </c>
      <c r="AZ608" s="0" t="n">
        <v>357</v>
      </c>
      <c r="BA608" s="0" t="s">
        <v>824</v>
      </c>
      <c r="BB608" s="0" t="n">
        <v>60</v>
      </c>
      <c r="BC608" s="0" t="n">
        <v>60</v>
      </c>
      <c r="BD608" s="0" t="s">
        <v>110</v>
      </c>
      <c r="BE608" s="2" t="n">
        <v>43733</v>
      </c>
    </row>
    <row r="609" customFormat="false" ht="14.25" hidden="false" customHeight="false" outlineLevel="0" collapsed="false">
      <c r="A609" s="0" t="n">
        <v>608</v>
      </c>
      <c r="B609" s="1" t="s">
        <v>1298</v>
      </c>
      <c r="C609" s="0" t="n">
        <v>426</v>
      </c>
      <c r="D609" s="0" t="n">
        <v>484</v>
      </c>
      <c r="E609" s="0" t="s">
        <v>158</v>
      </c>
      <c r="F609" s="0" t="n">
        <v>471</v>
      </c>
      <c r="G609" s="0" t="n">
        <v>475</v>
      </c>
      <c r="H609" s="0" t="s">
        <v>863</v>
      </c>
      <c r="I609" s="0" t="n">
        <v>361</v>
      </c>
      <c r="J609" s="0" t="n">
        <v>368</v>
      </c>
      <c r="K609" s="0" t="s">
        <v>457</v>
      </c>
      <c r="L609" s="0" t="n">
        <v>42</v>
      </c>
      <c r="M609" s="0" t="n">
        <v>42</v>
      </c>
      <c r="N609" s="0" t="s">
        <v>110</v>
      </c>
      <c r="AD609" s="0" t="n">
        <v>675</v>
      </c>
      <c r="AE609" s="0" t="n">
        <v>681</v>
      </c>
      <c r="AF609" s="0" t="s">
        <v>798</v>
      </c>
      <c r="AM609" s="0" t="n">
        <v>333</v>
      </c>
      <c r="AN609" s="0" t="n">
        <v>355</v>
      </c>
      <c r="AO609" s="0" t="s">
        <v>383</v>
      </c>
      <c r="AP609" s="0" t="n">
        <v>357</v>
      </c>
      <c r="AQ609" s="0" t="n">
        <v>366</v>
      </c>
      <c r="AR609" s="0" t="s">
        <v>370</v>
      </c>
      <c r="AS609" s="0" t="n">
        <v>61</v>
      </c>
      <c r="AT609" s="0" t="n">
        <v>63</v>
      </c>
      <c r="AU609" s="0" t="s">
        <v>112</v>
      </c>
      <c r="AV609" s="0" t="n">
        <v>333</v>
      </c>
      <c r="AW609" s="0" t="n">
        <v>355</v>
      </c>
      <c r="AX609" s="0" t="s">
        <v>383</v>
      </c>
      <c r="AY609" s="0" t="n">
        <v>357</v>
      </c>
      <c r="AZ609" s="0" t="n">
        <v>366</v>
      </c>
      <c r="BA609" s="0" t="s">
        <v>370</v>
      </c>
      <c r="BB609" s="0" t="n">
        <v>61</v>
      </c>
      <c r="BC609" s="0" t="n">
        <v>63</v>
      </c>
      <c r="BD609" s="0" t="s">
        <v>112</v>
      </c>
      <c r="BE609" s="2" t="n">
        <v>43734</v>
      </c>
    </row>
    <row r="610" customFormat="false" ht="14.25" hidden="false" customHeight="false" outlineLevel="0" collapsed="false">
      <c r="A610" s="0" t="n">
        <v>609</v>
      </c>
      <c r="B610" s="1" t="s">
        <v>1299</v>
      </c>
      <c r="C610" s="0" t="n">
        <v>473</v>
      </c>
      <c r="D610" s="0" t="n">
        <v>484</v>
      </c>
      <c r="E610" s="0" t="s">
        <v>138</v>
      </c>
      <c r="F610" s="0" t="n">
        <v>471</v>
      </c>
      <c r="G610" s="0" t="n">
        <v>474</v>
      </c>
      <c r="H610" s="0" t="s">
        <v>824</v>
      </c>
      <c r="I610" s="0" t="n">
        <v>361</v>
      </c>
      <c r="J610" s="0" t="n">
        <v>370</v>
      </c>
      <c r="K610" s="0" t="s">
        <v>497</v>
      </c>
      <c r="L610" s="0" t="n">
        <v>43</v>
      </c>
      <c r="M610" s="0" t="n">
        <v>42</v>
      </c>
      <c r="N610" s="0" t="s">
        <v>785</v>
      </c>
      <c r="AD610" s="0" t="n">
        <v>647</v>
      </c>
      <c r="AE610" s="0" t="n">
        <v>667</v>
      </c>
      <c r="AF610" s="0" t="s">
        <v>756</v>
      </c>
      <c r="AM610" s="0" t="n">
        <v>371</v>
      </c>
      <c r="AN610" s="0" t="n">
        <v>372</v>
      </c>
      <c r="AO610" s="0" t="s">
        <v>723</v>
      </c>
      <c r="AP610" s="0" t="n">
        <v>323</v>
      </c>
      <c r="AQ610" s="0" t="n">
        <v>350</v>
      </c>
      <c r="AR610" s="0" t="s">
        <v>193</v>
      </c>
      <c r="AS610" s="0" t="n">
        <v>54</v>
      </c>
      <c r="AT610" s="0" t="n">
        <v>56</v>
      </c>
      <c r="AU610" s="0" t="s">
        <v>187</v>
      </c>
      <c r="AV610" s="0" t="n">
        <v>371</v>
      </c>
      <c r="AW610" s="0" t="n">
        <v>372</v>
      </c>
      <c r="AX610" s="0" t="s">
        <v>723</v>
      </c>
      <c r="AY610" s="0" t="n">
        <v>323</v>
      </c>
      <c r="AZ610" s="0" t="n">
        <v>350</v>
      </c>
      <c r="BA610" s="0" t="s">
        <v>193</v>
      </c>
      <c r="BB610" s="0" t="n">
        <v>54</v>
      </c>
      <c r="BC610" s="0" t="n">
        <v>56</v>
      </c>
      <c r="BD610" s="0" t="s">
        <v>187</v>
      </c>
      <c r="BE610" s="2" t="n">
        <v>43735</v>
      </c>
    </row>
    <row r="611" customFormat="false" ht="14.25" hidden="false" customHeight="false" outlineLevel="0" collapsed="false">
      <c r="A611" s="0" t="n">
        <v>610</v>
      </c>
      <c r="B611" s="1" t="s">
        <v>1300</v>
      </c>
      <c r="I611" s="0" t="n">
        <v>401</v>
      </c>
      <c r="J611" s="0" t="n">
        <v>422</v>
      </c>
      <c r="K611" s="0" t="s">
        <v>606</v>
      </c>
      <c r="BE611" s="2" t="n">
        <v>43737</v>
      </c>
    </row>
    <row r="612" customFormat="false" ht="14.25" hidden="false" customHeight="false" outlineLevel="0" collapsed="false">
      <c r="A612" s="0" t="n">
        <v>611</v>
      </c>
      <c r="B612" s="1" t="s">
        <v>1301</v>
      </c>
      <c r="C612" s="0" t="n">
        <v>468</v>
      </c>
      <c r="D612" s="0" t="n">
        <v>484</v>
      </c>
      <c r="E612" s="0" t="s">
        <v>538</v>
      </c>
      <c r="F612" s="0" t="n">
        <v>456</v>
      </c>
      <c r="G612" s="0" t="n">
        <v>475</v>
      </c>
      <c r="H612" s="0" t="s">
        <v>438</v>
      </c>
      <c r="I612" s="0" t="n">
        <v>401</v>
      </c>
      <c r="J612" s="0" t="n">
        <v>413</v>
      </c>
      <c r="K612" s="0" t="s">
        <v>492</v>
      </c>
      <c r="L612" s="0" t="n">
        <v>42</v>
      </c>
      <c r="M612" s="0" t="n">
        <v>42</v>
      </c>
      <c r="N612" s="0" t="s">
        <v>110</v>
      </c>
      <c r="AD612" s="0" t="n">
        <v>662</v>
      </c>
      <c r="AE612" s="0" t="n">
        <v>674</v>
      </c>
      <c r="AF612" s="0" t="s">
        <v>600</v>
      </c>
      <c r="AM612" s="0" t="n">
        <v>358</v>
      </c>
      <c r="AN612" s="0" t="n">
        <v>359</v>
      </c>
      <c r="AO612" s="0" t="s">
        <v>723</v>
      </c>
      <c r="AP612" s="0" t="n">
        <v>366</v>
      </c>
      <c r="AQ612" s="0" t="n">
        <v>370</v>
      </c>
      <c r="AR612" s="0" t="s">
        <v>143</v>
      </c>
      <c r="AS612" s="0" t="n">
        <v>55</v>
      </c>
      <c r="AT612" s="0" t="n">
        <v>55</v>
      </c>
      <c r="AU612" s="0" t="s">
        <v>110</v>
      </c>
      <c r="AV612" s="0" t="n">
        <v>358</v>
      </c>
      <c r="AW612" s="0" t="n">
        <v>359</v>
      </c>
      <c r="AX612" s="0" t="s">
        <v>723</v>
      </c>
      <c r="AY612" s="0" t="n">
        <v>366</v>
      </c>
      <c r="AZ612" s="0" t="n">
        <v>370</v>
      </c>
      <c r="BA612" s="0" t="s">
        <v>143</v>
      </c>
      <c r="BB612" s="0" t="n">
        <v>55</v>
      </c>
      <c r="BC612" s="0" t="n">
        <v>55</v>
      </c>
      <c r="BD612" s="0" t="s">
        <v>110</v>
      </c>
      <c r="BE612" s="2" t="n">
        <v>43738</v>
      </c>
    </row>
    <row r="613" customFormat="false" ht="14.25" hidden="false" customHeight="false" outlineLevel="0" collapsed="false">
      <c r="A613" s="0" t="n">
        <v>612</v>
      </c>
      <c r="B613" s="1" t="s">
        <v>1302</v>
      </c>
      <c r="C613" s="0" t="n">
        <v>474</v>
      </c>
      <c r="D613" s="0" t="n">
        <v>484</v>
      </c>
      <c r="E613" s="0" t="s">
        <v>551</v>
      </c>
      <c r="F613" s="0" t="n">
        <v>459</v>
      </c>
      <c r="G613" s="0" t="n">
        <v>475</v>
      </c>
      <c r="H613" s="0" t="s">
        <v>119</v>
      </c>
      <c r="I613" s="0" t="n">
        <v>363</v>
      </c>
      <c r="J613" s="0" t="n">
        <v>368</v>
      </c>
      <c r="K613" s="0" t="s">
        <v>790</v>
      </c>
      <c r="L613" s="0" t="n">
        <v>42</v>
      </c>
      <c r="M613" s="0" t="n">
        <v>42</v>
      </c>
      <c r="N613" s="0" t="s">
        <v>110</v>
      </c>
      <c r="AD613" s="0" t="n">
        <v>674</v>
      </c>
      <c r="AE613" s="0" t="n">
        <v>674</v>
      </c>
      <c r="AF613" s="0" t="s">
        <v>110</v>
      </c>
      <c r="AM613" s="0" t="n">
        <v>358</v>
      </c>
      <c r="AN613" s="0" t="n">
        <v>354</v>
      </c>
      <c r="AO613" s="0" t="s">
        <v>829</v>
      </c>
      <c r="AP613" s="0" t="n">
        <v>360</v>
      </c>
      <c r="AQ613" s="0" t="n">
        <v>361</v>
      </c>
      <c r="AR613" s="0" t="s">
        <v>723</v>
      </c>
      <c r="AS613" s="0" t="n">
        <v>73</v>
      </c>
      <c r="AT613" s="0" t="n">
        <v>77</v>
      </c>
      <c r="AU613" s="0" t="s">
        <v>191</v>
      </c>
      <c r="AV613" s="0" t="n">
        <v>358</v>
      </c>
      <c r="AW613" s="0" t="n">
        <v>354</v>
      </c>
      <c r="AX613" s="0" t="s">
        <v>829</v>
      </c>
      <c r="AY613" s="0" t="n">
        <v>360</v>
      </c>
      <c r="AZ613" s="0" t="n">
        <v>361</v>
      </c>
      <c r="BA613" s="0" t="s">
        <v>723</v>
      </c>
      <c r="BB613" s="0" t="n">
        <v>73</v>
      </c>
      <c r="BC613" s="0" t="n">
        <v>77</v>
      </c>
      <c r="BD613" s="0" t="s">
        <v>191</v>
      </c>
      <c r="BE613" s="2" t="s">
        <v>1303</v>
      </c>
    </row>
    <row r="614" customFormat="false" ht="14.25" hidden="false" customHeight="false" outlineLevel="0" collapsed="false">
      <c r="A614" s="0" t="n">
        <v>613</v>
      </c>
      <c r="B614" s="1" t="s">
        <v>1304</v>
      </c>
      <c r="C614" s="0" t="n">
        <v>474</v>
      </c>
      <c r="D614" s="0" t="n">
        <v>484</v>
      </c>
      <c r="E614" s="0" t="s">
        <v>551</v>
      </c>
      <c r="F614" s="0" t="n">
        <v>459</v>
      </c>
      <c r="G614" s="0" t="n">
        <v>475</v>
      </c>
      <c r="H614" s="0" t="s">
        <v>119</v>
      </c>
      <c r="I614" s="0" t="n">
        <v>363</v>
      </c>
      <c r="J614" s="0" t="n">
        <v>368</v>
      </c>
      <c r="K614" s="0" t="s">
        <v>790</v>
      </c>
      <c r="L614" s="0" t="n">
        <v>42</v>
      </c>
      <c r="M614" s="0" t="n">
        <v>42</v>
      </c>
      <c r="N614" s="0" t="s">
        <v>110</v>
      </c>
      <c r="AD614" s="0" t="n">
        <v>674</v>
      </c>
      <c r="AE614" s="0" t="n">
        <v>674</v>
      </c>
      <c r="AF614" s="0" t="s">
        <v>110</v>
      </c>
      <c r="AM614" s="0" t="n">
        <v>358</v>
      </c>
      <c r="AN614" s="0" t="n">
        <v>354</v>
      </c>
      <c r="AO614" s="0" t="s">
        <v>829</v>
      </c>
      <c r="AP614" s="0" t="n">
        <v>360</v>
      </c>
      <c r="AQ614" s="0" t="n">
        <v>361</v>
      </c>
      <c r="AR614" s="0" t="s">
        <v>723</v>
      </c>
      <c r="AS614" s="0" t="n">
        <v>73</v>
      </c>
      <c r="AT614" s="0" t="n">
        <v>77</v>
      </c>
      <c r="AU614" s="0" t="s">
        <v>191</v>
      </c>
      <c r="AV614" s="0" t="n">
        <v>358</v>
      </c>
      <c r="AW614" s="0" t="n">
        <v>354</v>
      </c>
      <c r="AX614" s="0" t="s">
        <v>829</v>
      </c>
      <c r="AY614" s="0" t="n">
        <v>360</v>
      </c>
      <c r="AZ614" s="0" t="n">
        <v>361</v>
      </c>
      <c r="BA614" s="0" t="s">
        <v>723</v>
      </c>
      <c r="BB614" s="0" t="n">
        <v>73</v>
      </c>
      <c r="BC614" s="0" t="n">
        <v>77</v>
      </c>
      <c r="BD614" s="0" t="s">
        <v>191</v>
      </c>
      <c r="BE614" s="2" t="s">
        <v>1305</v>
      </c>
    </row>
    <row r="615" customFormat="false" ht="14.25" hidden="false" customHeight="false" outlineLevel="0" collapsed="false">
      <c r="A615" s="0" t="n">
        <v>614</v>
      </c>
      <c r="B615" s="1" t="s">
        <v>1306</v>
      </c>
      <c r="C615" s="0" t="n">
        <v>474</v>
      </c>
      <c r="D615" s="0" t="n">
        <v>484</v>
      </c>
      <c r="E615" s="0" t="s">
        <v>551</v>
      </c>
      <c r="F615" s="0" t="n">
        <v>451</v>
      </c>
      <c r="G615" s="0" t="n">
        <v>475</v>
      </c>
      <c r="H615" s="0" t="s">
        <v>142</v>
      </c>
      <c r="I615" s="0" t="n">
        <v>357</v>
      </c>
      <c r="J615" s="0" t="n">
        <v>368</v>
      </c>
      <c r="K615" s="0" t="s">
        <v>756</v>
      </c>
      <c r="L615" s="0" t="n">
        <v>42</v>
      </c>
      <c r="M615" s="0" t="n">
        <v>42</v>
      </c>
      <c r="N615" s="0" t="s">
        <v>110</v>
      </c>
      <c r="AD615" s="0" t="n">
        <v>670</v>
      </c>
      <c r="AE615" s="0" t="n">
        <v>674</v>
      </c>
      <c r="AF615" s="0" t="s">
        <v>824</v>
      </c>
      <c r="AM615" s="0" t="n">
        <v>366</v>
      </c>
      <c r="AN615" s="0" t="n">
        <v>372</v>
      </c>
      <c r="AO615" s="0" t="s">
        <v>706</v>
      </c>
      <c r="AP615" s="0" t="n">
        <v>356</v>
      </c>
      <c r="AQ615" s="0" t="n">
        <v>356</v>
      </c>
      <c r="AR615" s="0" t="s">
        <v>110</v>
      </c>
      <c r="AS615" s="0" t="n">
        <v>77</v>
      </c>
      <c r="AT615" s="0" t="n">
        <v>78</v>
      </c>
      <c r="AU615" s="0" t="s">
        <v>789</v>
      </c>
      <c r="AV615" s="0" t="n">
        <v>366</v>
      </c>
      <c r="AW615" s="0" t="n">
        <v>372</v>
      </c>
      <c r="AX615" s="0" t="s">
        <v>706</v>
      </c>
      <c r="AY615" s="0" t="n">
        <v>356</v>
      </c>
      <c r="AZ615" s="0" t="n">
        <v>356</v>
      </c>
      <c r="BA615" s="0" t="s">
        <v>110</v>
      </c>
      <c r="BB615" s="0" t="n">
        <v>77</v>
      </c>
      <c r="BC615" s="0" t="n">
        <v>78</v>
      </c>
      <c r="BD615" s="0" t="s">
        <v>789</v>
      </c>
      <c r="BE615" s="2" t="n">
        <v>43740</v>
      </c>
    </row>
    <row r="616" customFormat="false" ht="14.25" hidden="false" customHeight="false" outlineLevel="0" collapsed="false">
      <c r="A616" s="0" t="n">
        <v>615</v>
      </c>
      <c r="B616" s="1" t="s">
        <v>1307</v>
      </c>
      <c r="C616" s="0" t="n">
        <v>474</v>
      </c>
      <c r="D616" s="0" t="n">
        <v>484</v>
      </c>
      <c r="E616" s="0" t="s">
        <v>551</v>
      </c>
      <c r="F616" s="0" t="n">
        <v>459</v>
      </c>
      <c r="G616" s="0" t="n">
        <v>475</v>
      </c>
      <c r="H616" s="0" t="s">
        <v>119</v>
      </c>
      <c r="I616" s="0" t="n">
        <v>363</v>
      </c>
      <c r="J616" s="0" t="n">
        <v>368</v>
      </c>
      <c r="K616" s="0" t="s">
        <v>790</v>
      </c>
      <c r="L616" s="0" t="n">
        <v>42</v>
      </c>
      <c r="M616" s="0" t="n">
        <v>42</v>
      </c>
      <c r="N616" s="0" t="s">
        <v>110</v>
      </c>
      <c r="AD616" s="0" t="n">
        <v>674</v>
      </c>
      <c r="AE616" s="0" t="n">
        <v>674</v>
      </c>
      <c r="AF616" s="0" t="s">
        <v>110</v>
      </c>
      <c r="AM616" s="0" t="n">
        <v>358</v>
      </c>
      <c r="AN616" s="0" t="n">
        <v>358</v>
      </c>
      <c r="AO616" s="0" t="s">
        <v>110</v>
      </c>
      <c r="AP616" s="0" t="n">
        <v>360</v>
      </c>
      <c r="AQ616" s="0" t="n">
        <v>361</v>
      </c>
      <c r="AR616" s="0" t="s">
        <v>723</v>
      </c>
      <c r="AS616" s="0" t="n">
        <v>73</v>
      </c>
      <c r="AT616" s="0" t="n">
        <v>73</v>
      </c>
      <c r="AU616" s="0" t="s">
        <v>110</v>
      </c>
      <c r="AV616" s="0" t="n">
        <v>358</v>
      </c>
      <c r="AW616" s="0" t="n">
        <v>358</v>
      </c>
      <c r="AX616" s="0" t="s">
        <v>110</v>
      </c>
      <c r="AY616" s="0" t="n">
        <v>360</v>
      </c>
      <c r="AZ616" s="0" t="n">
        <v>361</v>
      </c>
      <c r="BA616" s="0" t="s">
        <v>723</v>
      </c>
      <c r="BB616" s="0" t="n">
        <v>73</v>
      </c>
      <c r="BC616" s="0" t="n">
        <v>73</v>
      </c>
      <c r="BD616" s="0" t="s">
        <v>110</v>
      </c>
      <c r="BE616" s="2" t="n">
        <v>43739</v>
      </c>
    </row>
    <row r="617" customFormat="false" ht="14.25" hidden="false" customHeight="false" outlineLevel="0" collapsed="false">
      <c r="A617" s="0" t="n">
        <v>616</v>
      </c>
      <c r="B617" s="1" t="s">
        <v>1308</v>
      </c>
      <c r="C617" s="0" t="n">
        <v>472</v>
      </c>
      <c r="D617" s="0" t="n">
        <v>484</v>
      </c>
      <c r="E617" s="0" t="s">
        <v>370</v>
      </c>
      <c r="F617" s="0" t="n">
        <v>464</v>
      </c>
      <c r="G617" s="0" t="n">
        <v>475</v>
      </c>
      <c r="H617" s="0" t="s">
        <v>138</v>
      </c>
      <c r="I617" s="0" t="n">
        <v>326</v>
      </c>
      <c r="J617" s="0" t="n">
        <v>368</v>
      </c>
      <c r="K617" s="0" t="s">
        <v>305</v>
      </c>
      <c r="L617" s="0" t="n">
        <v>42</v>
      </c>
      <c r="M617" s="0" t="n">
        <v>42</v>
      </c>
      <c r="N617" s="0" t="s">
        <v>110</v>
      </c>
      <c r="AD617" s="0" t="n">
        <v>661</v>
      </c>
      <c r="AE617" s="0" t="n">
        <v>674</v>
      </c>
      <c r="AF617" s="0" t="s">
        <v>457</v>
      </c>
      <c r="AM617" s="0" t="n">
        <v>348</v>
      </c>
      <c r="AN617" s="0" t="n">
        <v>350</v>
      </c>
      <c r="AO617" s="0" t="s">
        <v>824</v>
      </c>
      <c r="AP617" s="0" t="n">
        <v>363</v>
      </c>
      <c r="AQ617" s="0" t="n">
        <v>366</v>
      </c>
      <c r="AR617" s="0" t="s">
        <v>863</v>
      </c>
      <c r="AS617" s="0" t="n">
        <v>73</v>
      </c>
      <c r="AT617" s="0" t="n">
        <v>74</v>
      </c>
      <c r="AU617" s="0" t="s">
        <v>790</v>
      </c>
      <c r="AV617" s="0" t="n">
        <v>348</v>
      </c>
      <c r="AW617" s="0" t="n">
        <v>350</v>
      </c>
      <c r="AX617" s="0" t="s">
        <v>824</v>
      </c>
      <c r="AY617" s="0" t="n">
        <v>363</v>
      </c>
      <c r="AZ617" s="0" t="n">
        <v>366</v>
      </c>
      <c r="BA617" s="0" t="s">
        <v>863</v>
      </c>
      <c r="BB617" s="0" t="n">
        <v>73</v>
      </c>
      <c r="BC617" s="0" t="n">
        <v>74</v>
      </c>
      <c r="BD617" s="0" t="s">
        <v>790</v>
      </c>
      <c r="BE617" s="2" t="n">
        <v>43741</v>
      </c>
    </row>
    <row r="618" customFormat="false" ht="14.25" hidden="false" customHeight="false" outlineLevel="0" collapsed="false">
      <c r="A618" s="0" t="n">
        <v>617</v>
      </c>
      <c r="B618" s="1" t="s">
        <v>1309</v>
      </c>
      <c r="C618" s="0" t="n">
        <v>456</v>
      </c>
      <c r="D618" s="0" t="n">
        <v>484</v>
      </c>
      <c r="E618" s="0" t="s">
        <v>141</v>
      </c>
      <c r="F618" s="0" t="n">
        <v>408</v>
      </c>
      <c r="G618" s="0" t="n">
        <v>475</v>
      </c>
      <c r="H618" s="0" t="s">
        <v>1090</v>
      </c>
      <c r="I618" s="0" t="n">
        <v>402</v>
      </c>
      <c r="J618" s="0" t="n">
        <v>420</v>
      </c>
      <c r="K618" s="0" t="s">
        <v>144</v>
      </c>
      <c r="L618" s="0" t="n">
        <v>42</v>
      </c>
      <c r="M618" s="0" t="n">
        <v>42</v>
      </c>
      <c r="N618" s="0" t="s">
        <v>110</v>
      </c>
      <c r="AD618" s="0" t="n">
        <v>652</v>
      </c>
      <c r="AE618" s="0" t="n">
        <v>664</v>
      </c>
      <c r="AF618" s="0" t="s">
        <v>600</v>
      </c>
      <c r="AM618" s="0" t="n">
        <v>349</v>
      </c>
      <c r="AN618" s="0" t="n">
        <v>369</v>
      </c>
      <c r="AO618" s="0" t="s">
        <v>332</v>
      </c>
      <c r="AP618" s="0" t="n">
        <v>328</v>
      </c>
      <c r="AQ618" s="0" t="n">
        <v>353</v>
      </c>
      <c r="AR618" s="0" t="s">
        <v>207</v>
      </c>
      <c r="AS618" s="0" t="n">
        <v>72</v>
      </c>
      <c r="AT618" s="0" t="n">
        <v>77</v>
      </c>
      <c r="AU618" s="0" t="s">
        <v>713</v>
      </c>
      <c r="AV618" s="0" t="n">
        <v>349</v>
      </c>
      <c r="AW618" s="0" t="n">
        <v>369</v>
      </c>
      <c r="AX618" s="0" t="s">
        <v>332</v>
      </c>
      <c r="AY618" s="0" t="n">
        <v>328</v>
      </c>
      <c r="AZ618" s="0" t="n">
        <v>353</v>
      </c>
      <c r="BA618" s="0" t="s">
        <v>207</v>
      </c>
      <c r="BB618" s="0" t="n">
        <v>72</v>
      </c>
      <c r="BC618" s="0" t="n">
        <v>77</v>
      </c>
      <c r="BD618" s="0" t="s">
        <v>713</v>
      </c>
      <c r="BE618" s="2" t="n">
        <v>43742</v>
      </c>
    </row>
    <row r="619" customFormat="false" ht="14.25" hidden="false" customHeight="false" outlineLevel="0" collapsed="false">
      <c r="A619" s="0" t="n">
        <v>618</v>
      </c>
      <c r="B619" s="1" t="s">
        <v>1310</v>
      </c>
      <c r="C619" s="0" t="n">
        <v>337</v>
      </c>
      <c r="F619" s="0" t="n">
        <v>301</v>
      </c>
      <c r="BE619" s="2" t="n">
        <v>43743</v>
      </c>
    </row>
    <row r="620" customFormat="false" ht="14.25" hidden="false" customHeight="false" outlineLevel="0" collapsed="false">
      <c r="A620" s="0" t="n">
        <v>619</v>
      </c>
      <c r="B620" s="1" t="s">
        <v>1311</v>
      </c>
      <c r="C620" s="0" t="n">
        <v>449</v>
      </c>
      <c r="D620" s="0" t="n">
        <v>484</v>
      </c>
      <c r="E620" s="0" t="s">
        <v>475</v>
      </c>
      <c r="F620" s="0" t="n">
        <v>454</v>
      </c>
      <c r="G620" s="0" t="n">
        <v>475</v>
      </c>
      <c r="H620" s="0" t="s">
        <v>544</v>
      </c>
      <c r="I620" s="0" t="n">
        <v>354</v>
      </c>
      <c r="J620" s="0" t="n">
        <v>368</v>
      </c>
      <c r="K620" s="0" t="s">
        <v>200</v>
      </c>
      <c r="L620" s="0" t="n">
        <v>42</v>
      </c>
      <c r="M620" s="0" t="n">
        <v>42</v>
      </c>
      <c r="N620" s="0" t="s">
        <v>110</v>
      </c>
      <c r="AD620" s="0" t="n">
        <v>674</v>
      </c>
      <c r="AE620" s="0" t="n">
        <v>674</v>
      </c>
      <c r="AF620" s="0" t="s">
        <v>110</v>
      </c>
      <c r="AM620" s="0" t="n">
        <v>346</v>
      </c>
      <c r="AN620" s="0" t="n">
        <v>347</v>
      </c>
      <c r="AO620" s="0" t="s">
        <v>723</v>
      </c>
      <c r="AP620" s="0" t="n">
        <v>361</v>
      </c>
      <c r="AQ620" s="0" t="n">
        <v>366</v>
      </c>
      <c r="AR620" s="0" t="s">
        <v>790</v>
      </c>
      <c r="AS620" s="0" t="n">
        <v>87</v>
      </c>
      <c r="AT620" s="0" t="n">
        <v>106</v>
      </c>
      <c r="AU620" s="0" t="s">
        <v>681</v>
      </c>
      <c r="AV620" s="0" t="n">
        <v>346</v>
      </c>
      <c r="AW620" s="0" t="n">
        <v>347</v>
      </c>
      <c r="AX620" s="0" t="s">
        <v>723</v>
      </c>
      <c r="AY620" s="0" t="n">
        <v>361</v>
      </c>
      <c r="AZ620" s="0" t="n">
        <v>366</v>
      </c>
      <c r="BA620" s="0" t="s">
        <v>790</v>
      </c>
      <c r="BB620" s="0" t="n">
        <v>87</v>
      </c>
      <c r="BC620" s="0" t="n">
        <v>106</v>
      </c>
      <c r="BD620" s="0" t="s">
        <v>681</v>
      </c>
      <c r="BE620" s="2" t="n">
        <v>43745</v>
      </c>
    </row>
    <row r="621" customFormat="false" ht="14.25" hidden="false" customHeight="false" outlineLevel="0" collapsed="false">
      <c r="A621" s="0" t="n">
        <v>620</v>
      </c>
      <c r="B621" s="1" t="s">
        <v>1312</v>
      </c>
      <c r="C621" s="0" t="n">
        <v>454</v>
      </c>
      <c r="D621" s="0" t="n">
        <v>477</v>
      </c>
      <c r="E621" s="0" t="s">
        <v>634</v>
      </c>
      <c r="F621" s="0" t="n">
        <v>385</v>
      </c>
      <c r="G621" s="0" t="n">
        <v>475</v>
      </c>
      <c r="H621" s="0" t="s">
        <v>312</v>
      </c>
      <c r="I621" s="0" t="n">
        <v>357</v>
      </c>
      <c r="J621" s="0" t="n">
        <v>363</v>
      </c>
      <c r="K621" s="0" t="s">
        <v>179</v>
      </c>
      <c r="L621" s="0" t="n">
        <v>42</v>
      </c>
      <c r="M621" s="0" t="n">
        <v>42</v>
      </c>
      <c r="N621" s="0" t="s">
        <v>110</v>
      </c>
      <c r="AD621" s="0" t="n">
        <v>628</v>
      </c>
      <c r="AE621" s="0" t="n">
        <v>674</v>
      </c>
      <c r="AF621" s="0" t="s">
        <v>491</v>
      </c>
      <c r="AM621" s="0" t="n">
        <v>371</v>
      </c>
      <c r="AN621" s="0" t="n">
        <v>372</v>
      </c>
      <c r="AO621" s="0" t="s">
        <v>723</v>
      </c>
      <c r="AP621" s="0" t="n">
        <v>353</v>
      </c>
      <c r="AQ621" s="0" t="n">
        <v>365</v>
      </c>
      <c r="AR621" s="0" t="s">
        <v>538</v>
      </c>
      <c r="AS621" s="0" t="n">
        <v>87</v>
      </c>
      <c r="AT621" s="0" t="n">
        <v>89</v>
      </c>
      <c r="AU621" s="0" t="s">
        <v>652</v>
      </c>
      <c r="AV621" s="0" t="n">
        <v>371</v>
      </c>
      <c r="AW621" s="0" t="n">
        <v>372</v>
      </c>
      <c r="AX621" s="0" t="s">
        <v>723</v>
      </c>
      <c r="AY621" s="0" t="n">
        <v>353</v>
      </c>
      <c r="AZ621" s="0" t="n">
        <v>365</v>
      </c>
      <c r="BA621" s="0" t="s">
        <v>538</v>
      </c>
      <c r="BB621" s="0" t="n">
        <v>87</v>
      </c>
      <c r="BC621" s="0" t="n">
        <v>89</v>
      </c>
      <c r="BD621" s="0" t="s">
        <v>652</v>
      </c>
      <c r="BE621" s="2" t="n">
        <v>43746</v>
      </c>
    </row>
    <row r="622" customFormat="false" ht="14.25" hidden="false" customHeight="false" outlineLevel="0" collapsed="false">
      <c r="A622" s="0" t="n">
        <v>621</v>
      </c>
      <c r="B622" s="1" t="s">
        <v>1313</v>
      </c>
      <c r="C622" s="0" t="n">
        <v>471</v>
      </c>
      <c r="D622" s="0" t="n">
        <v>484</v>
      </c>
      <c r="E622" s="0" t="s">
        <v>149</v>
      </c>
      <c r="F622" s="0" t="n">
        <v>469</v>
      </c>
      <c r="G622" s="0" t="n">
        <v>475</v>
      </c>
      <c r="H622" s="0" t="s">
        <v>789</v>
      </c>
      <c r="I622" s="0" t="n">
        <v>355</v>
      </c>
      <c r="J622" s="0" t="n">
        <v>368</v>
      </c>
      <c r="K622" s="0" t="s">
        <v>291</v>
      </c>
      <c r="L622" s="0" t="n">
        <v>42</v>
      </c>
      <c r="M622" s="0" t="n">
        <v>42</v>
      </c>
      <c r="N622" s="0" t="s">
        <v>110</v>
      </c>
      <c r="AD622" s="0" t="n">
        <v>592</v>
      </c>
      <c r="AE622" s="0" t="n">
        <v>630</v>
      </c>
      <c r="AF622" s="0" t="s">
        <v>526</v>
      </c>
      <c r="AM622" s="0" t="n">
        <v>331</v>
      </c>
      <c r="AN622" s="0" t="n">
        <v>332</v>
      </c>
      <c r="AO622" s="0" t="s">
        <v>723</v>
      </c>
      <c r="AP622" s="0" t="n">
        <v>343</v>
      </c>
      <c r="AQ622" s="0" t="n">
        <v>343</v>
      </c>
      <c r="AR622" s="0" t="s">
        <v>110</v>
      </c>
      <c r="AS622" s="0" t="n">
        <v>70</v>
      </c>
      <c r="AT622" s="0" t="n">
        <v>70</v>
      </c>
      <c r="AU622" s="0" t="s">
        <v>110</v>
      </c>
      <c r="AV622" s="0" t="n">
        <v>331</v>
      </c>
      <c r="AW622" s="0" t="n">
        <v>332</v>
      </c>
      <c r="AX622" s="0" t="s">
        <v>723</v>
      </c>
      <c r="AY622" s="0" t="n">
        <v>343</v>
      </c>
      <c r="AZ622" s="0" t="n">
        <v>343</v>
      </c>
      <c r="BA622" s="0" t="s">
        <v>110</v>
      </c>
      <c r="BB622" s="0" t="n">
        <v>70</v>
      </c>
      <c r="BC622" s="0" t="n">
        <v>70</v>
      </c>
      <c r="BD622" s="0" t="s">
        <v>110</v>
      </c>
      <c r="BE622" s="2" t="n">
        <v>43747</v>
      </c>
    </row>
    <row r="623" customFormat="false" ht="14.25" hidden="false" customHeight="false" outlineLevel="0" collapsed="false">
      <c r="A623" s="0" t="n">
        <v>622</v>
      </c>
      <c r="B623" s="1" t="s">
        <v>1314</v>
      </c>
      <c r="C623" s="0" t="n">
        <v>471</v>
      </c>
      <c r="D623" s="0" t="n">
        <v>484</v>
      </c>
      <c r="E623" s="0" t="s">
        <v>149</v>
      </c>
      <c r="F623" s="0" t="n">
        <v>464</v>
      </c>
      <c r="G623" s="0" t="n">
        <v>475</v>
      </c>
      <c r="H623" s="0" t="s">
        <v>138</v>
      </c>
      <c r="I623" s="0" t="n">
        <v>365</v>
      </c>
      <c r="J623" s="0" t="n">
        <v>368</v>
      </c>
      <c r="K623" s="0" t="s">
        <v>863</v>
      </c>
      <c r="L623" s="0" t="n">
        <v>42</v>
      </c>
      <c r="M623" s="0" t="n">
        <v>42</v>
      </c>
      <c r="N623" s="0" t="s">
        <v>110</v>
      </c>
      <c r="AD623" s="0" t="n">
        <v>661</v>
      </c>
      <c r="AE623" s="0" t="n">
        <v>664</v>
      </c>
      <c r="AF623" s="0" t="s">
        <v>516</v>
      </c>
      <c r="AM623" s="0" t="n">
        <v>358</v>
      </c>
      <c r="AN623" s="0" t="n">
        <v>358</v>
      </c>
      <c r="AO623" s="0" t="s">
        <v>110</v>
      </c>
      <c r="AP623" s="0" t="n">
        <v>344</v>
      </c>
      <c r="AQ623" s="0" t="n">
        <v>356</v>
      </c>
      <c r="AR623" s="0" t="s">
        <v>119</v>
      </c>
      <c r="AS623" s="0" t="n">
        <v>60</v>
      </c>
      <c r="AT623" s="0" t="n">
        <v>60</v>
      </c>
      <c r="AU623" s="0" t="s">
        <v>110</v>
      </c>
      <c r="AV623" s="0" t="n">
        <v>358</v>
      </c>
      <c r="AW623" s="0" t="n">
        <v>358</v>
      </c>
      <c r="AX623" s="0" t="s">
        <v>110</v>
      </c>
      <c r="AY623" s="0" t="n">
        <v>344</v>
      </c>
      <c r="AZ623" s="0" t="n">
        <v>356</v>
      </c>
      <c r="BA623" s="0" t="s">
        <v>119</v>
      </c>
      <c r="BB623" s="0" t="n">
        <v>60</v>
      </c>
      <c r="BC623" s="0" t="n">
        <v>60</v>
      </c>
      <c r="BD623" s="0" t="s">
        <v>110</v>
      </c>
      <c r="BE623" s="2" t="n">
        <v>43748</v>
      </c>
    </row>
    <row r="624" customFormat="false" ht="14.25" hidden="false" customHeight="false" outlineLevel="0" collapsed="false">
      <c r="A624" s="0" t="n">
        <v>623</v>
      </c>
      <c r="B624" s="1" t="s">
        <v>1315</v>
      </c>
      <c r="C624" s="0" t="n">
        <v>470</v>
      </c>
      <c r="D624" s="0" t="n">
        <v>484</v>
      </c>
      <c r="E624" s="0" t="s">
        <v>492</v>
      </c>
      <c r="F624" s="0" t="n">
        <v>457</v>
      </c>
      <c r="G624" s="0" t="n">
        <v>475</v>
      </c>
      <c r="H624" s="0" t="s">
        <v>200</v>
      </c>
      <c r="L624" s="0" t="n">
        <v>42</v>
      </c>
      <c r="M624" s="0" t="n">
        <v>42</v>
      </c>
      <c r="N624" s="0" t="s">
        <v>110</v>
      </c>
      <c r="AD624" s="0" t="n">
        <v>661</v>
      </c>
      <c r="AE624" s="0" t="n">
        <v>664</v>
      </c>
      <c r="AF624" s="0" t="s">
        <v>516</v>
      </c>
      <c r="AM624" s="0" t="n">
        <v>360</v>
      </c>
      <c r="AN624" s="0" t="n">
        <v>360</v>
      </c>
      <c r="AO624" s="0" t="s">
        <v>110</v>
      </c>
      <c r="AP624" s="0" t="n">
        <v>351</v>
      </c>
      <c r="AQ624" s="0" t="n">
        <v>355</v>
      </c>
      <c r="AR624" s="0" t="s">
        <v>143</v>
      </c>
      <c r="AS624" s="0" t="n">
        <v>90</v>
      </c>
      <c r="AT624" s="0" t="n">
        <v>107</v>
      </c>
      <c r="AU624" s="0" t="s">
        <v>347</v>
      </c>
      <c r="AV624" s="0" t="n">
        <v>360</v>
      </c>
      <c r="AW624" s="0" t="n">
        <v>360</v>
      </c>
      <c r="AX624" s="0" t="s">
        <v>110</v>
      </c>
      <c r="AY624" s="0" t="n">
        <v>351</v>
      </c>
      <c r="AZ624" s="0" t="n">
        <v>355</v>
      </c>
      <c r="BA624" s="0" t="s">
        <v>143</v>
      </c>
      <c r="BB624" s="0" t="n">
        <v>90</v>
      </c>
      <c r="BC624" s="0" t="n">
        <v>107</v>
      </c>
      <c r="BD624" s="0" t="s">
        <v>347</v>
      </c>
      <c r="BE624" s="2" t="n">
        <v>43749</v>
      </c>
    </row>
    <row r="625" customFormat="false" ht="14.25" hidden="false" customHeight="false" outlineLevel="0" collapsed="false">
      <c r="A625" s="0" t="n">
        <v>624</v>
      </c>
      <c r="B625" s="1" t="s">
        <v>1316</v>
      </c>
      <c r="I625" s="0" t="n">
        <v>390</v>
      </c>
      <c r="J625" s="0" t="n">
        <v>422</v>
      </c>
      <c r="K625" s="0" t="s">
        <v>447</v>
      </c>
      <c r="BE625" s="2" t="n">
        <v>43751</v>
      </c>
    </row>
    <row r="626" customFormat="false" ht="14.25" hidden="false" customHeight="false" outlineLevel="0" collapsed="false">
      <c r="A626" s="0" t="n">
        <v>625</v>
      </c>
      <c r="B626" s="1" t="s">
        <v>1317</v>
      </c>
      <c r="C626" s="0" t="n">
        <v>463</v>
      </c>
      <c r="D626" s="0" t="n">
        <v>484</v>
      </c>
      <c r="E626" s="0" t="s">
        <v>144</v>
      </c>
      <c r="F626" s="0" t="n">
        <v>455</v>
      </c>
      <c r="G626" s="0" t="n">
        <v>475</v>
      </c>
      <c r="H626" s="0" t="s">
        <v>136</v>
      </c>
      <c r="I626" s="0" t="n">
        <v>360</v>
      </c>
      <c r="J626" s="0" t="n">
        <v>368</v>
      </c>
      <c r="K626" s="0" t="s">
        <v>652</v>
      </c>
      <c r="L626" s="0" t="n">
        <v>42</v>
      </c>
      <c r="M626" s="0" t="n">
        <v>42</v>
      </c>
      <c r="N626" s="0" t="s">
        <v>110</v>
      </c>
      <c r="AD626" s="0" t="n">
        <v>648</v>
      </c>
      <c r="AE626" s="0" t="n">
        <v>665</v>
      </c>
      <c r="AF626" s="0" t="s">
        <v>139</v>
      </c>
      <c r="AM626" s="0" t="n">
        <v>354</v>
      </c>
      <c r="AN626" s="0" t="n">
        <v>356</v>
      </c>
      <c r="AO626" s="0" t="s">
        <v>824</v>
      </c>
      <c r="AP626" s="0" t="n">
        <v>339</v>
      </c>
      <c r="AQ626" s="0" t="n">
        <v>366</v>
      </c>
      <c r="AR626" s="0" t="s">
        <v>437</v>
      </c>
      <c r="AS626" s="0" t="n">
        <v>95</v>
      </c>
      <c r="AT626" s="0" t="n">
        <v>99</v>
      </c>
      <c r="AU626" s="0" t="s">
        <v>438</v>
      </c>
      <c r="AV626" s="0" t="n">
        <v>354</v>
      </c>
      <c r="AW626" s="0" t="n">
        <v>356</v>
      </c>
      <c r="AX626" s="0" t="s">
        <v>824</v>
      </c>
      <c r="AY626" s="0" t="n">
        <v>339</v>
      </c>
      <c r="AZ626" s="0" t="n">
        <v>366</v>
      </c>
      <c r="BA626" s="0" t="s">
        <v>437</v>
      </c>
      <c r="BB626" s="0" t="n">
        <v>95</v>
      </c>
      <c r="BC626" s="0" t="n">
        <v>99</v>
      </c>
      <c r="BD626" s="0" t="s">
        <v>438</v>
      </c>
      <c r="BE626" s="2" t="n">
        <v>43752</v>
      </c>
    </row>
    <row r="627" customFormat="false" ht="14.25" hidden="false" customHeight="false" outlineLevel="0" collapsed="false">
      <c r="A627" s="0" t="n">
        <v>626</v>
      </c>
      <c r="B627" s="1" t="s">
        <v>1318</v>
      </c>
      <c r="C627" s="0" t="n">
        <v>470</v>
      </c>
      <c r="D627" s="0" t="n">
        <v>484</v>
      </c>
      <c r="E627" s="0" t="s">
        <v>492</v>
      </c>
      <c r="F627" s="0" t="n">
        <v>463</v>
      </c>
      <c r="G627" s="0" t="n">
        <v>475</v>
      </c>
      <c r="H627" s="0" t="s">
        <v>370</v>
      </c>
      <c r="I627" s="0" t="n">
        <v>357</v>
      </c>
      <c r="J627" s="0" t="n">
        <v>368</v>
      </c>
      <c r="K627" s="0" t="s">
        <v>756</v>
      </c>
      <c r="L627" s="0" t="n">
        <v>41</v>
      </c>
      <c r="M627" s="0" t="n">
        <v>41</v>
      </c>
      <c r="N627" s="0" t="s">
        <v>110</v>
      </c>
      <c r="AD627" s="0" t="n">
        <v>645</v>
      </c>
      <c r="AE627" s="0" t="n">
        <v>655</v>
      </c>
      <c r="AF627" s="0" t="s">
        <v>120</v>
      </c>
      <c r="AM627" s="0" t="n">
        <v>353</v>
      </c>
      <c r="AN627" s="0" t="n">
        <v>353</v>
      </c>
      <c r="AO627" s="0" t="s">
        <v>110</v>
      </c>
      <c r="AP627" s="0" t="n">
        <v>366</v>
      </c>
      <c r="AQ627" s="0" t="n">
        <v>366</v>
      </c>
      <c r="AR627" s="0" t="s">
        <v>110</v>
      </c>
      <c r="AS627" s="0" t="n">
        <v>83</v>
      </c>
      <c r="AT627" s="0" t="n">
        <v>82</v>
      </c>
      <c r="AU627" s="0" t="s">
        <v>621</v>
      </c>
      <c r="AV627" s="0" t="n">
        <v>353</v>
      </c>
      <c r="AW627" s="0" t="n">
        <v>353</v>
      </c>
      <c r="AX627" s="0" t="s">
        <v>110</v>
      </c>
      <c r="AY627" s="0" t="n">
        <v>366</v>
      </c>
      <c r="AZ627" s="0" t="n">
        <v>366</v>
      </c>
      <c r="BA627" s="0" t="s">
        <v>110</v>
      </c>
      <c r="BB627" s="0" t="n">
        <v>83</v>
      </c>
      <c r="BC627" s="0" t="n">
        <v>82</v>
      </c>
      <c r="BD627" s="0" t="s">
        <v>621</v>
      </c>
      <c r="BE627" s="2" t="n">
        <v>43753</v>
      </c>
    </row>
    <row r="628" customFormat="false" ht="14.25" hidden="false" customHeight="false" outlineLevel="0" collapsed="false">
      <c r="A628" s="0" t="n">
        <v>627</v>
      </c>
      <c r="B628" s="1" t="s">
        <v>1319</v>
      </c>
      <c r="C628" s="0" t="n">
        <v>464</v>
      </c>
      <c r="D628" s="0" t="n">
        <v>484</v>
      </c>
      <c r="E628" s="0" t="s">
        <v>777</v>
      </c>
      <c r="F628" s="0" t="n">
        <v>460</v>
      </c>
      <c r="G628" s="0" t="n">
        <v>475</v>
      </c>
      <c r="H628" s="0" t="s">
        <v>112</v>
      </c>
      <c r="I628" s="0" t="n">
        <v>359</v>
      </c>
      <c r="J628" s="0" t="n">
        <v>368</v>
      </c>
      <c r="K628" s="0" t="s">
        <v>497</v>
      </c>
      <c r="L628" s="0" t="n">
        <v>42</v>
      </c>
      <c r="M628" s="0" t="n">
        <v>42</v>
      </c>
      <c r="N628" s="0" t="s">
        <v>110</v>
      </c>
      <c r="AD628" s="0" t="n">
        <v>645</v>
      </c>
      <c r="AE628" s="0" t="n">
        <v>655</v>
      </c>
      <c r="AF628" s="0" t="s">
        <v>120</v>
      </c>
      <c r="AM628" s="0" t="n">
        <v>350</v>
      </c>
      <c r="AN628" s="0" t="n">
        <v>353</v>
      </c>
      <c r="AO628" s="0" t="s">
        <v>863</v>
      </c>
      <c r="AP628" s="0" t="n">
        <v>365</v>
      </c>
      <c r="AQ628" s="0" t="n">
        <v>365</v>
      </c>
      <c r="AR628" s="0" t="s">
        <v>110</v>
      </c>
      <c r="AS628" s="0" t="n">
        <v>100</v>
      </c>
      <c r="AT628" s="0" t="n">
        <v>101</v>
      </c>
      <c r="AU628" s="0" t="s">
        <v>870</v>
      </c>
      <c r="AV628" s="0" t="n">
        <v>350</v>
      </c>
      <c r="AW628" s="0" t="n">
        <v>353</v>
      </c>
      <c r="AX628" s="0" t="s">
        <v>863</v>
      </c>
      <c r="AY628" s="0" t="n">
        <v>365</v>
      </c>
      <c r="AZ628" s="0" t="n">
        <v>365</v>
      </c>
      <c r="BA628" s="0" t="s">
        <v>110</v>
      </c>
      <c r="BB628" s="0" t="n">
        <v>100</v>
      </c>
      <c r="BC628" s="0" t="n">
        <v>101</v>
      </c>
      <c r="BD628" s="0" t="s">
        <v>870</v>
      </c>
      <c r="BE628" s="2" t="n">
        <v>43754</v>
      </c>
    </row>
    <row r="629" customFormat="false" ht="14.25" hidden="false" customHeight="false" outlineLevel="0" collapsed="false">
      <c r="A629" s="0" t="n">
        <v>628</v>
      </c>
      <c r="B629" s="1" t="s">
        <v>1320</v>
      </c>
      <c r="C629" s="0" t="n">
        <v>470</v>
      </c>
      <c r="D629" s="0" t="n">
        <v>484</v>
      </c>
      <c r="E629" s="0" t="s">
        <v>492</v>
      </c>
      <c r="F629" s="0" t="n">
        <v>468</v>
      </c>
      <c r="G629" s="0" t="n">
        <v>475</v>
      </c>
      <c r="H629" s="0" t="s">
        <v>120</v>
      </c>
      <c r="I629" s="0" t="n">
        <v>361</v>
      </c>
      <c r="J629" s="0" t="n">
        <v>368</v>
      </c>
      <c r="K629" s="0" t="s">
        <v>457</v>
      </c>
      <c r="L629" s="0" t="n">
        <v>42</v>
      </c>
      <c r="M629" s="0" t="n">
        <v>42</v>
      </c>
      <c r="N629" s="0" t="s">
        <v>110</v>
      </c>
      <c r="AD629" s="0" t="n">
        <v>243</v>
      </c>
      <c r="AM629" s="0" t="n">
        <v>346</v>
      </c>
      <c r="AN629" s="0" t="n">
        <v>347</v>
      </c>
      <c r="AO629" s="0" t="s">
        <v>723</v>
      </c>
      <c r="AP629" s="0" t="n">
        <v>366</v>
      </c>
      <c r="AQ629" s="0" t="n">
        <v>366</v>
      </c>
      <c r="AR629" s="0" t="s">
        <v>110</v>
      </c>
      <c r="AS629" s="0" t="n">
        <v>90</v>
      </c>
      <c r="AT629" s="0" t="n">
        <v>90</v>
      </c>
      <c r="AU629" s="0" t="s">
        <v>110</v>
      </c>
      <c r="AV629" s="0" t="n">
        <v>346</v>
      </c>
      <c r="AW629" s="0" t="n">
        <v>347</v>
      </c>
      <c r="AX629" s="0" t="s">
        <v>723</v>
      </c>
      <c r="AY629" s="0" t="n">
        <v>366</v>
      </c>
      <c r="AZ629" s="0" t="n">
        <v>366</v>
      </c>
      <c r="BA629" s="0" t="s">
        <v>110</v>
      </c>
      <c r="BB629" s="0" t="n">
        <v>90</v>
      </c>
      <c r="BC629" s="0" t="n">
        <v>90</v>
      </c>
      <c r="BD629" s="0" t="s">
        <v>110</v>
      </c>
      <c r="BE629" s="2" t="n">
        <v>43755</v>
      </c>
    </row>
    <row r="630" customFormat="false" ht="14.25" hidden="false" customHeight="false" outlineLevel="0" collapsed="false">
      <c r="A630" s="0" t="n">
        <v>629</v>
      </c>
      <c r="B630" s="1" t="s">
        <v>1321</v>
      </c>
      <c r="C630" s="0" t="n">
        <v>470</v>
      </c>
      <c r="D630" s="0" t="n">
        <v>484</v>
      </c>
      <c r="E630" s="0" t="s">
        <v>492</v>
      </c>
      <c r="F630" s="0" t="n">
        <v>463</v>
      </c>
      <c r="G630" s="0" t="n">
        <v>475</v>
      </c>
      <c r="H630" s="0" t="s">
        <v>370</v>
      </c>
      <c r="I630" s="0" t="n">
        <v>418</v>
      </c>
      <c r="J630" s="0" t="n">
        <v>420</v>
      </c>
      <c r="K630" s="0" t="s">
        <v>516</v>
      </c>
      <c r="L630" s="0" t="n">
        <v>42</v>
      </c>
      <c r="M630" s="0" t="n">
        <v>100</v>
      </c>
      <c r="N630" s="0" t="s">
        <v>289</v>
      </c>
      <c r="AD630" s="0" t="n">
        <v>430</v>
      </c>
      <c r="AE630" s="0" t="n">
        <v>430</v>
      </c>
      <c r="AF630" s="0" t="s">
        <v>110</v>
      </c>
      <c r="AM630" s="0" t="n">
        <v>352</v>
      </c>
      <c r="AN630" s="0" t="n">
        <v>353</v>
      </c>
      <c r="AO630" s="0" t="s">
        <v>723</v>
      </c>
      <c r="AP630" s="0" t="n">
        <v>366</v>
      </c>
      <c r="AQ630" s="0" t="n">
        <v>366</v>
      </c>
      <c r="AR630" s="0" t="s">
        <v>110</v>
      </c>
      <c r="AS630" s="0" t="n">
        <v>85</v>
      </c>
      <c r="AT630" s="0" t="n">
        <v>84</v>
      </c>
      <c r="AU630" s="0" t="s">
        <v>621</v>
      </c>
      <c r="AV630" s="0" t="n">
        <v>352</v>
      </c>
      <c r="AW630" s="0" t="n">
        <v>353</v>
      </c>
      <c r="AX630" s="0" t="s">
        <v>723</v>
      </c>
      <c r="AY630" s="0" t="n">
        <v>366</v>
      </c>
      <c r="AZ630" s="0" t="n">
        <v>366</v>
      </c>
      <c r="BA630" s="0" t="s">
        <v>110</v>
      </c>
      <c r="BB630" s="0" t="n">
        <v>85</v>
      </c>
      <c r="BC630" s="0" t="n">
        <v>84</v>
      </c>
      <c r="BD630" s="0" t="s">
        <v>621</v>
      </c>
      <c r="BE630" s="2" t="n">
        <v>43756</v>
      </c>
    </row>
    <row r="631" customFormat="false" ht="14.25" hidden="false" customHeight="false" outlineLevel="0" collapsed="false">
      <c r="A631" s="0" t="n">
        <v>630</v>
      </c>
      <c r="B631" s="1" t="s">
        <v>1322</v>
      </c>
      <c r="C631" s="0" t="n">
        <v>466</v>
      </c>
      <c r="D631" s="0" t="n">
        <v>484</v>
      </c>
      <c r="E631" s="0" t="s">
        <v>182</v>
      </c>
      <c r="F631" s="0" t="n">
        <v>463</v>
      </c>
      <c r="G631" s="0" t="n">
        <v>475</v>
      </c>
      <c r="H631" s="0" t="s">
        <v>370</v>
      </c>
      <c r="I631" s="0" t="n">
        <v>363</v>
      </c>
      <c r="J631" s="0" t="n">
        <v>368</v>
      </c>
      <c r="K631" s="0" t="s">
        <v>790</v>
      </c>
      <c r="AD631" s="0" t="n">
        <v>580</v>
      </c>
      <c r="AE631" s="0" t="n">
        <v>593</v>
      </c>
      <c r="AF631" s="0" t="s">
        <v>652</v>
      </c>
      <c r="AM631" s="0" t="n">
        <v>355</v>
      </c>
      <c r="AN631" s="0" t="n">
        <v>356</v>
      </c>
      <c r="AO631" s="0" t="s">
        <v>723</v>
      </c>
      <c r="AP631" s="0" t="n">
        <v>366</v>
      </c>
      <c r="AQ631" s="0" t="n">
        <v>366</v>
      </c>
      <c r="AR631" s="0" t="s">
        <v>110</v>
      </c>
      <c r="AV631" s="0" t="n">
        <v>355</v>
      </c>
      <c r="AW631" s="0" t="n">
        <v>356</v>
      </c>
      <c r="AX631" s="0" t="s">
        <v>723</v>
      </c>
      <c r="AY631" s="0" t="n">
        <v>366</v>
      </c>
      <c r="AZ631" s="0" t="n">
        <v>366</v>
      </c>
      <c r="BA631" s="0" t="s">
        <v>110</v>
      </c>
      <c r="BE631" s="2" t="n">
        <v>43759</v>
      </c>
    </row>
    <row r="632" customFormat="false" ht="14.25" hidden="false" customHeight="false" outlineLevel="0" collapsed="false">
      <c r="A632" s="0" t="n">
        <v>631</v>
      </c>
      <c r="B632" s="1" t="s">
        <v>1323</v>
      </c>
      <c r="C632" s="0" t="n">
        <v>471</v>
      </c>
      <c r="D632" s="0" t="n">
        <v>484</v>
      </c>
      <c r="E632" s="0" t="s">
        <v>149</v>
      </c>
      <c r="F632" s="0" t="n">
        <v>468</v>
      </c>
      <c r="G632" s="0" t="n">
        <v>475</v>
      </c>
      <c r="H632" s="0" t="s">
        <v>120</v>
      </c>
      <c r="I632" s="0" t="n">
        <v>337</v>
      </c>
      <c r="J632" s="0" t="n">
        <v>368</v>
      </c>
      <c r="K632" s="0" t="s">
        <v>292</v>
      </c>
      <c r="AD632" s="0" t="n">
        <v>688</v>
      </c>
      <c r="AE632" s="0" t="n">
        <v>655</v>
      </c>
      <c r="AF632" s="0" t="s">
        <v>1036</v>
      </c>
      <c r="AM632" s="0" t="n">
        <v>352</v>
      </c>
      <c r="AN632" s="0" t="n">
        <v>353</v>
      </c>
      <c r="AO632" s="0" t="s">
        <v>723</v>
      </c>
      <c r="AP632" s="0" t="n">
        <v>367</v>
      </c>
      <c r="AQ632" s="0" t="n">
        <v>366</v>
      </c>
      <c r="AR632" s="0" t="s">
        <v>778</v>
      </c>
      <c r="AS632" s="0" t="n">
        <v>92</v>
      </c>
      <c r="AT632" s="0" t="n">
        <v>91</v>
      </c>
      <c r="AU632" s="0" t="s">
        <v>829</v>
      </c>
      <c r="AV632" s="0" t="n">
        <v>352</v>
      </c>
      <c r="AW632" s="0" t="n">
        <v>353</v>
      </c>
      <c r="AX632" s="0" t="s">
        <v>723</v>
      </c>
      <c r="AY632" s="0" t="n">
        <v>367</v>
      </c>
      <c r="AZ632" s="0" t="n">
        <v>366</v>
      </c>
      <c r="BA632" s="0" t="s">
        <v>778</v>
      </c>
      <c r="BB632" s="0" t="n">
        <v>92</v>
      </c>
      <c r="BC632" s="0" t="n">
        <v>91</v>
      </c>
      <c r="BD632" s="0" t="s">
        <v>829</v>
      </c>
      <c r="BE632" s="2" t="n">
        <v>43760</v>
      </c>
    </row>
    <row r="633" customFormat="false" ht="14.25" hidden="false" customHeight="false" outlineLevel="0" collapsed="false">
      <c r="A633" s="0" t="n">
        <v>632</v>
      </c>
      <c r="B633" s="1" t="s">
        <v>1324</v>
      </c>
      <c r="C633" s="0" t="n">
        <v>468</v>
      </c>
      <c r="D633" s="0" t="n">
        <v>484</v>
      </c>
      <c r="E633" s="0" t="s">
        <v>538</v>
      </c>
      <c r="F633" s="0" t="n">
        <v>469</v>
      </c>
      <c r="G633" s="0" t="n">
        <v>475</v>
      </c>
      <c r="H633" s="0" t="s">
        <v>789</v>
      </c>
      <c r="I633" s="0" t="n">
        <v>363</v>
      </c>
      <c r="J633" s="0" t="n">
        <v>368</v>
      </c>
      <c r="K633" s="0" t="s">
        <v>790</v>
      </c>
      <c r="AD633" s="0" t="n">
        <v>653</v>
      </c>
      <c r="AE633" s="0" t="n">
        <v>655</v>
      </c>
      <c r="AF633" s="0" t="s">
        <v>723</v>
      </c>
      <c r="AM633" s="0" t="n">
        <v>353</v>
      </c>
      <c r="AN633" s="0" t="n">
        <v>353</v>
      </c>
      <c r="AO633" s="0" t="s">
        <v>110</v>
      </c>
      <c r="AP633" s="0" t="n">
        <v>366</v>
      </c>
      <c r="AQ633" s="0" t="n">
        <v>365</v>
      </c>
      <c r="AR633" s="0" t="s">
        <v>778</v>
      </c>
      <c r="AS633" s="0" t="n">
        <v>83</v>
      </c>
      <c r="AT633" s="0" t="n">
        <v>83</v>
      </c>
      <c r="AU633" s="0" t="s">
        <v>110</v>
      </c>
      <c r="AV633" s="0" t="n">
        <v>353</v>
      </c>
      <c r="AW633" s="0" t="n">
        <v>353</v>
      </c>
      <c r="AX633" s="0" t="s">
        <v>110</v>
      </c>
      <c r="AY633" s="0" t="n">
        <v>366</v>
      </c>
      <c r="AZ633" s="0" t="n">
        <v>365</v>
      </c>
      <c r="BA633" s="0" t="s">
        <v>778</v>
      </c>
      <c r="BB633" s="0" t="n">
        <v>83</v>
      </c>
      <c r="BC633" s="0" t="n">
        <v>83</v>
      </c>
      <c r="BD633" s="0" t="s">
        <v>110</v>
      </c>
      <c r="BE633" s="2" t="n">
        <v>43761</v>
      </c>
    </row>
    <row r="634" customFormat="false" ht="14.25" hidden="false" customHeight="false" outlineLevel="0" collapsed="false">
      <c r="A634" s="0" t="n">
        <v>633</v>
      </c>
      <c r="B634" s="1" t="s">
        <v>1325</v>
      </c>
      <c r="C634" s="0" t="n">
        <v>472</v>
      </c>
      <c r="D634" s="0" t="n">
        <v>484</v>
      </c>
      <c r="E634" s="0" t="s">
        <v>370</v>
      </c>
      <c r="F634" s="0" t="n">
        <v>469</v>
      </c>
      <c r="G634" s="0" t="n">
        <v>475</v>
      </c>
      <c r="H634" s="0" t="s">
        <v>789</v>
      </c>
      <c r="I634" s="0" t="n">
        <v>328</v>
      </c>
      <c r="J634" s="0" t="n">
        <v>376</v>
      </c>
      <c r="K634" s="0" t="s">
        <v>409</v>
      </c>
      <c r="AD634" s="0" t="n">
        <v>655</v>
      </c>
      <c r="AE634" s="0" t="n">
        <v>655</v>
      </c>
      <c r="AF634" s="0" t="s">
        <v>110</v>
      </c>
      <c r="AM634" s="0" t="n">
        <v>359</v>
      </c>
      <c r="AN634" s="0" t="n">
        <v>362</v>
      </c>
      <c r="AO634" s="0" t="s">
        <v>863</v>
      </c>
      <c r="AP634" s="0" t="n">
        <v>366</v>
      </c>
      <c r="AQ634" s="0" t="n">
        <v>366</v>
      </c>
      <c r="AR634" s="0" t="s">
        <v>110</v>
      </c>
      <c r="AS634" s="0" t="n">
        <v>80</v>
      </c>
      <c r="AT634" s="0" t="n">
        <v>80</v>
      </c>
      <c r="AU634" s="0" t="s">
        <v>110</v>
      </c>
      <c r="AV634" s="0" t="n">
        <v>359</v>
      </c>
      <c r="AW634" s="0" t="n">
        <v>362</v>
      </c>
      <c r="AX634" s="0" t="s">
        <v>863</v>
      </c>
      <c r="AY634" s="0" t="n">
        <v>366</v>
      </c>
      <c r="AZ634" s="0" t="n">
        <v>366</v>
      </c>
      <c r="BA634" s="0" t="s">
        <v>110</v>
      </c>
      <c r="BB634" s="0" t="n">
        <v>80</v>
      </c>
      <c r="BC634" s="0" t="n">
        <v>80</v>
      </c>
      <c r="BD634" s="0" t="s">
        <v>110</v>
      </c>
      <c r="BE634" s="2" t="n">
        <v>43762</v>
      </c>
    </row>
    <row r="635" customFormat="false" ht="14.25" hidden="false" customHeight="false" outlineLevel="0" collapsed="false">
      <c r="A635" s="0" t="n">
        <v>634</v>
      </c>
      <c r="B635" s="1" t="s">
        <v>1326</v>
      </c>
      <c r="C635" s="0" t="n">
        <v>484</v>
      </c>
      <c r="D635" s="0" t="n">
        <v>503</v>
      </c>
      <c r="E635" s="0" t="s">
        <v>200</v>
      </c>
      <c r="F635" s="0" t="n">
        <v>475</v>
      </c>
      <c r="G635" s="0" t="n">
        <v>482</v>
      </c>
      <c r="H635" s="0" t="s">
        <v>120</v>
      </c>
      <c r="I635" s="0" t="n">
        <v>420</v>
      </c>
      <c r="J635" s="0" t="n">
        <v>420</v>
      </c>
      <c r="K635" s="0" t="s">
        <v>110</v>
      </c>
      <c r="AD635" s="0" t="n">
        <v>631</v>
      </c>
      <c r="AE635" s="0" t="n">
        <v>639</v>
      </c>
      <c r="AF635" s="0" t="s">
        <v>789</v>
      </c>
      <c r="AM635" s="0" t="n">
        <v>343</v>
      </c>
      <c r="AN635" s="0" t="n">
        <v>343</v>
      </c>
      <c r="AO635" s="0" t="s">
        <v>110</v>
      </c>
      <c r="AP635" s="0" t="n">
        <v>363</v>
      </c>
      <c r="AQ635" s="0" t="n">
        <v>367</v>
      </c>
      <c r="AR635" s="0" t="s">
        <v>143</v>
      </c>
      <c r="AS635" s="0" t="n">
        <v>93</v>
      </c>
      <c r="AT635" s="0" t="n">
        <v>93</v>
      </c>
      <c r="AU635" s="0" t="s">
        <v>110</v>
      </c>
      <c r="AV635" s="0" t="n">
        <v>343</v>
      </c>
      <c r="AW635" s="0" t="n">
        <v>343</v>
      </c>
      <c r="AX635" s="0" t="s">
        <v>110</v>
      </c>
      <c r="AY635" s="0" t="n">
        <v>363</v>
      </c>
      <c r="AZ635" s="0" t="n">
        <v>367</v>
      </c>
      <c r="BA635" s="0" t="s">
        <v>143</v>
      </c>
      <c r="BB635" s="0" t="n">
        <v>93</v>
      </c>
      <c r="BC635" s="0" t="n">
        <v>93</v>
      </c>
      <c r="BD635" s="0" t="s">
        <v>110</v>
      </c>
      <c r="BE635" s="2" t="n">
        <v>43763</v>
      </c>
    </row>
    <row r="636" customFormat="false" ht="14.25" hidden="false" customHeight="false" outlineLevel="0" collapsed="false">
      <c r="A636" s="0" t="n">
        <v>635</v>
      </c>
      <c r="B636" s="1" t="s">
        <v>1327</v>
      </c>
      <c r="I636" s="0" t="n">
        <v>412</v>
      </c>
      <c r="J636" s="0" t="n">
        <v>422</v>
      </c>
      <c r="K636" s="0" t="s">
        <v>497</v>
      </c>
      <c r="BE636" s="2" t="n">
        <v>43765</v>
      </c>
    </row>
    <row r="637" customFormat="false" ht="14.25" hidden="false" customHeight="false" outlineLevel="0" collapsed="false">
      <c r="A637" s="0" t="n">
        <v>636</v>
      </c>
      <c r="B637" s="1" t="s">
        <v>1328</v>
      </c>
      <c r="C637" s="0" t="n">
        <v>465</v>
      </c>
      <c r="D637" s="0" t="n">
        <v>484</v>
      </c>
      <c r="E637" s="0" t="s">
        <v>594</v>
      </c>
      <c r="F637" s="0" t="n">
        <v>467</v>
      </c>
      <c r="G637" s="0" t="n">
        <v>475</v>
      </c>
      <c r="H637" s="0" t="s">
        <v>179</v>
      </c>
      <c r="I637" s="0" t="n">
        <v>322</v>
      </c>
      <c r="J637" s="0" t="n">
        <v>363</v>
      </c>
      <c r="K637" s="0" t="s">
        <v>198</v>
      </c>
      <c r="AD637" s="0" t="n">
        <v>642</v>
      </c>
      <c r="AE637" s="0" t="n">
        <v>655</v>
      </c>
      <c r="AF637" s="0" t="s">
        <v>131</v>
      </c>
      <c r="AM637" s="0" t="n">
        <v>326</v>
      </c>
      <c r="AN637" s="0" t="n">
        <v>349</v>
      </c>
      <c r="AO637" s="0" t="s">
        <v>659</v>
      </c>
      <c r="AP637" s="0" t="n">
        <v>363</v>
      </c>
      <c r="AQ637" s="0" t="n">
        <v>363</v>
      </c>
      <c r="AR637" s="0" t="s">
        <v>110</v>
      </c>
      <c r="AS637" s="0" t="n">
        <v>98</v>
      </c>
      <c r="AT637" s="0" t="n">
        <v>101</v>
      </c>
      <c r="AU637" s="0" t="s">
        <v>756</v>
      </c>
      <c r="AV637" s="0" t="n">
        <v>326</v>
      </c>
      <c r="AW637" s="0" t="n">
        <v>349</v>
      </c>
      <c r="AX637" s="0" t="s">
        <v>659</v>
      </c>
      <c r="AY637" s="0" t="n">
        <v>363</v>
      </c>
      <c r="AZ637" s="0" t="n">
        <v>363</v>
      </c>
      <c r="BA637" s="0" t="s">
        <v>110</v>
      </c>
      <c r="BB637" s="0" t="n">
        <v>98</v>
      </c>
      <c r="BC637" s="0" t="n">
        <v>101</v>
      </c>
      <c r="BD637" s="0" t="s">
        <v>756</v>
      </c>
      <c r="BE637" s="2" t="n">
        <v>43766</v>
      </c>
    </row>
    <row r="638" customFormat="false" ht="14.25" hidden="false" customHeight="false" outlineLevel="0" collapsed="false">
      <c r="A638" s="0" t="n">
        <v>637</v>
      </c>
      <c r="B638" s="1" t="s">
        <v>1329</v>
      </c>
      <c r="C638" s="0" t="n">
        <v>448</v>
      </c>
      <c r="D638" s="0" t="n">
        <v>479</v>
      </c>
      <c r="E638" s="0" t="s">
        <v>713</v>
      </c>
      <c r="F638" s="0" t="n">
        <v>460</v>
      </c>
      <c r="G638" s="0" t="n">
        <v>470</v>
      </c>
      <c r="H638" s="0" t="s">
        <v>551</v>
      </c>
      <c r="I638" s="0" t="n">
        <v>357</v>
      </c>
      <c r="J638" s="0" t="n">
        <v>368</v>
      </c>
      <c r="K638" s="0" t="s">
        <v>756</v>
      </c>
      <c r="AD638" s="0" t="n">
        <v>579</v>
      </c>
      <c r="AE638" s="0" t="n">
        <v>613</v>
      </c>
      <c r="AF638" s="0" t="s">
        <v>581</v>
      </c>
      <c r="AM638" s="0" t="n">
        <v>328</v>
      </c>
      <c r="AN638" s="0" t="n">
        <v>330</v>
      </c>
      <c r="AO638" s="0" t="s">
        <v>824</v>
      </c>
      <c r="AP638" s="0" t="n">
        <v>324</v>
      </c>
      <c r="AQ638" s="0" t="n">
        <v>339</v>
      </c>
      <c r="AR638" s="0" t="s">
        <v>544</v>
      </c>
      <c r="AS638" s="0" t="n">
        <v>83</v>
      </c>
      <c r="AT638" s="0" t="n">
        <v>85</v>
      </c>
      <c r="AU638" s="0" t="s">
        <v>497</v>
      </c>
      <c r="AV638" s="0" t="n">
        <v>328</v>
      </c>
      <c r="AW638" s="0" t="n">
        <v>330</v>
      </c>
      <c r="AX638" s="0" t="s">
        <v>824</v>
      </c>
      <c r="AY638" s="0" t="n">
        <v>324</v>
      </c>
      <c r="AZ638" s="0" t="n">
        <v>339</v>
      </c>
      <c r="BA638" s="0" t="s">
        <v>544</v>
      </c>
      <c r="BB638" s="0" t="n">
        <v>83</v>
      </c>
      <c r="BC638" s="0" t="n">
        <v>85</v>
      </c>
      <c r="BD638" s="0" t="s">
        <v>497</v>
      </c>
      <c r="BE638" s="2" t="n">
        <v>43767</v>
      </c>
    </row>
    <row r="639" customFormat="false" ht="14.25" hidden="false" customHeight="false" outlineLevel="0" collapsed="false">
      <c r="A639" s="0" t="n">
        <v>638</v>
      </c>
      <c r="B639" s="1" t="s">
        <v>1330</v>
      </c>
      <c r="C639" s="0" t="n">
        <v>475</v>
      </c>
      <c r="D639" s="0" t="n">
        <v>484</v>
      </c>
      <c r="E639" s="0" t="s">
        <v>457</v>
      </c>
      <c r="F639" s="0" t="n">
        <v>465</v>
      </c>
      <c r="G639" s="0" t="n">
        <v>475</v>
      </c>
      <c r="H639" s="0" t="s">
        <v>551</v>
      </c>
      <c r="I639" s="0" t="n">
        <v>358</v>
      </c>
      <c r="J639" s="0" t="n">
        <v>368</v>
      </c>
      <c r="K639" s="0" t="s">
        <v>149</v>
      </c>
      <c r="AD639" s="0" t="n">
        <v>648</v>
      </c>
      <c r="AE639" s="0" t="n">
        <v>655</v>
      </c>
      <c r="AF639" s="0" t="s">
        <v>143</v>
      </c>
      <c r="AM639" s="0" t="n">
        <v>326</v>
      </c>
      <c r="AN639" s="0" t="n">
        <v>354</v>
      </c>
      <c r="AO639" s="0" t="s">
        <v>598</v>
      </c>
      <c r="AP639" s="0" t="n">
        <v>339</v>
      </c>
      <c r="AQ639" s="0" t="n">
        <v>361</v>
      </c>
      <c r="AR639" s="0" t="s">
        <v>604</v>
      </c>
      <c r="AS639" s="0" t="n">
        <v>85</v>
      </c>
      <c r="AT639" s="0" t="n">
        <v>91</v>
      </c>
      <c r="AU639" s="0" t="s">
        <v>659</v>
      </c>
      <c r="AV639" s="0" t="n">
        <v>326</v>
      </c>
      <c r="AW639" s="0" t="n">
        <v>354</v>
      </c>
      <c r="AX639" s="0" t="s">
        <v>598</v>
      </c>
      <c r="AY639" s="0" t="n">
        <v>339</v>
      </c>
      <c r="AZ639" s="0" t="n">
        <v>361</v>
      </c>
      <c r="BA639" s="0" t="s">
        <v>604</v>
      </c>
      <c r="BB639" s="0" t="n">
        <v>85</v>
      </c>
      <c r="BC639" s="0" t="n">
        <v>91</v>
      </c>
      <c r="BD639" s="0" t="s">
        <v>659</v>
      </c>
      <c r="BE639" s="2" t="n">
        <v>43768</v>
      </c>
    </row>
    <row r="640" customFormat="false" ht="14.25" hidden="false" customHeight="false" outlineLevel="0" collapsed="false">
      <c r="A640" s="0" t="n">
        <v>639</v>
      </c>
      <c r="B640" s="1" t="s">
        <v>1331</v>
      </c>
      <c r="C640" s="0" t="n">
        <v>453</v>
      </c>
      <c r="D640" s="0" t="n">
        <v>484</v>
      </c>
      <c r="E640" s="0" t="s">
        <v>434</v>
      </c>
      <c r="F640" s="0" t="n">
        <v>456</v>
      </c>
      <c r="G640" s="0" t="n">
        <v>474</v>
      </c>
      <c r="H640" s="0" t="s">
        <v>200</v>
      </c>
      <c r="I640" s="0" t="n">
        <v>363</v>
      </c>
      <c r="J640" s="0" t="n">
        <v>368</v>
      </c>
      <c r="K640" s="0" t="s">
        <v>790</v>
      </c>
      <c r="L640" s="0" t="n">
        <v>34</v>
      </c>
      <c r="M640" s="0" t="n">
        <v>42</v>
      </c>
      <c r="N640" s="0" t="s">
        <v>320</v>
      </c>
      <c r="AD640" s="0" t="n">
        <v>642</v>
      </c>
      <c r="AE640" s="0" t="n">
        <v>655</v>
      </c>
      <c r="AF640" s="0" t="s">
        <v>131</v>
      </c>
      <c r="AM640" s="0" t="n">
        <v>372</v>
      </c>
      <c r="AN640" s="0" t="n">
        <v>372</v>
      </c>
      <c r="AO640" s="0" t="s">
        <v>110</v>
      </c>
      <c r="AP640" s="0" t="n">
        <v>353</v>
      </c>
      <c r="AQ640" s="0" t="n">
        <v>352</v>
      </c>
      <c r="AR640" s="0" t="s">
        <v>778</v>
      </c>
      <c r="AS640" s="0" t="n">
        <v>93</v>
      </c>
      <c r="AT640" s="0" t="n">
        <v>94</v>
      </c>
      <c r="AU640" s="0" t="s">
        <v>143</v>
      </c>
      <c r="AV640" s="0" t="n">
        <v>372</v>
      </c>
      <c r="AW640" s="0" t="n">
        <v>372</v>
      </c>
      <c r="AX640" s="0" t="s">
        <v>110</v>
      </c>
      <c r="AY640" s="0" t="n">
        <v>353</v>
      </c>
      <c r="AZ640" s="0" t="n">
        <v>352</v>
      </c>
      <c r="BA640" s="0" t="s">
        <v>778</v>
      </c>
      <c r="BB640" s="0" t="n">
        <v>93</v>
      </c>
      <c r="BC640" s="0" t="n">
        <v>94</v>
      </c>
      <c r="BD640" s="0" t="s">
        <v>143</v>
      </c>
      <c r="BE640" s="2" t="n">
        <v>43769</v>
      </c>
    </row>
    <row r="641" customFormat="false" ht="14.25" hidden="false" customHeight="false" outlineLevel="0" collapsed="false">
      <c r="A641" s="0" t="n">
        <v>640</v>
      </c>
      <c r="B641" s="1" t="s">
        <v>1332</v>
      </c>
      <c r="C641" s="0" t="n">
        <v>473</v>
      </c>
      <c r="D641" s="0" t="n">
        <v>484</v>
      </c>
      <c r="E641" s="0" t="s">
        <v>138</v>
      </c>
      <c r="F641" s="0" t="n">
        <v>461</v>
      </c>
      <c r="G641" s="0" t="n">
        <v>475</v>
      </c>
      <c r="H641" s="0" t="s">
        <v>492</v>
      </c>
      <c r="L641" s="0" t="n">
        <v>40</v>
      </c>
      <c r="M641" s="0" t="n">
        <v>42</v>
      </c>
      <c r="N641" s="0" t="s">
        <v>634</v>
      </c>
      <c r="AD641" s="0" t="n">
        <v>561</v>
      </c>
      <c r="AE641" s="0" t="n">
        <v>599</v>
      </c>
      <c r="AF641" s="0" t="s">
        <v>467</v>
      </c>
      <c r="AM641" s="0" t="n">
        <v>347</v>
      </c>
      <c r="AN641" s="0" t="n">
        <v>359</v>
      </c>
      <c r="AO641" s="0" t="s">
        <v>538</v>
      </c>
      <c r="AP641" s="0" t="n">
        <v>361</v>
      </c>
      <c r="AQ641" s="0" t="n">
        <v>366</v>
      </c>
      <c r="AR641" s="0" t="s">
        <v>790</v>
      </c>
      <c r="AV641" s="0" t="n">
        <v>347</v>
      </c>
      <c r="AW641" s="0" t="n">
        <v>359</v>
      </c>
      <c r="AX641" s="0" t="s">
        <v>538</v>
      </c>
      <c r="AY641" s="0" t="n">
        <v>361</v>
      </c>
      <c r="AZ641" s="0" t="n">
        <v>366</v>
      </c>
      <c r="BA641" s="0" t="s">
        <v>790</v>
      </c>
      <c r="BE641" s="2" t="n">
        <v>43770</v>
      </c>
    </row>
    <row r="642" customFormat="false" ht="14.25" hidden="false" customHeight="false" outlineLevel="0" collapsed="false">
      <c r="A642" s="0" t="n">
        <v>641</v>
      </c>
      <c r="B642" s="1" t="s">
        <v>1333</v>
      </c>
      <c r="C642" s="0" t="n">
        <v>445</v>
      </c>
      <c r="D642" s="0" t="n">
        <v>484</v>
      </c>
      <c r="E642" s="0" t="s">
        <v>398</v>
      </c>
      <c r="F642" s="0" t="n">
        <v>454</v>
      </c>
      <c r="G642" s="0" t="n">
        <v>475</v>
      </c>
      <c r="H642" s="0" t="s">
        <v>544</v>
      </c>
      <c r="I642" s="0" t="n">
        <v>347</v>
      </c>
      <c r="J642" s="0" t="n">
        <v>368</v>
      </c>
      <c r="K642" s="0" t="s">
        <v>523</v>
      </c>
      <c r="L642" s="0" t="n">
        <v>42</v>
      </c>
      <c r="M642" s="0" t="n">
        <v>42</v>
      </c>
      <c r="N642" s="0" t="s">
        <v>110</v>
      </c>
      <c r="AD642" s="0" t="n">
        <v>630</v>
      </c>
      <c r="AE642" s="0" t="n">
        <v>655</v>
      </c>
      <c r="AF642" s="0" t="s">
        <v>200</v>
      </c>
      <c r="AM642" s="0" t="n">
        <v>176</v>
      </c>
      <c r="AN642" s="0" t="n">
        <v>344</v>
      </c>
      <c r="AO642" s="0" t="s">
        <v>1334</v>
      </c>
      <c r="AP642" s="0" t="n">
        <v>362</v>
      </c>
      <c r="AQ642" s="0" t="n">
        <v>366</v>
      </c>
      <c r="AR642" s="0" t="s">
        <v>143</v>
      </c>
      <c r="AV642" s="0" t="n">
        <v>176</v>
      </c>
      <c r="AW642" s="0" t="n">
        <v>344</v>
      </c>
      <c r="AX642" s="0" t="s">
        <v>1334</v>
      </c>
      <c r="AY642" s="0" t="n">
        <v>362</v>
      </c>
      <c r="AZ642" s="0" t="n">
        <v>366</v>
      </c>
      <c r="BA642" s="0" t="s">
        <v>143</v>
      </c>
      <c r="BE642" s="2" t="n">
        <v>43773</v>
      </c>
    </row>
    <row r="643" customFormat="false" ht="14.25" hidden="false" customHeight="false" outlineLevel="0" collapsed="false">
      <c r="A643" s="0" t="n">
        <v>642</v>
      </c>
      <c r="B643" s="1" t="s">
        <v>1335</v>
      </c>
      <c r="C643" s="0" t="n">
        <v>370</v>
      </c>
      <c r="D643" s="0" t="n">
        <v>484</v>
      </c>
      <c r="E643" s="0" t="s">
        <v>290</v>
      </c>
      <c r="F643" s="0" t="n">
        <v>447</v>
      </c>
      <c r="G643" s="0" t="n">
        <v>475</v>
      </c>
      <c r="H643" s="0" t="s">
        <v>448</v>
      </c>
      <c r="I643" s="0" t="n">
        <v>358</v>
      </c>
      <c r="J643" s="0" t="n">
        <v>368</v>
      </c>
      <c r="K643" s="0" t="s">
        <v>149</v>
      </c>
      <c r="L643" s="0" t="n">
        <v>40</v>
      </c>
      <c r="M643" s="0" t="n">
        <v>42</v>
      </c>
      <c r="N643" s="0" t="s">
        <v>634</v>
      </c>
      <c r="AD643" s="0" t="n">
        <v>655</v>
      </c>
      <c r="AE643" s="0" t="n">
        <v>655</v>
      </c>
      <c r="AF643" s="0" t="s">
        <v>110</v>
      </c>
      <c r="AM643" s="0" t="n">
        <v>342</v>
      </c>
      <c r="AN643" s="0" t="n">
        <v>352</v>
      </c>
      <c r="AO643" s="0" t="s">
        <v>128</v>
      </c>
      <c r="AP643" s="0" t="n">
        <v>361</v>
      </c>
      <c r="AQ643" s="0" t="n">
        <v>362</v>
      </c>
      <c r="AR643" s="0" t="s">
        <v>723</v>
      </c>
      <c r="AS643" s="0" t="n">
        <v>96</v>
      </c>
      <c r="AT643" s="0" t="n">
        <v>98</v>
      </c>
      <c r="AU643" s="0" t="s">
        <v>131</v>
      </c>
      <c r="AV643" s="0" t="n">
        <v>342</v>
      </c>
      <c r="AW643" s="0" t="n">
        <v>352</v>
      </c>
      <c r="AX643" s="0" t="s">
        <v>128</v>
      </c>
      <c r="AY643" s="0" t="n">
        <v>361</v>
      </c>
      <c r="AZ643" s="0" t="n">
        <v>362</v>
      </c>
      <c r="BA643" s="0" t="s">
        <v>723</v>
      </c>
      <c r="BB643" s="0" t="n">
        <v>96</v>
      </c>
      <c r="BC643" s="0" t="n">
        <v>98</v>
      </c>
      <c r="BD643" s="0" t="s">
        <v>131</v>
      </c>
      <c r="BE643" s="2" t="n">
        <v>43774</v>
      </c>
    </row>
    <row r="644" customFormat="false" ht="14.25" hidden="false" customHeight="false" outlineLevel="0" collapsed="false">
      <c r="A644" s="0" t="n">
        <v>643</v>
      </c>
      <c r="B644" s="1" t="s">
        <v>1336</v>
      </c>
      <c r="C644" s="0" t="n">
        <v>458</v>
      </c>
      <c r="D644" s="0" t="n">
        <v>484</v>
      </c>
      <c r="E644" s="0" t="s">
        <v>332</v>
      </c>
      <c r="F644" s="0" t="n">
        <v>457</v>
      </c>
      <c r="G644" s="0" t="n">
        <v>475</v>
      </c>
      <c r="H644" s="0" t="s">
        <v>200</v>
      </c>
      <c r="I644" s="0" t="n">
        <v>357</v>
      </c>
      <c r="J644" s="0" t="n">
        <v>368</v>
      </c>
      <c r="K644" s="0" t="s">
        <v>756</v>
      </c>
      <c r="L644" s="0" t="n">
        <v>42</v>
      </c>
      <c r="M644" s="0" t="n">
        <v>42</v>
      </c>
      <c r="N644" s="0" t="s">
        <v>110</v>
      </c>
      <c r="AD644" s="0" t="n">
        <v>655</v>
      </c>
      <c r="AE644" s="0" t="n">
        <v>655</v>
      </c>
      <c r="AF644" s="0" t="s">
        <v>110</v>
      </c>
      <c r="AM644" s="0" t="n">
        <v>359</v>
      </c>
      <c r="AN644" s="0" t="n">
        <v>363</v>
      </c>
      <c r="AO644" s="0" t="s">
        <v>143</v>
      </c>
      <c r="AP644" s="0" t="n">
        <v>357</v>
      </c>
      <c r="AQ644" s="0" t="n">
        <v>366</v>
      </c>
      <c r="AR644" s="0" t="s">
        <v>370</v>
      </c>
      <c r="AS644" s="0" t="n">
        <v>101</v>
      </c>
      <c r="AT644" s="0" t="n">
        <v>107</v>
      </c>
      <c r="AU644" s="0" t="s">
        <v>160</v>
      </c>
      <c r="AV644" s="0" t="n">
        <v>359</v>
      </c>
      <c r="AW644" s="0" t="n">
        <v>363</v>
      </c>
      <c r="AX644" s="0" t="s">
        <v>143</v>
      </c>
      <c r="AY644" s="0" t="n">
        <v>357</v>
      </c>
      <c r="AZ644" s="0" t="n">
        <v>366</v>
      </c>
      <c r="BA644" s="0" t="s">
        <v>370</v>
      </c>
      <c r="BB644" s="0" t="n">
        <v>101</v>
      </c>
      <c r="BC644" s="0" t="n">
        <v>107</v>
      </c>
      <c r="BD644" s="0" t="s">
        <v>160</v>
      </c>
      <c r="BE644" s="2" t="n">
        <v>43775</v>
      </c>
    </row>
    <row r="645" customFormat="false" ht="14.25" hidden="false" customHeight="false" outlineLevel="0" collapsed="false">
      <c r="A645" s="0" t="n">
        <v>644</v>
      </c>
      <c r="B645" s="1" t="s">
        <v>1337</v>
      </c>
      <c r="C645" s="0" t="n">
        <v>469</v>
      </c>
      <c r="D645" s="0" t="n">
        <v>484</v>
      </c>
      <c r="E645" s="0" t="s">
        <v>758</v>
      </c>
      <c r="F645" s="0" t="n">
        <v>447</v>
      </c>
      <c r="G645" s="0" t="n">
        <v>475</v>
      </c>
      <c r="H645" s="0" t="s">
        <v>448</v>
      </c>
      <c r="I645" s="0" t="n">
        <v>350</v>
      </c>
      <c r="J645" s="0" t="n">
        <v>368</v>
      </c>
      <c r="K645" s="0" t="s">
        <v>210</v>
      </c>
      <c r="L645" s="0" t="n">
        <v>42</v>
      </c>
      <c r="M645" s="0" t="n">
        <v>42</v>
      </c>
      <c r="N645" s="0" t="s">
        <v>110</v>
      </c>
      <c r="AD645" s="0" t="n">
        <v>655</v>
      </c>
      <c r="AE645" s="0" t="n">
        <v>655</v>
      </c>
      <c r="AF645" s="0" t="s">
        <v>110</v>
      </c>
      <c r="AM645" s="0" t="n">
        <v>349</v>
      </c>
      <c r="AN645" s="0" t="n">
        <v>356</v>
      </c>
      <c r="AO645" s="0" t="s">
        <v>131</v>
      </c>
      <c r="AP645" s="0" t="n">
        <v>366</v>
      </c>
      <c r="AQ645" s="0" t="n">
        <v>366</v>
      </c>
      <c r="AR645" s="0" t="s">
        <v>110</v>
      </c>
      <c r="AV645" s="0" t="n">
        <v>349</v>
      </c>
      <c r="AW645" s="0" t="n">
        <v>356</v>
      </c>
      <c r="AX645" s="0" t="s">
        <v>131</v>
      </c>
      <c r="AY645" s="0" t="n">
        <v>366</v>
      </c>
      <c r="AZ645" s="0" t="n">
        <v>366</v>
      </c>
      <c r="BA645" s="0" t="s">
        <v>110</v>
      </c>
      <c r="BE645" s="2" t="n">
        <v>43776</v>
      </c>
    </row>
    <row r="646" customFormat="false" ht="14.25" hidden="false" customHeight="false" outlineLevel="0" collapsed="false">
      <c r="A646" s="0" t="n">
        <v>645</v>
      </c>
      <c r="B646" s="1" t="s">
        <v>1338</v>
      </c>
      <c r="C646" s="0" t="n">
        <v>452</v>
      </c>
      <c r="D646" s="0" t="n">
        <v>484</v>
      </c>
      <c r="E646" s="0" t="s">
        <v>659</v>
      </c>
      <c r="F646" s="0" t="n">
        <v>455</v>
      </c>
      <c r="G646" s="0" t="n">
        <v>475</v>
      </c>
      <c r="H646" s="0" t="s">
        <v>136</v>
      </c>
      <c r="I646" s="0" t="n">
        <v>254</v>
      </c>
      <c r="J646" s="0" t="n">
        <v>420</v>
      </c>
      <c r="K646" s="0" t="s">
        <v>691</v>
      </c>
      <c r="L646" s="0" t="n">
        <v>43</v>
      </c>
      <c r="M646" s="0" t="n">
        <v>42</v>
      </c>
      <c r="N646" s="0" t="s">
        <v>785</v>
      </c>
      <c r="AD646" s="0" t="n">
        <v>620</v>
      </c>
      <c r="AE646" s="0" t="n">
        <v>631</v>
      </c>
      <c r="AF646" s="0" t="s">
        <v>179</v>
      </c>
      <c r="AM646" s="0" t="n">
        <v>357</v>
      </c>
      <c r="AN646" s="0" t="n">
        <v>358</v>
      </c>
      <c r="AO646" s="0" t="s">
        <v>723</v>
      </c>
      <c r="AP646" s="0" t="n">
        <v>358</v>
      </c>
      <c r="AQ646" s="0" t="n">
        <v>358</v>
      </c>
      <c r="AR646" s="0" t="s">
        <v>110</v>
      </c>
      <c r="AS646" s="0" t="n">
        <v>100</v>
      </c>
      <c r="AT646" s="0" t="n">
        <v>106</v>
      </c>
      <c r="AU646" s="0" t="s">
        <v>523</v>
      </c>
      <c r="AV646" s="0" t="n">
        <v>357</v>
      </c>
      <c r="AW646" s="0" t="n">
        <v>358</v>
      </c>
      <c r="AX646" s="0" t="s">
        <v>723</v>
      </c>
      <c r="AY646" s="0" t="n">
        <v>358</v>
      </c>
      <c r="AZ646" s="0" t="n">
        <v>358</v>
      </c>
      <c r="BA646" s="0" t="s">
        <v>110</v>
      </c>
      <c r="BB646" s="0" t="n">
        <v>100</v>
      </c>
      <c r="BC646" s="0" t="n">
        <v>106</v>
      </c>
      <c r="BD646" s="0" t="s">
        <v>523</v>
      </c>
      <c r="BE646" s="2" t="n">
        <v>43777</v>
      </c>
    </row>
    <row r="647" customFormat="false" ht="14.25" hidden="false" customHeight="false" outlineLevel="0" collapsed="false">
      <c r="A647" s="0" t="n">
        <v>646</v>
      </c>
      <c r="B647" s="1" t="s">
        <v>1339</v>
      </c>
      <c r="I647" s="0" t="n">
        <v>392</v>
      </c>
      <c r="J647" s="0" t="n">
        <v>422</v>
      </c>
      <c r="K647" s="0" t="s">
        <v>207</v>
      </c>
      <c r="BE647" s="2" t="n">
        <v>43779</v>
      </c>
    </row>
    <row r="648" customFormat="false" ht="14.25" hidden="false" customHeight="false" outlineLevel="0" collapsed="false">
      <c r="A648" s="0" t="n">
        <v>647</v>
      </c>
      <c r="B648" s="1" t="s">
        <v>1340</v>
      </c>
      <c r="C648" s="0" t="n">
        <v>417</v>
      </c>
      <c r="D648" s="0" t="n">
        <v>473</v>
      </c>
      <c r="E648" s="0" t="s">
        <v>216</v>
      </c>
      <c r="F648" s="0" t="n">
        <v>462</v>
      </c>
      <c r="G648" s="0" t="n">
        <v>465</v>
      </c>
      <c r="H648" s="0" t="s">
        <v>824</v>
      </c>
      <c r="I648" s="0" t="n">
        <v>352</v>
      </c>
      <c r="J648" s="0" t="n">
        <v>361</v>
      </c>
      <c r="K648" s="0" t="s">
        <v>370</v>
      </c>
      <c r="L648" s="0" t="n">
        <v>41</v>
      </c>
      <c r="M648" s="0" t="n">
        <v>41</v>
      </c>
      <c r="N648" s="0" t="s">
        <v>110</v>
      </c>
      <c r="AD648" s="0" t="n">
        <v>602</v>
      </c>
      <c r="AE648" s="0" t="n">
        <v>638</v>
      </c>
      <c r="AF648" s="0" t="s">
        <v>160</v>
      </c>
      <c r="AM648" s="0" t="n">
        <v>330</v>
      </c>
      <c r="AN648" s="0" t="n">
        <v>336</v>
      </c>
      <c r="AO648" s="0" t="s">
        <v>600</v>
      </c>
      <c r="AP648" s="0" t="n">
        <v>345</v>
      </c>
      <c r="AQ648" s="0" t="n">
        <v>347</v>
      </c>
      <c r="AR648" s="0" t="s">
        <v>824</v>
      </c>
      <c r="AS648" s="0" t="n">
        <v>110</v>
      </c>
      <c r="AT648" s="0" t="n">
        <v>107</v>
      </c>
      <c r="AU648" s="0" t="s">
        <v>630</v>
      </c>
      <c r="AV648" s="0" t="n">
        <v>330</v>
      </c>
      <c r="AW648" s="0" t="n">
        <v>336</v>
      </c>
      <c r="AX648" s="0" t="s">
        <v>600</v>
      </c>
      <c r="AY648" s="0" t="n">
        <v>345</v>
      </c>
      <c r="AZ648" s="0" t="n">
        <v>347</v>
      </c>
      <c r="BA648" s="0" t="s">
        <v>824</v>
      </c>
      <c r="BB648" s="0" t="n">
        <v>110</v>
      </c>
      <c r="BC648" s="0" t="n">
        <v>107</v>
      </c>
      <c r="BD648" s="0" t="s">
        <v>630</v>
      </c>
      <c r="BE648" s="2" t="n">
        <v>43780</v>
      </c>
    </row>
    <row r="649" customFormat="false" ht="14.25" hidden="false" customHeight="false" outlineLevel="0" collapsed="false">
      <c r="A649" s="0" t="n">
        <v>648</v>
      </c>
      <c r="B649" s="1" t="s">
        <v>1341</v>
      </c>
      <c r="C649" s="0" t="n">
        <v>467</v>
      </c>
      <c r="D649" s="0" t="n">
        <v>484</v>
      </c>
      <c r="E649" s="0" t="s">
        <v>291</v>
      </c>
      <c r="F649" s="0" t="n">
        <v>386</v>
      </c>
      <c r="G649" s="0" t="n">
        <v>475</v>
      </c>
      <c r="H649" s="0" t="s">
        <v>302</v>
      </c>
      <c r="I649" s="0" t="n">
        <v>337</v>
      </c>
      <c r="J649" s="0" t="n">
        <v>368</v>
      </c>
      <c r="K649" s="0" t="s">
        <v>292</v>
      </c>
      <c r="L649" s="0" t="n">
        <v>42</v>
      </c>
      <c r="M649" s="0" t="n">
        <v>42</v>
      </c>
      <c r="N649" s="0" t="s">
        <v>110</v>
      </c>
      <c r="AD649" s="0" t="n">
        <v>655</v>
      </c>
      <c r="AE649" s="0" t="n">
        <v>655</v>
      </c>
      <c r="AF649" s="0" t="s">
        <v>110</v>
      </c>
      <c r="AM649" s="0" t="n">
        <v>359</v>
      </c>
      <c r="AN649" s="0" t="n">
        <v>360</v>
      </c>
      <c r="AO649" s="0" t="s">
        <v>723</v>
      </c>
      <c r="AP649" s="0" t="n">
        <v>312</v>
      </c>
      <c r="AQ649" s="0" t="n">
        <v>314</v>
      </c>
      <c r="AR649" s="0" t="s">
        <v>824</v>
      </c>
      <c r="AS649" s="0" t="n">
        <v>70</v>
      </c>
      <c r="AT649" s="0" t="n">
        <v>69</v>
      </c>
      <c r="AU649" s="0" t="s">
        <v>1086</v>
      </c>
      <c r="AV649" s="0" t="n">
        <v>359</v>
      </c>
      <c r="AW649" s="0" t="n">
        <v>360</v>
      </c>
      <c r="AX649" s="0" t="s">
        <v>723</v>
      </c>
      <c r="AY649" s="0" t="n">
        <v>312</v>
      </c>
      <c r="AZ649" s="0" t="n">
        <v>314</v>
      </c>
      <c r="BA649" s="0" t="s">
        <v>824</v>
      </c>
      <c r="BB649" s="0" t="n">
        <v>70</v>
      </c>
      <c r="BC649" s="0" t="n">
        <v>69</v>
      </c>
      <c r="BD649" s="0" t="s">
        <v>1086</v>
      </c>
      <c r="BE649" s="2" t="n">
        <v>43781</v>
      </c>
    </row>
    <row r="650" customFormat="false" ht="14.25" hidden="false" customHeight="false" outlineLevel="0" collapsed="false">
      <c r="A650" s="0" t="n">
        <v>649</v>
      </c>
      <c r="B650" s="1" t="s">
        <v>1342</v>
      </c>
      <c r="C650" s="0" t="n">
        <v>471</v>
      </c>
      <c r="D650" s="0" t="n">
        <v>484</v>
      </c>
      <c r="E650" s="0" t="s">
        <v>149</v>
      </c>
      <c r="F650" s="0" t="n">
        <v>473</v>
      </c>
      <c r="G650" s="0" t="n">
        <v>475</v>
      </c>
      <c r="H650" s="0" t="s">
        <v>899</v>
      </c>
      <c r="I650" s="0" t="n">
        <v>356</v>
      </c>
      <c r="J650" s="0" t="n">
        <v>364</v>
      </c>
      <c r="K650" s="0" t="s">
        <v>652</v>
      </c>
      <c r="L650" s="0" t="n">
        <v>41</v>
      </c>
      <c r="M650" s="0" t="n">
        <v>42</v>
      </c>
      <c r="N650" s="0" t="s">
        <v>497</v>
      </c>
      <c r="AD650" s="0" t="n">
        <v>645</v>
      </c>
      <c r="AE650" s="0" t="n">
        <v>652</v>
      </c>
      <c r="AF650" s="0" t="s">
        <v>143</v>
      </c>
      <c r="AM650" s="0" t="n">
        <v>368</v>
      </c>
      <c r="AN650" s="0" t="n">
        <v>369</v>
      </c>
      <c r="AO650" s="0" t="s">
        <v>723</v>
      </c>
      <c r="AP650" s="0" t="n">
        <v>352</v>
      </c>
      <c r="AQ650" s="0" t="n">
        <v>353</v>
      </c>
      <c r="AR650" s="0" t="s">
        <v>723</v>
      </c>
      <c r="AS650" s="0" t="n">
        <v>11</v>
      </c>
      <c r="AT650" s="0" t="n">
        <v>10</v>
      </c>
      <c r="AU650" s="0" t="s">
        <v>1343</v>
      </c>
      <c r="AV650" s="0" t="n">
        <v>368</v>
      </c>
      <c r="AW650" s="0" t="n">
        <v>369</v>
      </c>
      <c r="AX650" s="0" t="s">
        <v>723</v>
      </c>
      <c r="AY650" s="0" t="n">
        <v>352</v>
      </c>
      <c r="AZ650" s="0" t="n">
        <v>353</v>
      </c>
      <c r="BA650" s="0" t="s">
        <v>723</v>
      </c>
      <c r="BB650" s="0" t="n">
        <v>11</v>
      </c>
      <c r="BC650" s="0" t="n">
        <v>10</v>
      </c>
      <c r="BD650" s="0" t="s">
        <v>1343</v>
      </c>
      <c r="BE650" s="2" t="n">
        <v>43782</v>
      </c>
    </row>
    <row r="651" customFormat="false" ht="14.25" hidden="false" customHeight="false" outlineLevel="0" collapsed="false">
      <c r="A651" s="0" t="n">
        <v>650</v>
      </c>
      <c r="B651" s="1" t="s">
        <v>1344</v>
      </c>
      <c r="L651" s="0" t="n">
        <v>52</v>
      </c>
      <c r="M651" s="0" t="n">
        <v>48</v>
      </c>
      <c r="N651" s="0" t="s">
        <v>656</v>
      </c>
      <c r="BE651" s="2" t="n">
        <v>43736</v>
      </c>
    </row>
    <row r="652" customFormat="false" ht="14.25" hidden="false" customHeight="false" outlineLevel="0" collapsed="false">
      <c r="A652" s="0" t="n">
        <v>651</v>
      </c>
      <c r="B652" s="1" t="s">
        <v>1345</v>
      </c>
      <c r="C652" s="0" t="n">
        <v>464</v>
      </c>
      <c r="D652" s="0" t="n">
        <v>469</v>
      </c>
      <c r="E652" s="0" t="s">
        <v>143</v>
      </c>
      <c r="F652" s="0" t="n">
        <v>469</v>
      </c>
      <c r="G652" s="0" t="n">
        <v>475</v>
      </c>
      <c r="H652" s="0" t="s">
        <v>789</v>
      </c>
      <c r="I652" s="0" t="n">
        <v>412</v>
      </c>
      <c r="J652" s="0" t="n">
        <v>420</v>
      </c>
      <c r="K652" s="0" t="s">
        <v>457</v>
      </c>
      <c r="L652" s="0" t="n">
        <v>41</v>
      </c>
      <c r="M652" s="0" t="n">
        <v>42</v>
      </c>
      <c r="N652" s="0" t="s">
        <v>497</v>
      </c>
      <c r="AD652" s="0" t="n">
        <v>631</v>
      </c>
      <c r="AE652" s="0" t="n">
        <v>634</v>
      </c>
      <c r="AF652" s="0" t="s">
        <v>516</v>
      </c>
      <c r="AM652" s="0" t="n">
        <v>361</v>
      </c>
      <c r="AN652" s="0" t="n">
        <v>361</v>
      </c>
      <c r="AO652" s="0" t="s">
        <v>110</v>
      </c>
      <c r="AP652" s="0" t="n">
        <v>366</v>
      </c>
      <c r="AQ652" s="0" t="n">
        <v>366</v>
      </c>
      <c r="AR652" s="0" t="s">
        <v>110</v>
      </c>
      <c r="AS652" s="0" t="n">
        <v>105</v>
      </c>
      <c r="AT652" s="0" t="n">
        <v>107</v>
      </c>
      <c r="AU652" s="0" t="s">
        <v>457</v>
      </c>
      <c r="AV652" s="0" t="n">
        <v>361</v>
      </c>
      <c r="AW652" s="0" t="n">
        <v>361</v>
      </c>
      <c r="AX652" s="0" t="s">
        <v>110</v>
      </c>
      <c r="AY652" s="0" t="n">
        <v>366</v>
      </c>
      <c r="AZ652" s="0" t="n">
        <v>366</v>
      </c>
      <c r="BA652" s="0" t="s">
        <v>110</v>
      </c>
      <c r="BB652" s="0" t="n">
        <v>105</v>
      </c>
      <c r="BC652" s="0" t="n">
        <v>107</v>
      </c>
      <c r="BD652" s="0" t="s">
        <v>457</v>
      </c>
      <c r="BE652" s="2" t="n">
        <v>43783</v>
      </c>
    </row>
    <row r="653" customFormat="false" ht="14.25" hidden="false" customHeight="false" outlineLevel="0" collapsed="false">
      <c r="A653" s="0" t="n">
        <v>652</v>
      </c>
      <c r="B653" s="1" t="s">
        <v>1346</v>
      </c>
      <c r="C653" s="0" t="n">
        <v>471</v>
      </c>
      <c r="D653" s="0" t="n">
        <v>484</v>
      </c>
      <c r="E653" s="0" t="s">
        <v>149</v>
      </c>
      <c r="F653" s="0" t="n">
        <v>450</v>
      </c>
      <c r="G653" s="0" t="n">
        <v>460</v>
      </c>
      <c r="H653" s="0" t="s">
        <v>652</v>
      </c>
      <c r="I653" s="0" t="n">
        <v>359</v>
      </c>
      <c r="J653" s="0" t="n">
        <v>364</v>
      </c>
      <c r="K653" s="0" t="s">
        <v>790</v>
      </c>
      <c r="L653" s="0" t="n">
        <v>41</v>
      </c>
      <c r="M653" s="0" t="n">
        <v>42</v>
      </c>
      <c r="N653" s="0" t="s">
        <v>497</v>
      </c>
      <c r="AD653" s="0" t="n">
        <v>655</v>
      </c>
      <c r="AE653" s="0" t="n">
        <v>655</v>
      </c>
      <c r="AF653" s="0" t="s">
        <v>110</v>
      </c>
      <c r="AM653" s="0" t="n">
        <v>361</v>
      </c>
      <c r="AN653" s="0" t="n">
        <v>361</v>
      </c>
      <c r="AO653" s="0" t="s">
        <v>110</v>
      </c>
      <c r="AP653" s="0" t="n">
        <v>366</v>
      </c>
      <c r="AQ653" s="0" t="n">
        <v>366</v>
      </c>
      <c r="AR653" s="0" t="s">
        <v>110</v>
      </c>
      <c r="AS653" s="0" t="n">
        <v>105</v>
      </c>
      <c r="AT653" s="0" t="n">
        <v>107</v>
      </c>
      <c r="AU653" s="0" t="s">
        <v>457</v>
      </c>
      <c r="AV653" s="0" t="n">
        <v>361</v>
      </c>
      <c r="AW653" s="0" t="n">
        <v>361</v>
      </c>
      <c r="AX653" s="0" t="s">
        <v>110</v>
      </c>
      <c r="AY653" s="0" t="n">
        <v>366</v>
      </c>
      <c r="AZ653" s="0" t="n">
        <v>366</v>
      </c>
      <c r="BA653" s="0" t="s">
        <v>110</v>
      </c>
      <c r="BB653" s="0" t="n">
        <v>105</v>
      </c>
      <c r="BC653" s="0" t="n">
        <v>107</v>
      </c>
      <c r="BD653" s="0" t="s">
        <v>457</v>
      </c>
      <c r="BE653" s="2" t="n">
        <v>43788</v>
      </c>
    </row>
    <row r="654" customFormat="false" ht="14.25" hidden="false" customHeight="false" outlineLevel="0" collapsed="false">
      <c r="A654" s="0" t="n">
        <v>653</v>
      </c>
      <c r="B654" s="1" t="s">
        <v>1347</v>
      </c>
      <c r="C654" s="0" t="n">
        <v>465</v>
      </c>
      <c r="D654" s="0" t="n">
        <v>484</v>
      </c>
      <c r="E654" s="0" t="s">
        <v>594</v>
      </c>
      <c r="F654" s="0" t="n">
        <v>465</v>
      </c>
      <c r="G654" s="0" t="n">
        <v>475</v>
      </c>
      <c r="H654" s="0" t="s">
        <v>551</v>
      </c>
      <c r="I654" s="0" t="n">
        <v>360</v>
      </c>
      <c r="J654" s="0" t="n">
        <v>368</v>
      </c>
      <c r="K654" s="0" t="s">
        <v>652</v>
      </c>
      <c r="AD654" s="0" t="n">
        <v>646</v>
      </c>
      <c r="AE654" s="0" t="n">
        <v>655</v>
      </c>
      <c r="AF654" s="0" t="s">
        <v>790</v>
      </c>
      <c r="BE654" s="2" t="n">
        <v>43789</v>
      </c>
    </row>
    <row r="655" customFormat="false" ht="14.25" hidden="false" customHeight="false" outlineLevel="0" collapsed="false">
      <c r="A655" s="0" t="n">
        <v>654</v>
      </c>
      <c r="B655" s="1" t="s">
        <v>1348</v>
      </c>
      <c r="C655" s="0" t="n">
        <v>477</v>
      </c>
      <c r="D655" s="0" t="n">
        <v>484</v>
      </c>
      <c r="E655" s="0" t="s">
        <v>790</v>
      </c>
      <c r="F655" s="0" t="n">
        <v>457</v>
      </c>
      <c r="G655" s="0" t="n">
        <v>475</v>
      </c>
      <c r="H655" s="0" t="s">
        <v>200</v>
      </c>
      <c r="I655" s="0" t="n">
        <v>320</v>
      </c>
      <c r="J655" s="0" t="n">
        <v>368</v>
      </c>
      <c r="K655" s="0" t="s">
        <v>747</v>
      </c>
      <c r="AD655" s="0" t="n">
        <v>665</v>
      </c>
      <c r="AE655" s="0" t="n">
        <v>665</v>
      </c>
      <c r="AF655" s="0" t="s">
        <v>110</v>
      </c>
      <c r="AM655" s="0" t="n">
        <v>331</v>
      </c>
      <c r="AN655" s="0" t="n">
        <v>355</v>
      </c>
      <c r="AO655" s="0" t="s">
        <v>491</v>
      </c>
      <c r="AP655" s="0" t="n">
        <v>360</v>
      </c>
      <c r="AQ655" s="0" t="n">
        <v>365</v>
      </c>
      <c r="AR655" s="0" t="s">
        <v>790</v>
      </c>
      <c r="AS655" s="0" t="n">
        <v>43</v>
      </c>
      <c r="AT655" s="0" t="n">
        <v>45</v>
      </c>
      <c r="AU655" s="0" t="s">
        <v>544</v>
      </c>
      <c r="AV655" s="0" t="n">
        <v>331</v>
      </c>
      <c r="AW655" s="0" t="n">
        <v>355</v>
      </c>
      <c r="AX655" s="0" t="s">
        <v>491</v>
      </c>
      <c r="AY655" s="0" t="n">
        <v>360</v>
      </c>
      <c r="AZ655" s="0" t="n">
        <v>365</v>
      </c>
      <c r="BA655" s="0" t="s">
        <v>790</v>
      </c>
      <c r="BB655" s="0" t="n">
        <v>43</v>
      </c>
      <c r="BC655" s="0" t="n">
        <v>45</v>
      </c>
      <c r="BD655" s="0" t="s">
        <v>544</v>
      </c>
      <c r="BE655" s="2" t="n">
        <v>43790</v>
      </c>
    </row>
    <row r="656" customFormat="false" ht="14.25" hidden="false" customHeight="false" outlineLevel="0" collapsed="false">
      <c r="A656" s="0" t="n">
        <v>655</v>
      </c>
      <c r="B656" s="1" t="s">
        <v>1349</v>
      </c>
      <c r="C656" s="0" t="n">
        <v>466</v>
      </c>
      <c r="D656" s="0" t="n">
        <v>506</v>
      </c>
      <c r="E656" s="0" t="s">
        <v>598</v>
      </c>
      <c r="F656" s="0" t="n">
        <v>452</v>
      </c>
      <c r="G656" s="0" t="n">
        <v>475</v>
      </c>
      <c r="H656" s="0" t="s">
        <v>634</v>
      </c>
      <c r="I656" s="0" t="n">
        <v>408</v>
      </c>
      <c r="J656" s="0" t="n">
        <v>420</v>
      </c>
      <c r="K656" s="0" t="s">
        <v>492</v>
      </c>
      <c r="AD656" s="0" t="n">
        <v>639</v>
      </c>
      <c r="AE656" s="0" t="n">
        <v>640</v>
      </c>
      <c r="AF656" s="0" t="s">
        <v>623</v>
      </c>
      <c r="AM656" s="0" t="n">
        <v>348</v>
      </c>
      <c r="AN656" s="0" t="n">
        <v>355</v>
      </c>
      <c r="AO656" s="0" t="s">
        <v>131</v>
      </c>
      <c r="AP656" s="0" t="n">
        <v>357</v>
      </c>
      <c r="AQ656" s="0" t="n">
        <v>357</v>
      </c>
      <c r="AR656" s="0" t="s">
        <v>110</v>
      </c>
      <c r="AS656" s="0" t="n">
        <v>80</v>
      </c>
      <c r="AT656" s="0" t="n">
        <v>80</v>
      </c>
      <c r="AU656" s="0" t="s">
        <v>110</v>
      </c>
      <c r="AV656" s="0" t="n">
        <v>348</v>
      </c>
      <c r="AW656" s="0" t="n">
        <v>355</v>
      </c>
      <c r="AX656" s="0" t="s">
        <v>131</v>
      </c>
      <c r="AY656" s="0" t="n">
        <v>357</v>
      </c>
      <c r="AZ656" s="0" t="n">
        <v>357</v>
      </c>
      <c r="BA656" s="0" t="s">
        <v>110</v>
      </c>
      <c r="BB656" s="0" t="n">
        <v>80</v>
      </c>
      <c r="BC656" s="0" t="n">
        <v>80</v>
      </c>
      <c r="BD656" s="0" t="s">
        <v>110</v>
      </c>
      <c r="BE656" s="2" t="n">
        <v>43791</v>
      </c>
    </row>
    <row r="657" customFormat="false" ht="14.25" hidden="false" customHeight="false" outlineLevel="0" collapsed="false">
      <c r="A657" s="0" t="n">
        <v>656</v>
      </c>
      <c r="B657" s="1" t="s">
        <v>1350</v>
      </c>
      <c r="I657" s="0" t="n">
        <v>406</v>
      </c>
      <c r="J657" s="0" t="n">
        <v>422</v>
      </c>
      <c r="K657" s="0" t="s">
        <v>200</v>
      </c>
      <c r="BE657" s="2" t="n">
        <v>43793</v>
      </c>
    </row>
    <row r="658" customFormat="false" ht="14.25" hidden="false" customHeight="false" outlineLevel="0" collapsed="false">
      <c r="A658" s="0" t="n">
        <v>657</v>
      </c>
      <c r="B658" s="1" t="s">
        <v>1351</v>
      </c>
      <c r="C658" s="0" t="n">
        <v>462</v>
      </c>
      <c r="D658" s="0" t="n">
        <v>484</v>
      </c>
      <c r="E658" s="0" t="s">
        <v>127</v>
      </c>
      <c r="F658" s="0" t="n">
        <v>449</v>
      </c>
      <c r="G658" s="0" t="n">
        <v>475</v>
      </c>
      <c r="H658" s="0" t="s">
        <v>581</v>
      </c>
      <c r="I658" s="0" t="n">
        <v>354</v>
      </c>
      <c r="J658" s="0" t="n">
        <v>368</v>
      </c>
      <c r="K658" s="0" t="s">
        <v>200</v>
      </c>
      <c r="L658" s="0" t="n">
        <v>29</v>
      </c>
      <c r="M658" s="0" t="n">
        <v>42</v>
      </c>
      <c r="N658" s="0" t="s">
        <v>263</v>
      </c>
      <c r="AD658" s="0" t="n">
        <v>645</v>
      </c>
      <c r="AE658" s="0" t="n">
        <v>645</v>
      </c>
      <c r="AF658" s="0" t="s">
        <v>110</v>
      </c>
      <c r="AM658" s="0" t="n">
        <v>326</v>
      </c>
      <c r="AN658" s="0" t="n">
        <v>361</v>
      </c>
      <c r="AO658" s="0" t="s">
        <v>373</v>
      </c>
      <c r="AP658" s="0" t="n">
        <v>360</v>
      </c>
      <c r="AQ658" s="0" t="n">
        <v>360</v>
      </c>
      <c r="AR658" s="0" t="s">
        <v>110</v>
      </c>
      <c r="AV658" s="0" t="n">
        <v>326</v>
      </c>
      <c r="AW658" s="0" t="n">
        <v>361</v>
      </c>
      <c r="AX658" s="0" t="s">
        <v>373</v>
      </c>
      <c r="AY658" s="0" t="n">
        <v>360</v>
      </c>
      <c r="AZ658" s="0" t="n">
        <v>360</v>
      </c>
      <c r="BA658" s="0" t="s">
        <v>110</v>
      </c>
      <c r="BE658" s="2" t="n">
        <v>43794</v>
      </c>
    </row>
    <row r="659" customFormat="false" ht="14.25" hidden="false" customHeight="false" outlineLevel="0" collapsed="false">
      <c r="A659" s="0" t="n">
        <v>658</v>
      </c>
      <c r="B659" s="1" t="s">
        <v>1352</v>
      </c>
      <c r="C659" s="0" t="n">
        <v>460</v>
      </c>
      <c r="D659" s="0" t="n">
        <v>481</v>
      </c>
      <c r="E659" s="0" t="s">
        <v>544</v>
      </c>
      <c r="F659" s="0" t="n">
        <v>463</v>
      </c>
      <c r="G659" s="0" t="n">
        <v>475</v>
      </c>
      <c r="H659" s="0" t="s">
        <v>370</v>
      </c>
      <c r="I659" s="0" t="n">
        <v>350</v>
      </c>
      <c r="J659" s="0" t="n">
        <v>368</v>
      </c>
      <c r="K659" s="0" t="s">
        <v>210</v>
      </c>
      <c r="L659" s="0" t="n">
        <v>41</v>
      </c>
      <c r="M659" s="0" t="n">
        <v>42</v>
      </c>
      <c r="N659" s="0" t="s">
        <v>497</v>
      </c>
      <c r="AD659" s="0" t="n">
        <v>628</v>
      </c>
      <c r="AE659" s="0" t="n">
        <v>628</v>
      </c>
      <c r="AF659" s="0" t="s">
        <v>110</v>
      </c>
      <c r="AM659" s="0" t="n">
        <v>331</v>
      </c>
      <c r="AN659" s="0" t="n">
        <v>340</v>
      </c>
      <c r="AO659" s="0" t="s">
        <v>139</v>
      </c>
      <c r="AP659" s="0" t="n">
        <v>349</v>
      </c>
      <c r="AQ659" s="0" t="n">
        <v>349</v>
      </c>
      <c r="AR659" s="0" t="s">
        <v>110</v>
      </c>
      <c r="AV659" s="0" t="n">
        <v>331</v>
      </c>
      <c r="AW659" s="0" t="n">
        <v>340</v>
      </c>
      <c r="AX659" s="0" t="s">
        <v>139</v>
      </c>
      <c r="AY659" s="0" t="n">
        <v>349</v>
      </c>
      <c r="AZ659" s="0" t="n">
        <v>349</v>
      </c>
      <c r="BA659" s="0" t="s">
        <v>110</v>
      </c>
      <c r="BE659" s="2" t="n">
        <v>43795</v>
      </c>
    </row>
    <row r="660" customFormat="false" ht="14.25" hidden="false" customHeight="false" outlineLevel="0" collapsed="false">
      <c r="A660" s="0" t="n">
        <v>659</v>
      </c>
      <c r="B660" s="1" t="s">
        <v>1353</v>
      </c>
      <c r="C660" s="0" t="n">
        <v>465</v>
      </c>
      <c r="D660" s="0" t="n">
        <v>484</v>
      </c>
      <c r="E660" s="0" t="s">
        <v>594</v>
      </c>
      <c r="F660" s="0" t="n">
        <v>462</v>
      </c>
      <c r="G660" s="0" t="n">
        <v>475</v>
      </c>
      <c r="H660" s="0" t="s">
        <v>149</v>
      </c>
      <c r="I660" s="0" t="n">
        <v>346</v>
      </c>
      <c r="J660" s="0" t="n">
        <v>368</v>
      </c>
      <c r="K660" s="0" t="s">
        <v>526</v>
      </c>
      <c r="L660" s="0" t="n">
        <v>41</v>
      </c>
      <c r="M660" s="0" t="n">
        <v>42</v>
      </c>
      <c r="N660" s="0" t="s">
        <v>497</v>
      </c>
      <c r="AD660" s="0" t="n">
        <v>658</v>
      </c>
      <c r="AE660" s="0" t="n">
        <v>658</v>
      </c>
      <c r="AF660" s="0" t="s">
        <v>110</v>
      </c>
      <c r="AM660" s="0" t="n">
        <v>362</v>
      </c>
      <c r="AN660" s="0" t="n">
        <v>363</v>
      </c>
      <c r="AO660" s="0" t="s">
        <v>723</v>
      </c>
      <c r="AP660" s="0" t="n">
        <v>357</v>
      </c>
      <c r="AQ660" s="0" t="n">
        <v>358</v>
      </c>
      <c r="AR660" s="0" t="s">
        <v>723</v>
      </c>
      <c r="AV660" s="0" t="n">
        <v>362</v>
      </c>
      <c r="AW660" s="0" t="n">
        <v>363</v>
      </c>
      <c r="AX660" s="0" t="s">
        <v>723</v>
      </c>
      <c r="AY660" s="0" t="n">
        <v>357</v>
      </c>
      <c r="AZ660" s="0" t="n">
        <v>358</v>
      </c>
      <c r="BA660" s="0" t="s">
        <v>723</v>
      </c>
      <c r="BE660" s="2" t="n">
        <v>43796</v>
      </c>
    </row>
    <row r="661" customFormat="false" ht="14.25" hidden="false" customHeight="false" outlineLevel="0" collapsed="false">
      <c r="A661" s="0" t="n">
        <v>660</v>
      </c>
      <c r="B661" s="1" t="s">
        <v>1354</v>
      </c>
      <c r="C661" s="0" t="n">
        <v>468</v>
      </c>
      <c r="D661" s="0" t="n">
        <v>484</v>
      </c>
      <c r="E661" s="0" t="s">
        <v>538</v>
      </c>
      <c r="F661" s="0" t="n">
        <v>463</v>
      </c>
      <c r="G661" s="0" t="n">
        <v>475</v>
      </c>
      <c r="H661" s="0" t="s">
        <v>370</v>
      </c>
      <c r="I661" s="0" t="n">
        <v>327</v>
      </c>
      <c r="J661" s="0" t="n">
        <v>366</v>
      </c>
      <c r="K661" s="0" t="s">
        <v>574</v>
      </c>
      <c r="L661" s="0" t="n">
        <v>41</v>
      </c>
      <c r="M661" s="0" t="n">
        <v>42</v>
      </c>
      <c r="N661" s="0" t="s">
        <v>497</v>
      </c>
      <c r="AD661" s="0" t="n">
        <v>632</v>
      </c>
      <c r="AE661" s="0" t="n">
        <v>641</v>
      </c>
      <c r="AF661" s="0" t="s">
        <v>790</v>
      </c>
      <c r="AM661" s="0" t="n">
        <v>362</v>
      </c>
      <c r="AN661" s="0" t="n">
        <v>362</v>
      </c>
      <c r="AO661" s="0" t="s">
        <v>110</v>
      </c>
      <c r="AP661" s="0" t="n">
        <v>359</v>
      </c>
      <c r="AQ661" s="0" t="n">
        <v>359</v>
      </c>
      <c r="AR661" s="0" t="s">
        <v>110</v>
      </c>
      <c r="AS661" s="0" t="n">
        <v>80</v>
      </c>
      <c r="AT661" s="0" t="n">
        <v>80</v>
      </c>
      <c r="AU661" s="0" t="s">
        <v>110</v>
      </c>
      <c r="AV661" s="0" t="n">
        <v>362</v>
      </c>
      <c r="AW661" s="0" t="n">
        <v>362</v>
      </c>
      <c r="AX661" s="0" t="s">
        <v>110</v>
      </c>
      <c r="AY661" s="0" t="n">
        <v>359</v>
      </c>
      <c r="AZ661" s="0" t="n">
        <v>359</v>
      </c>
      <c r="BA661" s="0" t="s">
        <v>110</v>
      </c>
      <c r="BB661" s="0" t="n">
        <v>80</v>
      </c>
      <c r="BC661" s="0" t="n">
        <v>80</v>
      </c>
      <c r="BD661" s="0" t="s">
        <v>110</v>
      </c>
      <c r="BE661" s="2" t="n">
        <v>43797</v>
      </c>
    </row>
    <row r="662" customFormat="false" ht="14.25" hidden="false" customHeight="false" outlineLevel="0" collapsed="false">
      <c r="A662" s="0" t="n">
        <v>661</v>
      </c>
      <c r="B662" s="1" t="s">
        <v>1355</v>
      </c>
      <c r="C662" s="0" t="n">
        <v>468</v>
      </c>
      <c r="D662" s="0" t="n">
        <v>484</v>
      </c>
      <c r="E662" s="0" t="s">
        <v>538</v>
      </c>
      <c r="F662" s="0" t="n">
        <v>463</v>
      </c>
      <c r="G662" s="0" t="n">
        <v>475</v>
      </c>
      <c r="H662" s="0" t="s">
        <v>370</v>
      </c>
      <c r="I662" s="0" t="n">
        <v>330</v>
      </c>
      <c r="J662" s="0" t="n">
        <v>368</v>
      </c>
      <c r="K662" s="0" t="s">
        <v>123</v>
      </c>
      <c r="AD662" s="0" t="n">
        <v>423</v>
      </c>
      <c r="AE662" s="0" t="n">
        <v>432</v>
      </c>
      <c r="AF662" s="0" t="s">
        <v>551</v>
      </c>
      <c r="AM662" s="0" t="n">
        <v>355</v>
      </c>
      <c r="AN662" s="0" t="n">
        <v>356</v>
      </c>
      <c r="AO662" s="0" t="s">
        <v>723</v>
      </c>
      <c r="AP662" s="0" t="n">
        <v>353</v>
      </c>
      <c r="AQ662" s="0" t="n">
        <v>353</v>
      </c>
      <c r="AR662" s="0" t="s">
        <v>110</v>
      </c>
      <c r="AS662" s="0" t="n">
        <v>74</v>
      </c>
      <c r="AT662" s="0" t="n">
        <v>74</v>
      </c>
      <c r="AU662" s="0" t="s">
        <v>110</v>
      </c>
      <c r="AV662" s="0" t="n">
        <v>355</v>
      </c>
      <c r="AW662" s="0" t="n">
        <v>356</v>
      </c>
      <c r="AX662" s="0" t="s">
        <v>723</v>
      </c>
      <c r="AY662" s="0" t="n">
        <v>353</v>
      </c>
      <c r="AZ662" s="0" t="n">
        <v>353</v>
      </c>
      <c r="BA662" s="0" t="s">
        <v>110</v>
      </c>
      <c r="BB662" s="0" t="n">
        <v>74</v>
      </c>
      <c r="BC662" s="0" t="n">
        <v>74</v>
      </c>
      <c r="BD662" s="0" t="s">
        <v>110</v>
      </c>
      <c r="BE662" s="2" t="n">
        <v>43798</v>
      </c>
    </row>
    <row r="663" customFormat="false" ht="14.25" hidden="false" customHeight="false" outlineLevel="0" collapsed="false">
      <c r="A663" s="0" t="n">
        <v>662</v>
      </c>
      <c r="B663" s="1" t="s">
        <v>1356</v>
      </c>
      <c r="C663" s="0" t="n">
        <v>443</v>
      </c>
      <c r="D663" s="0" t="n">
        <v>484</v>
      </c>
      <c r="E663" s="0" t="s">
        <v>204</v>
      </c>
      <c r="F663" s="0" t="n">
        <v>361</v>
      </c>
      <c r="G663" s="0" t="n">
        <v>475</v>
      </c>
      <c r="H663" s="0" t="s">
        <v>368</v>
      </c>
      <c r="L663" s="0" t="n">
        <v>41</v>
      </c>
      <c r="M663" s="0" t="n">
        <v>42</v>
      </c>
      <c r="N663" s="0" t="s">
        <v>497</v>
      </c>
      <c r="AM663" s="0" t="n">
        <v>350</v>
      </c>
      <c r="AN663" s="0" t="n">
        <v>361</v>
      </c>
      <c r="AO663" s="0" t="s">
        <v>756</v>
      </c>
      <c r="AP663" s="0" t="n">
        <v>353</v>
      </c>
      <c r="AQ663" s="0" t="n">
        <v>356</v>
      </c>
      <c r="AR663" s="0" t="s">
        <v>863</v>
      </c>
      <c r="AV663" s="0" t="n">
        <v>350</v>
      </c>
      <c r="AW663" s="0" t="n">
        <v>361</v>
      </c>
      <c r="AX663" s="0" t="s">
        <v>756</v>
      </c>
      <c r="AY663" s="0" t="n">
        <v>353</v>
      </c>
      <c r="AZ663" s="0" t="n">
        <v>356</v>
      </c>
      <c r="BA663" s="0" t="s">
        <v>863</v>
      </c>
      <c r="BE663" s="2" t="n">
        <v>43801</v>
      </c>
    </row>
    <row r="664" customFormat="false" ht="14.25" hidden="false" customHeight="false" outlineLevel="0" collapsed="false">
      <c r="A664" s="0" t="n">
        <v>663</v>
      </c>
      <c r="B664" s="1" t="s">
        <v>1357</v>
      </c>
      <c r="C664" s="0" t="n">
        <v>459</v>
      </c>
      <c r="D664" s="0" t="n">
        <v>473</v>
      </c>
      <c r="E664" s="0" t="s">
        <v>756</v>
      </c>
      <c r="F664" s="0" t="n">
        <v>443</v>
      </c>
      <c r="G664" s="0" t="n">
        <v>465</v>
      </c>
      <c r="H664" s="0" t="s">
        <v>753</v>
      </c>
      <c r="L664" s="0" t="n">
        <v>42</v>
      </c>
      <c r="M664" s="0" t="n">
        <v>42</v>
      </c>
      <c r="N664" s="0" t="s">
        <v>110</v>
      </c>
      <c r="AM664" s="0" t="n">
        <v>354</v>
      </c>
      <c r="AN664" s="0" t="n">
        <v>354</v>
      </c>
      <c r="AO664" s="0" t="s">
        <v>110</v>
      </c>
      <c r="AP664" s="0" t="n">
        <v>364</v>
      </c>
      <c r="AQ664" s="0" t="n">
        <v>364</v>
      </c>
      <c r="AR664" s="0" t="s">
        <v>110</v>
      </c>
      <c r="AS664" s="0" t="n">
        <v>80</v>
      </c>
      <c r="AT664" s="0" t="n">
        <v>80</v>
      </c>
      <c r="AU664" s="0" t="s">
        <v>110</v>
      </c>
      <c r="AV664" s="0" t="n">
        <v>354</v>
      </c>
      <c r="AW664" s="0" t="n">
        <v>354</v>
      </c>
      <c r="AX664" s="0" t="s">
        <v>110</v>
      </c>
      <c r="AY664" s="0" t="n">
        <v>364</v>
      </c>
      <c r="AZ664" s="0" t="n">
        <v>364</v>
      </c>
      <c r="BA664" s="0" t="s">
        <v>110</v>
      </c>
      <c r="BB664" s="0" t="n">
        <v>80</v>
      </c>
      <c r="BC664" s="0" t="n">
        <v>80</v>
      </c>
      <c r="BD664" s="0" t="s">
        <v>110</v>
      </c>
      <c r="BE664" s="2" t="n">
        <v>43802</v>
      </c>
    </row>
    <row r="665" customFormat="false" ht="14.25" hidden="false" customHeight="false" outlineLevel="0" collapsed="false">
      <c r="A665" s="0" t="n">
        <v>664</v>
      </c>
      <c r="B665" s="1" t="s">
        <v>1358</v>
      </c>
      <c r="C665" s="0" t="n">
        <v>471</v>
      </c>
      <c r="D665" s="0" t="n">
        <v>484</v>
      </c>
      <c r="E665" s="0" t="s">
        <v>149</v>
      </c>
      <c r="F665" s="0" t="n">
        <v>462</v>
      </c>
      <c r="G665" s="0" t="n">
        <v>475</v>
      </c>
      <c r="H665" s="0" t="s">
        <v>149</v>
      </c>
      <c r="L665" s="0" t="n">
        <v>42</v>
      </c>
      <c r="M665" s="0" t="n">
        <v>42</v>
      </c>
      <c r="N665" s="0" t="s">
        <v>110</v>
      </c>
      <c r="AM665" s="0" t="n">
        <v>363</v>
      </c>
      <c r="AN665" s="0" t="n">
        <v>363</v>
      </c>
      <c r="AO665" s="0" t="s">
        <v>110</v>
      </c>
      <c r="AP665" s="0" t="n">
        <v>366</v>
      </c>
      <c r="AQ665" s="0" t="n">
        <v>370</v>
      </c>
      <c r="AR665" s="0" t="s">
        <v>143</v>
      </c>
      <c r="AS665" s="0" t="n">
        <v>85</v>
      </c>
      <c r="AT665" s="0" t="n">
        <v>85</v>
      </c>
      <c r="AU665" s="0" t="s">
        <v>110</v>
      </c>
      <c r="AV665" s="0" t="n">
        <v>363</v>
      </c>
      <c r="AW665" s="0" t="n">
        <v>363</v>
      </c>
      <c r="AX665" s="0" t="s">
        <v>110</v>
      </c>
      <c r="AY665" s="0" t="n">
        <v>366</v>
      </c>
      <c r="AZ665" s="0" t="n">
        <v>370</v>
      </c>
      <c r="BA665" s="0" t="s">
        <v>143</v>
      </c>
      <c r="BB665" s="0" t="n">
        <v>85</v>
      </c>
      <c r="BC665" s="0" t="n">
        <v>85</v>
      </c>
      <c r="BD665" s="0" t="s">
        <v>110</v>
      </c>
      <c r="BE665" s="2" t="n">
        <v>43803</v>
      </c>
    </row>
    <row r="666" customFormat="false" ht="14.25" hidden="false" customHeight="false" outlineLevel="0" collapsed="false">
      <c r="A666" s="0" t="n">
        <v>665</v>
      </c>
      <c r="B666" s="1" t="s">
        <v>1359</v>
      </c>
      <c r="C666" s="0" t="n">
        <v>472</v>
      </c>
      <c r="D666" s="0" t="n">
        <v>484</v>
      </c>
      <c r="E666" s="0" t="s">
        <v>370</v>
      </c>
      <c r="F666" s="0" t="n">
        <v>459</v>
      </c>
      <c r="G666" s="0" t="n">
        <v>475</v>
      </c>
      <c r="H666" s="0" t="s">
        <v>119</v>
      </c>
      <c r="L666" s="0" t="n">
        <v>42</v>
      </c>
      <c r="M666" s="0" t="n">
        <v>42</v>
      </c>
      <c r="N666" s="0" t="s">
        <v>110</v>
      </c>
      <c r="AM666" s="0" t="n">
        <v>349</v>
      </c>
      <c r="AN666" s="0" t="n">
        <v>349</v>
      </c>
      <c r="AO666" s="0" t="s">
        <v>110</v>
      </c>
      <c r="AP666" s="0" t="n">
        <v>365</v>
      </c>
      <c r="AQ666" s="0" t="n">
        <v>365</v>
      </c>
      <c r="AR666" s="0" t="s">
        <v>110</v>
      </c>
      <c r="AS666" s="0" t="n">
        <v>96</v>
      </c>
      <c r="AT666" s="0" t="n">
        <v>97</v>
      </c>
      <c r="AU666" s="0" t="s">
        <v>870</v>
      </c>
      <c r="AV666" s="0" t="n">
        <v>349</v>
      </c>
      <c r="AW666" s="0" t="n">
        <v>349</v>
      </c>
      <c r="AX666" s="0" t="s">
        <v>110</v>
      </c>
      <c r="AY666" s="0" t="n">
        <v>365</v>
      </c>
      <c r="AZ666" s="0" t="n">
        <v>365</v>
      </c>
      <c r="BA666" s="0" t="s">
        <v>110</v>
      </c>
      <c r="BB666" s="0" t="n">
        <v>96</v>
      </c>
      <c r="BC666" s="0" t="n">
        <v>97</v>
      </c>
      <c r="BD666" s="0" t="s">
        <v>870</v>
      </c>
      <c r="BE666" s="2" t="n">
        <v>43804</v>
      </c>
    </row>
    <row r="667" customFormat="false" ht="14.25" hidden="false" customHeight="false" outlineLevel="0" collapsed="false">
      <c r="A667" s="0" t="n">
        <v>666</v>
      </c>
      <c r="B667" s="1" t="s">
        <v>1360</v>
      </c>
      <c r="C667" s="0" t="n">
        <v>467</v>
      </c>
      <c r="D667" s="0" t="n">
        <v>484</v>
      </c>
      <c r="E667" s="0" t="s">
        <v>291</v>
      </c>
      <c r="F667" s="0" t="n">
        <v>475</v>
      </c>
      <c r="G667" s="0" t="n">
        <v>475</v>
      </c>
      <c r="H667" s="0" t="s">
        <v>110</v>
      </c>
      <c r="L667" s="0" t="n">
        <v>42</v>
      </c>
      <c r="M667" s="0" t="n">
        <v>42</v>
      </c>
      <c r="N667" s="0" t="s">
        <v>110</v>
      </c>
      <c r="AM667" s="0" t="n">
        <v>324</v>
      </c>
      <c r="AN667" s="0" t="n">
        <v>350</v>
      </c>
      <c r="AO667" s="0" t="s">
        <v>437</v>
      </c>
      <c r="AP667" s="0" t="n">
        <v>337</v>
      </c>
      <c r="AQ667" s="0" t="n">
        <v>361</v>
      </c>
      <c r="AR667" s="0" t="s">
        <v>659</v>
      </c>
      <c r="AS667" s="0" t="n">
        <v>96</v>
      </c>
      <c r="AT667" s="0" t="n">
        <v>103</v>
      </c>
      <c r="AU667" s="0" t="s">
        <v>491</v>
      </c>
      <c r="AV667" s="0" t="n">
        <v>324</v>
      </c>
      <c r="AW667" s="0" t="n">
        <v>350</v>
      </c>
      <c r="AX667" s="0" t="s">
        <v>437</v>
      </c>
      <c r="AY667" s="0" t="n">
        <v>337</v>
      </c>
      <c r="AZ667" s="0" t="n">
        <v>361</v>
      </c>
      <c r="BA667" s="0" t="s">
        <v>659</v>
      </c>
      <c r="BB667" s="0" t="n">
        <v>96</v>
      </c>
      <c r="BC667" s="0" t="n">
        <v>103</v>
      </c>
      <c r="BD667" s="0" t="s">
        <v>491</v>
      </c>
      <c r="BE667" s="2" t="n">
        <v>43805</v>
      </c>
    </row>
    <row r="668" customFormat="false" ht="14.25" hidden="false" customHeight="false" outlineLevel="0" collapsed="false">
      <c r="A668" s="0" t="n">
        <v>667</v>
      </c>
      <c r="B668" s="1" t="s">
        <v>1361</v>
      </c>
      <c r="BE668" s="2" t="n">
        <v>43807</v>
      </c>
    </row>
    <row r="669" customFormat="false" ht="14.25" hidden="false" customHeight="false" outlineLevel="0" collapsed="false">
      <c r="A669" s="0" t="n">
        <v>668</v>
      </c>
      <c r="B669" s="1" t="s">
        <v>1362</v>
      </c>
      <c r="C669" s="0" t="n">
        <v>476</v>
      </c>
      <c r="D669" s="0" t="n">
        <v>484</v>
      </c>
      <c r="E669" s="0" t="s">
        <v>179</v>
      </c>
      <c r="F669" s="0" t="n">
        <v>467</v>
      </c>
      <c r="G669" s="0" t="n">
        <v>475</v>
      </c>
      <c r="H669" s="0" t="s">
        <v>179</v>
      </c>
      <c r="L669" s="0" t="n">
        <v>42</v>
      </c>
      <c r="M669" s="0" t="n">
        <v>42</v>
      </c>
      <c r="N669" s="0" t="s">
        <v>110</v>
      </c>
      <c r="AM669" s="0" t="n">
        <v>343</v>
      </c>
      <c r="AN669" s="0" t="n">
        <v>349</v>
      </c>
      <c r="AO669" s="0" t="s">
        <v>179</v>
      </c>
      <c r="AP669" s="0" t="n">
        <v>352</v>
      </c>
      <c r="AQ669" s="0" t="n">
        <v>360</v>
      </c>
      <c r="AR669" s="0" t="s">
        <v>652</v>
      </c>
      <c r="AS669" s="0" t="n">
        <v>108</v>
      </c>
      <c r="AT669" s="0" t="n">
        <v>107</v>
      </c>
      <c r="AU669" s="0" t="s">
        <v>974</v>
      </c>
      <c r="AV669" s="0" t="n">
        <v>343</v>
      </c>
      <c r="AW669" s="0" t="n">
        <v>349</v>
      </c>
      <c r="AX669" s="0" t="s">
        <v>179</v>
      </c>
      <c r="AY669" s="0" t="n">
        <v>352</v>
      </c>
      <c r="AZ669" s="0" t="n">
        <v>360</v>
      </c>
      <c r="BA669" s="0" t="s">
        <v>652</v>
      </c>
      <c r="BB669" s="0" t="n">
        <v>108</v>
      </c>
      <c r="BC669" s="0" t="n">
        <v>107</v>
      </c>
      <c r="BD669" s="0" t="s">
        <v>974</v>
      </c>
      <c r="BE669" s="2" t="n">
        <v>43808</v>
      </c>
    </row>
    <row r="670" customFormat="false" ht="14.25" hidden="false" customHeight="false" outlineLevel="0" collapsed="false">
      <c r="A670" s="0" t="n">
        <v>669</v>
      </c>
      <c r="B670" s="1" t="s">
        <v>1363</v>
      </c>
      <c r="C670" s="0" t="n">
        <v>470</v>
      </c>
      <c r="D670" s="0" t="n">
        <v>484</v>
      </c>
      <c r="E670" s="0" t="s">
        <v>492</v>
      </c>
      <c r="F670" s="0" t="n">
        <v>470</v>
      </c>
      <c r="G670" s="0" t="n">
        <v>475</v>
      </c>
      <c r="H670" s="0" t="s">
        <v>143</v>
      </c>
      <c r="L670" s="0" t="n">
        <v>40</v>
      </c>
      <c r="AM670" s="0" t="n">
        <v>353</v>
      </c>
      <c r="AN670" s="0" t="n">
        <v>357</v>
      </c>
      <c r="AO670" s="0" t="s">
        <v>143</v>
      </c>
      <c r="AP670" s="0" t="n">
        <v>367</v>
      </c>
      <c r="AQ670" s="0" t="n">
        <v>366</v>
      </c>
      <c r="AR670" s="0" t="s">
        <v>778</v>
      </c>
      <c r="AS670" s="0" t="n">
        <v>100</v>
      </c>
      <c r="AT670" s="0" t="n">
        <v>101</v>
      </c>
      <c r="AU670" s="0" t="s">
        <v>870</v>
      </c>
      <c r="AV670" s="0" t="n">
        <v>353</v>
      </c>
      <c r="AW670" s="0" t="n">
        <v>357</v>
      </c>
      <c r="AX670" s="0" t="s">
        <v>143</v>
      </c>
      <c r="AY670" s="0" t="n">
        <v>367</v>
      </c>
      <c r="AZ670" s="0" t="n">
        <v>366</v>
      </c>
      <c r="BA670" s="0" t="s">
        <v>778</v>
      </c>
      <c r="BB670" s="0" t="n">
        <v>100</v>
      </c>
      <c r="BC670" s="0" t="n">
        <v>101</v>
      </c>
      <c r="BD670" s="0" t="s">
        <v>870</v>
      </c>
      <c r="BE670" s="2" t="n">
        <v>43809</v>
      </c>
    </row>
    <row r="671" customFormat="false" ht="14.25" hidden="false" customHeight="false" outlineLevel="0" collapsed="false">
      <c r="A671" s="0" t="n">
        <v>670</v>
      </c>
      <c r="B671" s="1" t="s">
        <v>1364</v>
      </c>
      <c r="C671" s="0" t="n">
        <v>478</v>
      </c>
      <c r="D671" s="0" t="n">
        <v>484</v>
      </c>
      <c r="E671" s="0" t="s">
        <v>153</v>
      </c>
      <c r="F671" s="0" t="n">
        <v>464</v>
      </c>
      <c r="G671" s="0" t="n">
        <v>475</v>
      </c>
      <c r="H671" s="0" t="s">
        <v>138</v>
      </c>
      <c r="L671" s="0" t="n">
        <v>42</v>
      </c>
      <c r="M671" s="0" t="n">
        <v>42</v>
      </c>
      <c r="N671" s="0" t="s">
        <v>110</v>
      </c>
      <c r="AM671" s="0" t="n">
        <v>346</v>
      </c>
      <c r="AN671" s="0" t="n">
        <v>352</v>
      </c>
      <c r="AO671" s="0" t="s">
        <v>179</v>
      </c>
      <c r="AV671" s="0" t="n">
        <v>346</v>
      </c>
      <c r="AW671" s="0" t="n">
        <v>352</v>
      </c>
      <c r="AX671" s="0" t="s">
        <v>179</v>
      </c>
      <c r="BE671" s="2" t="n">
        <v>43810</v>
      </c>
    </row>
    <row r="672" customFormat="false" ht="14.25" hidden="false" customHeight="false" outlineLevel="0" collapsed="false">
      <c r="A672" s="0" t="n">
        <v>671</v>
      </c>
      <c r="B672" s="1" t="s">
        <v>1365</v>
      </c>
      <c r="C672" s="0" t="n">
        <v>428</v>
      </c>
      <c r="D672" s="0" t="n">
        <v>484</v>
      </c>
      <c r="E672" s="0" t="s">
        <v>400</v>
      </c>
      <c r="F672" s="0" t="n">
        <v>427</v>
      </c>
      <c r="G672" s="0" t="n">
        <v>475</v>
      </c>
      <c r="H672" s="0" t="s">
        <v>489</v>
      </c>
      <c r="L672" s="0" t="n">
        <v>41</v>
      </c>
      <c r="M672" s="0" t="n">
        <v>42</v>
      </c>
      <c r="N672" s="0" t="s">
        <v>497</v>
      </c>
      <c r="AM672" s="0" t="n">
        <v>357</v>
      </c>
      <c r="AN672" s="0" t="n">
        <v>357</v>
      </c>
      <c r="AO672" s="0" t="s">
        <v>110</v>
      </c>
      <c r="AP672" s="0" t="n">
        <v>366</v>
      </c>
      <c r="AQ672" s="0" t="n">
        <v>366</v>
      </c>
      <c r="AR672" s="0" t="s">
        <v>110</v>
      </c>
      <c r="AS672" s="0" t="n">
        <v>58</v>
      </c>
      <c r="AT672" s="0" t="n">
        <v>58</v>
      </c>
      <c r="AU672" s="0" t="s">
        <v>110</v>
      </c>
      <c r="AV672" s="0" t="n">
        <v>357</v>
      </c>
      <c r="AW672" s="0" t="n">
        <v>357</v>
      </c>
      <c r="AX672" s="0" t="s">
        <v>110</v>
      </c>
      <c r="AY672" s="0" t="n">
        <v>366</v>
      </c>
      <c r="AZ672" s="0" t="n">
        <v>366</v>
      </c>
      <c r="BA672" s="0" t="s">
        <v>110</v>
      </c>
      <c r="BB672" s="0" t="n">
        <v>58</v>
      </c>
      <c r="BC672" s="0" t="n">
        <v>58</v>
      </c>
      <c r="BD672" s="0" t="s">
        <v>110</v>
      </c>
      <c r="BE672" s="2" t="n">
        <v>43811</v>
      </c>
    </row>
    <row r="673" customFormat="false" ht="14.25" hidden="false" customHeight="false" outlineLevel="0" collapsed="false">
      <c r="A673" s="0" t="n">
        <v>672</v>
      </c>
      <c r="B673" s="1" t="s">
        <v>1366</v>
      </c>
      <c r="C673" s="0" t="n">
        <v>474</v>
      </c>
      <c r="D673" s="0" t="n">
        <v>484</v>
      </c>
      <c r="E673" s="0" t="s">
        <v>551</v>
      </c>
      <c r="F673" s="0" t="n">
        <v>452</v>
      </c>
      <c r="G673" s="0" t="n">
        <v>475</v>
      </c>
      <c r="H673" s="0" t="s">
        <v>634</v>
      </c>
      <c r="L673" s="0" t="n">
        <v>41</v>
      </c>
      <c r="M673" s="0" t="n">
        <v>42</v>
      </c>
      <c r="N673" s="0" t="s">
        <v>497</v>
      </c>
      <c r="AM673" s="0" t="n">
        <v>360</v>
      </c>
      <c r="AN673" s="0" t="n">
        <v>357</v>
      </c>
      <c r="AO673" s="0" t="s">
        <v>1151</v>
      </c>
      <c r="AP673" s="0" t="n">
        <v>354</v>
      </c>
      <c r="AQ673" s="0" t="n">
        <v>360</v>
      </c>
      <c r="AR673" s="0" t="s">
        <v>179</v>
      </c>
      <c r="AS673" s="0" t="n">
        <v>35</v>
      </c>
      <c r="AT673" s="0" t="n">
        <v>36</v>
      </c>
      <c r="AU673" s="0" t="s">
        <v>128</v>
      </c>
      <c r="AV673" s="0" t="n">
        <v>360</v>
      </c>
      <c r="AW673" s="0" t="n">
        <v>357</v>
      </c>
      <c r="AX673" s="0" t="s">
        <v>1151</v>
      </c>
      <c r="AY673" s="0" t="n">
        <v>354</v>
      </c>
      <c r="AZ673" s="0" t="n">
        <v>360</v>
      </c>
      <c r="BA673" s="0" t="s">
        <v>179</v>
      </c>
      <c r="BB673" s="0" t="n">
        <v>35</v>
      </c>
      <c r="BC673" s="0" t="n">
        <v>36</v>
      </c>
      <c r="BD673" s="0" t="s">
        <v>128</v>
      </c>
      <c r="BE673" s="2" t="n">
        <v>43812</v>
      </c>
    </row>
    <row r="674" customFormat="false" ht="14.25" hidden="false" customHeight="false" outlineLevel="0" collapsed="false">
      <c r="A674" s="0" t="n">
        <v>673</v>
      </c>
      <c r="B674" s="1" t="s">
        <v>1367</v>
      </c>
      <c r="C674" s="0" t="n">
        <v>348</v>
      </c>
      <c r="D674" s="0" t="n">
        <v>348</v>
      </c>
      <c r="E674" s="0" t="s">
        <v>110</v>
      </c>
      <c r="F674" s="0" t="n">
        <v>348</v>
      </c>
      <c r="G674" s="0" t="n">
        <v>353</v>
      </c>
      <c r="H674" s="0" t="s">
        <v>790</v>
      </c>
      <c r="BE674" s="2" t="n">
        <v>43813</v>
      </c>
    </row>
    <row r="675" customFormat="false" ht="14.25" hidden="false" customHeight="false" outlineLevel="0" collapsed="false">
      <c r="A675" s="0" t="n">
        <v>674</v>
      </c>
      <c r="B675" s="1" t="s">
        <v>1368</v>
      </c>
      <c r="C675" s="0" t="n">
        <v>478</v>
      </c>
      <c r="D675" s="0" t="n">
        <v>484</v>
      </c>
      <c r="E675" s="0" t="s">
        <v>153</v>
      </c>
      <c r="F675" s="0" t="n">
        <v>320</v>
      </c>
      <c r="G675" s="0" t="n">
        <v>475</v>
      </c>
      <c r="H675" s="0" t="s">
        <v>156</v>
      </c>
      <c r="L675" s="0" t="n">
        <v>43</v>
      </c>
      <c r="M675" s="0" t="n">
        <v>42</v>
      </c>
      <c r="N675" s="0" t="s">
        <v>785</v>
      </c>
      <c r="AM675" s="0" t="n">
        <v>353</v>
      </c>
      <c r="AN675" s="0" t="n">
        <v>361</v>
      </c>
      <c r="AO675" s="0" t="s">
        <v>652</v>
      </c>
      <c r="AP675" s="0" t="n">
        <v>239</v>
      </c>
      <c r="AQ675" s="0" t="n">
        <v>242</v>
      </c>
      <c r="AR675" s="0" t="s">
        <v>153</v>
      </c>
      <c r="AV675" s="0" t="n">
        <v>353</v>
      </c>
      <c r="AW675" s="0" t="n">
        <v>361</v>
      </c>
      <c r="AX675" s="0" t="s">
        <v>652</v>
      </c>
      <c r="AY675" s="0" t="n">
        <v>239</v>
      </c>
      <c r="AZ675" s="0" t="n">
        <v>242</v>
      </c>
      <c r="BA675" s="0" t="s">
        <v>153</v>
      </c>
      <c r="BE675" s="2" t="n">
        <v>43815</v>
      </c>
    </row>
    <row r="676" customFormat="false" ht="14.25" hidden="false" customHeight="false" outlineLevel="0" collapsed="false">
      <c r="A676" s="0" t="n">
        <v>675</v>
      </c>
      <c r="B676" s="1" t="s">
        <v>1369</v>
      </c>
      <c r="C676" s="0" t="n">
        <v>318</v>
      </c>
      <c r="D676" s="0" t="n">
        <v>476</v>
      </c>
      <c r="E676" s="0" t="s">
        <v>225</v>
      </c>
      <c r="F676" s="0" t="n">
        <v>465</v>
      </c>
      <c r="G676" s="0" t="n">
        <v>465</v>
      </c>
      <c r="H676" s="0" t="s">
        <v>110</v>
      </c>
      <c r="L676" s="0" t="n">
        <v>28</v>
      </c>
      <c r="M676" s="0" t="n">
        <v>42</v>
      </c>
      <c r="N676" s="0" t="s">
        <v>627</v>
      </c>
      <c r="AM676" s="0" t="n">
        <v>239</v>
      </c>
      <c r="AN676" s="0" t="n">
        <v>239</v>
      </c>
      <c r="AO676" s="0" t="s">
        <v>110</v>
      </c>
      <c r="AP676" s="0" t="n">
        <v>353</v>
      </c>
      <c r="AQ676" s="0" t="n">
        <v>354</v>
      </c>
      <c r="AR676" s="0" t="s">
        <v>723</v>
      </c>
      <c r="AS676" s="0" t="n">
        <v>47</v>
      </c>
      <c r="AT676" s="0" t="n">
        <v>47</v>
      </c>
      <c r="AU676" s="0" t="s">
        <v>110</v>
      </c>
      <c r="AV676" s="0" t="n">
        <v>239</v>
      </c>
      <c r="AW676" s="0" t="n">
        <v>239</v>
      </c>
      <c r="AX676" s="0" t="s">
        <v>110</v>
      </c>
      <c r="AY676" s="0" t="n">
        <v>353</v>
      </c>
      <c r="AZ676" s="0" t="n">
        <v>354</v>
      </c>
      <c r="BA676" s="0" t="s">
        <v>723</v>
      </c>
      <c r="BB676" s="0" t="n">
        <v>47</v>
      </c>
      <c r="BC676" s="0" t="n">
        <v>47</v>
      </c>
      <c r="BD676" s="0" t="s">
        <v>110</v>
      </c>
      <c r="BE676" s="2" t="n">
        <v>43816</v>
      </c>
    </row>
    <row r="677" customFormat="false" ht="14.25" hidden="false" customHeight="false" outlineLevel="0" collapsed="false">
      <c r="A677" s="0" t="n">
        <v>676</v>
      </c>
      <c r="B677" s="1" t="s">
        <v>1370</v>
      </c>
      <c r="C677" s="0" t="n">
        <v>482</v>
      </c>
      <c r="D677" s="0" t="n">
        <v>484</v>
      </c>
      <c r="E677" s="0" t="s">
        <v>899</v>
      </c>
      <c r="F677" s="0" t="n">
        <v>449</v>
      </c>
      <c r="G677" s="0" t="n">
        <v>475</v>
      </c>
      <c r="H677" s="0" t="s">
        <v>581</v>
      </c>
      <c r="L677" s="0" t="n">
        <v>42</v>
      </c>
      <c r="M677" s="0" t="n">
        <v>42</v>
      </c>
      <c r="N677" s="0" t="s">
        <v>110</v>
      </c>
      <c r="AM677" s="0" t="n">
        <v>357</v>
      </c>
      <c r="AN677" s="0" t="n">
        <v>360</v>
      </c>
      <c r="AO677" s="0" t="s">
        <v>863</v>
      </c>
      <c r="AP677" s="0" t="n">
        <v>362</v>
      </c>
      <c r="AQ677" s="0" t="n">
        <v>362</v>
      </c>
      <c r="AR677" s="0" t="s">
        <v>110</v>
      </c>
      <c r="AS677" s="0" t="n">
        <v>99</v>
      </c>
      <c r="AT677" s="0" t="n">
        <v>100</v>
      </c>
      <c r="AU677" s="0" t="s">
        <v>870</v>
      </c>
      <c r="AV677" s="0" t="n">
        <v>357</v>
      </c>
      <c r="AW677" s="0" t="n">
        <v>360</v>
      </c>
      <c r="AX677" s="0" t="s">
        <v>863</v>
      </c>
      <c r="AY677" s="0" t="n">
        <v>362</v>
      </c>
      <c r="AZ677" s="0" t="n">
        <v>362</v>
      </c>
      <c r="BA677" s="0" t="s">
        <v>110</v>
      </c>
      <c r="BB677" s="0" t="n">
        <v>99</v>
      </c>
      <c r="BC677" s="0" t="n">
        <v>100</v>
      </c>
      <c r="BD677" s="0" t="s">
        <v>870</v>
      </c>
      <c r="BE677" s="2" t="n">
        <v>43817</v>
      </c>
    </row>
    <row r="678" customFormat="false" ht="14.25" hidden="false" customHeight="false" outlineLevel="0" collapsed="false">
      <c r="A678" s="0" t="n">
        <v>677</v>
      </c>
      <c r="B678" s="1" t="s">
        <v>1371</v>
      </c>
      <c r="C678" s="0" t="n">
        <v>473</v>
      </c>
      <c r="D678" s="0" t="n">
        <v>483</v>
      </c>
      <c r="E678" s="0" t="s">
        <v>551</v>
      </c>
      <c r="F678" s="0" t="n">
        <v>409</v>
      </c>
      <c r="G678" s="0" t="n">
        <v>474</v>
      </c>
      <c r="H678" s="0" t="s">
        <v>590</v>
      </c>
      <c r="L678" s="0" t="n">
        <v>40</v>
      </c>
      <c r="M678" s="0" t="n">
        <v>42</v>
      </c>
      <c r="N678" s="0" t="s">
        <v>634</v>
      </c>
      <c r="AM678" s="0" t="n">
        <v>335</v>
      </c>
      <c r="AN678" s="0" t="n">
        <v>347</v>
      </c>
      <c r="AO678" s="0" t="s">
        <v>291</v>
      </c>
      <c r="AP678" s="0" t="n">
        <v>77</v>
      </c>
      <c r="AQ678" s="0" t="n">
        <v>77</v>
      </c>
      <c r="AR678" s="0" t="s">
        <v>110</v>
      </c>
      <c r="AS678" s="0" t="n">
        <v>100</v>
      </c>
      <c r="AT678" s="0" t="n">
        <v>107</v>
      </c>
      <c r="AU678" s="0" t="s">
        <v>713</v>
      </c>
      <c r="AV678" s="0" t="n">
        <v>335</v>
      </c>
      <c r="AW678" s="0" t="n">
        <v>347</v>
      </c>
      <c r="AX678" s="0" t="s">
        <v>291</v>
      </c>
      <c r="AY678" s="0" t="n">
        <v>77</v>
      </c>
      <c r="AZ678" s="0" t="n">
        <v>77</v>
      </c>
      <c r="BA678" s="0" t="s">
        <v>110</v>
      </c>
      <c r="BB678" s="0" t="n">
        <v>100</v>
      </c>
      <c r="BC678" s="0" t="n">
        <v>107</v>
      </c>
      <c r="BD678" s="0" t="s">
        <v>713</v>
      </c>
      <c r="BE678" s="2" t="n">
        <v>43818</v>
      </c>
    </row>
    <row r="679" customFormat="false" ht="14.25" hidden="false" customHeight="false" outlineLevel="0" collapsed="false">
      <c r="A679" s="0" t="n">
        <v>678</v>
      </c>
      <c r="B679" s="1" t="s">
        <v>1372</v>
      </c>
      <c r="C679" s="0" t="n">
        <v>286</v>
      </c>
      <c r="D679" s="0" t="n">
        <v>432</v>
      </c>
      <c r="E679" s="0" t="s">
        <v>1373</v>
      </c>
      <c r="F679" s="0" t="n">
        <v>311</v>
      </c>
      <c r="G679" s="0" t="n">
        <v>401</v>
      </c>
      <c r="H679" s="0" t="s">
        <v>703</v>
      </c>
      <c r="I679" s="0" t="n">
        <v>257</v>
      </c>
      <c r="J679" s="0" t="n">
        <v>358</v>
      </c>
      <c r="K679" s="0" t="s">
        <v>150</v>
      </c>
      <c r="AD679" s="0" t="n">
        <v>476</v>
      </c>
      <c r="AM679" s="0" t="n">
        <v>255</v>
      </c>
      <c r="AN679" s="0" t="n">
        <v>372</v>
      </c>
      <c r="AO679" s="0" t="s">
        <v>303</v>
      </c>
      <c r="AP679" s="0" t="n">
        <v>224</v>
      </c>
      <c r="AQ679" s="0" t="n">
        <v>327</v>
      </c>
      <c r="AR679" s="0" t="s">
        <v>303</v>
      </c>
      <c r="AS679" s="0" t="n">
        <v>86</v>
      </c>
      <c r="AT679" s="0" t="n">
        <v>126</v>
      </c>
      <c r="AU679" s="0" t="s">
        <v>261</v>
      </c>
      <c r="AV679" s="0" t="n">
        <v>255</v>
      </c>
      <c r="AW679" s="0" t="n">
        <v>372</v>
      </c>
      <c r="AX679" s="0" t="s">
        <v>303</v>
      </c>
      <c r="AY679" s="0" t="n">
        <v>224</v>
      </c>
      <c r="AZ679" s="0" t="n">
        <v>327</v>
      </c>
      <c r="BA679" s="0" t="s">
        <v>303</v>
      </c>
      <c r="BB679" s="0" t="n">
        <v>86</v>
      </c>
      <c r="BC679" s="0" t="n">
        <v>126</v>
      </c>
      <c r="BD679" s="0" t="s">
        <v>261</v>
      </c>
      <c r="BE679" s="2" t="n">
        <v>43846</v>
      </c>
    </row>
    <row r="680" customFormat="false" ht="14.25" hidden="false" customHeight="false" outlineLevel="0" collapsed="false">
      <c r="A680" s="0" t="n">
        <v>679</v>
      </c>
      <c r="B680" s="1" t="s">
        <v>1374</v>
      </c>
      <c r="C680" s="0" t="n">
        <v>370</v>
      </c>
      <c r="D680" s="0" t="n">
        <v>484</v>
      </c>
      <c r="E680" s="0" t="s">
        <v>290</v>
      </c>
      <c r="F680" s="0" t="n">
        <v>403</v>
      </c>
      <c r="G680" s="0" t="n">
        <v>475</v>
      </c>
      <c r="H680" s="0" t="s">
        <v>306</v>
      </c>
      <c r="I680" s="0" t="n">
        <v>331</v>
      </c>
      <c r="J680" s="0" t="n">
        <v>420</v>
      </c>
      <c r="K680" s="0" t="s">
        <v>236</v>
      </c>
      <c r="AD680" s="0" t="n">
        <v>706</v>
      </c>
      <c r="AM680" s="0" t="n">
        <v>283</v>
      </c>
      <c r="AP680" s="0" t="n">
        <v>235</v>
      </c>
      <c r="AS680" s="0" t="n">
        <v>85</v>
      </c>
      <c r="AV680" s="0" t="n">
        <v>283</v>
      </c>
      <c r="AY680" s="0" t="n">
        <v>235</v>
      </c>
      <c r="BB680" s="0" t="n">
        <v>85</v>
      </c>
      <c r="BE680" s="2" t="n">
        <v>43847</v>
      </c>
    </row>
    <row r="681" customFormat="false" ht="14.25" hidden="false" customHeight="false" outlineLevel="0" collapsed="false">
      <c r="A681" s="0" t="n">
        <v>680</v>
      </c>
      <c r="B681" s="1" t="s">
        <v>1375</v>
      </c>
      <c r="C681" s="0" t="n">
        <v>437</v>
      </c>
      <c r="D681" s="0" t="n">
        <v>481</v>
      </c>
      <c r="E681" s="0" t="s">
        <v>452</v>
      </c>
      <c r="F681" s="0" t="n">
        <v>378</v>
      </c>
      <c r="G681" s="0" t="n">
        <v>445</v>
      </c>
      <c r="H681" s="0" t="s">
        <v>638</v>
      </c>
      <c r="I681" s="0" t="n">
        <v>298</v>
      </c>
      <c r="J681" s="0" t="n">
        <v>368</v>
      </c>
      <c r="K681" s="0" t="s">
        <v>320</v>
      </c>
      <c r="L681" s="0" t="n">
        <v>11</v>
      </c>
      <c r="M681" s="0" t="n">
        <v>40</v>
      </c>
      <c r="N681" s="0" t="s">
        <v>1376</v>
      </c>
      <c r="AD681" s="0" t="n">
        <v>670</v>
      </c>
      <c r="AM681" s="0" t="n">
        <v>344</v>
      </c>
      <c r="AN681" s="0" t="n">
        <v>372</v>
      </c>
      <c r="AO681" s="0" t="s">
        <v>578</v>
      </c>
      <c r="AP681" s="0" t="n">
        <v>311</v>
      </c>
      <c r="AQ681" s="0" t="n">
        <v>348</v>
      </c>
      <c r="AR681" s="0" t="s">
        <v>396</v>
      </c>
      <c r="AS681" s="0" t="n">
        <v>105</v>
      </c>
      <c r="AT681" s="0" t="n">
        <v>115</v>
      </c>
      <c r="AU681" s="0" t="s">
        <v>174</v>
      </c>
      <c r="AV681" s="0" t="n">
        <v>344</v>
      </c>
      <c r="AW681" s="0" t="n">
        <v>372</v>
      </c>
      <c r="AX681" s="0" t="s">
        <v>578</v>
      </c>
      <c r="AY681" s="0" t="n">
        <v>311</v>
      </c>
      <c r="AZ681" s="0" t="n">
        <v>348</v>
      </c>
      <c r="BA681" s="0" t="s">
        <v>396</v>
      </c>
      <c r="BB681" s="0" t="n">
        <v>105</v>
      </c>
      <c r="BC681" s="0" t="n">
        <v>115</v>
      </c>
      <c r="BD681" s="0" t="s">
        <v>174</v>
      </c>
      <c r="BE681" s="2" t="n">
        <v>43850</v>
      </c>
    </row>
    <row r="682" customFormat="false" ht="14.25" hidden="false" customHeight="false" outlineLevel="0" collapsed="false">
      <c r="A682" s="0" t="n">
        <v>681</v>
      </c>
      <c r="B682" s="1" t="s">
        <v>1377</v>
      </c>
      <c r="C682" s="0" t="n">
        <v>235</v>
      </c>
      <c r="D682" s="0" t="n">
        <v>422</v>
      </c>
      <c r="E682" s="0" t="s">
        <v>1378</v>
      </c>
      <c r="BE682" s="2" t="n">
        <v>43849</v>
      </c>
    </row>
    <row r="683" customFormat="false" ht="14.25" hidden="false" customHeight="false" outlineLevel="0" collapsed="false">
      <c r="A683" s="0" t="n">
        <v>682</v>
      </c>
      <c r="B683" s="1" t="s">
        <v>1379</v>
      </c>
      <c r="C683" s="0" t="n">
        <v>25</v>
      </c>
      <c r="D683" s="0" t="n">
        <v>83</v>
      </c>
      <c r="E683" s="0" t="s">
        <v>1380</v>
      </c>
      <c r="AD683" s="0" t="n">
        <v>661</v>
      </c>
      <c r="AM683" s="0" t="n">
        <v>237</v>
      </c>
      <c r="AP683" s="0" t="n">
        <v>224</v>
      </c>
      <c r="AS683" s="0" t="n">
        <v>50</v>
      </c>
      <c r="AV683" s="0" t="n">
        <v>237</v>
      </c>
      <c r="AY683" s="0" t="n">
        <v>224</v>
      </c>
      <c r="BB683" s="0" t="n">
        <v>50</v>
      </c>
      <c r="BE683" s="2" t="n">
        <v>43845</v>
      </c>
    </row>
    <row r="684" customFormat="false" ht="14.25" hidden="false" customHeight="false" outlineLevel="0" collapsed="false">
      <c r="A684" s="0" t="n">
        <v>683</v>
      </c>
      <c r="B684" s="1" t="s">
        <v>1381</v>
      </c>
      <c r="C684" s="0" t="n">
        <v>287</v>
      </c>
      <c r="D684" s="0" t="n">
        <v>351</v>
      </c>
      <c r="E684" s="0" t="s">
        <v>918</v>
      </c>
      <c r="F684" s="0" t="n">
        <v>228</v>
      </c>
      <c r="G684" s="0" t="n">
        <v>352</v>
      </c>
      <c r="H684" s="0" t="s">
        <v>1157</v>
      </c>
      <c r="AS684" s="0" t="n">
        <v>105</v>
      </c>
      <c r="AT684" s="0" t="n">
        <v>107</v>
      </c>
      <c r="AU684" s="0" t="s">
        <v>457</v>
      </c>
      <c r="BB684" s="0" t="n">
        <v>105</v>
      </c>
      <c r="BC684" s="0" t="n">
        <v>107</v>
      </c>
      <c r="BD684" s="0" t="s">
        <v>457</v>
      </c>
      <c r="BE684" s="2" t="n">
        <v>43848</v>
      </c>
    </row>
    <row r="685" customFormat="false" ht="14.25" hidden="false" customHeight="false" outlineLevel="0" collapsed="false">
      <c r="A685" s="0" t="n">
        <v>684</v>
      </c>
      <c r="B685" s="1" t="s">
        <v>1382</v>
      </c>
      <c r="C685" s="0" t="n">
        <v>273</v>
      </c>
      <c r="D685" s="0" t="n">
        <v>484</v>
      </c>
      <c r="E685" s="0" t="s">
        <v>1383</v>
      </c>
      <c r="F685" s="0" t="n">
        <v>377</v>
      </c>
      <c r="G685" s="0" t="n">
        <v>475</v>
      </c>
      <c r="H685" s="0" t="s">
        <v>242</v>
      </c>
      <c r="I685" s="0" t="n">
        <v>218</v>
      </c>
      <c r="J685" s="0" t="n">
        <v>368</v>
      </c>
      <c r="K685" s="0" t="s">
        <v>814</v>
      </c>
      <c r="L685" s="0" t="n">
        <v>21</v>
      </c>
      <c r="M685" s="0" t="n">
        <v>16</v>
      </c>
      <c r="N685" s="0" t="s">
        <v>1384</v>
      </c>
      <c r="O685" s="0" t="n">
        <v>13</v>
      </c>
      <c r="P685" s="0" t="n">
        <v>16</v>
      </c>
      <c r="Q685" s="0" t="s">
        <v>302</v>
      </c>
      <c r="AD685" s="0" t="n">
        <v>580</v>
      </c>
      <c r="AM685" s="0" t="n">
        <v>344</v>
      </c>
      <c r="AN685" s="0" t="n">
        <v>355</v>
      </c>
      <c r="AO685" s="0" t="s">
        <v>758</v>
      </c>
      <c r="AP685" s="0" t="n">
        <v>351</v>
      </c>
      <c r="AQ685" s="0" t="n">
        <v>357</v>
      </c>
      <c r="AR685" s="0" t="s">
        <v>179</v>
      </c>
      <c r="AS685" s="0" t="n">
        <v>82</v>
      </c>
      <c r="AT685" s="0" t="n">
        <v>85</v>
      </c>
      <c r="AU685" s="0" t="s">
        <v>291</v>
      </c>
      <c r="AV685" s="0" t="n">
        <v>344</v>
      </c>
      <c r="AW685" s="0" t="n">
        <v>355</v>
      </c>
      <c r="AX685" s="0" t="s">
        <v>758</v>
      </c>
      <c r="AY685" s="0" t="n">
        <v>351</v>
      </c>
      <c r="AZ685" s="0" t="n">
        <v>357</v>
      </c>
      <c r="BA685" s="0" t="s">
        <v>179</v>
      </c>
      <c r="BB685" s="0" t="n">
        <v>82</v>
      </c>
      <c r="BC685" s="0" t="n">
        <v>85</v>
      </c>
      <c r="BD685" s="0" t="s">
        <v>291</v>
      </c>
      <c r="BE685" s="2" t="n">
        <v>43851</v>
      </c>
    </row>
    <row r="686" customFormat="false" ht="14.25" hidden="false" customHeight="false" outlineLevel="0" collapsed="false">
      <c r="A686" s="0" t="n">
        <v>685</v>
      </c>
      <c r="B686" s="1" t="s">
        <v>1385</v>
      </c>
      <c r="C686" s="0" t="n">
        <v>371</v>
      </c>
      <c r="D686" s="0" t="n">
        <v>484</v>
      </c>
      <c r="E686" s="0" t="s">
        <v>901</v>
      </c>
      <c r="F686" s="0" t="n">
        <v>416</v>
      </c>
      <c r="G686" s="0" t="n">
        <v>475</v>
      </c>
      <c r="H686" s="0" t="s">
        <v>339</v>
      </c>
      <c r="I686" s="0" t="n">
        <v>299</v>
      </c>
      <c r="J686" s="0" t="n">
        <v>368</v>
      </c>
      <c r="K686" s="0" t="s">
        <v>302</v>
      </c>
      <c r="L686" s="0" t="n">
        <v>17</v>
      </c>
      <c r="M686" s="0" t="n">
        <v>18</v>
      </c>
      <c r="N686" s="0" t="s">
        <v>160</v>
      </c>
      <c r="O686" s="0" t="n">
        <v>19</v>
      </c>
      <c r="P686" s="0" t="n">
        <v>19</v>
      </c>
      <c r="Q686" s="0" t="s">
        <v>110</v>
      </c>
      <c r="AE686" s="0" t="n">
        <v>709</v>
      </c>
      <c r="AM686" s="0" t="n">
        <v>346</v>
      </c>
      <c r="AN686" s="0" t="n">
        <v>355</v>
      </c>
      <c r="AO686" s="0" t="s">
        <v>370</v>
      </c>
      <c r="AP686" s="0" t="n">
        <v>362</v>
      </c>
      <c r="AQ686" s="0" t="n">
        <v>363</v>
      </c>
      <c r="AR686" s="0" t="s">
        <v>723</v>
      </c>
      <c r="AS686" s="0" t="n">
        <v>94</v>
      </c>
      <c r="AT686" s="0" t="n">
        <v>107</v>
      </c>
      <c r="AU686" s="0" t="s">
        <v>311</v>
      </c>
      <c r="AV686" s="0" t="n">
        <v>346</v>
      </c>
      <c r="AW686" s="0" t="n">
        <v>355</v>
      </c>
      <c r="AX686" s="0" t="s">
        <v>370</v>
      </c>
      <c r="AY686" s="0" t="n">
        <v>362</v>
      </c>
      <c r="AZ686" s="0" t="n">
        <v>363</v>
      </c>
      <c r="BA686" s="0" t="s">
        <v>723</v>
      </c>
      <c r="BB686" s="0" t="n">
        <v>94</v>
      </c>
      <c r="BC686" s="0" t="n">
        <v>107</v>
      </c>
      <c r="BD686" s="0" t="s">
        <v>311</v>
      </c>
      <c r="BE686" s="2" t="n">
        <v>43852</v>
      </c>
    </row>
    <row r="687" customFormat="false" ht="14.25" hidden="false" customHeight="false" outlineLevel="0" collapsed="false">
      <c r="A687" s="0" t="n">
        <v>686</v>
      </c>
      <c r="B687" s="1" t="s">
        <v>1386</v>
      </c>
      <c r="C687" s="0" t="n">
        <v>347</v>
      </c>
      <c r="D687" s="0" t="n">
        <v>484</v>
      </c>
      <c r="E687" s="0" t="s">
        <v>1387</v>
      </c>
      <c r="F687" s="0" t="n">
        <v>412</v>
      </c>
      <c r="G687" s="0" t="n">
        <v>475</v>
      </c>
      <c r="H687" s="0" t="s">
        <v>382</v>
      </c>
      <c r="I687" s="0" t="n">
        <v>321</v>
      </c>
      <c r="J687" s="0" t="n">
        <v>368</v>
      </c>
      <c r="K687" s="0" t="s">
        <v>409</v>
      </c>
      <c r="L687" s="0" t="n">
        <v>20</v>
      </c>
      <c r="O687" s="0" t="n">
        <v>20</v>
      </c>
      <c r="AD687" s="0" t="n">
        <v>655</v>
      </c>
      <c r="AM687" s="0" t="n">
        <v>345</v>
      </c>
      <c r="AN687" s="0" t="n">
        <v>359</v>
      </c>
      <c r="AO687" s="0" t="s">
        <v>594</v>
      </c>
      <c r="AP687" s="0" t="n">
        <v>347</v>
      </c>
      <c r="AQ687" s="0" t="n">
        <v>356</v>
      </c>
      <c r="AR687" s="0" t="s">
        <v>370</v>
      </c>
      <c r="AS687" s="0" t="n">
        <v>50</v>
      </c>
      <c r="AT687" s="0" t="n">
        <v>52</v>
      </c>
      <c r="AU687" s="0" t="s">
        <v>200</v>
      </c>
      <c r="AV687" s="0" t="n">
        <v>345</v>
      </c>
      <c r="AW687" s="0" t="n">
        <v>359</v>
      </c>
      <c r="AX687" s="0" t="s">
        <v>594</v>
      </c>
      <c r="AY687" s="0" t="n">
        <v>347</v>
      </c>
      <c r="AZ687" s="0" t="n">
        <v>356</v>
      </c>
      <c r="BA687" s="0" t="s">
        <v>370</v>
      </c>
      <c r="BB687" s="0" t="n">
        <v>50</v>
      </c>
      <c r="BC687" s="0" t="n">
        <v>52</v>
      </c>
      <c r="BD687" s="0" t="s">
        <v>200</v>
      </c>
      <c r="BE687" s="2" t="n">
        <v>43853</v>
      </c>
    </row>
    <row r="688" customFormat="false" ht="14.25" hidden="false" customHeight="false" outlineLevel="0" collapsed="false">
      <c r="A688" s="0" t="n">
        <v>687</v>
      </c>
      <c r="B688" s="1" t="s">
        <v>1388</v>
      </c>
      <c r="C688" s="0" t="n">
        <v>381</v>
      </c>
      <c r="D688" s="0" t="n">
        <v>484</v>
      </c>
      <c r="E688" s="0" t="s">
        <v>1262</v>
      </c>
      <c r="F688" s="0" t="n">
        <v>300</v>
      </c>
      <c r="G688" s="0" t="n">
        <v>475</v>
      </c>
      <c r="H688" s="0" t="s">
        <v>689</v>
      </c>
      <c r="I688" s="0" t="n">
        <v>378</v>
      </c>
      <c r="J688" s="0" t="n">
        <v>420</v>
      </c>
      <c r="K688" s="0" t="s">
        <v>415</v>
      </c>
      <c r="L688" s="0" t="n">
        <v>22</v>
      </c>
      <c r="M688" s="0" t="n">
        <v>21</v>
      </c>
      <c r="N688" s="0" t="s">
        <v>1093</v>
      </c>
      <c r="O688" s="0" t="n">
        <v>20</v>
      </c>
      <c r="P688" s="0" t="n">
        <v>21</v>
      </c>
      <c r="Q688" s="0" t="s">
        <v>634</v>
      </c>
      <c r="AE688" s="0" t="n">
        <v>388</v>
      </c>
      <c r="AM688" s="0" t="n">
        <v>365</v>
      </c>
      <c r="AN688" s="0" t="n">
        <v>366</v>
      </c>
      <c r="AO688" s="0" t="s">
        <v>723</v>
      </c>
      <c r="AP688" s="0" t="n">
        <v>351</v>
      </c>
      <c r="AQ688" s="0" t="n">
        <v>356</v>
      </c>
      <c r="AR688" s="0" t="s">
        <v>790</v>
      </c>
      <c r="AV688" s="0" t="n">
        <v>365</v>
      </c>
      <c r="AW688" s="0" t="n">
        <v>366</v>
      </c>
      <c r="AX688" s="0" t="s">
        <v>723</v>
      </c>
      <c r="AY688" s="0" t="n">
        <v>351</v>
      </c>
      <c r="AZ688" s="0" t="n">
        <v>356</v>
      </c>
      <c r="BA688" s="0" t="s">
        <v>790</v>
      </c>
      <c r="BE688" s="2" t="n">
        <v>43854</v>
      </c>
    </row>
    <row r="689" customFormat="false" ht="14.25" hidden="false" customHeight="false" outlineLevel="0" collapsed="false">
      <c r="A689" s="0" t="n">
        <v>688</v>
      </c>
      <c r="B689" s="1" t="s">
        <v>1389</v>
      </c>
      <c r="C689" s="0" t="n">
        <v>373</v>
      </c>
      <c r="D689" s="0" t="n">
        <v>484</v>
      </c>
      <c r="E689" s="0" t="s">
        <v>873</v>
      </c>
      <c r="F689" s="0" t="n">
        <v>468</v>
      </c>
      <c r="G689" s="0" t="n">
        <v>475</v>
      </c>
      <c r="H689" s="0" t="s">
        <v>120</v>
      </c>
      <c r="I689" s="0" t="n">
        <v>360</v>
      </c>
      <c r="J689" s="0" t="n">
        <v>368</v>
      </c>
      <c r="K689" s="0" t="s">
        <v>652</v>
      </c>
      <c r="L689" s="0" t="n">
        <v>46</v>
      </c>
      <c r="M689" s="0" t="n">
        <v>48</v>
      </c>
      <c r="N689" s="0" t="s">
        <v>136</v>
      </c>
      <c r="AD689" s="0" t="n">
        <v>637</v>
      </c>
      <c r="AE689" s="0" t="n">
        <v>666</v>
      </c>
      <c r="AF689" s="0" t="s">
        <v>544</v>
      </c>
      <c r="AM689" s="0" t="n">
        <v>310</v>
      </c>
      <c r="AN689" s="0" t="n">
        <v>336</v>
      </c>
      <c r="AO689" s="0" t="s">
        <v>193</v>
      </c>
      <c r="AP689" s="0" t="n">
        <v>270</v>
      </c>
      <c r="AQ689" s="0" t="n">
        <v>330</v>
      </c>
      <c r="AR689" s="0" t="s">
        <v>918</v>
      </c>
      <c r="AV689" s="0" t="n">
        <v>310</v>
      </c>
      <c r="AW689" s="0" t="n">
        <v>336</v>
      </c>
      <c r="AX689" s="0" t="s">
        <v>193</v>
      </c>
      <c r="AY689" s="0" t="n">
        <v>270</v>
      </c>
      <c r="AZ689" s="0" t="n">
        <v>330</v>
      </c>
      <c r="BA689" s="0" t="s">
        <v>918</v>
      </c>
      <c r="BE689" s="2" t="n">
        <v>43348</v>
      </c>
    </row>
    <row r="690" customFormat="false" ht="14.25" hidden="false" customHeight="false" outlineLevel="0" collapsed="false">
      <c r="A690" s="0" t="n">
        <v>689</v>
      </c>
      <c r="B690" s="1" t="s">
        <v>1390</v>
      </c>
      <c r="BE690" s="2" t="n">
        <v>43330</v>
      </c>
    </row>
    <row r="691" customFormat="false" ht="14.25" hidden="false" customHeight="false" outlineLevel="0" collapsed="false">
      <c r="A691" s="0" t="n">
        <v>690</v>
      </c>
      <c r="B691" s="1" t="s">
        <v>1391</v>
      </c>
      <c r="C691" s="0" t="n">
        <v>439</v>
      </c>
      <c r="D691" s="0" t="n">
        <v>484</v>
      </c>
      <c r="E691" s="0" t="s">
        <v>186</v>
      </c>
      <c r="F691" s="0" t="n">
        <v>440</v>
      </c>
      <c r="G691" s="0" t="n">
        <v>475</v>
      </c>
      <c r="H691" s="0" t="s">
        <v>437</v>
      </c>
      <c r="I691" s="0" t="n">
        <v>317</v>
      </c>
      <c r="J691" s="0" t="n">
        <v>368</v>
      </c>
      <c r="K691" s="0" t="s">
        <v>283</v>
      </c>
      <c r="L691" s="0" t="n">
        <v>21</v>
      </c>
      <c r="M691" s="0" t="n">
        <v>21</v>
      </c>
      <c r="N691" s="0" t="s">
        <v>110</v>
      </c>
      <c r="O691" s="0" t="n">
        <v>21</v>
      </c>
      <c r="P691" s="0" t="n">
        <v>21</v>
      </c>
      <c r="Q691" s="0" t="s">
        <v>110</v>
      </c>
      <c r="AD691" s="0" t="n">
        <v>423</v>
      </c>
      <c r="AM691" s="0" t="n">
        <v>342</v>
      </c>
      <c r="AN691" s="0" t="n">
        <v>364</v>
      </c>
      <c r="AO691" s="0" t="s">
        <v>526</v>
      </c>
      <c r="AP691" s="0" t="n">
        <v>346</v>
      </c>
      <c r="AQ691" s="0" t="n">
        <v>355</v>
      </c>
      <c r="AR691" s="0" t="s">
        <v>370</v>
      </c>
      <c r="AV691" s="0" t="n">
        <v>342</v>
      </c>
      <c r="AW691" s="0" t="n">
        <v>364</v>
      </c>
      <c r="AX691" s="0" t="s">
        <v>526</v>
      </c>
      <c r="AY691" s="0" t="n">
        <v>346</v>
      </c>
      <c r="AZ691" s="0" t="n">
        <v>355</v>
      </c>
      <c r="BA691" s="0" t="s">
        <v>370</v>
      </c>
      <c r="BE691" s="2" t="n">
        <v>43857</v>
      </c>
    </row>
    <row r="692" customFormat="false" ht="14.25" hidden="false" customHeight="false" outlineLevel="0" collapsed="false">
      <c r="A692" s="0" t="n">
        <v>691</v>
      </c>
      <c r="B692" s="1" t="s">
        <v>1392</v>
      </c>
      <c r="C692" s="0" t="n">
        <v>414</v>
      </c>
      <c r="D692" s="0" t="n">
        <v>484</v>
      </c>
      <c r="E692" s="0" t="s">
        <v>509</v>
      </c>
      <c r="F692" s="0" t="n">
        <v>423</v>
      </c>
      <c r="G692" s="0" t="n">
        <v>475</v>
      </c>
      <c r="H692" s="0" t="s">
        <v>421</v>
      </c>
      <c r="I692" s="0" t="n">
        <v>312</v>
      </c>
      <c r="J692" s="0" t="n">
        <v>368</v>
      </c>
      <c r="K692" s="0" t="s">
        <v>306</v>
      </c>
      <c r="L692" s="0" t="n">
        <v>22</v>
      </c>
      <c r="M692" s="0" t="n">
        <v>21</v>
      </c>
      <c r="N692" s="0" t="s">
        <v>1093</v>
      </c>
      <c r="O692" s="0" t="n">
        <v>19</v>
      </c>
      <c r="P692" s="0" t="n">
        <v>21</v>
      </c>
      <c r="Q692" s="0" t="s">
        <v>608</v>
      </c>
      <c r="AD692" s="0" t="n">
        <v>498</v>
      </c>
      <c r="AM692" s="0" t="n">
        <v>363</v>
      </c>
      <c r="AN692" s="0" t="n">
        <v>363</v>
      </c>
      <c r="AO692" s="0" t="s">
        <v>110</v>
      </c>
      <c r="AP692" s="0" t="n">
        <v>345</v>
      </c>
      <c r="AQ692" s="0" t="n">
        <v>362</v>
      </c>
      <c r="AR692" s="0" t="s">
        <v>753</v>
      </c>
      <c r="AS692" s="0" t="n">
        <v>95</v>
      </c>
      <c r="AT692" s="0" t="n">
        <v>107</v>
      </c>
      <c r="AU692" s="0" t="s">
        <v>166</v>
      </c>
      <c r="AV692" s="0" t="n">
        <v>363</v>
      </c>
      <c r="AW692" s="0" t="n">
        <v>363</v>
      </c>
      <c r="AX692" s="0" t="s">
        <v>110</v>
      </c>
      <c r="AY692" s="0" t="n">
        <v>345</v>
      </c>
      <c r="AZ692" s="0" t="n">
        <v>362</v>
      </c>
      <c r="BA692" s="0" t="s">
        <v>753</v>
      </c>
      <c r="BB692" s="0" t="n">
        <v>95</v>
      </c>
      <c r="BC692" s="0" t="n">
        <v>107</v>
      </c>
      <c r="BD692" s="0" t="s">
        <v>166</v>
      </c>
      <c r="BE692" s="2" t="n">
        <v>43858</v>
      </c>
    </row>
    <row r="693" customFormat="false" ht="14.25" hidden="false" customHeight="false" outlineLevel="0" collapsed="false">
      <c r="A693" s="0" t="n">
        <v>692</v>
      </c>
      <c r="B693" s="1" t="s">
        <v>1393</v>
      </c>
      <c r="C693" s="0" t="n">
        <v>369</v>
      </c>
      <c r="D693" s="0" t="n">
        <v>484</v>
      </c>
      <c r="E693" s="0" t="s">
        <v>721</v>
      </c>
      <c r="F693" s="0" t="n">
        <v>412</v>
      </c>
      <c r="G693" s="0" t="n">
        <v>475</v>
      </c>
      <c r="H693" s="0" t="s">
        <v>382</v>
      </c>
      <c r="I693" s="0" t="n">
        <v>258</v>
      </c>
      <c r="J693" s="0" t="n">
        <v>368</v>
      </c>
      <c r="K693" s="0" t="s">
        <v>164</v>
      </c>
      <c r="L693" s="0" t="n">
        <v>22</v>
      </c>
      <c r="M693" s="0" t="n">
        <v>22</v>
      </c>
      <c r="N693" s="0" t="s">
        <v>110</v>
      </c>
      <c r="O693" s="0" t="n">
        <v>21</v>
      </c>
      <c r="P693" s="0" t="n">
        <v>21</v>
      </c>
      <c r="Q693" s="0" t="s">
        <v>110</v>
      </c>
      <c r="AD693" s="0" t="n">
        <v>555</v>
      </c>
      <c r="AE693" s="0" t="n">
        <v>642</v>
      </c>
      <c r="AF693" s="0" t="s">
        <v>167</v>
      </c>
      <c r="AM693" s="0" t="n">
        <v>354</v>
      </c>
      <c r="AN693" s="0" t="n">
        <v>354</v>
      </c>
      <c r="AO693" s="0" t="s">
        <v>110</v>
      </c>
      <c r="AP693" s="0" t="n">
        <v>297</v>
      </c>
      <c r="AQ693" s="0" t="n">
        <v>297</v>
      </c>
      <c r="AR693" s="0" t="s">
        <v>110</v>
      </c>
      <c r="AS693" s="0" t="n">
        <v>76</v>
      </c>
      <c r="AT693" s="0" t="n">
        <v>77</v>
      </c>
      <c r="AU693" s="0" t="s">
        <v>789</v>
      </c>
      <c r="AV693" s="0" t="n">
        <v>354</v>
      </c>
      <c r="AW693" s="0" t="n">
        <v>354</v>
      </c>
      <c r="AX693" s="0" t="s">
        <v>110</v>
      </c>
      <c r="AY693" s="0" t="n">
        <v>297</v>
      </c>
      <c r="AZ693" s="0" t="n">
        <v>297</v>
      </c>
      <c r="BA693" s="0" t="s">
        <v>110</v>
      </c>
      <c r="BB693" s="0" t="n">
        <v>76</v>
      </c>
      <c r="BC693" s="0" t="n">
        <v>77</v>
      </c>
      <c r="BD693" s="0" t="s">
        <v>789</v>
      </c>
      <c r="BE693" s="2" t="n">
        <v>43859</v>
      </c>
    </row>
    <row r="694" customFormat="false" ht="14.25" hidden="false" customHeight="false" outlineLevel="0" collapsed="false">
      <c r="A694" s="0" t="n">
        <v>693</v>
      </c>
      <c r="B694" s="1" t="s">
        <v>1394</v>
      </c>
      <c r="C694" s="0" t="n">
        <v>425</v>
      </c>
      <c r="D694" s="0" t="n">
        <v>484</v>
      </c>
      <c r="E694" s="0" t="s">
        <v>916</v>
      </c>
      <c r="F694" s="0" t="n">
        <v>380</v>
      </c>
      <c r="G694" s="0" t="n">
        <v>475</v>
      </c>
      <c r="H694" s="0" t="s">
        <v>230</v>
      </c>
      <c r="I694" s="0" t="n">
        <v>316</v>
      </c>
      <c r="J694" s="0" t="n">
        <v>368</v>
      </c>
      <c r="K694" s="0" t="s">
        <v>1090</v>
      </c>
      <c r="L694" s="0" t="n">
        <v>21</v>
      </c>
      <c r="M694" s="0" t="n">
        <v>21</v>
      </c>
      <c r="N694" s="0" t="s">
        <v>110</v>
      </c>
      <c r="AD694" s="0" t="n">
        <v>430</v>
      </c>
      <c r="AE694" s="0" t="n">
        <v>642</v>
      </c>
      <c r="AF694" s="0" t="s">
        <v>331</v>
      </c>
      <c r="AM694" s="0" t="n">
        <v>331</v>
      </c>
      <c r="AN694" s="0" t="n">
        <v>331</v>
      </c>
      <c r="AO694" s="0" t="s">
        <v>110</v>
      </c>
      <c r="AP694" s="0" t="n">
        <v>348</v>
      </c>
      <c r="AQ694" s="0" t="n">
        <v>355</v>
      </c>
      <c r="AR694" s="0" t="s">
        <v>131</v>
      </c>
      <c r="AS694" s="0" t="n">
        <v>105</v>
      </c>
      <c r="AT694" s="0" t="n">
        <v>107</v>
      </c>
      <c r="AU694" s="0" t="s">
        <v>457</v>
      </c>
      <c r="AV694" s="0" t="n">
        <v>331</v>
      </c>
      <c r="AW694" s="0" t="n">
        <v>331</v>
      </c>
      <c r="AX694" s="0" t="s">
        <v>110</v>
      </c>
      <c r="AY694" s="0" t="n">
        <v>348</v>
      </c>
      <c r="AZ694" s="0" t="n">
        <v>355</v>
      </c>
      <c r="BA694" s="0" t="s">
        <v>131</v>
      </c>
      <c r="BB694" s="0" t="n">
        <v>105</v>
      </c>
      <c r="BC694" s="0" t="n">
        <v>107</v>
      </c>
      <c r="BD694" s="0" t="s">
        <v>457</v>
      </c>
      <c r="BE694" s="2" t="n">
        <v>43860</v>
      </c>
    </row>
    <row r="695" customFormat="false" ht="14.25" hidden="false" customHeight="false" outlineLevel="0" collapsed="false">
      <c r="A695" s="0" t="n">
        <v>694</v>
      </c>
      <c r="B695" s="1" t="s">
        <v>1395</v>
      </c>
      <c r="C695" s="0" t="n">
        <v>340</v>
      </c>
      <c r="D695" s="0" t="n">
        <v>484</v>
      </c>
      <c r="E695" s="0" t="s">
        <v>1396</v>
      </c>
      <c r="F695" s="0" t="n">
        <v>331</v>
      </c>
      <c r="G695" s="0" t="n">
        <v>475</v>
      </c>
      <c r="H695" s="0" t="s">
        <v>733</v>
      </c>
      <c r="I695" s="0" t="n">
        <v>306</v>
      </c>
      <c r="J695" s="0" t="n">
        <v>420</v>
      </c>
      <c r="K695" s="0" t="s">
        <v>274</v>
      </c>
      <c r="L695" s="0" t="n">
        <v>22</v>
      </c>
      <c r="M695" s="0" t="n">
        <v>21</v>
      </c>
      <c r="N695" s="0" t="s">
        <v>1093</v>
      </c>
      <c r="O695" s="0" t="n">
        <v>21</v>
      </c>
      <c r="P695" s="0" t="n">
        <v>21</v>
      </c>
      <c r="Q695" s="0" t="s">
        <v>110</v>
      </c>
      <c r="AD695" s="0" t="n">
        <v>610</v>
      </c>
      <c r="AM695" s="0" t="n">
        <v>362</v>
      </c>
      <c r="AN695" s="0" t="n">
        <v>362</v>
      </c>
      <c r="AO695" s="0" t="s">
        <v>110</v>
      </c>
      <c r="AP695" s="0" t="n">
        <v>343</v>
      </c>
      <c r="AQ695" s="0" t="n">
        <v>343</v>
      </c>
      <c r="AR695" s="0" t="s">
        <v>110</v>
      </c>
      <c r="AS695" s="0" t="n">
        <v>95</v>
      </c>
      <c r="AT695" s="0" t="n">
        <v>96</v>
      </c>
      <c r="AU695" s="0" t="s">
        <v>870</v>
      </c>
      <c r="AV695" s="0" t="n">
        <v>362</v>
      </c>
      <c r="AW695" s="0" t="n">
        <v>362</v>
      </c>
      <c r="AX695" s="0" t="s">
        <v>110</v>
      </c>
      <c r="AY695" s="0" t="n">
        <v>343</v>
      </c>
      <c r="AZ695" s="0" t="n">
        <v>343</v>
      </c>
      <c r="BA695" s="0" t="s">
        <v>110</v>
      </c>
      <c r="BB695" s="0" t="n">
        <v>95</v>
      </c>
      <c r="BC695" s="0" t="n">
        <v>96</v>
      </c>
      <c r="BD695" s="0" t="s">
        <v>870</v>
      </c>
      <c r="BE695" s="2" t="n">
        <v>43861</v>
      </c>
    </row>
    <row r="696" customFormat="false" ht="14.25" hidden="false" customHeight="false" outlineLevel="0" collapsed="false">
      <c r="A696" s="0" t="n">
        <v>695</v>
      </c>
      <c r="B696" s="1" t="s">
        <v>1397</v>
      </c>
      <c r="I696" s="0" t="n">
        <v>323</v>
      </c>
      <c r="J696" s="0" t="n">
        <v>422</v>
      </c>
      <c r="K696" s="0" t="s">
        <v>205</v>
      </c>
      <c r="BE696" s="2" t="n">
        <v>43863</v>
      </c>
    </row>
    <row r="697" customFormat="false" ht="14.25" hidden="false" customHeight="false" outlineLevel="0" collapsed="false">
      <c r="A697" s="0" t="n">
        <v>696</v>
      </c>
      <c r="B697" s="1" t="s">
        <v>1398</v>
      </c>
      <c r="C697" s="0" t="n">
        <v>426</v>
      </c>
      <c r="D697" s="0" t="n">
        <v>484</v>
      </c>
      <c r="E697" s="0" t="s">
        <v>158</v>
      </c>
      <c r="F697" s="0" t="n">
        <v>406</v>
      </c>
      <c r="G697" s="0" t="n">
        <v>475</v>
      </c>
      <c r="H697" s="0" t="s">
        <v>509</v>
      </c>
      <c r="I697" s="0" t="n">
        <v>307</v>
      </c>
      <c r="J697" s="0" t="n">
        <v>368</v>
      </c>
      <c r="K697" s="0" t="s">
        <v>393</v>
      </c>
      <c r="L697" s="0" t="n">
        <v>20</v>
      </c>
      <c r="M697" s="0" t="n">
        <v>21</v>
      </c>
      <c r="N697" s="0" t="s">
        <v>634</v>
      </c>
      <c r="O697" s="0" t="n">
        <v>21</v>
      </c>
      <c r="P697" s="0" t="n">
        <v>21</v>
      </c>
      <c r="Q697" s="0" t="s">
        <v>110</v>
      </c>
      <c r="AD697" s="0" t="n">
        <v>521</v>
      </c>
      <c r="AM697" s="0" t="n">
        <v>356</v>
      </c>
      <c r="AN697" s="0" t="n">
        <v>356</v>
      </c>
      <c r="AO697" s="0" t="s">
        <v>110</v>
      </c>
      <c r="AP697" s="0" t="n">
        <v>367</v>
      </c>
      <c r="AQ697" s="0" t="n">
        <v>367</v>
      </c>
      <c r="AR697" s="0" t="s">
        <v>110</v>
      </c>
      <c r="AS697" s="0" t="n">
        <v>115</v>
      </c>
      <c r="AT697" s="0" t="n">
        <v>115</v>
      </c>
      <c r="AU697" s="0" t="s">
        <v>110</v>
      </c>
      <c r="AV697" s="0" t="n">
        <v>356</v>
      </c>
      <c r="AW697" s="0" t="n">
        <v>356</v>
      </c>
      <c r="AX697" s="0" t="s">
        <v>110</v>
      </c>
      <c r="AY697" s="0" t="n">
        <v>367</v>
      </c>
      <c r="AZ697" s="0" t="n">
        <v>367</v>
      </c>
      <c r="BA697" s="0" t="s">
        <v>110</v>
      </c>
      <c r="BB697" s="0" t="n">
        <v>115</v>
      </c>
      <c r="BC697" s="0" t="n">
        <v>115</v>
      </c>
      <c r="BD697" s="0" t="s">
        <v>110</v>
      </c>
      <c r="BE697" s="2" t="n">
        <v>43864</v>
      </c>
    </row>
    <row r="698" customFormat="false" ht="14.25" hidden="false" customHeight="false" outlineLevel="0" collapsed="false">
      <c r="A698" s="0" t="n">
        <v>697</v>
      </c>
      <c r="B698" s="1" t="s">
        <v>1399</v>
      </c>
      <c r="C698" s="0" t="n">
        <v>401</v>
      </c>
      <c r="D698" s="0" t="n">
        <v>473</v>
      </c>
      <c r="E698" s="0" t="s">
        <v>306</v>
      </c>
      <c r="F698" s="0" t="n">
        <v>363</v>
      </c>
      <c r="G698" s="0" t="n">
        <v>475</v>
      </c>
      <c r="H698" s="0" t="s">
        <v>290</v>
      </c>
      <c r="I698" s="0" t="n">
        <v>300</v>
      </c>
      <c r="J698" s="0" t="n">
        <v>358</v>
      </c>
      <c r="K698" s="0" t="s">
        <v>521</v>
      </c>
      <c r="L698" s="0" t="n">
        <v>21</v>
      </c>
      <c r="M698" s="0" t="n">
        <v>21</v>
      </c>
      <c r="N698" s="0" t="s">
        <v>110</v>
      </c>
      <c r="O698" s="0" t="n">
        <v>20</v>
      </c>
      <c r="P698" s="0" t="n">
        <v>21</v>
      </c>
      <c r="Q698" s="0" t="s">
        <v>634</v>
      </c>
      <c r="AD698" s="0" t="n">
        <v>608</v>
      </c>
      <c r="AE698" s="0" t="n">
        <v>826</v>
      </c>
      <c r="AF698" s="0" t="s">
        <v>203</v>
      </c>
      <c r="AM698" s="0" t="n">
        <v>323</v>
      </c>
      <c r="AN698" s="0" t="n">
        <v>355</v>
      </c>
      <c r="AO698" s="0" t="s">
        <v>658</v>
      </c>
      <c r="AP698" s="0" t="n">
        <v>342</v>
      </c>
      <c r="AQ698" s="0" t="n">
        <v>366</v>
      </c>
      <c r="AR698" s="0" t="s">
        <v>659</v>
      </c>
      <c r="AS698" s="0" t="n">
        <v>100</v>
      </c>
      <c r="AT698" s="0" t="n">
        <v>107</v>
      </c>
      <c r="AU698" s="0" t="s">
        <v>713</v>
      </c>
      <c r="AV698" s="0" t="n">
        <v>323</v>
      </c>
      <c r="AW698" s="0" t="n">
        <v>355</v>
      </c>
      <c r="AX698" s="0" t="s">
        <v>658</v>
      </c>
      <c r="AY698" s="0" t="n">
        <v>342</v>
      </c>
      <c r="AZ698" s="0" t="n">
        <v>366</v>
      </c>
      <c r="BA698" s="0" t="s">
        <v>659</v>
      </c>
      <c r="BB698" s="0" t="n">
        <v>100</v>
      </c>
      <c r="BC698" s="0" t="n">
        <v>107</v>
      </c>
      <c r="BD698" s="0" t="s">
        <v>713</v>
      </c>
      <c r="BE698" s="2" t="n">
        <v>43865</v>
      </c>
    </row>
    <row r="699" customFormat="false" ht="14.25" hidden="false" customHeight="false" outlineLevel="0" collapsed="false">
      <c r="A699" s="0" t="n">
        <v>698</v>
      </c>
      <c r="B699" s="1" t="s">
        <v>1400</v>
      </c>
      <c r="C699" s="0" t="n">
        <v>227</v>
      </c>
      <c r="D699" s="0" t="n">
        <v>484</v>
      </c>
      <c r="E699" s="0" t="s">
        <v>1401</v>
      </c>
      <c r="F699" s="0" t="n">
        <v>303</v>
      </c>
      <c r="G699" s="0" t="n">
        <v>475</v>
      </c>
      <c r="H699" s="0" t="s">
        <v>1195</v>
      </c>
      <c r="I699" s="0" t="n">
        <v>287</v>
      </c>
      <c r="J699" s="0" t="n">
        <v>368</v>
      </c>
      <c r="K699" s="0" t="s">
        <v>295</v>
      </c>
      <c r="L699" s="0" t="n">
        <v>21</v>
      </c>
      <c r="M699" s="0" t="n">
        <v>21</v>
      </c>
      <c r="N699" s="0" t="s">
        <v>110</v>
      </c>
      <c r="O699" s="0" t="n">
        <v>21</v>
      </c>
      <c r="P699" s="0" t="n">
        <v>21</v>
      </c>
      <c r="Q699" s="0" t="s">
        <v>110</v>
      </c>
      <c r="AD699" s="0" t="n">
        <v>562</v>
      </c>
      <c r="AM699" s="0" t="n">
        <v>336</v>
      </c>
      <c r="AN699" s="0" t="n">
        <v>341</v>
      </c>
      <c r="AO699" s="0" t="s">
        <v>120</v>
      </c>
      <c r="AP699" s="0" t="n">
        <v>344</v>
      </c>
      <c r="AQ699" s="0" t="n">
        <v>343</v>
      </c>
      <c r="AR699" s="0" t="s">
        <v>778</v>
      </c>
      <c r="AS699" s="0" t="n">
        <v>95</v>
      </c>
      <c r="AT699" s="0" t="n">
        <v>96</v>
      </c>
      <c r="AU699" s="0" t="s">
        <v>870</v>
      </c>
      <c r="AV699" s="0" t="n">
        <v>336</v>
      </c>
      <c r="AW699" s="0" t="n">
        <v>341</v>
      </c>
      <c r="AX699" s="0" t="s">
        <v>120</v>
      </c>
      <c r="AY699" s="0" t="n">
        <v>344</v>
      </c>
      <c r="AZ699" s="0" t="n">
        <v>343</v>
      </c>
      <c r="BA699" s="0" t="s">
        <v>778</v>
      </c>
      <c r="BB699" s="0" t="n">
        <v>95</v>
      </c>
      <c r="BC699" s="0" t="n">
        <v>96</v>
      </c>
      <c r="BD699" s="0" t="s">
        <v>870</v>
      </c>
      <c r="BE699" s="2" t="n">
        <v>43866</v>
      </c>
    </row>
    <row r="700" customFormat="false" ht="14.25" hidden="false" customHeight="false" outlineLevel="0" collapsed="false">
      <c r="A700" s="0" t="n">
        <v>699</v>
      </c>
      <c r="B700" s="1" t="s">
        <v>1402</v>
      </c>
      <c r="C700" s="0" t="n">
        <v>434</v>
      </c>
      <c r="D700" s="0" t="n">
        <v>484</v>
      </c>
      <c r="E700" s="0" t="s">
        <v>123</v>
      </c>
      <c r="F700" s="0" t="n">
        <v>378</v>
      </c>
      <c r="G700" s="0" t="n">
        <v>475</v>
      </c>
      <c r="H700" s="0" t="s">
        <v>1403</v>
      </c>
      <c r="I700" s="0" t="n">
        <v>331</v>
      </c>
      <c r="J700" s="0" t="n">
        <v>360</v>
      </c>
      <c r="K700" s="0" t="s">
        <v>398</v>
      </c>
      <c r="L700" s="0" t="n">
        <v>18</v>
      </c>
      <c r="M700" s="0" t="n">
        <v>21</v>
      </c>
      <c r="N700" s="0" t="s">
        <v>381</v>
      </c>
      <c r="O700" s="0" t="n">
        <v>21</v>
      </c>
      <c r="P700" s="0" t="n">
        <v>21</v>
      </c>
      <c r="Q700" s="0" t="s">
        <v>110</v>
      </c>
      <c r="AD700" s="0" t="n">
        <v>736</v>
      </c>
      <c r="AE700" s="0" t="n">
        <v>788</v>
      </c>
      <c r="AF700" s="0" t="s">
        <v>659</v>
      </c>
      <c r="AM700" s="0" t="n">
        <v>355</v>
      </c>
      <c r="AN700" s="0" t="n">
        <v>355</v>
      </c>
      <c r="AO700" s="0" t="s">
        <v>110</v>
      </c>
      <c r="AP700" s="0" t="n">
        <v>344</v>
      </c>
      <c r="AQ700" s="0" t="n">
        <v>358</v>
      </c>
      <c r="AR700" s="0" t="s">
        <v>594</v>
      </c>
      <c r="AS700" s="0" t="n">
        <v>105</v>
      </c>
      <c r="AT700" s="0" t="n">
        <v>107</v>
      </c>
      <c r="AU700" s="0" t="s">
        <v>457</v>
      </c>
      <c r="AV700" s="0" t="n">
        <v>355</v>
      </c>
      <c r="AW700" s="0" t="n">
        <v>355</v>
      </c>
      <c r="AX700" s="0" t="s">
        <v>110</v>
      </c>
      <c r="AY700" s="0" t="n">
        <v>344</v>
      </c>
      <c r="AZ700" s="0" t="n">
        <v>358</v>
      </c>
      <c r="BA700" s="0" t="s">
        <v>594</v>
      </c>
      <c r="BB700" s="0" t="n">
        <v>105</v>
      </c>
      <c r="BC700" s="0" t="n">
        <v>107</v>
      </c>
      <c r="BD700" s="0" t="s">
        <v>457</v>
      </c>
      <c r="BE700" s="2" t="n">
        <v>43867</v>
      </c>
    </row>
    <row r="701" customFormat="false" ht="14.25" hidden="false" customHeight="false" outlineLevel="0" collapsed="false">
      <c r="A701" s="0" t="n">
        <v>700</v>
      </c>
      <c r="B701" s="1" t="s">
        <v>1404</v>
      </c>
      <c r="C701" s="0" t="n">
        <v>428</v>
      </c>
      <c r="D701" s="0" t="n">
        <v>484</v>
      </c>
      <c r="E701" s="0" t="s">
        <v>400</v>
      </c>
      <c r="F701" s="0" t="n">
        <v>400</v>
      </c>
      <c r="G701" s="0" t="n">
        <v>475</v>
      </c>
      <c r="H701" s="0" t="s">
        <v>554</v>
      </c>
      <c r="I701" s="0" t="n">
        <v>366</v>
      </c>
      <c r="J701" s="0" t="n">
        <v>420</v>
      </c>
      <c r="K701" s="0" t="s">
        <v>401</v>
      </c>
      <c r="L701" s="0" t="n">
        <v>25</v>
      </c>
      <c r="M701" s="0" t="n">
        <v>24</v>
      </c>
      <c r="N701" s="0" t="s">
        <v>952</v>
      </c>
      <c r="O701" s="0" t="n">
        <v>22</v>
      </c>
      <c r="P701" s="0" t="n">
        <v>18</v>
      </c>
      <c r="Q701" s="0" t="s">
        <v>1405</v>
      </c>
      <c r="AD701" s="0" t="n">
        <v>693</v>
      </c>
      <c r="AE701" s="0" t="n">
        <v>766</v>
      </c>
      <c r="AF701" s="0" t="s">
        <v>608</v>
      </c>
      <c r="AM701" s="0" t="n">
        <v>350</v>
      </c>
      <c r="AN701" s="0" t="n">
        <v>351</v>
      </c>
      <c r="AO701" s="0" t="s">
        <v>723</v>
      </c>
      <c r="AP701" s="0" t="n">
        <v>339</v>
      </c>
      <c r="AQ701" s="0" t="n">
        <v>339</v>
      </c>
      <c r="AR701" s="0" t="s">
        <v>110</v>
      </c>
      <c r="AS701" s="0" t="n">
        <v>100</v>
      </c>
      <c r="AT701" s="0" t="n">
        <v>107</v>
      </c>
      <c r="AU701" s="0" t="s">
        <v>713</v>
      </c>
      <c r="AV701" s="0" t="n">
        <v>350</v>
      </c>
      <c r="AW701" s="0" t="n">
        <v>351</v>
      </c>
      <c r="AX701" s="0" t="s">
        <v>723</v>
      </c>
      <c r="AY701" s="0" t="n">
        <v>339</v>
      </c>
      <c r="AZ701" s="0" t="n">
        <v>339</v>
      </c>
      <c r="BA701" s="0" t="s">
        <v>110</v>
      </c>
      <c r="BB701" s="0" t="n">
        <v>100</v>
      </c>
      <c r="BC701" s="0" t="n">
        <v>107</v>
      </c>
      <c r="BD701" s="0" t="s">
        <v>713</v>
      </c>
      <c r="BE701" s="2" t="n">
        <v>43868</v>
      </c>
    </row>
    <row r="702" customFormat="false" ht="14.25" hidden="false" customHeight="false" outlineLevel="0" collapsed="false">
      <c r="A702" s="0" t="n">
        <v>701</v>
      </c>
      <c r="B702" s="1" t="s">
        <v>1406</v>
      </c>
      <c r="AD702" s="0" t="n">
        <v>413</v>
      </c>
      <c r="AM702" s="0" t="n">
        <v>253</v>
      </c>
      <c r="AP702" s="0" t="n">
        <v>239</v>
      </c>
      <c r="AS702" s="0" t="n">
        <v>115</v>
      </c>
      <c r="AV702" s="0" t="n">
        <v>253</v>
      </c>
      <c r="AY702" s="0" t="n">
        <v>239</v>
      </c>
      <c r="BB702" s="0" t="n">
        <v>115</v>
      </c>
      <c r="BE702" s="2" t="n">
        <v>43869</v>
      </c>
    </row>
    <row r="703" customFormat="false" ht="14.25" hidden="false" customHeight="false" outlineLevel="0" collapsed="false">
      <c r="A703" s="0" t="n">
        <v>702</v>
      </c>
      <c r="B703" s="1" t="s">
        <v>1407</v>
      </c>
      <c r="I703" s="0" t="n">
        <v>295</v>
      </c>
      <c r="J703" s="0" t="n">
        <v>337</v>
      </c>
      <c r="K703" s="0" t="s">
        <v>321</v>
      </c>
      <c r="BE703" s="2" t="n">
        <v>43870</v>
      </c>
    </row>
    <row r="704" customFormat="false" ht="14.25" hidden="false" customHeight="false" outlineLevel="0" collapsed="false">
      <c r="A704" s="0" t="n">
        <v>703</v>
      </c>
      <c r="B704" s="1" t="s">
        <v>1408</v>
      </c>
      <c r="C704" s="0" t="n">
        <v>436</v>
      </c>
      <c r="D704" s="0" t="n">
        <v>484</v>
      </c>
      <c r="E704" s="0" t="s">
        <v>530</v>
      </c>
      <c r="F704" s="0" t="n">
        <v>435</v>
      </c>
      <c r="G704" s="0" t="n">
        <v>475</v>
      </c>
      <c r="H704" s="0" t="s">
        <v>292</v>
      </c>
      <c r="I704" s="0" t="n">
        <v>322</v>
      </c>
      <c r="J704" s="0" t="n">
        <v>368</v>
      </c>
      <c r="K704" s="0" t="s">
        <v>321</v>
      </c>
      <c r="L704" s="0" t="n">
        <v>20</v>
      </c>
      <c r="M704" s="0" t="n">
        <v>21</v>
      </c>
      <c r="N704" s="0" t="s">
        <v>634</v>
      </c>
      <c r="O704" s="0" t="n">
        <v>24</v>
      </c>
      <c r="P704" s="0" t="n">
        <v>21</v>
      </c>
      <c r="Q704" s="0" t="s">
        <v>1409</v>
      </c>
      <c r="AD704" s="0" t="n">
        <v>614</v>
      </c>
      <c r="AE704" s="0" t="n">
        <v>655</v>
      </c>
      <c r="AF704" s="0" t="s">
        <v>467</v>
      </c>
      <c r="AG704" s="0" t="n">
        <v>90</v>
      </c>
      <c r="AM704" s="0" t="n">
        <v>347</v>
      </c>
      <c r="AN704" s="0" t="n">
        <v>353</v>
      </c>
      <c r="AO704" s="0" t="s">
        <v>179</v>
      </c>
      <c r="AP704" s="0" t="n">
        <v>357</v>
      </c>
      <c r="AQ704" s="0" t="n">
        <v>363</v>
      </c>
      <c r="AR704" s="0" t="s">
        <v>179</v>
      </c>
      <c r="AV704" s="0" t="n">
        <v>347</v>
      </c>
      <c r="AW704" s="0" t="n">
        <v>353</v>
      </c>
      <c r="AX704" s="0" t="s">
        <v>179</v>
      </c>
      <c r="AY704" s="0" t="n">
        <v>357</v>
      </c>
      <c r="AZ704" s="0" t="n">
        <v>363</v>
      </c>
      <c r="BA704" s="0" t="s">
        <v>179</v>
      </c>
      <c r="BE704" s="2" t="n">
        <v>43871</v>
      </c>
    </row>
    <row r="705" customFormat="false" ht="14.25" hidden="false" customHeight="false" outlineLevel="0" collapsed="false">
      <c r="A705" s="0" t="n">
        <v>704</v>
      </c>
      <c r="B705" s="1" t="s">
        <v>1410</v>
      </c>
      <c r="C705" s="0" t="n">
        <v>453</v>
      </c>
      <c r="D705" s="0" t="n">
        <v>484</v>
      </c>
      <c r="E705" s="0" t="s">
        <v>434</v>
      </c>
      <c r="F705" s="0" t="n">
        <v>433</v>
      </c>
      <c r="G705" s="0" t="n">
        <v>475</v>
      </c>
      <c r="H705" s="0" t="s">
        <v>176</v>
      </c>
      <c r="I705" s="0" t="n">
        <v>242</v>
      </c>
      <c r="J705" s="0" t="n">
        <v>368</v>
      </c>
      <c r="K705" s="0" t="s">
        <v>1411</v>
      </c>
      <c r="L705" s="0" t="n">
        <v>22</v>
      </c>
      <c r="M705" s="0" t="n">
        <v>21</v>
      </c>
      <c r="N705" s="0" t="s">
        <v>1093</v>
      </c>
      <c r="O705" s="0" t="n">
        <v>22</v>
      </c>
      <c r="P705" s="0" t="n">
        <v>21</v>
      </c>
      <c r="Q705" s="0" t="s">
        <v>1093</v>
      </c>
      <c r="AD705" s="0" t="n">
        <v>547</v>
      </c>
      <c r="AG705" s="0" t="n">
        <v>112</v>
      </c>
      <c r="AM705" s="0" t="n">
        <v>354</v>
      </c>
      <c r="AN705" s="0" t="n">
        <v>354</v>
      </c>
      <c r="AO705" s="0" t="s">
        <v>110</v>
      </c>
      <c r="AP705" s="0" t="n">
        <v>357</v>
      </c>
      <c r="AQ705" s="0" t="n">
        <v>357</v>
      </c>
      <c r="AR705" s="0" t="s">
        <v>110</v>
      </c>
      <c r="AS705" s="0" t="n">
        <v>80</v>
      </c>
      <c r="AT705" s="0" t="n">
        <v>81</v>
      </c>
      <c r="AU705" s="0" t="s">
        <v>153</v>
      </c>
      <c r="AV705" s="0" t="n">
        <v>354</v>
      </c>
      <c r="AW705" s="0" t="n">
        <v>354</v>
      </c>
      <c r="AX705" s="0" t="s">
        <v>110</v>
      </c>
      <c r="AY705" s="0" t="n">
        <v>357</v>
      </c>
      <c r="AZ705" s="0" t="n">
        <v>357</v>
      </c>
      <c r="BA705" s="0" t="s">
        <v>110</v>
      </c>
      <c r="BB705" s="0" t="n">
        <v>80</v>
      </c>
      <c r="BC705" s="0" t="n">
        <v>81</v>
      </c>
      <c r="BD705" s="0" t="s">
        <v>153</v>
      </c>
      <c r="BE705" s="2" t="n">
        <v>43872</v>
      </c>
    </row>
    <row r="706" customFormat="false" ht="14.25" hidden="false" customHeight="false" outlineLevel="0" collapsed="false">
      <c r="A706" s="0" t="n">
        <v>705</v>
      </c>
      <c r="B706" s="1" t="s">
        <v>1412</v>
      </c>
      <c r="C706" s="0" t="n">
        <v>459</v>
      </c>
      <c r="D706" s="0" t="n">
        <v>484</v>
      </c>
      <c r="E706" s="0" t="s">
        <v>191</v>
      </c>
      <c r="F706" s="0" t="n">
        <v>435</v>
      </c>
      <c r="G706" s="0" t="n">
        <v>475</v>
      </c>
      <c r="H706" s="0" t="s">
        <v>292</v>
      </c>
      <c r="I706" s="0" t="n">
        <v>280</v>
      </c>
      <c r="J706" s="0" t="n">
        <v>368</v>
      </c>
      <c r="K706" s="0" t="s">
        <v>277</v>
      </c>
      <c r="L706" s="0" t="n">
        <v>21</v>
      </c>
      <c r="M706" s="0" t="n">
        <v>21</v>
      </c>
      <c r="N706" s="0" t="s">
        <v>110</v>
      </c>
      <c r="O706" s="0" t="n">
        <v>22</v>
      </c>
      <c r="P706" s="0" t="n">
        <v>21</v>
      </c>
      <c r="Q706" s="0" t="s">
        <v>1093</v>
      </c>
      <c r="AD706" s="0" t="n">
        <v>627</v>
      </c>
      <c r="AE706" s="0" t="n">
        <v>657</v>
      </c>
      <c r="AF706" s="0" t="s">
        <v>188</v>
      </c>
      <c r="AG706" s="0" t="n">
        <v>97</v>
      </c>
      <c r="AH706" s="0" t="n">
        <v>100</v>
      </c>
      <c r="AI706" s="0" t="s">
        <v>756</v>
      </c>
      <c r="AM706" s="0" t="n">
        <v>356</v>
      </c>
      <c r="AN706" s="0" t="n">
        <v>356</v>
      </c>
      <c r="AO706" s="0" t="s">
        <v>110</v>
      </c>
      <c r="AP706" s="0" t="n">
        <v>339</v>
      </c>
      <c r="AQ706" s="0" t="n">
        <v>339</v>
      </c>
      <c r="AR706" s="0" t="s">
        <v>110</v>
      </c>
      <c r="AS706" s="0" t="n">
        <v>80</v>
      </c>
      <c r="AT706" s="0" t="n">
        <v>80</v>
      </c>
      <c r="AU706" s="0" t="s">
        <v>110</v>
      </c>
      <c r="AV706" s="0" t="n">
        <v>356</v>
      </c>
      <c r="AW706" s="0" t="n">
        <v>356</v>
      </c>
      <c r="AX706" s="0" t="s">
        <v>110</v>
      </c>
      <c r="AY706" s="0" t="n">
        <v>339</v>
      </c>
      <c r="AZ706" s="0" t="n">
        <v>339</v>
      </c>
      <c r="BA706" s="0" t="s">
        <v>110</v>
      </c>
      <c r="BB706" s="0" t="n">
        <v>80</v>
      </c>
      <c r="BC706" s="0" t="n">
        <v>80</v>
      </c>
      <c r="BD706" s="0" t="s">
        <v>110</v>
      </c>
      <c r="BE706" s="2" t="n">
        <v>43873</v>
      </c>
    </row>
    <row r="707" customFormat="false" ht="14.25" hidden="false" customHeight="false" outlineLevel="0" collapsed="false">
      <c r="A707" s="0" t="n">
        <v>706</v>
      </c>
      <c r="B707" s="1" t="s">
        <v>1413</v>
      </c>
      <c r="C707" s="0" t="n">
        <v>439</v>
      </c>
      <c r="D707" s="0" t="n">
        <v>484</v>
      </c>
      <c r="E707" s="0" t="s">
        <v>186</v>
      </c>
      <c r="F707" s="0" t="n">
        <v>456</v>
      </c>
      <c r="G707" s="0" t="n">
        <v>475</v>
      </c>
      <c r="H707" s="0" t="s">
        <v>438</v>
      </c>
      <c r="I707" s="0" t="n">
        <v>330</v>
      </c>
      <c r="J707" s="0" t="n">
        <v>368</v>
      </c>
      <c r="K707" s="0" t="s">
        <v>123</v>
      </c>
      <c r="L707" s="0" t="n">
        <v>23</v>
      </c>
      <c r="M707" s="0" t="n">
        <v>21</v>
      </c>
      <c r="N707" s="0" t="s">
        <v>1414</v>
      </c>
      <c r="O707" s="0" t="n">
        <v>21</v>
      </c>
      <c r="P707" s="0" t="n">
        <v>21</v>
      </c>
      <c r="Q707" s="0" t="s">
        <v>110</v>
      </c>
      <c r="AD707" s="0" t="n">
        <v>599</v>
      </c>
      <c r="AE707" s="0" t="n">
        <v>654</v>
      </c>
      <c r="AF707" s="0" t="s">
        <v>292</v>
      </c>
      <c r="AG707" s="0" t="n">
        <v>105</v>
      </c>
      <c r="AH707" s="0" t="n">
        <v>115</v>
      </c>
      <c r="AI707" s="0" t="s">
        <v>174</v>
      </c>
      <c r="BE707" s="2" t="n">
        <v>43874</v>
      </c>
    </row>
    <row r="708" customFormat="false" ht="14.25" hidden="false" customHeight="false" outlineLevel="0" collapsed="false">
      <c r="A708" s="0" t="n">
        <v>707</v>
      </c>
      <c r="B708" s="1" t="s">
        <v>1415</v>
      </c>
      <c r="C708" s="0" t="n">
        <v>435</v>
      </c>
      <c r="D708" s="0" t="n">
        <v>484</v>
      </c>
      <c r="E708" s="0" t="s">
        <v>489</v>
      </c>
      <c r="F708" s="0" t="n">
        <v>438</v>
      </c>
      <c r="G708" s="0" t="n">
        <v>475</v>
      </c>
      <c r="H708" s="0" t="s">
        <v>335</v>
      </c>
      <c r="I708" s="0" t="n">
        <v>381</v>
      </c>
      <c r="J708" s="0" t="n">
        <v>420</v>
      </c>
      <c r="K708" s="0" t="s">
        <v>186</v>
      </c>
      <c r="L708" s="0" t="n">
        <v>22</v>
      </c>
      <c r="M708" s="0" t="n">
        <v>21</v>
      </c>
      <c r="N708" s="0" t="s">
        <v>1093</v>
      </c>
      <c r="O708" s="0" t="n">
        <v>25</v>
      </c>
      <c r="P708" s="0" t="n">
        <v>21</v>
      </c>
      <c r="Q708" s="0" t="s">
        <v>1416</v>
      </c>
      <c r="AD708" s="0" t="n">
        <v>629</v>
      </c>
      <c r="AE708" s="0" t="n">
        <v>655</v>
      </c>
      <c r="AF708" s="0" t="s">
        <v>438</v>
      </c>
      <c r="AG708" s="0" t="n">
        <v>63</v>
      </c>
      <c r="AH708" s="0" t="n">
        <v>66</v>
      </c>
      <c r="AI708" s="0" t="s">
        <v>127</v>
      </c>
      <c r="AM708" s="0" t="n">
        <v>353</v>
      </c>
      <c r="AN708" s="0" t="n">
        <v>353</v>
      </c>
      <c r="AO708" s="0" t="s">
        <v>110</v>
      </c>
      <c r="AP708" s="0" t="n">
        <v>360</v>
      </c>
      <c r="AQ708" s="0" t="n">
        <v>360</v>
      </c>
      <c r="AR708" s="0" t="s">
        <v>110</v>
      </c>
      <c r="AS708" s="0" t="n">
        <v>84</v>
      </c>
      <c r="AT708" s="0" t="n">
        <v>85</v>
      </c>
      <c r="AU708" s="0" t="s">
        <v>153</v>
      </c>
      <c r="AV708" s="0" t="n">
        <v>353</v>
      </c>
      <c r="AW708" s="0" t="n">
        <v>353</v>
      </c>
      <c r="AX708" s="0" t="s">
        <v>110</v>
      </c>
      <c r="AY708" s="0" t="n">
        <v>360</v>
      </c>
      <c r="AZ708" s="0" t="n">
        <v>360</v>
      </c>
      <c r="BA708" s="0" t="s">
        <v>110</v>
      </c>
      <c r="BB708" s="0" t="n">
        <v>84</v>
      </c>
      <c r="BC708" s="0" t="n">
        <v>85</v>
      </c>
      <c r="BD708" s="0" t="s">
        <v>153</v>
      </c>
      <c r="BE708" s="2" t="n">
        <v>43875</v>
      </c>
    </row>
    <row r="709" customFormat="false" ht="14.25" hidden="false" customHeight="false" outlineLevel="0" collapsed="false">
      <c r="A709" s="0" t="n">
        <v>708</v>
      </c>
      <c r="B709" s="1" t="s">
        <v>1417</v>
      </c>
      <c r="C709" s="0" t="n">
        <v>228</v>
      </c>
      <c r="D709" s="0" t="n">
        <v>355</v>
      </c>
      <c r="E709" s="0" t="s">
        <v>1418</v>
      </c>
      <c r="F709" s="0" t="n">
        <v>77</v>
      </c>
      <c r="G709" s="0" t="n">
        <v>355</v>
      </c>
      <c r="H709" s="0" t="s">
        <v>668</v>
      </c>
      <c r="AS709" s="0" t="n">
        <v>95</v>
      </c>
      <c r="BB709" s="0" t="n">
        <v>95</v>
      </c>
      <c r="BE709" s="2" t="n">
        <v>43876</v>
      </c>
    </row>
    <row r="710" customFormat="false" ht="14.25" hidden="false" customHeight="false" outlineLevel="0" collapsed="false">
      <c r="A710" s="0" t="n">
        <v>709</v>
      </c>
      <c r="B710" s="1" t="s">
        <v>1419</v>
      </c>
      <c r="I710" s="0" t="n">
        <v>397</v>
      </c>
      <c r="J710" s="0" t="n">
        <v>422</v>
      </c>
      <c r="K710" s="0" t="s">
        <v>448</v>
      </c>
      <c r="BE710" s="2" t="n">
        <v>43877</v>
      </c>
    </row>
    <row r="711" customFormat="false" ht="14.25" hidden="false" customHeight="false" outlineLevel="0" collapsed="false">
      <c r="A711" s="0" t="n">
        <v>710</v>
      </c>
      <c r="B711" s="1" t="s">
        <v>1420</v>
      </c>
      <c r="C711" s="0" t="n">
        <v>330</v>
      </c>
      <c r="D711" s="0" t="n">
        <v>484</v>
      </c>
      <c r="E711" s="0" t="s">
        <v>1421</v>
      </c>
      <c r="F711" s="0" t="n">
        <v>303</v>
      </c>
      <c r="G711" s="0" t="n">
        <v>475</v>
      </c>
      <c r="H711" s="0" t="s">
        <v>1195</v>
      </c>
      <c r="I711" s="0" t="n">
        <v>85</v>
      </c>
      <c r="J711" s="0" t="n">
        <v>368</v>
      </c>
      <c r="K711" s="0" t="s">
        <v>1422</v>
      </c>
      <c r="L711" s="0" t="n">
        <v>22</v>
      </c>
      <c r="M711" s="0" t="n">
        <v>21</v>
      </c>
      <c r="N711" s="0" t="s">
        <v>1093</v>
      </c>
      <c r="O711" s="0" t="n">
        <v>25</v>
      </c>
      <c r="P711" s="0" t="n">
        <v>21</v>
      </c>
      <c r="Q711" s="0" t="s">
        <v>1416</v>
      </c>
      <c r="AD711" s="0" t="n">
        <v>570</v>
      </c>
      <c r="AE711" s="0" t="n">
        <v>655</v>
      </c>
      <c r="AF711" s="0" t="s">
        <v>747</v>
      </c>
      <c r="AG711" s="0" t="n">
        <v>94</v>
      </c>
      <c r="AH711" s="0" t="n">
        <v>99</v>
      </c>
      <c r="AI711" s="0" t="s">
        <v>142</v>
      </c>
      <c r="AM711" s="0" t="n">
        <v>346</v>
      </c>
      <c r="AN711" s="0" t="n">
        <v>351</v>
      </c>
      <c r="AO711" s="0" t="s">
        <v>790</v>
      </c>
      <c r="AP711" s="0" t="n">
        <v>366</v>
      </c>
      <c r="AQ711" s="0" t="n">
        <v>365</v>
      </c>
      <c r="AR711" s="0" t="s">
        <v>778</v>
      </c>
      <c r="AS711" s="0" t="n">
        <v>90</v>
      </c>
      <c r="AT711" s="0" t="n">
        <v>91</v>
      </c>
      <c r="AU711" s="0" t="s">
        <v>143</v>
      </c>
      <c r="AV711" s="0" t="n">
        <v>346</v>
      </c>
      <c r="AW711" s="0" t="n">
        <v>351</v>
      </c>
      <c r="AX711" s="0" t="s">
        <v>790</v>
      </c>
      <c r="AY711" s="0" t="n">
        <v>366</v>
      </c>
      <c r="AZ711" s="0" t="n">
        <v>365</v>
      </c>
      <c r="BA711" s="0" t="s">
        <v>778</v>
      </c>
      <c r="BB711" s="0" t="n">
        <v>90</v>
      </c>
      <c r="BC711" s="0" t="n">
        <v>91</v>
      </c>
      <c r="BD711" s="0" t="s">
        <v>143</v>
      </c>
      <c r="BE711" s="2" t="n">
        <v>43878</v>
      </c>
    </row>
    <row r="712" customFormat="false" ht="14.25" hidden="false" customHeight="false" outlineLevel="0" collapsed="false">
      <c r="A712" s="0" t="n">
        <v>711</v>
      </c>
      <c r="B712" s="1" t="s">
        <v>1423</v>
      </c>
      <c r="C712" s="0" t="n">
        <v>427</v>
      </c>
      <c r="D712" s="0" t="n">
        <v>474</v>
      </c>
      <c r="E712" s="0" t="s">
        <v>530</v>
      </c>
      <c r="F712" s="0" t="n">
        <v>374</v>
      </c>
      <c r="G712" s="0" t="n">
        <v>475</v>
      </c>
      <c r="H712" s="0" t="s">
        <v>1262</v>
      </c>
      <c r="I712" s="0" t="n">
        <v>299</v>
      </c>
      <c r="J712" s="0" t="n">
        <v>332</v>
      </c>
      <c r="K712" s="0" t="s">
        <v>530</v>
      </c>
      <c r="L712" s="0" t="n">
        <v>22</v>
      </c>
      <c r="M712" s="0" t="n">
        <v>21</v>
      </c>
      <c r="N712" s="0" t="s">
        <v>1093</v>
      </c>
      <c r="O712" s="0" t="n">
        <v>21</v>
      </c>
      <c r="P712" s="0" t="n">
        <v>21</v>
      </c>
      <c r="Q712" s="0" t="s">
        <v>110</v>
      </c>
      <c r="AD712" s="0" t="n">
        <v>606</v>
      </c>
      <c r="AE712" s="0" t="n">
        <v>634</v>
      </c>
      <c r="AF712" s="0" t="s">
        <v>544</v>
      </c>
      <c r="AM712" s="0" t="n">
        <v>340</v>
      </c>
      <c r="AN712" s="0" t="n">
        <v>344</v>
      </c>
      <c r="AO712" s="0" t="s">
        <v>153</v>
      </c>
      <c r="AP712" s="0" t="n">
        <v>314</v>
      </c>
      <c r="AQ712" s="0" t="n">
        <v>354</v>
      </c>
      <c r="AR712" s="0" t="s">
        <v>198</v>
      </c>
      <c r="AS712" s="0" t="n">
        <v>71</v>
      </c>
      <c r="AT712" s="0" t="n">
        <v>75</v>
      </c>
      <c r="AU712" s="0" t="s">
        <v>473</v>
      </c>
      <c r="AV712" s="0" t="n">
        <v>340</v>
      </c>
      <c r="AW712" s="0" t="n">
        <v>344</v>
      </c>
      <c r="AX712" s="0" t="s">
        <v>153</v>
      </c>
      <c r="AY712" s="0" t="n">
        <v>314</v>
      </c>
      <c r="AZ712" s="0" t="n">
        <v>354</v>
      </c>
      <c r="BA712" s="0" t="s">
        <v>198</v>
      </c>
      <c r="BB712" s="0" t="n">
        <v>71</v>
      </c>
      <c r="BC712" s="0" t="n">
        <v>75</v>
      </c>
      <c r="BD712" s="0" t="s">
        <v>473</v>
      </c>
      <c r="BE712" s="2" t="n">
        <v>43879</v>
      </c>
    </row>
    <row r="713" customFormat="false" ht="14.25" hidden="false" customHeight="false" outlineLevel="0" collapsed="false">
      <c r="A713" s="0" t="n">
        <v>712</v>
      </c>
      <c r="B713" s="1" t="s">
        <v>1424</v>
      </c>
      <c r="C713" s="0" t="n">
        <v>392</v>
      </c>
      <c r="D713" s="0" t="n">
        <v>484</v>
      </c>
      <c r="E713" s="0" t="s">
        <v>320</v>
      </c>
      <c r="F713" s="0" t="n">
        <v>367</v>
      </c>
      <c r="G713" s="0" t="n">
        <v>475</v>
      </c>
      <c r="H713" s="0" t="s">
        <v>155</v>
      </c>
      <c r="I713" s="0" t="n">
        <v>342</v>
      </c>
      <c r="J713" s="0" t="n">
        <v>368</v>
      </c>
      <c r="K713" s="0" t="s">
        <v>207</v>
      </c>
      <c r="L713" s="0" t="n">
        <v>27</v>
      </c>
      <c r="M713" s="0" t="n">
        <v>21</v>
      </c>
      <c r="N713" s="0" t="s">
        <v>1425</v>
      </c>
      <c r="O713" s="0" t="n">
        <v>24</v>
      </c>
      <c r="P713" s="0" t="n">
        <v>21</v>
      </c>
      <c r="Q713" s="0" t="s">
        <v>1409</v>
      </c>
      <c r="AD713" s="0" t="n">
        <v>586</v>
      </c>
      <c r="AG713" s="0" t="n">
        <v>90</v>
      </c>
      <c r="AM713" s="0" t="n">
        <v>351</v>
      </c>
      <c r="AN713" s="0" t="n">
        <v>357</v>
      </c>
      <c r="AO713" s="0" t="s">
        <v>179</v>
      </c>
      <c r="AP713" s="0" t="n">
        <v>364</v>
      </c>
      <c r="AQ713" s="0" t="n">
        <v>365</v>
      </c>
      <c r="AR713" s="0" t="s">
        <v>723</v>
      </c>
      <c r="AS713" s="0" t="n">
        <v>95</v>
      </c>
      <c r="AT713" s="0" t="n">
        <v>95</v>
      </c>
      <c r="AU713" s="0" t="s">
        <v>110</v>
      </c>
      <c r="AV713" s="0" t="n">
        <v>351</v>
      </c>
      <c r="AW713" s="0" t="n">
        <v>357</v>
      </c>
      <c r="AX713" s="0" t="s">
        <v>179</v>
      </c>
      <c r="AY713" s="0" t="n">
        <v>364</v>
      </c>
      <c r="AZ713" s="0" t="n">
        <v>365</v>
      </c>
      <c r="BA713" s="0" t="s">
        <v>723</v>
      </c>
      <c r="BB713" s="0" t="n">
        <v>95</v>
      </c>
      <c r="BC713" s="0" t="n">
        <v>95</v>
      </c>
      <c r="BD713" s="0" t="s">
        <v>110</v>
      </c>
      <c r="BE713" s="2" t="n">
        <v>43880</v>
      </c>
    </row>
    <row r="714" customFormat="false" ht="14.25" hidden="false" customHeight="false" outlineLevel="0" collapsed="false">
      <c r="A714" s="0" t="n">
        <v>713</v>
      </c>
      <c r="B714" s="1" t="s">
        <v>1426</v>
      </c>
      <c r="C714" s="0" t="n">
        <v>422</v>
      </c>
      <c r="D714" s="0" t="n">
        <v>484</v>
      </c>
      <c r="E714" s="0" t="s">
        <v>409</v>
      </c>
      <c r="F714" s="0" t="n">
        <v>409</v>
      </c>
      <c r="G714" s="0" t="n">
        <v>475</v>
      </c>
      <c r="H714" s="0" t="s">
        <v>283</v>
      </c>
      <c r="I714" s="0" t="n">
        <v>371</v>
      </c>
      <c r="J714" s="0" t="n">
        <v>420</v>
      </c>
      <c r="K714" s="0" t="s">
        <v>625</v>
      </c>
      <c r="L714" s="0" t="n">
        <v>34</v>
      </c>
      <c r="M714" s="0" t="n">
        <v>21</v>
      </c>
      <c r="N714" s="0" t="s">
        <v>1427</v>
      </c>
      <c r="O714" s="0" t="n">
        <v>27</v>
      </c>
      <c r="P714" s="0" t="n">
        <v>21</v>
      </c>
      <c r="Q714" s="0" t="s">
        <v>1425</v>
      </c>
      <c r="AD714" s="0" t="n">
        <v>641</v>
      </c>
      <c r="AE714" s="0" t="n">
        <v>646</v>
      </c>
      <c r="AF714" s="0" t="s">
        <v>863</v>
      </c>
      <c r="AG714" s="0" t="n">
        <v>11</v>
      </c>
      <c r="AH714" s="0" t="n">
        <v>11</v>
      </c>
      <c r="AI714" s="0" t="s">
        <v>110</v>
      </c>
      <c r="AM714" s="0" t="n">
        <v>300</v>
      </c>
      <c r="AN714" s="0" t="n">
        <v>301</v>
      </c>
      <c r="AO714" s="0" t="s">
        <v>723</v>
      </c>
      <c r="AP714" s="0" t="n">
        <v>339</v>
      </c>
      <c r="AQ714" s="0" t="n">
        <v>339</v>
      </c>
      <c r="AR714" s="0" t="s">
        <v>110</v>
      </c>
      <c r="AS714" s="0" t="n">
        <v>81</v>
      </c>
      <c r="AT714" s="0" t="n">
        <v>81</v>
      </c>
      <c r="AU714" s="0" t="s">
        <v>110</v>
      </c>
      <c r="AV714" s="0" t="n">
        <v>300</v>
      </c>
      <c r="AW714" s="0" t="n">
        <v>301</v>
      </c>
      <c r="AX714" s="0" t="s">
        <v>723</v>
      </c>
      <c r="AY714" s="0" t="n">
        <v>339</v>
      </c>
      <c r="AZ714" s="0" t="n">
        <v>339</v>
      </c>
      <c r="BA714" s="0" t="s">
        <v>110</v>
      </c>
      <c r="BB714" s="0" t="n">
        <v>81</v>
      </c>
      <c r="BC714" s="0" t="n">
        <v>81</v>
      </c>
      <c r="BD714" s="0" t="s">
        <v>110</v>
      </c>
      <c r="BE714" s="2" t="n">
        <v>43889</v>
      </c>
    </row>
    <row r="715" customFormat="false" ht="14.25" hidden="false" customHeight="false" outlineLevel="0" collapsed="false">
      <c r="A715" s="0" t="n">
        <v>714</v>
      </c>
      <c r="B715" s="1" t="s">
        <v>1428</v>
      </c>
      <c r="C715" s="0" t="n">
        <v>441</v>
      </c>
      <c r="D715" s="0" t="n">
        <v>484</v>
      </c>
      <c r="E715" s="0" t="s">
        <v>646</v>
      </c>
      <c r="F715" s="0" t="n">
        <v>429</v>
      </c>
      <c r="G715" s="0" t="n">
        <v>475</v>
      </c>
      <c r="H715" s="0" t="s">
        <v>373</v>
      </c>
      <c r="I715" s="0" t="n">
        <v>325</v>
      </c>
      <c r="J715" s="0" t="n">
        <v>368</v>
      </c>
      <c r="K715" s="0" t="s">
        <v>625</v>
      </c>
      <c r="L715" s="0" t="n">
        <v>29</v>
      </c>
      <c r="M715" s="0" t="n">
        <v>21</v>
      </c>
      <c r="N715" s="0" t="s">
        <v>1429</v>
      </c>
      <c r="O715" s="0" t="n">
        <v>24</v>
      </c>
      <c r="P715" s="0" t="n">
        <v>21</v>
      </c>
      <c r="Q715" s="0" t="s">
        <v>1409</v>
      </c>
      <c r="AD715" s="0" t="n">
        <v>611</v>
      </c>
      <c r="AE715" s="0" t="n">
        <v>627</v>
      </c>
      <c r="AF715" s="0" t="s">
        <v>139</v>
      </c>
      <c r="AG715" s="0" t="n">
        <v>101</v>
      </c>
      <c r="AH715" s="0" t="n">
        <v>104</v>
      </c>
      <c r="AI715" s="0" t="s">
        <v>492</v>
      </c>
      <c r="AM715" s="0" t="n">
        <v>329</v>
      </c>
      <c r="AN715" s="0" t="n">
        <v>355</v>
      </c>
      <c r="AO715" s="0" t="s">
        <v>618</v>
      </c>
      <c r="AP715" s="0" t="n">
        <v>350</v>
      </c>
      <c r="AQ715" s="0" t="n">
        <v>354</v>
      </c>
      <c r="AR715" s="0" t="s">
        <v>143</v>
      </c>
      <c r="AS715" s="0" t="n">
        <v>93</v>
      </c>
      <c r="AT715" s="0" t="n">
        <v>98</v>
      </c>
      <c r="AU715" s="0" t="s">
        <v>142</v>
      </c>
      <c r="AV715" s="0" t="n">
        <v>329</v>
      </c>
      <c r="AW715" s="0" t="n">
        <v>355</v>
      </c>
      <c r="AX715" s="0" t="s">
        <v>618</v>
      </c>
      <c r="AY715" s="0" t="n">
        <v>350</v>
      </c>
      <c r="AZ715" s="0" t="n">
        <v>354</v>
      </c>
      <c r="BA715" s="0" t="s">
        <v>143</v>
      </c>
      <c r="BB715" s="0" t="n">
        <v>93</v>
      </c>
      <c r="BC715" s="0" t="n">
        <v>98</v>
      </c>
      <c r="BD715" s="0" t="s">
        <v>142</v>
      </c>
      <c r="BE715" s="2" t="n">
        <v>43887</v>
      </c>
    </row>
    <row r="716" customFormat="false" ht="14.25" hidden="false" customHeight="false" outlineLevel="0" collapsed="false">
      <c r="A716" s="0" t="n">
        <v>715</v>
      </c>
      <c r="B716" s="1" t="s">
        <v>1430</v>
      </c>
      <c r="C716" s="0" t="n">
        <v>392</v>
      </c>
      <c r="D716" s="0" t="n">
        <v>484</v>
      </c>
      <c r="E716" s="0" t="s">
        <v>320</v>
      </c>
      <c r="F716" s="0" t="n">
        <v>400</v>
      </c>
      <c r="G716" s="0" t="n">
        <v>475</v>
      </c>
      <c r="H716" s="0" t="s">
        <v>554</v>
      </c>
      <c r="I716" s="0" t="n">
        <v>309</v>
      </c>
      <c r="J716" s="0" t="n">
        <v>368</v>
      </c>
      <c r="K716" s="0" t="s">
        <v>1181</v>
      </c>
      <c r="L716" s="0" t="n">
        <v>20</v>
      </c>
      <c r="M716" s="0" t="n">
        <v>21</v>
      </c>
      <c r="N716" s="0" t="s">
        <v>634</v>
      </c>
      <c r="O716" s="0" t="n">
        <v>23</v>
      </c>
      <c r="P716" s="0" t="n">
        <v>21</v>
      </c>
      <c r="Q716" s="0" t="s">
        <v>1414</v>
      </c>
      <c r="AD716" s="0" t="n">
        <v>587</v>
      </c>
      <c r="AE716" s="0" t="n">
        <v>613</v>
      </c>
      <c r="AF716" s="0" t="s">
        <v>136</v>
      </c>
      <c r="AG716" s="0" t="n">
        <v>75</v>
      </c>
      <c r="AH716" s="0" t="n">
        <v>78</v>
      </c>
      <c r="AI716" s="0" t="s">
        <v>200</v>
      </c>
      <c r="AM716" s="0" t="n">
        <v>326</v>
      </c>
      <c r="AN716" s="0" t="n">
        <v>326</v>
      </c>
      <c r="AO716" s="0" t="s">
        <v>110</v>
      </c>
      <c r="AP716" s="0" t="n">
        <v>328</v>
      </c>
      <c r="AQ716" s="0" t="n">
        <v>337</v>
      </c>
      <c r="AR716" s="0" t="s">
        <v>149</v>
      </c>
      <c r="AS716" s="0" t="n">
        <v>95</v>
      </c>
      <c r="AT716" s="0" t="n">
        <v>97</v>
      </c>
      <c r="AU716" s="0" t="s">
        <v>551</v>
      </c>
      <c r="AV716" s="0" t="n">
        <v>326</v>
      </c>
      <c r="AW716" s="0" t="n">
        <v>326</v>
      </c>
      <c r="AX716" s="0" t="s">
        <v>110</v>
      </c>
      <c r="AY716" s="0" t="n">
        <v>328</v>
      </c>
      <c r="AZ716" s="0" t="n">
        <v>337</v>
      </c>
      <c r="BA716" s="0" t="s">
        <v>149</v>
      </c>
      <c r="BB716" s="0" t="n">
        <v>95</v>
      </c>
      <c r="BC716" s="0" t="n">
        <v>97</v>
      </c>
      <c r="BD716" s="0" t="s">
        <v>551</v>
      </c>
      <c r="BE716" s="2" t="n">
        <v>43881</v>
      </c>
    </row>
    <row r="717" customFormat="false" ht="14.25" hidden="false" customHeight="false" outlineLevel="0" collapsed="false">
      <c r="A717" s="0" t="n">
        <v>716</v>
      </c>
      <c r="B717" s="1" t="s">
        <v>1431</v>
      </c>
      <c r="C717" s="0" t="n">
        <v>431</v>
      </c>
      <c r="D717" s="0" t="n">
        <v>484</v>
      </c>
      <c r="E717" s="0" t="s">
        <v>431</v>
      </c>
      <c r="F717" s="0" t="n">
        <v>442</v>
      </c>
      <c r="G717" s="0" t="n">
        <v>475</v>
      </c>
      <c r="H717" s="0" t="s">
        <v>151</v>
      </c>
      <c r="I717" s="0" t="n">
        <v>334</v>
      </c>
      <c r="J717" s="0" t="n">
        <v>420</v>
      </c>
      <c r="K717" s="0" t="s">
        <v>181</v>
      </c>
      <c r="L717" s="0" t="n">
        <v>31</v>
      </c>
      <c r="M717" s="0" t="n">
        <v>21</v>
      </c>
      <c r="N717" s="0" t="s">
        <v>1432</v>
      </c>
      <c r="O717" s="0" t="n">
        <v>22</v>
      </c>
      <c r="P717" s="0" t="n">
        <v>21</v>
      </c>
      <c r="Q717" s="0" t="s">
        <v>1093</v>
      </c>
      <c r="AD717" s="0" t="n">
        <v>662</v>
      </c>
      <c r="AE717" s="0" t="n">
        <v>674</v>
      </c>
      <c r="AF717" s="0" t="s">
        <v>600</v>
      </c>
      <c r="AG717" s="0" t="n">
        <v>71</v>
      </c>
      <c r="AH717" s="0" t="n">
        <v>72</v>
      </c>
      <c r="AI717" s="0" t="s">
        <v>790</v>
      </c>
      <c r="AM717" s="0" t="n">
        <v>354</v>
      </c>
      <c r="AN717" s="0" t="n">
        <v>355</v>
      </c>
      <c r="AO717" s="0" t="s">
        <v>723</v>
      </c>
      <c r="AP717" s="0" t="n">
        <v>360</v>
      </c>
      <c r="AQ717" s="0" t="n">
        <v>363</v>
      </c>
      <c r="AR717" s="0" t="s">
        <v>863</v>
      </c>
      <c r="AS717" s="0" t="n">
        <v>80</v>
      </c>
      <c r="AT717" s="0" t="n">
        <v>80</v>
      </c>
      <c r="AU717" s="0" t="s">
        <v>110</v>
      </c>
      <c r="AV717" s="0" t="n">
        <v>354</v>
      </c>
      <c r="AW717" s="0" t="n">
        <v>355</v>
      </c>
      <c r="AX717" s="0" t="s">
        <v>723</v>
      </c>
      <c r="AY717" s="0" t="n">
        <v>360</v>
      </c>
      <c r="AZ717" s="0" t="n">
        <v>363</v>
      </c>
      <c r="BA717" s="0" t="s">
        <v>863</v>
      </c>
      <c r="BB717" s="0" t="n">
        <v>80</v>
      </c>
      <c r="BC717" s="0" t="n">
        <v>80</v>
      </c>
      <c r="BD717" s="0" t="s">
        <v>110</v>
      </c>
      <c r="BE717" s="2" t="n">
        <v>43882</v>
      </c>
    </row>
    <row r="718" customFormat="false" ht="14.25" hidden="false" customHeight="false" outlineLevel="0" collapsed="false">
      <c r="A718" s="0" t="n">
        <v>717</v>
      </c>
      <c r="B718" s="1" t="s">
        <v>1433</v>
      </c>
      <c r="I718" s="0" t="n">
        <v>323</v>
      </c>
      <c r="J718" s="0" t="n">
        <v>422</v>
      </c>
      <c r="K718" s="0" t="s">
        <v>205</v>
      </c>
      <c r="BE718" s="2" t="n">
        <v>43886</v>
      </c>
    </row>
    <row r="719" customFormat="false" ht="14.25" hidden="false" customHeight="false" outlineLevel="0" collapsed="false">
      <c r="A719" s="0" t="n">
        <v>718</v>
      </c>
      <c r="B719" s="1" t="s">
        <v>1434</v>
      </c>
      <c r="C719" s="0" t="n">
        <v>440</v>
      </c>
      <c r="D719" s="0" t="n">
        <v>481</v>
      </c>
      <c r="E719" s="0" t="s">
        <v>204</v>
      </c>
      <c r="F719" s="0" t="n">
        <v>437</v>
      </c>
      <c r="G719" s="0" t="n">
        <v>473</v>
      </c>
      <c r="H719" s="0" t="s">
        <v>447</v>
      </c>
      <c r="I719" s="0" t="n">
        <v>325</v>
      </c>
      <c r="J719" s="0" t="n">
        <v>368</v>
      </c>
      <c r="K719" s="0" t="s">
        <v>625</v>
      </c>
      <c r="L719" s="0" t="n">
        <v>31</v>
      </c>
      <c r="M719" s="0" t="n">
        <v>21</v>
      </c>
      <c r="N719" s="0" t="s">
        <v>1432</v>
      </c>
      <c r="O719" s="0" t="n">
        <v>24</v>
      </c>
      <c r="P719" s="0" t="n">
        <v>21</v>
      </c>
      <c r="Q719" s="0" t="s">
        <v>1409</v>
      </c>
      <c r="AD719" s="0" t="n">
        <v>653</v>
      </c>
      <c r="AE719" s="0" t="n">
        <v>670</v>
      </c>
      <c r="AF719" s="0" t="s">
        <v>370</v>
      </c>
      <c r="AG719" s="0" t="n">
        <v>22</v>
      </c>
      <c r="AH719" s="0" t="n">
        <v>22</v>
      </c>
      <c r="AI719" s="0" t="s">
        <v>110</v>
      </c>
      <c r="AM719" s="0" t="n">
        <v>354</v>
      </c>
      <c r="AN719" s="0" t="n">
        <v>354</v>
      </c>
      <c r="AO719" s="0" t="s">
        <v>110</v>
      </c>
      <c r="AP719" s="0" t="n">
        <v>348</v>
      </c>
      <c r="AQ719" s="0" t="n">
        <v>363</v>
      </c>
      <c r="AR719" s="0" t="s">
        <v>777</v>
      </c>
      <c r="AS719" s="0" t="n">
        <v>85</v>
      </c>
      <c r="AT719" s="0" t="n">
        <v>88</v>
      </c>
      <c r="AU719" s="0" t="s">
        <v>119</v>
      </c>
      <c r="AV719" s="0" t="n">
        <v>354</v>
      </c>
      <c r="AW719" s="0" t="n">
        <v>354</v>
      </c>
      <c r="AX719" s="0" t="s">
        <v>110</v>
      </c>
      <c r="AY719" s="0" t="n">
        <v>348</v>
      </c>
      <c r="AZ719" s="0" t="n">
        <v>363</v>
      </c>
      <c r="BA719" s="0" t="s">
        <v>777</v>
      </c>
      <c r="BB719" s="0" t="n">
        <v>85</v>
      </c>
      <c r="BC719" s="0" t="n">
        <v>88</v>
      </c>
      <c r="BD719" s="0" t="s">
        <v>119</v>
      </c>
      <c r="BE719" s="2" t="n">
        <v>43888</v>
      </c>
    </row>
    <row r="720" customFormat="false" ht="14.25" hidden="false" customHeight="false" outlineLevel="0" collapsed="false">
      <c r="A720" s="0" t="n">
        <v>719</v>
      </c>
      <c r="B720" s="1" t="s">
        <v>1435</v>
      </c>
      <c r="C720" s="0" t="n">
        <v>303</v>
      </c>
      <c r="D720" s="0" t="n">
        <v>319</v>
      </c>
      <c r="E720" s="0" t="s">
        <v>606</v>
      </c>
      <c r="F720" s="0" t="n">
        <v>315</v>
      </c>
      <c r="G720" s="0" t="n">
        <v>320</v>
      </c>
      <c r="H720" s="0" t="s">
        <v>706</v>
      </c>
      <c r="AM720" s="0" t="n">
        <v>100</v>
      </c>
      <c r="AV720" s="0" t="n">
        <v>100</v>
      </c>
      <c r="BE720" s="2" t="n">
        <v>43890</v>
      </c>
    </row>
    <row r="721" customFormat="false" ht="14.25" hidden="false" customHeight="false" outlineLevel="0" collapsed="false">
      <c r="A721" s="0" t="n">
        <v>720</v>
      </c>
      <c r="B721" s="1" t="s">
        <v>1436</v>
      </c>
      <c r="I721" s="0" t="n">
        <v>296</v>
      </c>
      <c r="J721" s="0" t="n">
        <v>422</v>
      </c>
      <c r="K721" s="0" t="s">
        <v>164</v>
      </c>
      <c r="BE721" s="2" t="n">
        <v>43891</v>
      </c>
    </row>
    <row r="722" customFormat="false" ht="14.25" hidden="false" customHeight="false" outlineLevel="0" collapsed="false">
      <c r="A722" s="0" t="n">
        <v>721</v>
      </c>
      <c r="B722" s="1" t="s">
        <v>1437</v>
      </c>
      <c r="C722" s="0" t="n">
        <v>425</v>
      </c>
      <c r="D722" s="0" t="n">
        <v>484</v>
      </c>
      <c r="E722" s="0" t="s">
        <v>916</v>
      </c>
      <c r="F722" s="0" t="n">
        <v>437</v>
      </c>
      <c r="G722" s="0" t="n">
        <v>475</v>
      </c>
      <c r="H722" s="0" t="s">
        <v>168</v>
      </c>
      <c r="I722" s="0" t="n">
        <v>306</v>
      </c>
      <c r="J722" s="0" t="n">
        <v>368</v>
      </c>
      <c r="K722" s="0" t="s">
        <v>479</v>
      </c>
      <c r="L722" s="0" t="n">
        <v>24</v>
      </c>
      <c r="M722" s="0" t="n">
        <v>21</v>
      </c>
      <c r="N722" s="0" t="s">
        <v>1409</v>
      </c>
      <c r="O722" s="0" t="n">
        <v>23</v>
      </c>
      <c r="P722" s="0" t="n">
        <v>21</v>
      </c>
      <c r="Q722" s="0" t="s">
        <v>1414</v>
      </c>
      <c r="AD722" s="0" t="n">
        <v>669</v>
      </c>
      <c r="AE722" s="0" t="n">
        <v>674</v>
      </c>
      <c r="AF722" s="0" t="s">
        <v>596</v>
      </c>
      <c r="AG722" s="0" t="n">
        <v>92</v>
      </c>
      <c r="AH722" s="0" t="n">
        <v>92</v>
      </c>
      <c r="AI722" s="0" t="s">
        <v>110</v>
      </c>
      <c r="AM722" s="0" t="n">
        <v>346</v>
      </c>
      <c r="AN722" s="0" t="n">
        <v>356</v>
      </c>
      <c r="AO722" s="0" t="s">
        <v>128</v>
      </c>
      <c r="AP722" s="0" t="n">
        <v>290</v>
      </c>
      <c r="AS722" s="0" t="n">
        <v>100</v>
      </c>
      <c r="AV722" s="0" t="n">
        <v>346</v>
      </c>
      <c r="AW722" s="0" t="n">
        <v>356</v>
      </c>
      <c r="AX722" s="0" t="s">
        <v>128</v>
      </c>
      <c r="AY722" s="0" t="n">
        <v>290</v>
      </c>
      <c r="BB722" s="0" t="n">
        <v>100</v>
      </c>
      <c r="BE722" s="2" t="n">
        <v>43892</v>
      </c>
    </row>
    <row r="723" customFormat="false" ht="14.25" hidden="false" customHeight="false" outlineLevel="0" collapsed="false">
      <c r="A723" s="0" t="n">
        <v>722</v>
      </c>
      <c r="B723" s="1" t="s">
        <v>1438</v>
      </c>
      <c r="C723" s="0" t="n">
        <v>437</v>
      </c>
      <c r="D723" s="0" t="n">
        <v>484</v>
      </c>
      <c r="E723" s="0" t="s">
        <v>373</v>
      </c>
      <c r="F723" s="0" t="n">
        <v>428</v>
      </c>
      <c r="G723" s="0" t="n">
        <v>475</v>
      </c>
      <c r="H723" s="0" t="s">
        <v>530</v>
      </c>
      <c r="I723" s="0" t="n">
        <v>332</v>
      </c>
      <c r="J723" s="0" t="n">
        <v>368</v>
      </c>
      <c r="K723" s="0" t="s">
        <v>161</v>
      </c>
      <c r="L723" s="0" t="n">
        <v>26</v>
      </c>
      <c r="M723" s="0" t="n">
        <v>21</v>
      </c>
      <c r="N723" s="0" t="s">
        <v>1439</v>
      </c>
      <c r="O723" s="0" t="n">
        <v>26</v>
      </c>
      <c r="P723" s="0" t="n">
        <v>21</v>
      </c>
      <c r="Q723" s="0" t="s">
        <v>1439</v>
      </c>
      <c r="AD723" s="0" t="n">
        <v>639</v>
      </c>
      <c r="AG723" s="0" t="n">
        <v>90</v>
      </c>
      <c r="AM723" s="0" t="n">
        <v>361</v>
      </c>
      <c r="AN723" s="0" t="n">
        <v>362</v>
      </c>
      <c r="AO723" s="0" t="s">
        <v>723</v>
      </c>
      <c r="AP723" s="0" t="n">
        <v>353</v>
      </c>
      <c r="AQ723" s="0" t="n">
        <v>353</v>
      </c>
      <c r="AR723" s="0" t="s">
        <v>110</v>
      </c>
      <c r="AS723" s="0" t="n">
        <v>100</v>
      </c>
      <c r="AT723" s="0" t="n">
        <v>100</v>
      </c>
      <c r="AU723" s="0" t="s">
        <v>110</v>
      </c>
      <c r="AV723" s="0" t="n">
        <v>361</v>
      </c>
      <c r="AW723" s="0" t="n">
        <v>362</v>
      </c>
      <c r="AX723" s="0" t="s">
        <v>723</v>
      </c>
      <c r="AY723" s="0" t="n">
        <v>353</v>
      </c>
      <c r="AZ723" s="0" t="n">
        <v>353</v>
      </c>
      <c r="BA723" s="0" t="s">
        <v>110</v>
      </c>
      <c r="BB723" s="0" t="n">
        <v>100</v>
      </c>
      <c r="BC723" s="0" t="n">
        <v>100</v>
      </c>
      <c r="BD723" s="0" t="s">
        <v>110</v>
      </c>
      <c r="BE723" s="2" t="n">
        <v>43893</v>
      </c>
    </row>
    <row r="724" customFormat="false" ht="14.25" hidden="false" customHeight="false" outlineLevel="0" collapsed="false">
      <c r="A724" s="0" t="n">
        <v>723</v>
      </c>
      <c r="B724" s="1" t="s">
        <v>1440</v>
      </c>
      <c r="C724" s="0" t="n">
        <v>408</v>
      </c>
      <c r="D724" s="0" t="n">
        <v>484</v>
      </c>
      <c r="E724" s="0" t="s">
        <v>1441</v>
      </c>
      <c r="F724" s="0" t="n">
        <v>441</v>
      </c>
      <c r="G724" s="0" t="n">
        <v>475</v>
      </c>
      <c r="H724" s="0" t="s">
        <v>475</v>
      </c>
      <c r="I724" s="0" t="n">
        <v>343</v>
      </c>
      <c r="J724" s="0" t="n">
        <v>368</v>
      </c>
      <c r="K724" s="0" t="s">
        <v>491</v>
      </c>
      <c r="L724" s="0" t="n">
        <v>27</v>
      </c>
      <c r="M724" s="0" t="n">
        <v>21</v>
      </c>
      <c r="N724" s="0" t="s">
        <v>1425</v>
      </c>
      <c r="O724" s="0" t="n">
        <v>25</v>
      </c>
      <c r="P724" s="0" t="n">
        <v>21</v>
      </c>
      <c r="Q724" s="0" t="s">
        <v>1416</v>
      </c>
      <c r="AD724" s="0" t="n">
        <v>607</v>
      </c>
      <c r="AE724" s="0" t="n">
        <v>624</v>
      </c>
      <c r="AF724" s="0" t="s">
        <v>149</v>
      </c>
      <c r="AG724" s="0" t="n">
        <v>103</v>
      </c>
      <c r="AH724" s="0" t="n">
        <v>106</v>
      </c>
      <c r="AI724" s="0" t="s">
        <v>128</v>
      </c>
      <c r="AM724" s="0" t="n">
        <v>325</v>
      </c>
      <c r="AN724" s="0" t="n">
        <v>364</v>
      </c>
      <c r="AO724" s="0" t="s">
        <v>574</v>
      </c>
      <c r="AP724" s="0" t="n">
        <v>357</v>
      </c>
      <c r="AQ724" s="0" t="n">
        <v>357</v>
      </c>
      <c r="AR724" s="0" t="s">
        <v>110</v>
      </c>
      <c r="AS724" s="0" t="n">
        <v>95</v>
      </c>
      <c r="AT724" s="0" t="n">
        <v>107</v>
      </c>
      <c r="AU724" s="0" t="s">
        <v>166</v>
      </c>
      <c r="AV724" s="0" t="n">
        <v>325</v>
      </c>
      <c r="AW724" s="0" t="n">
        <v>364</v>
      </c>
      <c r="AX724" s="0" t="s">
        <v>574</v>
      </c>
      <c r="AY724" s="0" t="n">
        <v>357</v>
      </c>
      <c r="AZ724" s="0" t="n">
        <v>357</v>
      </c>
      <c r="BA724" s="0" t="s">
        <v>110</v>
      </c>
      <c r="BB724" s="0" t="n">
        <v>95</v>
      </c>
      <c r="BC724" s="0" t="n">
        <v>107</v>
      </c>
      <c r="BD724" s="0" t="s">
        <v>166</v>
      </c>
      <c r="BE724" s="2" t="n">
        <v>43894</v>
      </c>
    </row>
    <row r="725" customFormat="false" ht="14.25" hidden="false" customHeight="false" outlineLevel="0" collapsed="false">
      <c r="A725" s="0" t="n">
        <v>724</v>
      </c>
      <c r="B725" s="1" t="s">
        <v>1442</v>
      </c>
      <c r="C725" s="0" t="n">
        <v>452</v>
      </c>
      <c r="D725" s="0" t="n">
        <v>484</v>
      </c>
      <c r="E725" s="0" t="s">
        <v>659</v>
      </c>
      <c r="F725" s="0" t="n">
        <v>429</v>
      </c>
      <c r="G725" s="0" t="n">
        <v>475</v>
      </c>
      <c r="H725" s="0" t="s">
        <v>373</v>
      </c>
      <c r="I725" s="0" t="n">
        <v>351</v>
      </c>
      <c r="J725" s="0" t="n">
        <v>368</v>
      </c>
      <c r="K725" s="0" t="s">
        <v>188</v>
      </c>
      <c r="L725" s="0" t="n">
        <v>29</v>
      </c>
      <c r="M725" s="0" t="n">
        <v>21</v>
      </c>
      <c r="N725" s="0" t="s">
        <v>1429</v>
      </c>
      <c r="O725" s="0" t="n">
        <v>19</v>
      </c>
      <c r="P725" s="0" t="n">
        <v>21</v>
      </c>
      <c r="Q725" s="0" t="s">
        <v>608</v>
      </c>
      <c r="AD725" s="0" t="n">
        <v>593</v>
      </c>
      <c r="AE725" s="0" t="n">
        <v>674</v>
      </c>
      <c r="AF725" s="0" t="s">
        <v>158</v>
      </c>
      <c r="AG725" s="0" t="n">
        <v>119</v>
      </c>
      <c r="AH725" s="0" t="n">
        <v>135</v>
      </c>
      <c r="AI725" s="0" t="s">
        <v>429</v>
      </c>
      <c r="AM725" s="0" t="n">
        <v>363</v>
      </c>
      <c r="AN725" s="0" t="n">
        <v>363</v>
      </c>
      <c r="AO725" s="0" t="s">
        <v>110</v>
      </c>
      <c r="AP725" s="0" t="n">
        <v>358</v>
      </c>
      <c r="AQ725" s="0" t="n">
        <v>358</v>
      </c>
      <c r="AR725" s="0" t="s">
        <v>110</v>
      </c>
      <c r="AS725" s="0" t="n">
        <v>95</v>
      </c>
      <c r="AT725" s="0" t="n">
        <v>104</v>
      </c>
      <c r="AU725" s="0" t="s">
        <v>174</v>
      </c>
      <c r="AV725" s="0" t="n">
        <v>363</v>
      </c>
      <c r="AW725" s="0" t="n">
        <v>363</v>
      </c>
      <c r="AX725" s="0" t="s">
        <v>110</v>
      </c>
      <c r="AY725" s="0" t="n">
        <v>358</v>
      </c>
      <c r="AZ725" s="0" t="n">
        <v>358</v>
      </c>
      <c r="BA725" s="0" t="s">
        <v>110</v>
      </c>
      <c r="BB725" s="0" t="n">
        <v>95</v>
      </c>
      <c r="BC725" s="0" t="n">
        <v>104</v>
      </c>
      <c r="BD725" s="0" t="s">
        <v>174</v>
      </c>
      <c r="BE725" s="2" t="n">
        <v>43895</v>
      </c>
    </row>
    <row r="726" customFormat="false" ht="14.25" hidden="false" customHeight="false" outlineLevel="0" collapsed="false">
      <c r="A726" s="0" t="n">
        <v>725</v>
      </c>
      <c r="B726" s="1" t="s">
        <v>1443</v>
      </c>
      <c r="C726" s="0" t="n">
        <v>450</v>
      </c>
      <c r="D726" s="0" t="n">
        <v>484</v>
      </c>
      <c r="E726" s="0" t="s">
        <v>586</v>
      </c>
      <c r="F726" s="0" t="n">
        <v>420</v>
      </c>
      <c r="G726" s="0" t="n">
        <v>475</v>
      </c>
      <c r="H726" s="0" t="s">
        <v>400</v>
      </c>
      <c r="I726" s="0" t="n">
        <v>382</v>
      </c>
      <c r="J726" s="0" t="n">
        <v>420</v>
      </c>
      <c r="K726" s="0" t="s">
        <v>658</v>
      </c>
      <c r="L726" s="0" t="n">
        <v>28</v>
      </c>
      <c r="M726" s="0" t="n">
        <v>21</v>
      </c>
      <c r="N726" s="0" t="s">
        <v>1444</v>
      </c>
      <c r="O726" s="0" t="n">
        <v>19</v>
      </c>
      <c r="P726" s="0" t="n">
        <v>21</v>
      </c>
      <c r="Q726" s="0" t="s">
        <v>608</v>
      </c>
      <c r="AD726" s="0" t="n">
        <v>644</v>
      </c>
      <c r="AE726" s="0" t="n">
        <v>674</v>
      </c>
      <c r="AF726" s="0" t="s">
        <v>127</v>
      </c>
      <c r="AG726" s="0" t="n">
        <v>120</v>
      </c>
      <c r="AH726" s="0" t="n">
        <v>125</v>
      </c>
      <c r="AI726" s="0" t="s">
        <v>438</v>
      </c>
      <c r="AM726" s="0" t="n">
        <v>312</v>
      </c>
      <c r="AN726" s="0" t="n">
        <v>327</v>
      </c>
      <c r="AO726" s="0" t="s">
        <v>188</v>
      </c>
      <c r="AP726" s="0" t="n">
        <v>365</v>
      </c>
      <c r="AQ726" s="0" t="n">
        <v>365</v>
      </c>
      <c r="AR726" s="0" t="s">
        <v>110</v>
      </c>
      <c r="AS726" s="0" t="n">
        <v>90</v>
      </c>
      <c r="AT726" s="0" t="n">
        <v>92</v>
      </c>
      <c r="AU726" s="0" t="s">
        <v>652</v>
      </c>
      <c r="AV726" s="0" t="n">
        <v>312</v>
      </c>
      <c r="AW726" s="0" t="n">
        <v>327</v>
      </c>
      <c r="AX726" s="0" t="s">
        <v>188</v>
      </c>
      <c r="AY726" s="0" t="n">
        <v>365</v>
      </c>
      <c r="AZ726" s="0" t="n">
        <v>365</v>
      </c>
      <c r="BA726" s="0" t="s">
        <v>110</v>
      </c>
      <c r="BB726" s="0" t="n">
        <v>90</v>
      </c>
      <c r="BC726" s="0" t="n">
        <v>92</v>
      </c>
      <c r="BD726" s="0" t="s">
        <v>652</v>
      </c>
      <c r="BE726" s="2" t="n">
        <v>43896</v>
      </c>
    </row>
    <row r="727" customFormat="false" ht="14.25" hidden="false" customHeight="false" outlineLevel="0" collapsed="false">
      <c r="A727" s="0" t="n">
        <v>726</v>
      </c>
      <c r="B727" s="1" t="s">
        <v>1445</v>
      </c>
      <c r="AS727" s="0" t="n">
        <v>100</v>
      </c>
      <c r="BB727" s="0" t="n">
        <v>100</v>
      </c>
      <c r="BE727" s="2" t="n">
        <v>43897</v>
      </c>
    </row>
    <row r="728" customFormat="false" ht="14.25" hidden="false" customHeight="false" outlineLevel="0" collapsed="false">
      <c r="A728" s="0" t="n">
        <v>727</v>
      </c>
      <c r="B728" s="1" t="s">
        <v>1446</v>
      </c>
      <c r="C728" s="0" t="n">
        <v>399</v>
      </c>
      <c r="D728" s="0" t="n">
        <v>484</v>
      </c>
      <c r="E728" s="0" t="s">
        <v>279</v>
      </c>
      <c r="F728" s="0" t="n">
        <v>440</v>
      </c>
      <c r="G728" s="0" t="n">
        <v>475</v>
      </c>
      <c r="H728" s="0" t="s">
        <v>437</v>
      </c>
      <c r="I728" s="0" t="n">
        <v>330</v>
      </c>
      <c r="J728" s="0" t="n">
        <v>368</v>
      </c>
      <c r="K728" s="0" t="s">
        <v>123</v>
      </c>
      <c r="L728" s="0" t="n">
        <v>24</v>
      </c>
      <c r="M728" s="0" t="n">
        <v>21</v>
      </c>
      <c r="N728" s="0" t="s">
        <v>1409</v>
      </c>
      <c r="O728" s="0" t="n">
        <v>23</v>
      </c>
      <c r="P728" s="0" t="n">
        <v>21</v>
      </c>
      <c r="Q728" s="0" t="s">
        <v>1414</v>
      </c>
      <c r="AD728" s="0" t="n">
        <v>641</v>
      </c>
      <c r="AE728" s="0" t="n">
        <v>674</v>
      </c>
      <c r="AF728" s="0" t="s">
        <v>210</v>
      </c>
      <c r="AG728" s="0" t="n">
        <v>124</v>
      </c>
      <c r="AH728" s="0" t="n">
        <v>130</v>
      </c>
      <c r="AI728" s="0" t="s">
        <v>188</v>
      </c>
      <c r="AM728" s="0" t="n">
        <v>354</v>
      </c>
      <c r="AN728" s="0" t="n">
        <v>355</v>
      </c>
      <c r="AO728" s="0" t="s">
        <v>723</v>
      </c>
      <c r="AP728" s="0" t="n">
        <v>365</v>
      </c>
      <c r="AQ728" s="0" t="n">
        <v>365</v>
      </c>
      <c r="AR728" s="0" t="s">
        <v>110</v>
      </c>
      <c r="AV728" s="0" t="n">
        <v>354</v>
      </c>
      <c r="AW728" s="0" t="n">
        <v>355</v>
      </c>
      <c r="AX728" s="0" t="s">
        <v>723</v>
      </c>
      <c r="AY728" s="0" t="n">
        <v>365</v>
      </c>
      <c r="AZ728" s="0" t="n">
        <v>365</v>
      </c>
      <c r="BA728" s="0" t="s">
        <v>110</v>
      </c>
      <c r="BE728" s="2" t="n">
        <v>43899</v>
      </c>
    </row>
    <row r="729" customFormat="false" ht="14.25" hidden="false" customHeight="false" outlineLevel="0" collapsed="false">
      <c r="A729" s="0" t="n">
        <v>728</v>
      </c>
      <c r="B729" s="1" t="s">
        <v>1447</v>
      </c>
      <c r="C729" s="0" t="n">
        <v>382</v>
      </c>
      <c r="D729" s="0" t="n">
        <v>484</v>
      </c>
      <c r="E729" s="0" t="s">
        <v>685</v>
      </c>
      <c r="F729" s="0" t="n">
        <v>439</v>
      </c>
      <c r="G729" s="0" t="n">
        <v>475</v>
      </c>
      <c r="H729" s="0" t="s">
        <v>447</v>
      </c>
      <c r="I729" s="0" t="n">
        <v>340</v>
      </c>
      <c r="J729" s="0" t="n">
        <v>368</v>
      </c>
      <c r="K729" s="0" t="s">
        <v>447</v>
      </c>
      <c r="L729" s="0" t="n">
        <v>35</v>
      </c>
      <c r="M729" s="0" t="n">
        <v>29</v>
      </c>
      <c r="N729" s="0" t="s">
        <v>1448</v>
      </c>
      <c r="O729" s="0" t="n">
        <v>31</v>
      </c>
      <c r="P729" s="0" t="n">
        <v>21</v>
      </c>
      <c r="Q729" s="0" t="s">
        <v>1432</v>
      </c>
      <c r="AD729" s="0" t="n">
        <v>547</v>
      </c>
      <c r="AG729" s="0" t="n">
        <v>112</v>
      </c>
      <c r="AM729" s="0" t="n">
        <v>353</v>
      </c>
      <c r="AN729" s="0" t="n">
        <v>353</v>
      </c>
      <c r="AO729" s="0" t="s">
        <v>110</v>
      </c>
      <c r="AP729" s="0" t="n">
        <v>359</v>
      </c>
      <c r="AQ729" s="0" t="n">
        <v>361</v>
      </c>
      <c r="AR729" s="0" t="s">
        <v>824</v>
      </c>
      <c r="AS729" s="0" t="n">
        <v>90</v>
      </c>
      <c r="AV729" s="0" t="n">
        <v>353</v>
      </c>
      <c r="AW729" s="0" t="n">
        <v>353</v>
      </c>
      <c r="AX729" s="0" t="s">
        <v>110</v>
      </c>
      <c r="AY729" s="0" t="n">
        <v>359</v>
      </c>
      <c r="AZ729" s="0" t="n">
        <v>361</v>
      </c>
      <c r="BA729" s="0" t="s">
        <v>824</v>
      </c>
      <c r="BB729" s="0" t="n">
        <v>90</v>
      </c>
      <c r="BE729" s="2" t="n">
        <v>43900</v>
      </c>
    </row>
    <row r="730" customFormat="false" ht="14.25" hidden="false" customHeight="false" outlineLevel="0" collapsed="false">
      <c r="A730" s="0" t="n">
        <v>729</v>
      </c>
      <c r="B730" s="1" t="s">
        <v>1449</v>
      </c>
      <c r="C730" s="0" t="n">
        <v>448</v>
      </c>
      <c r="D730" s="0" t="n">
        <v>484</v>
      </c>
      <c r="E730" s="0" t="s">
        <v>437</v>
      </c>
      <c r="F730" s="0" t="n">
        <v>435</v>
      </c>
      <c r="G730" s="0" t="n">
        <v>475</v>
      </c>
      <c r="H730" s="0" t="s">
        <v>292</v>
      </c>
      <c r="I730" s="0" t="n">
        <v>343</v>
      </c>
      <c r="J730" s="0" t="n">
        <v>368</v>
      </c>
      <c r="K730" s="0" t="s">
        <v>491</v>
      </c>
      <c r="L730" s="0" t="n">
        <v>32</v>
      </c>
      <c r="M730" s="0" t="n">
        <v>21</v>
      </c>
      <c r="N730" s="0" t="s">
        <v>1450</v>
      </c>
      <c r="O730" s="0" t="n">
        <v>23</v>
      </c>
      <c r="P730" s="0" t="n">
        <v>21</v>
      </c>
      <c r="Q730" s="0" t="s">
        <v>1414</v>
      </c>
      <c r="AD730" s="0" t="n">
        <v>647</v>
      </c>
      <c r="AE730" s="0" t="n">
        <v>660</v>
      </c>
      <c r="AF730" s="0" t="s">
        <v>131</v>
      </c>
      <c r="AG730" s="0" t="n">
        <v>115</v>
      </c>
      <c r="AH730" s="0" t="n">
        <v>117</v>
      </c>
      <c r="AI730" s="0" t="s">
        <v>179</v>
      </c>
      <c r="AM730" s="0" t="n">
        <v>352</v>
      </c>
      <c r="AN730" s="0" t="n">
        <v>354</v>
      </c>
      <c r="AO730" s="0" t="s">
        <v>824</v>
      </c>
      <c r="AP730" s="0" t="n">
        <v>365</v>
      </c>
      <c r="AQ730" s="0" t="n">
        <v>365</v>
      </c>
      <c r="AR730" s="0" t="s">
        <v>110</v>
      </c>
      <c r="AS730" s="0" t="n">
        <v>93</v>
      </c>
      <c r="AT730" s="0" t="n">
        <v>93</v>
      </c>
      <c r="AU730" s="0" t="s">
        <v>110</v>
      </c>
      <c r="AV730" s="0" t="n">
        <v>352</v>
      </c>
      <c r="AW730" s="0" t="n">
        <v>354</v>
      </c>
      <c r="AX730" s="0" t="s">
        <v>824</v>
      </c>
      <c r="AY730" s="0" t="n">
        <v>365</v>
      </c>
      <c r="AZ730" s="0" t="n">
        <v>365</v>
      </c>
      <c r="BA730" s="0" t="s">
        <v>110</v>
      </c>
      <c r="BB730" s="0" t="n">
        <v>93</v>
      </c>
      <c r="BC730" s="0" t="n">
        <v>93</v>
      </c>
      <c r="BD730" s="0" t="s">
        <v>110</v>
      </c>
      <c r="BE730" s="2" t="n">
        <v>43901</v>
      </c>
    </row>
    <row r="731" customFormat="false" ht="14.25" hidden="false" customHeight="false" outlineLevel="0" collapsed="false">
      <c r="A731" s="0" t="n">
        <v>730</v>
      </c>
      <c r="B731" s="1" t="s">
        <v>1451</v>
      </c>
      <c r="C731" s="0" t="n">
        <v>446</v>
      </c>
      <c r="D731" s="0" t="n">
        <v>484</v>
      </c>
      <c r="E731" s="0" t="s">
        <v>598</v>
      </c>
      <c r="F731" s="0" t="n">
        <v>434</v>
      </c>
      <c r="G731" s="0" t="n">
        <v>475</v>
      </c>
      <c r="H731" s="0" t="s">
        <v>795</v>
      </c>
      <c r="I731" s="0" t="n">
        <v>311</v>
      </c>
      <c r="J731" s="0" t="n">
        <v>368</v>
      </c>
      <c r="K731" s="0" t="s">
        <v>573</v>
      </c>
      <c r="L731" s="0" t="n">
        <v>29</v>
      </c>
      <c r="M731" s="0" t="n">
        <v>34</v>
      </c>
      <c r="N731" s="0" t="s">
        <v>390</v>
      </c>
      <c r="O731" s="0" t="n">
        <v>35</v>
      </c>
      <c r="P731" s="0" t="n">
        <v>34</v>
      </c>
      <c r="Q731" s="0" t="s">
        <v>960</v>
      </c>
      <c r="AD731" s="0" t="n">
        <v>674</v>
      </c>
      <c r="AE731" s="0" t="n">
        <v>674</v>
      </c>
      <c r="AF731" s="0" t="s">
        <v>110</v>
      </c>
      <c r="AG731" s="0" t="n">
        <v>95</v>
      </c>
      <c r="AH731" s="0" t="n">
        <v>95</v>
      </c>
      <c r="AI731" s="0" t="s">
        <v>110</v>
      </c>
      <c r="AM731" s="0" t="n">
        <v>348</v>
      </c>
      <c r="AN731" s="0" t="n">
        <v>348</v>
      </c>
      <c r="AO731" s="0" t="s">
        <v>110</v>
      </c>
      <c r="AP731" s="0" t="n">
        <v>367</v>
      </c>
      <c r="AQ731" s="0" t="n">
        <v>366</v>
      </c>
      <c r="AR731" s="0" t="s">
        <v>778</v>
      </c>
      <c r="AS731" s="0" t="n">
        <v>100</v>
      </c>
      <c r="AT731" s="0" t="n">
        <v>99</v>
      </c>
      <c r="AU731" s="0" t="s">
        <v>1452</v>
      </c>
      <c r="AV731" s="0" t="n">
        <v>348</v>
      </c>
      <c r="AW731" s="0" t="n">
        <v>348</v>
      </c>
      <c r="AX731" s="0" t="s">
        <v>110</v>
      </c>
      <c r="AY731" s="0" t="n">
        <v>367</v>
      </c>
      <c r="AZ731" s="0" t="n">
        <v>366</v>
      </c>
      <c r="BA731" s="0" t="s">
        <v>778</v>
      </c>
      <c r="BB731" s="0" t="n">
        <v>100</v>
      </c>
      <c r="BC731" s="0" t="n">
        <v>99</v>
      </c>
      <c r="BD731" s="0" t="s">
        <v>1452</v>
      </c>
      <c r="BE731" s="2" t="n">
        <v>43902</v>
      </c>
    </row>
    <row r="732" customFormat="false" ht="14.25" hidden="false" customHeight="false" outlineLevel="0" collapsed="false">
      <c r="A732" s="0" t="n">
        <v>731</v>
      </c>
      <c r="B732" s="1" t="s">
        <v>1453</v>
      </c>
      <c r="C732" s="0" t="n">
        <v>422</v>
      </c>
      <c r="D732" s="0" t="n">
        <v>484</v>
      </c>
      <c r="E732" s="0" t="s">
        <v>409</v>
      </c>
      <c r="F732" s="0" t="n">
        <v>388</v>
      </c>
      <c r="G732" s="0" t="n">
        <v>475</v>
      </c>
      <c r="H732" s="0" t="s">
        <v>407</v>
      </c>
      <c r="I732" s="0" t="n">
        <v>390</v>
      </c>
      <c r="J732" s="0" t="n">
        <v>420</v>
      </c>
      <c r="K732" s="0" t="s">
        <v>207</v>
      </c>
      <c r="L732" s="0" t="n">
        <v>32</v>
      </c>
      <c r="M732" s="0" t="n">
        <v>34</v>
      </c>
      <c r="N732" s="0" t="s">
        <v>448</v>
      </c>
      <c r="O732" s="0" t="n">
        <v>33</v>
      </c>
      <c r="P732" s="0" t="n">
        <v>34</v>
      </c>
      <c r="Q732" s="0" t="s">
        <v>492</v>
      </c>
      <c r="AD732" s="0" t="n">
        <v>661</v>
      </c>
      <c r="AE732" s="0" t="n">
        <v>661</v>
      </c>
      <c r="AF732" s="0" t="s">
        <v>110</v>
      </c>
      <c r="AG732" s="0" t="n">
        <v>90</v>
      </c>
      <c r="AH732" s="0" t="n">
        <v>90</v>
      </c>
      <c r="AI732" s="0" t="s">
        <v>110</v>
      </c>
      <c r="AM732" s="0" t="n">
        <v>354</v>
      </c>
      <c r="AN732" s="0" t="n">
        <v>354</v>
      </c>
      <c r="AO732" s="0" t="s">
        <v>110</v>
      </c>
      <c r="AP732" s="0" t="n">
        <v>365</v>
      </c>
      <c r="AQ732" s="0" t="n">
        <v>366</v>
      </c>
      <c r="AR732" s="0" t="s">
        <v>723</v>
      </c>
      <c r="AS732" s="0" t="n">
        <v>100</v>
      </c>
      <c r="AT732" s="0" t="n">
        <v>100</v>
      </c>
      <c r="AU732" s="0" t="s">
        <v>110</v>
      </c>
      <c r="AV732" s="0" t="n">
        <v>354</v>
      </c>
      <c r="AW732" s="0" t="n">
        <v>354</v>
      </c>
      <c r="AX732" s="0" t="s">
        <v>110</v>
      </c>
      <c r="AY732" s="0" t="n">
        <v>365</v>
      </c>
      <c r="AZ732" s="0" t="n">
        <v>366</v>
      </c>
      <c r="BA732" s="0" t="s">
        <v>723</v>
      </c>
      <c r="BB732" s="0" t="n">
        <v>100</v>
      </c>
      <c r="BC732" s="0" t="n">
        <v>100</v>
      </c>
      <c r="BD732" s="0" t="s">
        <v>110</v>
      </c>
      <c r="BE732" s="2" t="n">
        <v>43903</v>
      </c>
    </row>
    <row r="733" customFormat="false" ht="14.25" hidden="false" customHeight="false" outlineLevel="0" collapsed="false">
      <c r="A733" s="0" t="n">
        <v>732</v>
      </c>
      <c r="B733" s="1" t="s">
        <v>1454</v>
      </c>
      <c r="C733" s="0" t="n">
        <v>320</v>
      </c>
      <c r="D733" s="0" t="n">
        <v>355</v>
      </c>
      <c r="E733" s="0" t="s">
        <v>530</v>
      </c>
      <c r="F733" s="0" t="n">
        <v>335</v>
      </c>
      <c r="G733" s="0" t="n">
        <v>355</v>
      </c>
      <c r="H733" s="0" t="s">
        <v>160</v>
      </c>
      <c r="AM733" s="0" t="n">
        <v>268</v>
      </c>
      <c r="AP733" s="0" t="n">
        <v>110</v>
      </c>
      <c r="AV733" s="0" t="n">
        <v>268</v>
      </c>
      <c r="AY733" s="0" t="n">
        <v>110</v>
      </c>
      <c r="BE733" s="2" t="n">
        <v>43904</v>
      </c>
    </row>
    <row r="734" customFormat="false" ht="14.25" hidden="false" customHeight="false" outlineLevel="0" collapsed="false">
      <c r="A734" s="0" t="n">
        <v>733</v>
      </c>
      <c r="B734" s="1" t="s">
        <v>1455</v>
      </c>
      <c r="I734" s="0" t="n">
        <v>125</v>
      </c>
      <c r="J734" s="0" t="n">
        <v>422</v>
      </c>
      <c r="K734" s="0" t="s">
        <v>1456</v>
      </c>
      <c r="BE734" s="2" t="n">
        <v>43905</v>
      </c>
    </row>
    <row r="735" customFormat="false" ht="14.25" hidden="false" customHeight="false" outlineLevel="0" collapsed="false">
      <c r="A735" s="0" t="n">
        <v>734</v>
      </c>
      <c r="B735" s="1" t="s">
        <v>1457</v>
      </c>
      <c r="C735" s="0" t="n">
        <v>447</v>
      </c>
      <c r="D735" s="0" t="n">
        <v>456</v>
      </c>
      <c r="E735" s="0" t="s">
        <v>131</v>
      </c>
      <c r="F735" s="0" t="n">
        <v>425</v>
      </c>
      <c r="G735" s="0" t="n">
        <v>448</v>
      </c>
      <c r="H735" s="0" t="s">
        <v>142</v>
      </c>
      <c r="U735" s="0" t="n">
        <v>431</v>
      </c>
      <c r="V735" s="0" t="n">
        <v>447</v>
      </c>
      <c r="W735" s="0" t="s">
        <v>187</v>
      </c>
      <c r="X735" s="0" t="n">
        <v>400</v>
      </c>
      <c r="Y735" s="0" t="n">
        <v>436</v>
      </c>
      <c r="Z735" s="0" t="s">
        <v>363</v>
      </c>
      <c r="BE735" s="2" t="n">
        <v>44270</v>
      </c>
    </row>
    <row r="736" customFormat="false" ht="14.25" hidden="false" customHeight="false" outlineLevel="0" collapsed="false">
      <c r="A736" s="0" t="n">
        <v>735</v>
      </c>
      <c r="B736" s="1" t="s">
        <v>1458</v>
      </c>
      <c r="BE736" s="2" t="n">
        <v>44221</v>
      </c>
    </row>
    <row r="737" customFormat="false" ht="14.25" hidden="false" customHeight="false" outlineLevel="0" collapsed="false">
      <c r="A737" s="0" t="n">
        <v>736</v>
      </c>
      <c r="B737" s="1" t="s">
        <v>1459</v>
      </c>
      <c r="BE737" s="2" t="n">
        <v>44229</v>
      </c>
    </row>
    <row r="738" customFormat="false" ht="14.25" hidden="false" customHeight="false" outlineLevel="0" collapsed="false">
      <c r="A738" s="0" t="n">
        <v>737</v>
      </c>
      <c r="B738" s="1" t="s">
        <v>1460</v>
      </c>
      <c r="BE738" s="2" t="n">
        <v>44246</v>
      </c>
    </row>
    <row r="739" customFormat="false" ht="14.25" hidden="false" customHeight="false" outlineLevel="0" collapsed="false">
      <c r="A739" s="0" t="n">
        <v>738</v>
      </c>
      <c r="B739" s="1" t="s">
        <v>1461</v>
      </c>
      <c r="BE739" s="2" t="n">
        <v>44253</v>
      </c>
    </row>
    <row r="740" customFormat="false" ht="14.25" hidden="false" customHeight="false" outlineLevel="0" collapsed="false">
      <c r="A740" s="0" t="n">
        <v>739</v>
      </c>
      <c r="B740" s="1" t="s">
        <v>1462</v>
      </c>
      <c r="BE740" s="2" t="n">
        <v>44263</v>
      </c>
    </row>
    <row r="741" customFormat="false" ht="14.25" hidden="false" customHeight="false" outlineLevel="0" collapsed="false">
      <c r="A741" s="0" t="n">
        <v>740</v>
      </c>
      <c r="B741" s="1" t="s">
        <v>1463</v>
      </c>
      <c r="BE741" s="2" t="n">
        <v>44271</v>
      </c>
    </row>
  </sheetData>
  <printOptions headings="false" gridLines="false" gridLinesSet="true" horizontalCentered="false" verticalCentered="false"/>
  <pageMargins left="0.511805555555556" right="0.511805555555556" top="0.7875" bottom="0.7875" header="0.511811023622047" footer="0.315277777777778"/>
  <pageSetup paperSize="9" scale="100" fitToWidth="1" fitToHeight="1" pageOrder="downThenOver" orientation="portrait" blackAndWhite="false" draft="false" cellComments="none" horizontalDpi="300" verticalDpi="300" copies="1"/>
  <headerFooter differentFirst="false" differentOddEven="false">
    <oddHeader/>
    <oddFooter>&amp;R&amp;1#&amp;"Arial,Regular"&amp;10Confidential C</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P290"/>
  <sheetViews>
    <sheetView showFormulas="false" showGridLines="true" showRowColHeaders="true" showZeros="true" rightToLeft="false" tabSelected="true" showOutlineSymbols="true" defaultGridColor="true" view="normal" topLeftCell="K16" colorId="64" zoomScale="100" zoomScaleNormal="100" zoomScalePageLayoutView="100" workbookViewId="0">
      <selection pane="topLeft" activeCell="N34" activeCellId="0" sqref="N34"/>
    </sheetView>
  </sheetViews>
  <sheetFormatPr defaultColWidth="9.15234375" defaultRowHeight="13.8" zeroHeight="false" outlineLevelRow="0" outlineLevelCol="0"/>
  <cols>
    <col collapsed="false" customWidth="true" hidden="false" outlineLevel="0" max="2" min="2" style="0" width="22.27"/>
    <col collapsed="false" customWidth="true" hidden="false" outlineLevel="0" max="7" min="7" style="0" width="12.68"/>
    <col collapsed="false" customWidth="true" hidden="false" outlineLevel="0" max="11" min="11" style="0" width="30.87"/>
    <col collapsed="false" customWidth="true" hidden="false" outlineLevel="0" max="14" min="14" style="0" width="18.85"/>
    <col collapsed="false" customWidth="true" hidden="false" outlineLevel="0" max="15" min="15" style="0" width="12.01"/>
  </cols>
  <sheetData>
    <row r="1" customFormat="false" ht="13.8" hidden="false" customHeight="false" outlineLevel="0" collapsed="false">
      <c r="A1" s="3" t="s">
        <v>1464</v>
      </c>
      <c r="B1" s="3" t="s">
        <v>1465</v>
      </c>
      <c r="C1" s="4" t="s">
        <v>1466</v>
      </c>
      <c r="D1" s="4" t="s">
        <v>1467</v>
      </c>
      <c r="E1" s="4" t="s">
        <v>1468</v>
      </c>
      <c r="F1" s="4" t="s">
        <v>1469</v>
      </c>
      <c r="G1" s="4" t="s">
        <v>1470</v>
      </c>
      <c r="H1" s="4" t="s">
        <v>1471</v>
      </c>
      <c r="I1" s="4" t="s">
        <v>1472</v>
      </c>
      <c r="J1" s="4" t="s">
        <v>1473</v>
      </c>
      <c r="K1" s="4" t="s">
        <v>1474</v>
      </c>
      <c r="L1" s="4" t="s">
        <v>1475</v>
      </c>
      <c r="M1" s="4" t="s">
        <v>1476</v>
      </c>
      <c r="N1" s="4" t="s">
        <v>1477</v>
      </c>
      <c r="O1" s="5" t="s">
        <v>1</v>
      </c>
      <c r="P1" s="4" t="s">
        <v>1478</v>
      </c>
    </row>
    <row r="2" customFormat="false" ht="13.8" hidden="false" customHeight="false" outlineLevel="0" collapsed="false">
      <c r="A2" s="1" t="s">
        <v>1479</v>
      </c>
      <c r="B2" s="1" t="s">
        <v>1480</v>
      </c>
      <c r="C2" s="0" t="s">
        <v>43</v>
      </c>
      <c r="D2" s="0" t="s">
        <v>48</v>
      </c>
      <c r="E2" s="0" t="s">
        <v>1481</v>
      </c>
      <c r="F2" s="0" t="s">
        <v>1482</v>
      </c>
      <c r="H2" s="6" t="n">
        <v>0.290277777777778</v>
      </c>
      <c r="K2" s="0" t="s">
        <v>1483</v>
      </c>
      <c r="L2" s="0" t="s">
        <v>1484</v>
      </c>
      <c r="M2" s="0" t="s">
        <v>1485</v>
      </c>
      <c r="N2" s="0" t="s">
        <v>1486</v>
      </c>
      <c r="O2" s="2" t="n">
        <v>44574</v>
      </c>
    </row>
    <row r="3" customFormat="false" ht="13.8" hidden="false" customHeight="false" outlineLevel="0" collapsed="false">
      <c r="A3" s="1" t="s">
        <v>1479</v>
      </c>
      <c r="B3" s="1" t="s">
        <v>1487</v>
      </c>
      <c r="C3" s="0" t="s">
        <v>1488</v>
      </c>
      <c r="D3" s="0" t="s">
        <v>49</v>
      </c>
      <c r="E3" s="0" t="s">
        <v>1489</v>
      </c>
      <c r="F3" s="0" t="s">
        <v>1490</v>
      </c>
      <c r="G3" s="6" t="n">
        <v>0.736111111111111</v>
      </c>
      <c r="H3" s="6" t="n">
        <v>0.758333333333333</v>
      </c>
      <c r="J3" s="0" t="n">
        <v>55</v>
      </c>
      <c r="K3" s="0" t="s">
        <v>1491</v>
      </c>
      <c r="L3" s="0" t="s">
        <v>1492</v>
      </c>
      <c r="M3" s="0" t="s">
        <v>1493</v>
      </c>
      <c r="N3" s="0" t="s">
        <v>1494</v>
      </c>
      <c r="O3" s="2" t="n">
        <v>44574</v>
      </c>
    </row>
    <row r="4" customFormat="false" ht="13.8" hidden="false" customHeight="false" outlineLevel="0" collapsed="false">
      <c r="A4" s="1" t="s">
        <v>1495</v>
      </c>
      <c r="B4" s="1" t="s">
        <v>1496</v>
      </c>
      <c r="C4" s="0" t="s">
        <v>41</v>
      </c>
      <c r="D4" s="0" t="s">
        <v>49</v>
      </c>
      <c r="E4" s="0" t="s">
        <v>1497</v>
      </c>
      <c r="F4" s="0" t="s">
        <v>1498</v>
      </c>
      <c r="G4" s="6" t="n">
        <v>0.772222222222222</v>
      </c>
      <c r="H4" s="6" t="n">
        <v>0.778472222222222</v>
      </c>
      <c r="J4" s="0" t="n">
        <v>33</v>
      </c>
      <c r="K4" s="0" t="s">
        <v>1499</v>
      </c>
      <c r="L4" s="0" t="s">
        <v>1500</v>
      </c>
      <c r="M4" s="0" t="s">
        <v>1501</v>
      </c>
      <c r="N4" s="0" t="s">
        <v>1502</v>
      </c>
      <c r="O4" s="2" t="n">
        <v>44574</v>
      </c>
    </row>
    <row r="5" customFormat="false" ht="13.5" hidden="false" customHeight="true" outlineLevel="0" collapsed="false">
      <c r="A5" s="1" t="s">
        <v>1503</v>
      </c>
      <c r="B5" s="1" t="s">
        <v>1504</v>
      </c>
      <c r="C5" s="0" t="s">
        <v>45</v>
      </c>
      <c r="D5" s="0" t="s">
        <v>48</v>
      </c>
      <c r="E5" s="0" t="s">
        <v>1505</v>
      </c>
      <c r="F5" s="0" t="s">
        <v>1506</v>
      </c>
      <c r="K5" s="7" t="s">
        <v>1507</v>
      </c>
      <c r="L5" s="0" t="s">
        <v>1508</v>
      </c>
      <c r="M5" s="0" t="s">
        <v>1509</v>
      </c>
      <c r="N5" s="0" t="s">
        <v>1510</v>
      </c>
      <c r="O5" s="2" t="n">
        <v>44578</v>
      </c>
    </row>
    <row r="6" customFormat="false" ht="13.8" hidden="false" customHeight="false" outlineLevel="0" collapsed="false">
      <c r="A6" s="1" t="s">
        <v>1479</v>
      </c>
      <c r="B6" s="1" t="s">
        <v>1496</v>
      </c>
      <c r="C6" s="0" t="s">
        <v>38</v>
      </c>
      <c r="D6" s="0" t="s">
        <v>48</v>
      </c>
      <c r="E6" s="0" t="s">
        <v>1511</v>
      </c>
      <c r="F6" s="0" t="s">
        <v>1512</v>
      </c>
      <c r="H6" s="6" t="n">
        <v>0.326388888888889</v>
      </c>
      <c r="K6" s="0" t="s">
        <v>1513</v>
      </c>
      <c r="L6" s="0" t="s">
        <v>1514</v>
      </c>
      <c r="M6" s="0" t="s">
        <v>1515</v>
      </c>
      <c r="N6" s="0" t="s">
        <v>1516</v>
      </c>
      <c r="O6" s="2" t="n">
        <v>44578</v>
      </c>
    </row>
    <row r="7" customFormat="false" ht="13.8" hidden="false" customHeight="false" outlineLevel="0" collapsed="false">
      <c r="A7" s="1" t="s">
        <v>1503</v>
      </c>
      <c r="B7" s="1" t="s">
        <v>1504</v>
      </c>
      <c r="C7" s="0" t="s">
        <v>45</v>
      </c>
      <c r="D7" s="0" t="s">
        <v>48</v>
      </c>
      <c r="E7" s="0" t="s">
        <v>1517</v>
      </c>
      <c r="F7" s="0" t="s">
        <v>1518</v>
      </c>
      <c r="H7" s="6" t="n">
        <v>0.451388888888889</v>
      </c>
      <c r="K7" s="0" t="s">
        <v>1519</v>
      </c>
      <c r="L7" s="0" t="s">
        <v>1520</v>
      </c>
      <c r="M7" s="0" t="s">
        <v>1521</v>
      </c>
      <c r="N7" s="0" t="s">
        <v>1522</v>
      </c>
      <c r="O7" s="2" t="n">
        <v>44578</v>
      </c>
    </row>
    <row r="8" customFormat="false" ht="13.8" hidden="false" customHeight="false" outlineLevel="0" collapsed="false">
      <c r="A8" s="1" t="s">
        <v>1479</v>
      </c>
      <c r="B8" s="1" t="s">
        <v>1480</v>
      </c>
      <c r="C8" s="0" t="s">
        <v>43</v>
      </c>
      <c r="D8" s="0" t="s">
        <v>48</v>
      </c>
      <c r="E8" s="0" t="s">
        <v>1523</v>
      </c>
      <c r="F8" s="0" t="s">
        <v>1524</v>
      </c>
      <c r="G8" s="6" t="n">
        <v>0.774305555555555</v>
      </c>
      <c r="J8" s="0" t="s">
        <v>1525</v>
      </c>
      <c r="K8" s="0" t="s">
        <v>1526</v>
      </c>
      <c r="L8" s="0" t="s">
        <v>1527</v>
      </c>
      <c r="M8" s="0" t="s">
        <v>1528</v>
      </c>
      <c r="N8" s="0" t="s">
        <v>1529</v>
      </c>
      <c r="O8" s="2" t="n">
        <v>44579</v>
      </c>
    </row>
    <row r="9" customFormat="false" ht="13.8" hidden="false" customHeight="false" outlineLevel="0" collapsed="false">
      <c r="A9" s="1" t="s">
        <v>1479</v>
      </c>
      <c r="B9" s="1" t="s">
        <v>1480</v>
      </c>
      <c r="C9" s="0" t="s">
        <v>43</v>
      </c>
      <c r="D9" s="0" t="s">
        <v>48</v>
      </c>
      <c r="E9" s="0" t="s">
        <v>1530</v>
      </c>
      <c r="F9" s="0" t="s">
        <v>1524</v>
      </c>
      <c r="J9" s="0" t="s">
        <v>1525</v>
      </c>
      <c r="K9" s="0" t="s">
        <v>1531</v>
      </c>
      <c r="L9" s="0" t="s">
        <v>1532</v>
      </c>
      <c r="M9" s="0" t="s">
        <v>1533</v>
      </c>
      <c r="N9" s="0" t="s">
        <v>1534</v>
      </c>
      <c r="O9" s="2" t="n">
        <v>44579</v>
      </c>
    </row>
    <row r="10" customFormat="false" ht="13.8" hidden="false" customHeight="false" outlineLevel="0" collapsed="false">
      <c r="A10" s="1" t="s">
        <v>1479</v>
      </c>
      <c r="B10" s="1" t="s">
        <v>1535</v>
      </c>
      <c r="C10" s="0" t="s">
        <v>39</v>
      </c>
      <c r="D10" s="0" t="s">
        <v>49</v>
      </c>
      <c r="E10" s="0" t="s">
        <v>1536</v>
      </c>
      <c r="F10" s="0" t="s">
        <v>1537</v>
      </c>
      <c r="G10" s="6" t="n">
        <v>0.774305555555555</v>
      </c>
      <c r="H10" s="6" t="n">
        <v>0.776388888888889</v>
      </c>
      <c r="I10" s="0" t="n">
        <v>5</v>
      </c>
      <c r="J10" s="0" t="n">
        <v>15</v>
      </c>
      <c r="K10" s="0" t="s">
        <v>1538</v>
      </c>
      <c r="L10" s="0" t="s">
        <v>1539</v>
      </c>
      <c r="M10" s="0" t="s">
        <v>1533</v>
      </c>
      <c r="N10" s="0" t="s">
        <v>1534</v>
      </c>
      <c r="O10" s="2" t="n">
        <v>44579</v>
      </c>
    </row>
    <row r="11" customFormat="false" ht="14.25" hidden="false" customHeight="true" outlineLevel="0" collapsed="false">
      <c r="A11" s="1" t="s">
        <v>1495</v>
      </c>
      <c r="B11" s="1" t="s">
        <v>1487</v>
      </c>
      <c r="C11" s="0" t="s">
        <v>40</v>
      </c>
      <c r="D11" s="0" t="s">
        <v>49</v>
      </c>
      <c r="E11" s="0" t="s">
        <v>1540</v>
      </c>
      <c r="F11" s="0" t="s">
        <v>1541</v>
      </c>
      <c r="G11" s="6" t="n">
        <v>0.885416666666667</v>
      </c>
      <c r="H11" s="6" t="n">
        <v>0.899305555555555</v>
      </c>
      <c r="I11" s="0" t="s">
        <v>1542</v>
      </c>
      <c r="J11" s="0" t="s">
        <v>1543</v>
      </c>
      <c r="K11" s="0" t="s">
        <v>1544</v>
      </c>
      <c r="L11" s="0" t="s">
        <v>1545</v>
      </c>
      <c r="M11" s="0" t="s">
        <v>1546</v>
      </c>
      <c r="N11" s="7" t="s">
        <v>1547</v>
      </c>
      <c r="O11" s="2" t="n">
        <v>44579</v>
      </c>
    </row>
    <row r="12" customFormat="false" ht="13.8" hidden="false" customHeight="false" outlineLevel="0" collapsed="false">
      <c r="A12" s="1" t="s">
        <v>1495</v>
      </c>
      <c r="B12" s="1" t="s">
        <v>1496</v>
      </c>
      <c r="C12" s="0" t="s">
        <v>41</v>
      </c>
      <c r="D12" s="0" t="s">
        <v>48</v>
      </c>
      <c r="E12" s="0" t="s">
        <v>1497</v>
      </c>
      <c r="F12" s="0" t="s">
        <v>1498</v>
      </c>
      <c r="G12" s="6" t="n">
        <v>0.772222222222222</v>
      </c>
      <c r="H12" s="6" t="n">
        <v>0.778472222222222</v>
      </c>
      <c r="J12" s="0" t="s">
        <v>1548</v>
      </c>
      <c r="K12" s="0" t="s">
        <v>1549</v>
      </c>
      <c r="L12" s="0" t="s">
        <v>1550</v>
      </c>
      <c r="M12" s="0" t="s">
        <v>1551</v>
      </c>
      <c r="N12" s="0" t="s">
        <v>1552</v>
      </c>
      <c r="O12" s="2" t="n">
        <v>44581</v>
      </c>
    </row>
    <row r="13" customFormat="false" ht="13.8" hidden="false" customHeight="false" outlineLevel="0" collapsed="false">
      <c r="A13" s="1" t="s">
        <v>1479</v>
      </c>
      <c r="B13" s="1" t="s">
        <v>1480</v>
      </c>
      <c r="C13" s="0" t="s">
        <v>43</v>
      </c>
      <c r="D13" s="0" t="s">
        <v>48</v>
      </c>
      <c r="E13" s="0" t="s">
        <v>1553</v>
      </c>
      <c r="F13" s="0" t="s">
        <v>1524</v>
      </c>
      <c r="G13" s="6" t="n">
        <v>0.291666666666667</v>
      </c>
      <c r="H13" s="6" t="s">
        <v>1554</v>
      </c>
      <c r="K13" s="0" t="s">
        <v>1555</v>
      </c>
      <c r="L13" s="0" t="s">
        <v>1556</v>
      </c>
      <c r="O13" s="2" t="n">
        <v>44583</v>
      </c>
    </row>
    <row r="14" customFormat="false" ht="13.8" hidden="false" customHeight="false" outlineLevel="0" collapsed="false">
      <c r="A14" s="1" t="s">
        <v>1479</v>
      </c>
      <c r="B14" s="1" t="s">
        <v>1535</v>
      </c>
      <c r="C14" s="0" t="s">
        <v>39</v>
      </c>
      <c r="D14" s="0" t="s">
        <v>48</v>
      </c>
      <c r="E14" s="0" t="s">
        <v>1557</v>
      </c>
      <c r="F14" s="0" t="s">
        <v>1558</v>
      </c>
      <c r="G14" s="6" t="n">
        <v>0.375</v>
      </c>
      <c r="H14" s="6" t="n">
        <v>0.388888888888889</v>
      </c>
      <c r="I14" s="0" t="s">
        <v>1559</v>
      </c>
      <c r="K14" s="0" t="s">
        <v>1560</v>
      </c>
      <c r="L14" s="0" t="s">
        <v>1561</v>
      </c>
      <c r="N14" s="0" t="s">
        <v>1562</v>
      </c>
      <c r="O14" s="2" t="n">
        <v>44585</v>
      </c>
    </row>
    <row r="15" customFormat="false" ht="13.8" hidden="false" customHeight="false" outlineLevel="0" collapsed="false">
      <c r="A15" s="1" t="s">
        <v>1495</v>
      </c>
      <c r="B15" s="1" t="s">
        <v>1496</v>
      </c>
      <c r="C15" s="0" t="s">
        <v>41</v>
      </c>
      <c r="D15" s="0" t="s">
        <v>48</v>
      </c>
      <c r="E15" s="0" t="s">
        <v>1563</v>
      </c>
      <c r="F15" s="0" t="s">
        <v>1564</v>
      </c>
      <c r="H15" s="6" t="n">
        <v>0.388888888888889</v>
      </c>
      <c r="I15" s="0" t="s">
        <v>1559</v>
      </c>
      <c r="K15" s="0" t="s">
        <v>1565</v>
      </c>
      <c r="L15" s="0" t="s">
        <v>1566</v>
      </c>
      <c r="M15" s="0" t="s">
        <v>1567</v>
      </c>
      <c r="N15" s="0" t="s">
        <v>1562</v>
      </c>
      <c r="O15" s="2" t="n">
        <v>44585</v>
      </c>
    </row>
    <row r="16" customFormat="false" ht="13.8" hidden="false" customHeight="false" outlineLevel="0" collapsed="false">
      <c r="A16" s="1" t="s">
        <v>1479</v>
      </c>
      <c r="B16" s="1" t="s">
        <v>1480</v>
      </c>
      <c r="C16" s="0" t="s">
        <v>43</v>
      </c>
      <c r="D16" s="0" t="s">
        <v>48</v>
      </c>
      <c r="E16" s="0" t="s">
        <v>1568</v>
      </c>
      <c r="F16" s="0" t="s">
        <v>1569</v>
      </c>
      <c r="H16" s="6" t="n">
        <v>0.552083333333333</v>
      </c>
      <c r="I16" s="0" t="s">
        <v>1559</v>
      </c>
      <c r="K16" s="0" t="s">
        <v>1570</v>
      </c>
      <c r="L16" s="0" t="s">
        <v>1571</v>
      </c>
      <c r="M16" s="0" t="s">
        <v>1572</v>
      </c>
      <c r="N16" s="0" t="s">
        <v>1573</v>
      </c>
      <c r="O16" s="2" t="n">
        <v>44585</v>
      </c>
    </row>
    <row r="17" customFormat="false" ht="13.8" hidden="false" customHeight="false" outlineLevel="0" collapsed="false">
      <c r="A17" s="1" t="s">
        <v>1479</v>
      </c>
      <c r="B17" s="1" t="s">
        <v>1480</v>
      </c>
      <c r="C17" s="0" t="s">
        <v>43</v>
      </c>
      <c r="D17" s="0" t="s">
        <v>49</v>
      </c>
      <c r="E17" s="0" t="s">
        <v>1568</v>
      </c>
      <c r="F17" s="0" t="s">
        <v>1569</v>
      </c>
      <c r="I17" s="0" t="s">
        <v>1559</v>
      </c>
      <c r="K17" s="0" t="s">
        <v>1574</v>
      </c>
      <c r="L17" s="0" t="s">
        <v>1571</v>
      </c>
      <c r="M17" s="0" t="s">
        <v>1572</v>
      </c>
      <c r="N17" s="0" t="s">
        <v>1575</v>
      </c>
      <c r="O17" s="2" t="n">
        <v>44585</v>
      </c>
    </row>
    <row r="18" customFormat="false" ht="13.8" hidden="false" customHeight="false" outlineLevel="0" collapsed="false">
      <c r="A18" s="1" t="s">
        <v>1479</v>
      </c>
      <c r="B18" s="1" t="s">
        <v>1487</v>
      </c>
      <c r="C18" s="0" t="s">
        <v>1488</v>
      </c>
      <c r="D18" s="0" t="s">
        <v>49</v>
      </c>
      <c r="E18" s="0" t="s">
        <v>1576</v>
      </c>
      <c r="F18" s="0" t="s">
        <v>1577</v>
      </c>
      <c r="G18" s="6" t="n">
        <v>0.756944444444444</v>
      </c>
      <c r="H18" s="6" t="n">
        <v>0.791666666666667</v>
      </c>
      <c r="I18" s="0" t="n">
        <v>0</v>
      </c>
      <c r="J18" s="0" t="s">
        <v>1578</v>
      </c>
      <c r="K18" s="0" t="s">
        <v>1579</v>
      </c>
      <c r="L18" s="0" t="s">
        <v>1580</v>
      </c>
      <c r="M18" s="0" t="s">
        <v>1581</v>
      </c>
      <c r="N18" s="0" t="s">
        <v>1582</v>
      </c>
      <c r="O18" s="2" t="n">
        <v>44585</v>
      </c>
    </row>
    <row r="19" customFormat="false" ht="13.8" hidden="false" customHeight="false" outlineLevel="0" collapsed="false">
      <c r="A19" s="1" t="s">
        <v>1479</v>
      </c>
      <c r="B19" s="1" t="s">
        <v>1535</v>
      </c>
      <c r="C19" s="0" t="s">
        <v>39</v>
      </c>
      <c r="D19" s="0" t="s">
        <v>48</v>
      </c>
      <c r="E19" s="0" t="s">
        <v>1583</v>
      </c>
      <c r="F19" s="0" t="s">
        <v>1584</v>
      </c>
      <c r="G19" s="6" t="n">
        <v>0.263888888888889</v>
      </c>
      <c r="H19" s="6" t="n">
        <v>0.277777777777778</v>
      </c>
      <c r="K19" s="0" t="s">
        <v>1585</v>
      </c>
      <c r="L19" s="0" t="s">
        <v>1586</v>
      </c>
      <c r="M19" s="0" t="s">
        <v>1587</v>
      </c>
      <c r="N19" s="0" t="s">
        <v>1588</v>
      </c>
      <c r="O19" s="2" t="n">
        <v>44586</v>
      </c>
    </row>
    <row r="20" customFormat="false" ht="13.8" hidden="false" customHeight="false" outlineLevel="0" collapsed="false">
      <c r="A20" s="1" t="s">
        <v>1479</v>
      </c>
      <c r="B20" s="1" t="s">
        <v>1535</v>
      </c>
      <c r="C20" s="0" t="s">
        <v>39</v>
      </c>
      <c r="D20" s="0" t="s">
        <v>48</v>
      </c>
      <c r="E20" s="0" t="s">
        <v>1589</v>
      </c>
      <c r="F20" s="0" t="s">
        <v>1590</v>
      </c>
      <c r="G20" s="6" t="n">
        <v>0.263888888888889</v>
      </c>
      <c r="H20" s="6" t="n">
        <v>0.333333333333333</v>
      </c>
      <c r="K20" s="0" t="s">
        <v>1591</v>
      </c>
      <c r="L20" s="0" t="s">
        <v>1592</v>
      </c>
      <c r="O20" s="2" t="n">
        <v>44586</v>
      </c>
    </row>
    <row r="21" customFormat="false" ht="13.8" hidden="false" customHeight="false" outlineLevel="0" collapsed="false">
      <c r="A21" s="1" t="s">
        <v>1503</v>
      </c>
      <c r="B21" s="1" t="s">
        <v>1535</v>
      </c>
      <c r="C21" s="0" t="s">
        <v>1503</v>
      </c>
      <c r="D21" s="0" t="s">
        <v>48</v>
      </c>
      <c r="E21" s="0" t="s">
        <v>1593</v>
      </c>
      <c r="F21" s="0" t="s">
        <v>1594</v>
      </c>
      <c r="G21" s="6" t="n">
        <v>0.277777777777778</v>
      </c>
      <c r="H21" s="6" t="n">
        <v>0.324305555555556</v>
      </c>
      <c r="J21" s="0" t="s">
        <v>1595</v>
      </c>
      <c r="K21" s="0" t="s">
        <v>1596</v>
      </c>
      <c r="L21" s="0" t="s">
        <v>1597</v>
      </c>
      <c r="M21" s="0" t="s">
        <v>1598</v>
      </c>
      <c r="N21" s="0" t="s">
        <v>1599</v>
      </c>
      <c r="O21" s="2" t="n">
        <v>44586</v>
      </c>
    </row>
    <row r="22" customFormat="false" ht="19.5" hidden="false" customHeight="true" outlineLevel="0" collapsed="false">
      <c r="A22" s="1" t="s">
        <v>1503</v>
      </c>
      <c r="B22" s="1" t="s">
        <v>1535</v>
      </c>
      <c r="C22" s="4" t="s">
        <v>1503</v>
      </c>
      <c r="D22" s="4" t="s">
        <v>48</v>
      </c>
      <c r="E22" s="4" t="s">
        <v>1593</v>
      </c>
      <c r="F22" s="4" t="s">
        <v>1594</v>
      </c>
      <c r="G22" s="8" t="n">
        <v>0.277777777777778</v>
      </c>
      <c r="H22" s="8" t="n">
        <v>0.324305555555556</v>
      </c>
      <c r="I22" s="4"/>
      <c r="J22" s="4" t="s">
        <v>1595</v>
      </c>
      <c r="K22" s="4" t="s">
        <v>1596</v>
      </c>
      <c r="L22" s="4" t="s">
        <v>1597</v>
      </c>
      <c r="M22" s="4" t="s">
        <v>1598</v>
      </c>
      <c r="N22" s="4" t="s">
        <v>1599</v>
      </c>
      <c r="O22" s="2" t="n">
        <v>44586</v>
      </c>
    </row>
    <row r="23" customFormat="false" ht="13.8" hidden="false" customHeight="false" outlineLevel="0" collapsed="false">
      <c r="A23" s="1" t="s">
        <v>1479</v>
      </c>
      <c r="B23" s="1" t="s">
        <v>1480</v>
      </c>
      <c r="C23" s="4" t="s">
        <v>1600</v>
      </c>
      <c r="D23" s="4" t="s">
        <v>1601</v>
      </c>
      <c r="E23" s="4" t="s">
        <v>1602</v>
      </c>
      <c r="F23" s="4" t="s">
        <v>1603</v>
      </c>
      <c r="G23" s="4" t="s">
        <v>1604</v>
      </c>
      <c r="H23" s="4" t="s">
        <v>1605</v>
      </c>
      <c r="I23" s="4" t="s">
        <v>1606</v>
      </c>
      <c r="J23" s="4" t="s">
        <v>1607</v>
      </c>
      <c r="K23" s="4" t="s">
        <v>1608</v>
      </c>
      <c r="L23" s="4" t="s">
        <v>1609</v>
      </c>
      <c r="M23" s="4" t="s">
        <v>1610</v>
      </c>
      <c r="N23" s="4" t="s">
        <v>1611</v>
      </c>
      <c r="O23" s="2" t="n">
        <v>44588</v>
      </c>
    </row>
    <row r="24" customFormat="false" ht="13.8" hidden="false" customHeight="false" outlineLevel="0" collapsed="false">
      <c r="A24" s="1" t="s">
        <v>1479</v>
      </c>
      <c r="B24" s="1" t="s">
        <v>1480</v>
      </c>
      <c r="C24" s="4" t="s">
        <v>1600</v>
      </c>
      <c r="D24" s="4" t="s">
        <v>1612</v>
      </c>
      <c r="E24" s="4" t="s">
        <v>1602</v>
      </c>
      <c r="F24" s="4" t="s">
        <v>1603</v>
      </c>
      <c r="G24" s="4" t="s">
        <v>1613</v>
      </c>
      <c r="H24" s="4" t="s">
        <v>1614</v>
      </c>
      <c r="I24" s="4" t="s">
        <v>1606</v>
      </c>
      <c r="J24" s="4" t="s">
        <v>1615</v>
      </c>
      <c r="K24" s="4" t="s">
        <v>1616</v>
      </c>
      <c r="L24" s="4" t="s">
        <v>1617</v>
      </c>
      <c r="M24" s="4" t="s">
        <v>1610</v>
      </c>
      <c r="N24" s="4" t="s">
        <v>1618</v>
      </c>
      <c r="O24" s="2" t="n">
        <v>44588</v>
      </c>
    </row>
    <row r="25" customFormat="false" ht="13.8" hidden="false" customHeight="false" outlineLevel="0" collapsed="false">
      <c r="A25" s="1" t="s">
        <v>1495</v>
      </c>
      <c r="B25" s="1" t="s">
        <v>1496</v>
      </c>
      <c r="C25" s="4" t="s">
        <v>1619</v>
      </c>
      <c r="D25" s="4" t="s">
        <v>1601</v>
      </c>
      <c r="E25" s="4" t="s">
        <v>1620</v>
      </c>
      <c r="F25" s="4" t="s">
        <v>1621</v>
      </c>
      <c r="G25" s="4" t="s">
        <v>1622</v>
      </c>
      <c r="H25" s="4" t="s">
        <v>1623</v>
      </c>
      <c r="I25" s="4" t="s">
        <v>1624</v>
      </c>
      <c r="J25" s="4" t="s">
        <v>1625</v>
      </c>
      <c r="K25" s="4" t="s">
        <v>1626</v>
      </c>
      <c r="L25" s="4" t="s">
        <v>1627</v>
      </c>
      <c r="M25" s="4" t="s">
        <v>1606</v>
      </c>
      <c r="N25" s="4" t="s">
        <v>1628</v>
      </c>
      <c r="O25" s="2" t="n">
        <v>44592</v>
      </c>
    </row>
    <row r="26" customFormat="false" ht="13.8" hidden="false" customHeight="false" outlineLevel="0" collapsed="false">
      <c r="A26" s="1" t="s">
        <v>1479</v>
      </c>
      <c r="B26" s="1" t="s">
        <v>1487</v>
      </c>
      <c r="C26" s="4" t="s">
        <v>1488</v>
      </c>
      <c r="D26" s="4" t="s">
        <v>1601</v>
      </c>
      <c r="E26" s="4" t="s">
        <v>1629</v>
      </c>
      <c r="F26" s="4" t="s">
        <v>1630</v>
      </c>
      <c r="G26" s="4" t="s">
        <v>1631</v>
      </c>
      <c r="H26" s="4" t="s">
        <v>1632</v>
      </c>
      <c r="I26" s="4" t="s">
        <v>1633</v>
      </c>
      <c r="J26" s="4" t="s">
        <v>1634</v>
      </c>
      <c r="K26" s="4" t="s">
        <v>1635</v>
      </c>
      <c r="L26" s="4" t="s">
        <v>1636</v>
      </c>
      <c r="M26" s="4" t="s">
        <v>1637</v>
      </c>
      <c r="N26" s="4" t="s">
        <v>1638</v>
      </c>
      <c r="O26" s="2" t="n">
        <v>44593</v>
      </c>
    </row>
    <row r="27" customFormat="false" ht="13.8" hidden="false" customHeight="false" outlineLevel="0" collapsed="false">
      <c r="A27" s="4" t="s">
        <v>1479</v>
      </c>
      <c r="B27" s="4" t="s">
        <v>1535</v>
      </c>
      <c r="C27" s="4" t="s">
        <v>1639</v>
      </c>
      <c r="D27" s="4" t="s">
        <v>1601</v>
      </c>
      <c r="E27" s="4" t="s">
        <v>1640</v>
      </c>
      <c r="F27" s="4" t="s">
        <v>1641</v>
      </c>
      <c r="G27" s="4" t="s">
        <v>1606</v>
      </c>
      <c r="H27" s="4" t="s">
        <v>1606</v>
      </c>
      <c r="I27" s="4" t="s">
        <v>1606</v>
      </c>
      <c r="J27" s="4" t="s">
        <v>1606</v>
      </c>
      <c r="K27" s="4" t="s">
        <v>1642</v>
      </c>
      <c r="L27" s="4" t="s">
        <v>1643</v>
      </c>
      <c r="M27" s="4" t="s">
        <v>1644</v>
      </c>
      <c r="N27" s="4" t="s">
        <v>1645</v>
      </c>
      <c r="O27" s="2" t="n">
        <v>44594</v>
      </c>
    </row>
    <row r="28" customFormat="false" ht="13.8" hidden="false" customHeight="false" outlineLevel="0" collapsed="false">
      <c r="A28" s="4" t="s">
        <v>1479</v>
      </c>
      <c r="B28" s="4" t="s">
        <v>1535</v>
      </c>
      <c r="C28" s="4" t="s">
        <v>1639</v>
      </c>
      <c r="D28" s="4" t="s">
        <v>1601</v>
      </c>
      <c r="E28" s="4" t="s">
        <v>1640</v>
      </c>
      <c r="F28" s="4" t="s">
        <v>1641</v>
      </c>
      <c r="G28" s="4" t="s">
        <v>1606</v>
      </c>
      <c r="H28" s="4" t="s">
        <v>1606</v>
      </c>
      <c r="I28" s="4" t="s">
        <v>1606</v>
      </c>
      <c r="J28" s="4" t="s">
        <v>1606</v>
      </c>
      <c r="K28" s="4" t="s">
        <v>1642</v>
      </c>
      <c r="L28" s="4" t="s">
        <v>1643</v>
      </c>
      <c r="M28" s="4" t="s">
        <v>1646</v>
      </c>
      <c r="N28" s="4" t="s">
        <v>1647</v>
      </c>
      <c r="O28" s="2" t="n">
        <v>44595</v>
      </c>
    </row>
    <row r="29" customFormat="false" ht="13.8" hidden="false" customHeight="false" outlineLevel="0" collapsed="false">
      <c r="A29" s="1" t="s">
        <v>1503</v>
      </c>
      <c r="B29" s="1" t="s">
        <v>1648</v>
      </c>
      <c r="C29" s="4" t="s">
        <v>1648</v>
      </c>
      <c r="D29" s="4" t="s">
        <v>1612</v>
      </c>
      <c r="E29" s="4" t="s">
        <v>1649</v>
      </c>
      <c r="F29" s="4" t="s">
        <v>1650</v>
      </c>
      <c r="G29" s="4" t="s">
        <v>1651</v>
      </c>
      <c r="H29" s="4" t="s">
        <v>1651</v>
      </c>
      <c r="I29" s="4" t="s">
        <v>1606</v>
      </c>
      <c r="J29" s="4" t="s">
        <v>1606</v>
      </c>
      <c r="K29" s="4" t="s">
        <v>1652</v>
      </c>
      <c r="L29" s="4" t="s">
        <v>1653</v>
      </c>
      <c r="M29" s="4" t="s">
        <v>1654</v>
      </c>
      <c r="N29" s="4" t="s">
        <v>1655</v>
      </c>
      <c r="O29" s="2" t="n">
        <v>44595</v>
      </c>
    </row>
    <row r="30" customFormat="false" ht="13.8" hidden="false" customHeight="false" outlineLevel="0" collapsed="false">
      <c r="A30" s="1" t="s">
        <v>1495</v>
      </c>
      <c r="B30" s="1" t="s">
        <v>1487</v>
      </c>
      <c r="C30" s="4" t="s">
        <v>1656</v>
      </c>
      <c r="D30" s="4" t="s">
        <v>1612</v>
      </c>
      <c r="E30" s="4" t="s">
        <v>1657</v>
      </c>
      <c r="F30" s="4" t="s">
        <v>1658</v>
      </c>
      <c r="G30" s="4" t="s">
        <v>1651</v>
      </c>
      <c r="H30" s="4" t="s">
        <v>1659</v>
      </c>
      <c r="I30" s="4" t="s">
        <v>1606</v>
      </c>
      <c r="J30" s="4" t="s">
        <v>1651</v>
      </c>
      <c r="K30" s="4" t="s">
        <v>1660</v>
      </c>
      <c r="L30" s="4" t="s">
        <v>1661</v>
      </c>
      <c r="M30" s="4" t="s">
        <v>1662</v>
      </c>
      <c r="N30" s="4" t="s">
        <v>1663</v>
      </c>
      <c r="O30" s="2" t="n">
        <v>44595</v>
      </c>
    </row>
    <row r="31" customFormat="false" ht="13.8" hidden="false" customHeight="false" outlineLevel="0" collapsed="false">
      <c r="A31" s="1" t="s">
        <v>1503</v>
      </c>
      <c r="B31" s="1" t="s">
        <v>1504</v>
      </c>
      <c r="C31" s="4" t="s">
        <v>1664</v>
      </c>
      <c r="D31" s="4" t="s">
        <v>1601</v>
      </c>
      <c r="E31" s="4" t="s">
        <v>1665</v>
      </c>
      <c r="F31" s="4" t="s">
        <v>1666</v>
      </c>
      <c r="G31" s="4" t="s">
        <v>1667</v>
      </c>
      <c r="H31" s="4" t="s">
        <v>1668</v>
      </c>
      <c r="I31" s="4" t="s">
        <v>1606</v>
      </c>
      <c r="J31" s="4" t="s">
        <v>1606</v>
      </c>
      <c r="K31" s="4" t="s">
        <v>1669</v>
      </c>
      <c r="L31" s="4" t="s">
        <v>1670</v>
      </c>
      <c r="M31" s="4" t="s">
        <v>1606</v>
      </c>
      <c r="N31" s="4" t="s">
        <v>1671</v>
      </c>
      <c r="O31" s="2" t="n">
        <v>44596</v>
      </c>
    </row>
    <row r="32" customFormat="false" ht="13.8" hidden="false" customHeight="false" outlineLevel="0" collapsed="false">
      <c r="A32" s="4" t="s">
        <v>1495</v>
      </c>
      <c r="B32" s="4" t="s">
        <v>1535</v>
      </c>
      <c r="C32" s="4" t="s">
        <v>1672</v>
      </c>
      <c r="D32" s="4" t="s">
        <v>1601</v>
      </c>
      <c r="E32" s="4" t="s">
        <v>1673</v>
      </c>
      <c r="F32" s="4" t="s">
        <v>1674</v>
      </c>
      <c r="G32" s="4" t="s">
        <v>1675</v>
      </c>
      <c r="H32" s="4" t="s">
        <v>1676</v>
      </c>
      <c r="I32" s="4" t="s">
        <v>1677</v>
      </c>
      <c r="J32" s="4"/>
      <c r="K32" s="4" t="s">
        <v>1678</v>
      </c>
      <c r="L32" s="4" t="s">
        <v>1670</v>
      </c>
      <c r="M32" s="4" t="s">
        <v>1606</v>
      </c>
      <c r="N32" s="4" t="s">
        <v>1679</v>
      </c>
      <c r="O32" s="2" t="n">
        <v>44596</v>
      </c>
    </row>
    <row r="33" customFormat="false" ht="13.8" hidden="false" customHeight="false" outlineLevel="0" collapsed="false">
      <c r="A33" s="1" t="s">
        <v>1479</v>
      </c>
      <c r="B33" s="1" t="s">
        <v>1496</v>
      </c>
      <c r="C33" s="4" t="s">
        <v>1680</v>
      </c>
      <c r="D33" s="4" t="s">
        <v>1601</v>
      </c>
      <c r="E33" s="4" t="s">
        <v>1681</v>
      </c>
      <c r="F33" s="4" t="s">
        <v>1682</v>
      </c>
      <c r="G33" s="4" t="s">
        <v>1675</v>
      </c>
      <c r="H33" s="4" t="s">
        <v>1676</v>
      </c>
      <c r="I33" s="4" t="s">
        <v>1677</v>
      </c>
      <c r="J33" s="4"/>
      <c r="K33" s="4" t="s">
        <v>1683</v>
      </c>
      <c r="L33" s="4" t="s">
        <v>1684</v>
      </c>
      <c r="M33" s="4" t="s">
        <v>1685</v>
      </c>
      <c r="N33" s="4" t="s">
        <v>1686</v>
      </c>
      <c r="O33" s="2" t="n">
        <v>44596</v>
      </c>
    </row>
    <row r="34" customFormat="false" ht="13.8" hidden="false" customHeight="false" outlineLevel="0" collapsed="false">
      <c r="A34" s="4" t="s">
        <v>1479</v>
      </c>
      <c r="B34" s="4" t="s">
        <v>1535</v>
      </c>
      <c r="C34" s="4" t="s">
        <v>1639</v>
      </c>
      <c r="D34" s="4" t="s">
        <v>1601</v>
      </c>
      <c r="E34" s="4" t="s">
        <v>1687</v>
      </c>
      <c r="F34" s="4" t="s">
        <v>1688</v>
      </c>
      <c r="G34" s="4" t="s">
        <v>1689</v>
      </c>
      <c r="H34" s="4" t="s">
        <v>1690</v>
      </c>
      <c r="I34" s="4" t="s">
        <v>1691</v>
      </c>
      <c r="J34" s="4" t="s">
        <v>1692</v>
      </c>
      <c r="K34" s="4" t="s">
        <v>1693</v>
      </c>
      <c r="L34" s="4" t="s">
        <v>1694</v>
      </c>
      <c r="M34" s="4" t="s">
        <v>1695</v>
      </c>
      <c r="N34" s="4" t="s">
        <v>1696</v>
      </c>
      <c r="O34" s="2" t="n">
        <v>44599</v>
      </c>
    </row>
    <row r="35" customFormat="false" ht="13.8" hidden="false" customHeight="false" outlineLevel="0" collapsed="false">
      <c r="A35" s="1" t="s">
        <v>1503</v>
      </c>
      <c r="B35" s="1" t="s">
        <v>1504</v>
      </c>
      <c r="C35" s="4" t="s">
        <v>1503</v>
      </c>
      <c r="D35" s="4" t="s">
        <v>1601</v>
      </c>
      <c r="E35" s="4" t="s">
        <v>1697</v>
      </c>
      <c r="F35" s="4" t="s">
        <v>1698</v>
      </c>
      <c r="G35" s="4" t="s">
        <v>1667</v>
      </c>
      <c r="H35" s="4" t="s">
        <v>1699</v>
      </c>
      <c r="I35" s="4" t="s">
        <v>1606</v>
      </c>
      <c r="J35" s="4" t="s">
        <v>1700</v>
      </c>
      <c r="K35" s="4" t="s">
        <v>1701</v>
      </c>
      <c r="L35" s="4" t="s">
        <v>1702</v>
      </c>
      <c r="M35" s="4" t="s">
        <v>1703</v>
      </c>
      <c r="N35" s="4" t="s">
        <v>1704</v>
      </c>
      <c r="O35" s="2" t="n">
        <v>44599</v>
      </c>
    </row>
    <row r="36" customFormat="false" ht="13.8" hidden="false" customHeight="false" outlineLevel="0" collapsed="false">
      <c r="A36" s="1" t="s">
        <v>1503</v>
      </c>
      <c r="B36" s="1" t="s">
        <v>1648</v>
      </c>
      <c r="C36" s="4" t="s">
        <v>1648</v>
      </c>
      <c r="D36" s="4" t="s">
        <v>1601</v>
      </c>
      <c r="E36" s="4" t="s">
        <v>1705</v>
      </c>
      <c r="F36" s="4" t="s">
        <v>1650</v>
      </c>
      <c r="G36" s="4" t="s">
        <v>1651</v>
      </c>
      <c r="H36" s="4" t="s">
        <v>1706</v>
      </c>
      <c r="I36" s="4" t="s">
        <v>1606</v>
      </c>
      <c r="J36" s="4" t="s">
        <v>1606</v>
      </c>
      <c r="K36" s="4" t="s">
        <v>1652</v>
      </c>
      <c r="L36" s="4" t="s">
        <v>1653</v>
      </c>
      <c r="M36" s="4" t="s">
        <v>1654</v>
      </c>
      <c r="N36" s="4" t="s">
        <v>1655</v>
      </c>
      <c r="O36" s="2" t="n">
        <v>44599</v>
      </c>
    </row>
    <row r="37" customFormat="false" ht="13.8" hidden="false" customHeight="false" outlineLevel="0" collapsed="false">
      <c r="A37" s="1" t="s">
        <v>1479</v>
      </c>
      <c r="B37" s="1" t="s">
        <v>1480</v>
      </c>
      <c r="C37" s="4" t="s">
        <v>1600</v>
      </c>
      <c r="D37" s="4" t="s">
        <v>1601</v>
      </c>
      <c r="E37" s="4" t="s">
        <v>1707</v>
      </c>
      <c r="F37" s="4" t="s">
        <v>1708</v>
      </c>
      <c r="G37" s="4" t="s">
        <v>1606</v>
      </c>
      <c r="H37" s="4" t="s">
        <v>1709</v>
      </c>
      <c r="I37" s="4" t="s">
        <v>1710</v>
      </c>
      <c r="J37" s="4"/>
      <c r="K37" s="4" t="s">
        <v>1683</v>
      </c>
      <c r="L37" s="4" t="s">
        <v>1684</v>
      </c>
      <c r="M37" s="4" t="s">
        <v>1606</v>
      </c>
      <c r="N37" s="4" t="s">
        <v>1711</v>
      </c>
      <c r="O37" s="2" t="n">
        <v>44599</v>
      </c>
    </row>
    <row r="38" customFormat="false" ht="13.8" hidden="false" customHeight="false" outlineLevel="0" collapsed="false">
      <c r="A38" s="4" t="s">
        <v>1495</v>
      </c>
      <c r="B38" s="4" t="s">
        <v>1487</v>
      </c>
      <c r="C38" s="4" t="s">
        <v>1712</v>
      </c>
      <c r="D38" s="4" t="s">
        <v>1612</v>
      </c>
      <c r="E38" s="4" t="s">
        <v>1713</v>
      </c>
      <c r="F38" s="4" t="s">
        <v>1714</v>
      </c>
      <c r="G38" s="4" t="s">
        <v>1715</v>
      </c>
      <c r="H38" s="4" t="s">
        <v>1716</v>
      </c>
      <c r="I38" s="4" t="n">
        <v>0</v>
      </c>
      <c r="J38" s="4" t="s">
        <v>1717</v>
      </c>
      <c r="K38" s="4" t="s">
        <v>1718</v>
      </c>
      <c r="L38" s="4" t="s">
        <v>1719</v>
      </c>
      <c r="M38" s="4" t="s">
        <v>1720</v>
      </c>
      <c r="N38" s="4" t="s">
        <v>1721</v>
      </c>
      <c r="O38" s="2" t="n">
        <v>44599</v>
      </c>
    </row>
    <row r="39" customFormat="false" ht="13.8" hidden="false" customHeight="false" outlineLevel="0" collapsed="false">
      <c r="A39" s="1" t="s">
        <v>1479</v>
      </c>
      <c r="B39" s="1" t="s">
        <v>1535</v>
      </c>
      <c r="C39" s="4" t="s">
        <v>1722</v>
      </c>
      <c r="D39" s="4" t="s">
        <v>1612</v>
      </c>
      <c r="E39" s="4" t="s">
        <v>1723</v>
      </c>
      <c r="F39" s="4" t="s">
        <v>1724</v>
      </c>
      <c r="G39" s="4" t="s">
        <v>1725</v>
      </c>
      <c r="H39" s="4" t="s">
        <v>1726</v>
      </c>
      <c r="I39" s="4" t="n">
        <v>10</v>
      </c>
      <c r="J39" s="4" t="s">
        <v>1727</v>
      </c>
      <c r="K39" s="4" t="s">
        <v>1728</v>
      </c>
      <c r="L39" s="4" t="s">
        <v>1729</v>
      </c>
      <c r="M39" s="4" t="s">
        <v>1730</v>
      </c>
      <c r="N39" s="4" t="s">
        <v>1731</v>
      </c>
      <c r="O39" s="2" t="n">
        <v>44599</v>
      </c>
    </row>
    <row r="40" customFormat="false" ht="13.8" hidden="false" customHeight="false" outlineLevel="0" collapsed="false">
      <c r="A40" s="4" t="s">
        <v>1495</v>
      </c>
      <c r="B40" s="4" t="s">
        <v>1535</v>
      </c>
      <c r="C40" s="4" t="s">
        <v>1732</v>
      </c>
      <c r="D40" s="4" t="s">
        <v>1612</v>
      </c>
      <c r="E40" s="4" t="s">
        <v>1733</v>
      </c>
      <c r="F40" s="4" t="s">
        <v>1734</v>
      </c>
      <c r="G40" s="4" t="s">
        <v>1735</v>
      </c>
      <c r="H40" s="4" t="s">
        <v>1736</v>
      </c>
      <c r="I40" s="4" t="n">
        <v>7</v>
      </c>
      <c r="J40" s="4" t="s">
        <v>1737</v>
      </c>
      <c r="K40" s="4" t="s">
        <v>1738</v>
      </c>
      <c r="L40" s="4" t="s">
        <v>1739</v>
      </c>
      <c r="M40" s="4" t="s">
        <v>1740</v>
      </c>
      <c r="N40" s="4" t="s">
        <v>1741</v>
      </c>
      <c r="O40" s="2" t="n">
        <v>44599</v>
      </c>
    </row>
    <row r="41" customFormat="false" ht="13.8" hidden="false" customHeight="false" outlineLevel="0" collapsed="false">
      <c r="A41" s="1" t="s">
        <v>1503</v>
      </c>
      <c r="B41" s="1" t="s">
        <v>1504</v>
      </c>
      <c r="C41" s="4" t="s">
        <v>1503</v>
      </c>
      <c r="D41" s="4" t="s">
        <v>1601</v>
      </c>
      <c r="E41" s="4" t="s">
        <v>1697</v>
      </c>
      <c r="F41" s="4" t="s">
        <v>1698</v>
      </c>
      <c r="G41" s="4" t="s">
        <v>1667</v>
      </c>
      <c r="H41" s="4" t="s">
        <v>1699</v>
      </c>
      <c r="I41" s="4" t="s">
        <v>1606</v>
      </c>
      <c r="J41" s="4" t="s">
        <v>1700</v>
      </c>
      <c r="K41" s="4" t="s">
        <v>1701</v>
      </c>
      <c r="L41" s="4" t="s">
        <v>1702</v>
      </c>
      <c r="M41" s="4" t="s">
        <v>1742</v>
      </c>
      <c r="N41" s="4" t="s">
        <v>1743</v>
      </c>
      <c r="O41" s="2" t="n">
        <v>44600</v>
      </c>
    </row>
    <row r="42" customFormat="false" ht="13.8" hidden="false" customHeight="false" outlineLevel="0" collapsed="false">
      <c r="A42" s="1" t="s">
        <v>1479</v>
      </c>
      <c r="B42" s="1" t="s">
        <v>1480</v>
      </c>
      <c r="C42" s="4" t="s">
        <v>1600</v>
      </c>
      <c r="D42" s="4" t="s">
        <v>1612</v>
      </c>
      <c r="E42" s="4" t="s">
        <v>1744</v>
      </c>
      <c r="F42" s="4" t="s">
        <v>1745</v>
      </c>
      <c r="G42" s="4" t="s">
        <v>1746</v>
      </c>
      <c r="H42" s="4" t="s">
        <v>1747</v>
      </c>
      <c r="I42" s="4" t="s">
        <v>1606</v>
      </c>
      <c r="J42" s="4" t="s">
        <v>1748</v>
      </c>
      <c r="K42" s="4" t="s">
        <v>1749</v>
      </c>
      <c r="L42" s="4" t="s">
        <v>1750</v>
      </c>
      <c r="M42" s="4" t="s">
        <v>1751</v>
      </c>
      <c r="N42" s="4" t="s">
        <v>1752</v>
      </c>
      <c r="O42" s="2" t="n">
        <v>44600</v>
      </c>
    </row>
    <row r="43" customFormat="false" ht="13.8" hidden="false" customHeight="false" outlineLevel="0" collapsed="false">
      <c r="A43" s="1" t="s">
        <v>1479</v>
      </c>
      <c r="B43" s="1" t="s">
        <v>1535</v>
      </c>
      <c r="C43" s="4" t="s">
        <v>1722</v>
      </c>
      <c r="D43" s="4" t="s">
        <v>1612</v>
      </c>
      <c r="E43" s="4" t="s">
        <v>1753</v>
      </c>
      <c r="F43" s="4" t="s">
        <v>1641</v>
      </c>
      <c r="G43" s="4" t="s">
        <v>1754</v>
      </c>
      <c r="H43" s="4" t="s">
        <v>1755</v>
      </c>
      <c r="I43" s="4" t="n">
        <v>1</v>
      </c>
      <c r="J43" s="4" t="s">
        <v>1756</v>
      </c>
      <c r="K43" s="4" t="s">
        <v>1757</v>
      </c>
      <c r="L43" s="4" t="s">
        <v>1758</v>
      </c>
      <c r="M43" s="4" t="s">
        <v>1759</v>
      </c>
      <c r="N43" s="4" t="s">
        <v>1760</v>
      </c>
      <c r="O43" s="2" t="n">
        <v>44600</v>
      </c>
    </row>
    <row r="44" customFormat="false" ht="13.8" hidden="false" customHeight="false" outlineLevel="0" collapsed="false">
      <c r="A44" s="1" t="s">
        <v>1495</v>
      </c>
      <c r="B44" s="1" t="s">
        <v>1487</v>
      </c>
      <c r="C44" s="4" t="s">
        <v>1656</v>
      </c>
      <c r="D44" s="4" t="s">
        <v>1601</v>
      </c>
      <c r="E44" s="4" t="s">
        <v>1761</v>
      </c>
      <c r="F44" s="4" t="s">
        <v>1762</v>
      </c>
      <c r="G44" s="4" t="s">
        <v>1763</v>
      </c>
      <c r="H44" s="4" t="s">
        <v>1606</v>
      </c>
      <c r="I44" s="4" t="s">
        <v>1606</v>
      </c>
      <c r="J44" s="4" t="s">
        <v>1606</v>
      </c>
      <c r="K44" s="4" t="s">
        <v>1764</v>
      </c>
      <c r="L44" s="4" t="s">
        <v>1765</v>
      </c>
      <c r="M44" s="4" t="s">
        <v>1766</v>
      </c>
      <c r="N44" s="4" t="s">
        <v>1767</v>
      </c>
      <c r="O44" s="2" t="n">
        <v>44601</v>
      </c>
    </row>
    <row r="45" customFormat="false" ht="13.8" hidden="false" customHeight="false" outlineLevel="0" collapsed="false">
      <c r="A45" s="1" t="s">
        <v>1479</v>
      </c>
      <c r="B45" s="1" t="s">
        <v>1480</v>
      </c>
      <c r="C45" s="4" t="s">
        <v>1600</v>
      </c>
      <c r="D45" s="4" t="s">
        <v>1601</v>
      </c>
      <c r="E45" s="4" t="s">
        <v>1744</v>
      </c>
      <c r="F45" s="4" t="s">
        <v>1745</v>
      </c>
      <c r="G45" s="4" t="s">
        <v>1768</v>
      </c>
      <c r="H45" s="4" t="s">
        <v>1769</v>
      </c>
      <c r="I45" s="4" t="s">
        <v>1606</v>
      </c>
      <c r="J45" s="4"/>
      <c r="K45" s="4" t="s">
        <v>1770</v>
      </c>
      <c r="L45" s="4" t="s">
        <v>1771</v>
      </c>
      <c r="M45" s="4"/>
      <c r="N45" s="4" t="s">
        <v>1772</v>
      </c>
      <c r="O45" s="2" t="n">
        <v>44601</v>
      </c>
    </row>
    <row r="46" customFormat="false" ht="13.8" hidden="false" customHeight="false" outlineLevel="0" collapsed="false">
      <c r="A46" s="1" t="s">
        <v>1495</v>
      </c>
      <c r="B46" s="1" t="s">
        <v>1487</v>
      </c>
      <c r="C46" s="4" t="s">
        <v>1656</v>
      </c>
      <c r="D46" s="4" t="s">
        <v>1601</v>
      </c>
      <c r="E46" s="4" t="s">
        <v>1773</v>
      </c>
      <c r="F46" s="4" t="s">
        <v>1774</v>
      </c>
      <c r="G46" s="4" t="s">
        <v>1775</v>
      </c>
      <c r="H46" s="4" t="s">
        <v>1776</v>
      </c>
      <c r="I46" s="4" t="s">
        <v>1777</v>
      </c>
      <c r="J46" s="4" t="s">
        <v>1778</v>
      </c>
      <c r="K46" s="4" t="s">
        <v>1779</v>
      </c>
      <c r="L46" s="4" t="s">
        <v>1780</v>
      </c>
      <c r="M46" s="4" t="s">
        <v>1781</v>
      </c>
      <c r="N46" s="4" t="s">
        <v>1782</v>
      </c>
      <c r="O46" s="2" t="n">
        <v>44602</v>
      </c>
    </row>
    <row r="47" customFormat="false" ht="13.8" hidden="false" customHeight="false" outlineLevel="0" collapsed="false">
      <c r="A47" s="1" t="s">
        <v>1479</v>
      </c>
      <c r="B47" s="1" t="s">
        <v>1487</v>
      </c>
      <c r="C47" s="0" t="s">
        <v>1488</v>
      </c>
      <c r="D47" s="4" t="s">
        <v>1612</v>
      </c>
      <c r="E47" s="4" t="s">
        <v>1783</v>
      </c>
      <c r="F47" s="4" t="s">
        <v>1784</v>
      </c>
      <c r="G47" s="8" t="n">
        <v>0.833333333333333</v>
      </c>
      <c r="H47" s="4" t="s">
        <v>1785</v>
      </c>
      <c r="I47" s="4" t="s">
        <v>1606</v>
      </c>
      <c r="J47" s="4" t="s">
        <v>1786</v>
      </c>
      <c r="K47" s="4" t="s">
        <v>1787</v>
      </c>
      <c r="L47" s="4" t="s">
        <v>1788</v>
      </c>
      <c r="M47" s="4" t="s">
        <v>1789</v>
      </c>
      <c r="N47" s="4" t="s">
        <v>1790</v>
      </c>
      <c r="O47" s="2" t="n">
        <v>44602</v>
      </c>
    </row>
    <row r="48" customFormat="false" ht="13.8" hidden="false" customHeight="false" outlineLevel="0" collapsed="false">
      <c r="A48" s="1" t="s">
        <v>1479</v>
      </c>
      <c r="B48" s="1" t="s">
        <v>1496</v>
      </c>
      <c r="C48" s="4" t="s">
        <v>1680</v>
      </c>
      <c r="D48" s="4" t="s">
        <v>1601</v>
      </c>
      <c r="E48" s="4" t="s">
        <v>1791</v>
      </c>
      <c r="F48" s="4" t="s">
        <v>1621</v>
      </c>
      <c r="G48" s="4" t="s">
        <v>1792</v>
      </c>
      <c r="H48" s="4" t="s">
        <v>1793</v>
      </c>
      <c r="I48" s="4" t="s">
        <v>1633</v>
      </c>
      <c r="J48" s="4" t="s">
        <v>1794</v>
      </c>
      <c r="K48" s="4" t="s">
        <v>1795</v>
      </c>
      <c r="L48" s="4" t="s">
        <v>1796</v>
      </c>
      <c r="M48" s="4"/>
      <c r="N48" s="4" t="s">
        <v>1797</v>
      </c>
      <c r="O48" s="2" t="n">
        <v>44606</v>
      </c>
    </row>
    <row r="49" customFormat="false" ht="13.8" hidden="false" customHeight="false" outlineLevel="0" collapsed="false">
      <c r="A49" s="4" t="s">
        <v>1479</v>
      </c>
      <c r="B49" s="4" t="s">
        <v>1535</v>
      </c>
      <c r="C49" s="4" t="s">
        <v>1639</v>
      </c>
      <c r="D49" s="4" t="s">
        <v>1601</v>
      </c>
      <c r="E49" s="4" t="s">
        <v>1798</v>
      </c>
      <c r="F49" s="4" t="s">
        <v>1799</v>
      </c>
      <c r="G49" s="4" t="s">
        <v>1800</v>
      </c>
      <c r="H49" s="4" t="s">
        <v>1801</v>
      </c>
      <c r="I49" s="4" t="s">
        <v>1802</v>
      </c>
      <c r="J49" s="4" t="s">
        <v>1803</v>
      </c>
      <c r="K49" s="4" t="s">
        <v>1804</v>
      </c>
      <c r="L49" s="4" t="s">
        <v>1805</v>
      </c>
      <c r="M49" s="4" t="s">
        <v>1806</v>
      </c>
      <c r="N49" s="4" t="s">
        <v>1807</v>
      </c>
      <c r="O49" s="2" t="n">
        <v>44606</v>
      </c>
    </row>
    <row r="50" customFormat="false" ht="13.8" hidden="false" customHeight="false" outlineLevel="0" collapsed="false">
      <c r="A50" s="1" t="s">
        <v>1495</v>
      </c>
      <c r="B50" s="1" t="s">
        <v>1496</v>
      </c>
      <c r="C50" s="4" t="s">
        <v>1619</v>
      </c>
      <c r="D50" s="4" t="s">
        <v>1601</v>
      </c>
      <c r="E50" s="4"/>
      <c r="F50" s="4" t="s">
        <v>1808</v>
      </c>
      <c r="G50" s="4" t="s">
        <v>1606</v>
      </c>
      <c r="H50" s="4" t="s">
        <v>1809</v>
      </c>
      <c r="I50" s="4" t="s">
        <v>1606</v>
      </c>
      <c r="J50" s="4" t="s">
        <v>1810</v>
      </c>
      <c r="K50" s="4" t="s">
        <v>1811</v>
      </c>
      <c r="L50" s="4" t="s">
        <v>1812</v>
      </c>
      <c r="M50" s="4" t="s">
        <v>1813</v>
      </c>
      <c r="N50" s="4" t="s">
        <v>1814</v>
      </c>
      <c r="O50" s="2" t="n">
        <v>44606</v>
      </c>
    </row>
    <row r="51" customFormat="false" ht="13.8" hidden="false" customHeight="false" outlineLevel="0" collapsed="false">
      <c r="A51" s="1" t="s">
        <v>1495</v>
      </c>
      <c r="B51" s="1" t="s">
        <v>1496</v>
      </c>
      <c r="C51" s="4" t="s">
        <v>1619</v>
      </c>
      <c r="D51" s="4" t="s">
        <v>1601</v>
      </c>
      <c r="E51" s="4" t="s">
        <v>1815</v>
      </c>
      <c r="F51" s="4" t="s">
        <v>1816</v>
      </c>
      <c r="G51" s="4" t="s">
        <v>1817</v>
      </c>
      <c r="H51" s="4" t="s">
        <v>1818</v>
      </c>
      <c r="I51" s="4" t="s">
        <v>1606</v>
      </c>
      <c r="J51" s="4" t="s">
        <v>1692</v>
      </c>
      <c r="K51" s="4" t="s">
        <v>1819</v>
      </c>
      <c r="L51" s="4" t="s">
        <v>1820</v>
      </c>
      <c r="M51" s="4" t="s">
        <v>1821</v>
      </c>
      <c r="N51" s="4" t="s">
        <v>1822</v>
      </c>
      <c r="O51" s="2" t="n">
        <v>44606</v>
      </c>
    </row>
    <row r="52" customFormat="false" ht="13.8" hidden="false" customHeight="false" outlineLevel="0" collapsed="false">
      <c r="A52" s="1" t="s">
        <v>1479</v>
      </c>
      <c r="B52" s="1" t="s">
        <v>1480</v>
      </c>
      <c r="C52" s="4" t="s">
        <v>1600</v>
      </c>
      <c r="D52" s="4" t="s">
        <v>1612</v>
      </c>
      <c r="E52" s="4" t="s">
        <v>1823</v>
      </c>
      <c r="F52" s="4" t="s">
        <v>1824</v>
      </c>
      <c r="G52" s="4" t="s">
        <v>1651</v>
      </c>
      <c r="H52" s="4" t="s">
        <v>1825</v>
      </c>
      <c r="I52" s="4" t="n">
        <v>0</v>
      </c>
      <c r="J52" s="4" t="s">
        <v>1651</v>
      </c>
      <c r="K52" s="4" t="s">
        <v>1826</v>
      </c>
      <c r="L52" s="4" t="s">
        <v>1827</v>
      </c>
      <c r="M52" s="4" t="s">
        <v>1828</v>
      </c>
      <c r="N52" s="4" t="s">
        <v>1829</v>
      </c>
      <c r="O52" s="2" t="n">
        <v>44606</v>
      </c>
    </row>
    <row r="53" customFormat="false" ht="13.8" hidden="false" customHeight="false" outlineLevel="0" collapsed="false">
      <c r="A53" s="1" t="s">
        <v>1503</v>
      </c>
      <c r="B53" s="1" t="s">
        <v>1535</v>
      </c>
      <c r="C53" s="4" t="s">
        <v>1503</v>
      </c>
      <c r="D53" s="4" t="s">
        <v>1612</v>
      </c>
      <c r="E53" s="4" t="s">
        <v>1830</v>
      </c>
      <c r="F53" s="4" t="s">
        <v>1831</v>
      </c>
      <c r="G53" s="4" t="s">
        <v>1716</v>
      </c>
      <c r="H53" s="4" t="s">
        <v>1832</v>
      </c>
      <c r="I53" s="4" t="n">
        <v>0</v>
      </c>
      <c r="J53" s="4" t="s">
        <v>1833</v>
      </c>
      <c r="K53" s="4" t="s">
        <v>1834</v>
      </c>
      <c r="L53" s="4" t="s">
        <v>1835</v>
      </c>
      <c r="M53" s="4" t="s">
        <v>1836</v>
      </c>
      <c r="N53" s="4" t="s">
        <v>1837</v>
      </c>
      <c r="O53" s="2" t="n">
        <v>44608</v>
      </c>
    </row>
    <row r="54" customFormat="false" ht="13.8" hidden="false" customHeight="false" outlineLevel="0" collapsed="false">
      <c r="A54" s="1" t="s">
        <v>1479</v>
      </c>
      <c r="B54" s="1" t="s">
        <v>1480</v>
      </c>
      <c r="C54" s="4" t="s">
        <v>1600</v>
      </c>
      <c r="D54" s="4" t="s">
        <v>1601</v>
      </c>
      <c r="E54" s="4" t="s">
        <v>1838</v>
      </c>
      <c r="F54" s="4" t="s">
        <v>1839</v>
      </c>
      <c r="G54" s="4" t="s">
        <v>1840</v>
      </c>
      <c r="H54" s="4" t="s">
        <v>1841</v>
      </c>
      <c r="I54" s="4" t="s">
        <v>1842</v>
      </c>
      <c r="J54" s="4" t="s">
        <v>1843</v>
      </c>
      <c r="K54" s="4" t="s">
        <v>1844</v>
      </c>
      <c r="L54" s="4" t="s">
        <v>1845</v>
      </c>
      <c r="M54" s="4" t="s">
        <v>1606</v>
      </c>
      <c r="N54" s="4" t="s">
        <v>1846</v>
      </c>
      <c r="O54" s="2" t="n">
        <v>44609</v>
      </c>
    </row>
    <row r="55" customFormat="false" ht="13.8" hidden="false" customHeight="false" outlineLevel="0" collapsed="false">
      <c r="A55" s="1" t="s">
        <v>1479</v>
      </c>
      <c r="B55" s="1" t="s">
        <v>1496</v>
      </c>
      <c r="C55" s="4" t="s">
        <v>1680</v>
      </c>
      <c r="D55" s="4" t="s">
        <v>1601</v>
      </c>
      <c r="E55" s="4" t="s">
        <v>1847</v>
      </c>
      <c r="F55" s="4" t="s">
        <v>1848</v>
      </c>
      <c r="G55" s="4" t="s">
        <v>1849</v>
      </c>
      <c r="H55" s="4" t="s">
        <v>1850</v>
      </c>
      <c r="I55" s="4" t="s">
        <v>1606</v>
      </c>
      <c r="J55" s="4" t="s">
        <v>1851</v>
      </c>
      <c r="K55" s="4" t="s">
        <v>1852</v>
      </c>
      <c r="L55" s="4" t="s">
        <v>1853</v>
      </c>
      <c r="M55" s="4" t="s">
        <v>1854</v>
      </c>
      <c r="N55" s="4" t="s">
        <v>1855</v>
      </c>
      <c r="O55" s="2" t="n">
        <v>44610</v>
      </c>
    </row>
    <row r="56" customFormat="false" ht="13.8" hidden="false" customHeight="false" outlineLevel="0" collapsed="false">
      <c r="A56" s="4" t="s">
        <v>1479</v>
      </c>
      <c r="B56" s="4" t="s">
        <v>1535</v>
      </c>
      <c r="C56" s="4" t="s">
        <v>1639</v>
      </c>
      <c r="D56" s="4" t="s">
        <v>1601</v>
      </c>
      <c r="E56" s="4" t="s">
        <v>1856</v>
      </c>
      <c r="F56" s="4" t="s">
        <v>1724</v>
      </c>
      <c r="G56" s="4" t="s">
        <v>1857</v>
      </c>
      <c r="H56" s="4"/>
      <c r="I56" s="4" t="s">
        <v>1858</v>
      </c>
      <c r="J56" s="4"/>
      <c r="K56" s="4" t="s">
        <v>1859</v>
      </c>
      <c r="L56" s="4" t="s">
        <v>1860</v>
      </c>
      <c r="M56" s="4" t="s">
        <v>1861</v>
      </c>
      <c r="N56" s="4" t="s">
        <v>1862</v>
      </c>
      <c r="O56" s="2" t="n">
        <v>44613</v>
      </c>
    </row>
    <row r="57" customFormat="false" ht="13.8" hidden="false" customHeight="false" outlineLevel="0" collapsed="false">
      <c r="A57" s="1" t="s">
        <v>1479</v>
      </c>
      <c r="B57" s="1" t="s">
        <v>1863</v>
      </c>
      <c r="C57" s="4" t="s">
        <v>1864</v>
      </c>
      <c r="D57" s="4" t="s">
        <v>1601</v>
      </c>
      <c r="E57" s="4" t="s">
        <v>1865</v>
      </c>
      <c r="F57" s="4" t="s">
        <v>1866</v>
      </c>
      <c r="G57" s="4" t="s">
        <v>1867</v>
      </c>
      <c r="H57" s="4" t="s">
        <v>1868</v>
      </c>
      <c r="I57" s="4" t="s">
        <v>1606</v>
      </c>
      <c r="J57" s="4" t="s">
        <v>1869</v>
      </c>
      <c r="K57" s="4" t="s">
        <v>1870</v>
      </c>
      <c r="L57" s="4" t="s">
        <v>1871</v>
      </c>
      <c r="M57" s="4" t="s">
        <v>1606</v>
      </c>
      <c r="N57" s="4" t="s">
        <v>1872</v>
      </c>
      <c r="O57" s="2" t="n">
        <v>44613</v>
      </c>
    </row>
    <row r="58" customFormat="false" ht="13.8" hidden="false" customHeight="false" outlineLevel="0" collapsed="false">
      <c r="A58" s="1" t="s">
        <v>1479</v>
      </c>
      <c r="B58" s="1" t="s">
        <v>1496</v>
      </c>
      <c r="C58" s="4" t="s">
        <v>1873</v>
      </c>
      <c r="D58" s="4" t="s">
        <v>1612</v>
      </c>
      <c r="E58" s="4" t="s">
        <v>1874</v>
      </c>
      <c r="F58" s="4" t="s">
        <v>1875</v>
      </c>
      <c r="G58" s="4" t="s">
        <v>1876</v>
      </c>
      <c r="H58" s="4" t="s">
        <v>1877</v>
      </c>
      <c r="I58" s="4" t="n">
        <v>3</v>
      </c>
      <c r="J58" s="4" t="s">
        <v>1878</v>
      </c>
      <c r="K58" s="4" t="s">
        <v>1879</v>
      </c>
      <c r="L58" s="4" t="s">
        <v>1880</v>
      </c>
      <c r="M58" s="4" t="s">
        <v>1881</v>
      </c>
      <c r="N58" s="4" t="s">
        <v>1882</v>
      </c>
      <c r="O58" s="2" t="n">
        <v>44613</v>
      </c>
    </row>
    <row r="59" customFormat="false" ht="13.8" hidden="false" customHeight="false" outlineLevel="0" collapsed="false">
      <c r="A59" s="4" t="s">
        <v>1495</v>
      </c>
      <c r="B59" s="4" t="s">
        <v>1535</v>
      </c>
      <c r="C59" s="4" t="s">
        <v>1732</v>
      </c>
      <c r="D59" s="4" t="s">
        <v>1612</v>
      </c>
      <c r="E59" s="4" t="s">
        <v>1883</v>
      </c>
      <c r="F59" s="4" t="s">
        <v>1884</v>
      </c>
      <c r="G59" s="4" t="s">
        <v>1885</v>
      </c>
      <c r="H59" s="4" t="s">
        <v>1886</v>
      </c>
      <c r="I59" s="4" t="s">
        <v>1887</v>
      </c>
      <c r="J59" s="4" t="s">
        <v>1692</v>
      </c>
      <c r="K59" s="4" t="s">
        <v>1554</v>
      </c>
      <c r="L59" s="4" t="s">
        <v>1888</v>
      </c>
      <c r="M59" s="4" t="s">
        <v>1889</v>
      </c>
      <c r="N59" s="4" t="s">
        <v>1890</v>
      </c>
      <c r="O59" s="2" t="n">
        <v>44613</v>
      </c>
    </row>
    <row r="60" customFormat="false" ht="13.8" hidden="false" customHeight="false" outlineLevel="0" collapsed="false">
      <c r="A60" s="4" t="s">
        <v>1495</v>
      </c>
      <c r="B60" s="4" t="s">
        <v>1487</v>
      </c>
      <c r="C60" s="4" t="s">
        <v>1712</v>
      </c>
      <c r="D60" s="4" t="s">
        <v>1612</v>
      </c>
      <c r="E60" s="4" t="s">
        <v>1891</v>
      </c>
      <c r="F60" s="4" t="s">
        <v>1892</v>
      </c>
      <c r="G60" s="4" t="s">
        <v>1893</v>
      </c>
      <c r="H60" s="4" t="s">
        <v>1894</v>
      </c>
      <c r="I60" s="4" t="s">
        <v>1606</v>
      </c>
      <c r="J60" s="4" t="s">
        <v>1895</v>
      </c>
      <c r="K60" s="4" t="s">
        <v>1896</v>
      </c>
      <c r="L60" s="4" t="s">
        <v>1897</v>
      </c>
      <c r="M60" s="4" t="s">
        <v>1898</v>
      </c>
      <c r="N60" s="4" t="s">
        <v>1899</v>
      </c>
      <c r="O60" s="2" t="n">
        <v>44613</v>
      </c>
    </row>
    <row r="61" customFormat="false" ht="13.8" hidden="false" customHeight="false" outlineLevel="0" collapsed="false">
      <c r="A61" s="1" t="s">
        <v>1503</v>
      </c>
      <c r="B61" s="1" t="s">
        <v>1504</v>
      </c>
      <c r="C61" s="4" t="s">
        <v>1664</v>
      </c>
      <c r="D61" s="4" t="s">
        <v>1601</v>
      </c>
      <c r="E61" s="4" t="s">
        <v>1900</v>
      </c>
      <c r="F61" s="4" t="s">
        <v>1901</v>
      </c>
      <c r="G61" s="4" t="s">
        <v>1867</v>
      </c>
      <c r="H61" s="4" t="s">
        <v>1902</v>
      </c>
      <c r="I61" s="4" t="s">
        <v>1606</v>
      </c>
      <c r="J61" s="4" t="s">
        <v>1903</v>
      </c>
      <c r="K61" s="4" t="s">
        <v>1904</v>
      </c>
      <c r="L61" s="4" t="s">
        <v>1905</v>
      </c>
      <c r="M61" s="4" t="s">
        <v>1906</v>
      </c>
      <c r="N61" s="4" t="s">
        <v>1907</v>
      </c>
      <c r="O61" s="2" t="n">
        <v>44614</v>
      </c>
    </row>
    <row r="62" customFormat="false" ht="13.8" hidden="false" customHeight="false" outlineLevel="0" collapsed="false">
      <c r="A62" s="1" t="s">
        <v>1479</v>
      </c>
      <c r="B62" s="1" t="s">
        <v>1487</v>
      </c>
      <c r="C62" s="0" t="s">
        <v>1488</v>
      </c>
      <c r="D62" s="4" t="s">
        <v>1601</v>
      </c>
      <c r="E62" s="4" t="s">
        <v>1908</v>
      </c>
      <c r="F62" s="4" t="s">
        <v>1909</v>
      </c>
      <c r="G62" s="4" t="s">
        <v>1910</v>
      </c>
      <c r="H62" s="4" t="s">
        <v>1911</v>
      </c>
      <c r="I62" s="4" t="s">
        <v>1606</v>
      </c>
      <c r="J62" s="4" t="n">
        <v>20</v>
      </c>
      <c r="K62" s="4" t="s">
        <v>1912</v>
      </c>
      <c r="L62" s="4" t="s">
        <v>1913</v>
      </c>
      <c r="M62" s="4" t="s">
        <v>1606</v>
      </c>
      <c r="N62" s="4" t="s">
        <v>1914</v>
      </c>
      <c r="O62" s="2" t="n">
        <v>44614</v>
      </c>
    </row>
    <row r="63" customFormat="false" ht="13.8" hidden="false" customHeight="false" outlineLevel="0" collapsed="false">
      <c r="A63" s="1" t="s">
        <v>1479</v>
      </c>
      <c r="B63" s="1" t="s">
        <v>1487</v>
      </c>
      <c r="C63" s="0" t="s">
        <v>1488</v>
      </c>
      <c r="D63" s="4" t="s">
        <v>1612</v>
      </c>
      <c r="E63" s="4" t="s">
        <v>1915</v>
      </c>
      <c r="F63" s="4" t="s">
        <v>1916</v>
      </c>
      <c r="G63" s="4" t="s">
        <v>1910</v>
      </c>
      <c r="H63" s="4" t="s">
        <v>1911</v>
      </c>
      <c r="I63" s="4" t="s">
        <v>1606</v>
      </c>
      <c r="J63" s="4" t="n">
        <v>20</v>
      </c>
      <c r="K63" s="4" t="s">
        <v>1917</v>
      </c>
      <c r="L63" s="4" t="s">
        <v>1918</v>
      </c>
      <c r="M63" s="4" t="s">
        <v>1919</v>
      </c>
      <c r="N63" s="4" t="s">
        <v>1920</v>
      </c>
      <c r="O63" s="2" t="n">
        <v>44614</v>
      </c>
    </row>
    <row r="64" customFormat="false" ht="13.8" hidden="false" customHeight="false" outlineLevel="0" collapsed="false">
      <c r="A64" s="1" t="s">
        <v>1479</v>
      </c>
      <c r="B64" s="1" t="s">
        <v>1535</v>
      </c>
      <c r="C64" s="4" t="s">
        <v>1722</v>
      </c>
      <c r="D64" s="4" t="s">
        <v>1612</v>
      </c>
      <c r="E64" s="4" t="s">
        <v>1921</v>
      </c>
      <c r="F64" s="4" t="s">
        <v>1922</v>
      </c>
      <c r="G64" s="4" t="s">
        <v>1716</v>
      </c>
      <c r="H64" s="4" t="s">
        <v>1923</v>
      </c>
      <c r="I64" s="4" t="n">
        <v>0</v>
      </c>
      <c r="J64" s="4" t="s">
        <v>1869</v>
      </c>
      <c r="K64" s="4" t="s">
        <v>1924</v>
      </c>
      <c r="L64" s="4" t="s">
        <v>1925</v>
      </c>
      <c r="M64" s="4" t="s">
        <v>1926</v>
      </c>
      <c r="N64" s="4" t="s">
        <v>1927</v>
      </c>
      <c r="O64" s="2" t="n">
        <v>44614</v>
      </c>
    </row>
    <row r="65" customFormat="false" ht="13.8" hidden="false" customHeight="false" outlineLevel="0" collapsed="false">
      <c r="A65" s="1" t="s">
        <v>1479</v>
      </c>
      <c r="B65" s="1" t="s">
        <v>1487</v>
      </c>
      <c r="C65" s="0" t="s">
        <v>1488</v>
      </c>
      <c r="D65" s="4" t="s">
        <v>1612</v>
      </c>
      <c r="E65" s="4" t="s">
        <v>1928</v>
      </c>
      <c r="F65" s="4" t="s">
        <v>1929</v>
      </c>
      <c r="G65" s="4" t="s">
        <v>1930</v>
      </c>
      <c r="H65" s="4" t="s">
        <v>1931</v>
      </c>
      <c r="I65" s="4" t="s">
        <v>1606</v>
      </c>
      <c r="J65" s="4" t="s">
        <v>1932</v>
      </c>
      <c r="K65" s="4" t="s">
        <v>1933</v>
      </c>
      <c r="L65" s="4" t="s">
        <v>1934</v>
      </c>
      <c r="M65" s="4" t="s">
        <v>1935</v>
      </c>
      <c r="N65" s="4" t="s">
        <v>1936</v>
      </c>
      <c r="O65" s="2" t="n">
        <v>44614</v>
      </c>
    </row>
    <row r="66" customFormat="false" ht="13.8" hidden="false" customHeight="false" outlineLevel="0" collapsed="false">
      <c r="A66" s="4" t="s">
        <v>1495</v>
      </c>
      <c r="B66" s="4" t="s">
        <v>1535</v>
      </c>
      <c r="C66" s="4" t="s">
        <v>1732</v>
      </c>
      <c r="D66" s="4" t="s">
        <v>1612</v>
      </c>
      <c r="E66" s="4" t="s">
        <v>1937</v>
      </c>
      <c r="F66" s="4" t="s">
        <v>1938</v>
      </c>
      <c r="G66" s="4" t="s">
        <v>1659</v>
      </c>
      <c r="H66" s="4" t="s">
        <v>1939</v>
      </c>
      <c r="I66" s="4" t="s">
        <v>1606</v>
      </c>
      <c r="J66" s="4" t="s">
        <v>1940</v>
      </c>
      <c r="K66" s="4" t="s">
        <v>1941</v>
      </c>
      <c r="L66" s="4" t="s">
        <v>1942</v>
      </c>
      <c r="M66" s="4" t="s">
        <v>1943</v>
      </c>
      <c r="N66" s="4" t="s">
        <v>1944</v>
      </c>
      <c r="O66" s="2" t="n">
        <v>44615</v>
      </c>
    </row>
    <row r="67" customFormat="false" ht="13.8" hidden="false" customHeight="false" outlineLevel="0" collapsed="false">
      <c r="A67" s="1" t="s">
        <v>1503</v>
      </c>
      <c r="B67" s="1" t="s">
        <v>1648</v>
      </c>
      <c r="C67" s="4" t="s">
        <v>1648</v>
      </c>
      <c r="D67" s="4" t="s">
        <v>1612</v>
      </c>
      <c r="E67" s="4" t="s">
        <v>1945</v>
      </c>
      <c r="F67" s="4" t="s">
        <v>1946</v>
      </c>
      <c r="G67" s="4" t="s">
        <v>1651</v>
      </c>
      <c r="H67" s="4" t="s">
        <v>1947</v>
      </c>
      <c r="I67" s="4" t="s">
        <v>1606</v>
      </c>
      <c r="J67" s="4" t="s">
        <v>1948</v>
      </c>
      <c r="K67" s="4" t="s">
        <v>1949</v>
      </c>
      <c r="L67" s="4" t="s">
        <v>1950</v>
      </c>
      <c r="M67" s="4" t="s">
        <v>1951</v>
      </c>
      <c r="N67" s="4" t="s">
        <v>1952</v>
      </c>
      <c r="O67" s="2" t="n">
        <v>44615</v>
      </c>
    </row>
    <row r="68" customFormat="false" ht="13.8" hidden="false" customHeight="false" outlineLevel="0" collapsed="false">
      <c r="A68" s="4" t="s">
        <v>1495</v>
      </c>
      <c r="B68" s="4" t="s">
        <v>1487</v>
      </c>
      <c r="C68" s="4" t="s">
        <v>1712</v>
      </c>
      <c r="D68" s="4" t="s">
        <v>1612</v>
      </c>
      <c r="E68" s="4" t="s">
        <v>1953</v>
      </c>
      <c r="F68" s="4" t="s">
        <v>1954</v>
      </c>
      <c r="G68" s="4" t="s">
        <v>1955</v>
      </c>
      <c r="H68" s="4" t="s">
        <v>1956</v>
      </c>
      <c r="I68" s="4" t="s">
        <v>1606</v>
      </c>
      <c r="J68" s="4" t="s">
        <v>1957</v>
      </c>
      <c r="K68" s="4" t="s">
        <v>1958</v>
      </c>
      <c r="L68" s="4" t="s">
        <v>1959</v>
      </c>
      <c r="M68" s="4" t="s">
        <v>1960</v>
      </c>
      <c r="N68" s="4" t="s">
        <v>1961</v>
      </c>
      <c r="O68" s="2" t="n">
        <v>44616</v>
      </c>
    </row>
    <row r="69" customFormat="false" ht="13.8" hidden="false" customHeight="false" outlineLevel="0" collapsed="false">
      <c r="A69" s="4" t="s">
        <v>1495</v>
      </c>
      <c r="B69" s="4" t="s">
        <v>1487</v>
      </c>
      <c r="C69" s="4" t="s">
        <v>1712</v>
      </c>
      <c r="D69" s="4" t="s">
        <v>1612</v>
      </c>
      <c r="E69" s="4" t="s">
        <v>1953</v>
      </c>
      <c r="F69" s="4" t="s">
        <v>1954</v>
      </c>
      <c r="G69" s="4" t="s">
        <v>1962</v>
      </c>
      <c r="H69" s="4" t="s">
        <v>1963</v>
      </c>
      <c r="I69" s="4" t="s">
        <v>1606</v>
      </c>
      <c r="J69" s="4" t="s">
        <v>1964</v>
      </c>
      <c r="K69" s="4" t="s">
        <v>1958</v>
      </c>
      <c r="L69" s="4" t="s">
        <v>1965</v>
      </c>
      <c r="M69" s="4" t="s">
        <v>1966</v>
      </c>
      <c r="N69" s="4" t="s">
        <v>1967</v>
      </c>
      <c r="O69" s="2" t="n">
        <v>44617</v>
      </c>
    </row>
    <row r="70" customFormat="false" ht="13.8" hidden="false" customHeight="false" outlineLevel="0" collapsed="false">
      <c r="A70" s="1" t="s">
        <v>1479</v>
      </c>
      <c r="B70" s="1" t="s">
        <v>1487</v>
      </c>
      <c r="C70" s="4" t="s">
        <v>1488</v>
      </c>
      <c r="D70" s="4" t="s">
        <v>1601</v>
      </c>
      <c r="E70" s="4" t="s">
        <v>1968</v>
      </c>
      <c r="F70" s="4" t="s">
        <v>1969</v>
      </c>
      <c r="G70" s="4"/>
      <c r="H70" s="4" t="s">
        <v>1970</v>
      </c>
      <c r="I70" s="4"/>
      <c r="J70" s="4"/>
      <c r="K70" s="4" t="s">
        <v>1971</v>
      </c>
      <c r="L70" s="4" t="s">
        <v>1972</v>
      </c>
      <c r="M70" s="4"/>
      <c r="N70" s="4" t="s">
        <v>1973</v>
      </c>
      <c r="O70" s="2" t="n">
        <v>44595</v>
      </c>
    </row>
    <row r="71" customFormat="false" ht="13.8" hidden="false" customHeight="false" outlineLevel="0" collapsed="false">
      <c r="A71" s="1" t="s">
        <v>1479</v>
      </c>
      <c r="B71" s="1" t="s">
        <v>1487</v>
      </c>
      <c r="C71" s="4" t="s">
        <v>1488</v>
      </c>
      <c r="D71" s="4" t="s">
        <v>1601</v>
      </c>
      <c r="E71" s="4" t="s">
        <v>1974</v>
      </c>
      <c r="F71" s="4" t="s">
        <v>1784</v>
      </c>
      <c r="G71" s="4"/>
      <c r="H71" s="4" t="s">
        <v>1970</v>
      </c>
      <c r="I71" s="4"/>
      <c r="J71" s="4" t="s">
        <v>1975</v>
      </c>
      <c r="K71" s="4" t="s">
        <v>1976</v>
      </c>
      <c r="L71" s="4" t="s">
        <v>1977</v>
      </c>
      <c r="M71" s="4"/>
      <c r="N71" s="4" t="s">
        <v>1978</v>
      </c>
      <c r="O71" s="2" t="n">
        <v>44595</v>
      </c>
    </row>
    <row r="72" customFormat="false" ht="13.8" hidden="false" customHeight="false" outlineLevel="0" collapsed="false">
      <c r="A72" s="1" t="s">
        <v>1503</v>
      </c>
      <c r="B72" s="1" t="s">
        <v>1504</v>
      </c>
      <c r="C72" s="4" t="s">
        <v>1979</v>
      </c>
      <c r="D72" s="4" t="s">
        <v>1601</v>
      </c>
      <c r="E72" s="4" t="s">
        <v>1980</v>
      </c>
      <c r="F72" s="4" t="s">
        <v>1666</v>
      </c>
      <c r="G72" s="4" t="s">
        <v>1981</v>
      </c>
      <c r="H72" s="4" t="s">
        <v>1982</v>
      </c>
      <c r="I72" s="4"/>
      <c r="J72" s="4" t="s">
        <v>1975</v>
      </c>
      <c r="K72" s="4" t="s">
        <v>1983</v>
      </c>
      <c r="L72" s="4" t="s">
        <v>1984</v>
      </c>
      <c r="M72" s="4" t="s">
        <v>1985</v>
      </c>
      <c r="N72" s="4" t="s">
        <v>1986</v>
      </c>
      <c r="O72" s="2" t="n">
        <v>44595</v>
      </c>
    </row>
    <row r="73" customFormat="false" ht="13.8" hidden="false" customHeight="false" outlineLevel="0" collapsed="false">
      <c r="A73" s="1" t="s">
        <v>1503</v>
      </c>
      <c r="B73" s="1" t="s">
        <v>1504</v>
      </c>
      <c r="C73" s="4" t="s">
        <v>1979</v>
      </c>
      <c r="D73" s="4" t="s">
        <v>1601</v>
      </c>
      <c r="E73" s="4" t="s">
        <v>1987</v>
      </c>
      <c r="F73" s="4" t="s">
        <v>1988</v>
      </c>
      <c r="G73" s="4" t="s">
        <v>1989</v>
      </c>
      <c r="H73" s="4" t="s">
        <v>1990</v>
      </c>
      <c r="I73" s="4"/>
      <c r="J73" s="4"/>
      <c r="K73" s="4" t="s">
        <v>1991</v>
      </c>
      <c r="L73" s="4" t="s">
        <v>1992</v>
      </c>
      <c r="M73" s="4" t="s">
        <v>1993</v>
      </c>
      <c r="N73" s="4" t="s">
        <v>1994</v>
      </c>
      <c r="O73" s="2" t="n">
        <v>44623</v>
      </c>
    </row>
    <row r="74" customFormat="false" ht="13.8" hidden="false" customHeight="false" outlineLevel="0" collapsed="false">
      <c r="A74" s="1" t="s">
        <v>1503</v>
      </c>
      <c r="B74" s="1" t="s">
        <v>1504</v>
      </c>
      <c r="C74" s="4" t="s">
        <v>1979</v>
      </c>
      <c r="D74" s="4" t="s">
        <v>1601</v>
      </c>
      <c r="E74" s="4" t="s">
        <v>1995</v>
      </c>
      <c r="F74" s="4" t="s">
        <v>1901</v>
      </c>
      <c r="G74" s="4" t="s">
        <v>1996</v>
      </c>
      <c r="H74" s="4" t="s">
        <v>1990</v>
      </c>
      <c r="I74" s="4"/>
      <c r="J74" s="4" t="s">
        <v>1997</v>
      </c>
      <c r="K74" s="4" t="s">
        <v>1998</v>
      </c>
      <c r="L74" s="4" t="s">
        <v>1992</v>
      </c>
      <c r="M74" s="4" t="s">
        <v>1993</v>
      </c>
      <c r="N74" s="4" t="s">
        <v>1999</v>
      </c>
      <c r="O74" s="2" t="n">
        <v>44623</v>
      </c>
    </row>
    <row r="75" customFormat="false" ht="13.8" hidden="false" customHeight="false" outlineLevel="0" collapsed="false">
      <c r="A75" s="1" t="s">
        <v>1503</v>
      </c>
      <c r="B75" s="1" t="s">
        <v>1648</v>
      </c>
      <c r="C75" s="4" t="s">
        <v>1648</v>
      </c>
      <c r="D75" s="4" t="s">
        <v>1601</v>
      </c>
      <c r="E75" s="4" t="s">
        <v>2000</v>
      </c>
      <c r="F75" s="4" t="s">
        <v>2001</v>
      </c>
      <c r="G75" s="4" t="s">
        <v>2002</v>
      </c>
      <c r="H75" s="4" t="s">
        <v>2003</v>
      </c>
      <c r="I75" s="4" t="s">
        <v>2004</v>
      </c>
      <c r="J75" s="4" t="s">
        <v>2004</v>
      </c>
      <c r="K75" s="4" t="s">
        <v>2005</v>
      </c>
      <c r="L75" s="4" t="s">
        <v>2006</v>
      </c>
      <c r="M75" s="4"/>
      <c r="N75" s="4" t="s">
        <v>2007</v>
      </c>
      <c r="O75" s="2" t="n">
        <v>44654</v>
      </c>
    </row>
    <row r="76" customFormat="false" ht="13.8" hidden="false" customHeight="false" outlineLevel="0" collapsed="false">
      <c r="A76" s="1" t="s">
        <v>1479</v>
      </c>
      <c r="B76" s="1" t="s">
        <v>1496</v>
      </c>
      <c r="C76" s="4" t="s">
        <v>1680</v>
      </c>
      <c r="D76" s="4" t="s">
        <v>1601</v>
      </c>
      <c r="E76" s="4" t="s">
        <v>2008</v>
      </c>
      <c r="F76" s="4" t="s">
        <v>2009</v>
      </c>
      <c r="G76" s="4"/>
      <c r="H76" s="4"/>
      <c r="I76" s="4"/>
      <c r="J76" s="4"/>
      <c r="K76" s="4" t="s">
        <v>2010</v>
      </c>
      <c r="L76" s="4" t="s">
        <v>2011</v>
      </c>
      <c r="M76" s="4"/>
      <c r="N76" s="4" t="s">
        <v>2012</v>
      </c>
      <c r="O76" s="2" t="n">
        <v>44745</v>
      </c>
    </row>
    <row r="77" customFormat="false" ht="13.8" hidden="false" customHeight="false" outlineLevel="0" collapsed="false">
      <c r="A77" s="1" t="s">
        <v>1495</v>
      </c>
      <c r="B77" s="1" t="s">
        <v>1496</v>
      </c>
      <c r="C77" s="4" t="s">
        <v>1619</v>
      </c>
      <c r="D77" s="4" t="s">
        <v>1601</v>
      </c>
      <c r="E77" s="4" t="s">
        <v>2013</v>
      </c>
      <c r="F77" s="4" t="s">
        <v>2014</v>
      </c>
      <c r="G77" s="4" t="s">
        <v>2015</v>
      </c>
      <c r="H77" s="4" t="s">
        <v>1867</v>
      </c>
      <c r="I77" s="4"/>
      <c r="J77" s="4" t="s">
        <v>2016</v>
      </c>
      <c r="K77" s="4" t="s">
        <v>2017</v>
      </c>
      <c r="L77" s="4" t="s">
        <v>2018</v>
      </c>
      <c r="M77" s="4" t="s">
        <v>2019</v>
      </c>
      <c r="N77" s="4" t="s">
        <v>2020</v>
      </c>
      <c r="O77" s="2" t="n">
        <v>44628</v>
      </c>
    </row>
    <row r="78" customFormat="false" ht="13.8" hidden="false" customHeight="false" outlineLevel="0" collapsed="false">
      <c r="A78" s="4" t="s">
        <v>1479</v>
      </c>
      <c r="B78" s="4" t="s">
        <v>1535</v>
      </c>
      <c r="C78" s="4" t="s">
        <v>1639</v>
      </c>
      <c r="D78" s="4" t="s">
        <v>1601</v>
      </c>
      <c r="E78" s="4" t="s">
        <v>2021</v>
      </c>
      <c r="F78" s="4" t="s">
        <v>2022</v>
      </c>
      <c r="G78" s="4" t="s">
        <v>2015</v>
      </c>
      <c r="H78" s="4" t="s">
        <v>2023</v>
      </c>
      <c r="I78" s="4"/>
      <c r="J78" s="4"/>
      <c r="K78" s="4" t="s">
        <v>2024</v>
      </c>
      <c r="L78" s="4" t="s">
        <v>2025</v>
      </c>
      <c r="M78" s="4" t="s">
        <v>2026</v>
      </c>
      <c r="N78" s="4" t="s">
        <v>2027</v>
      </c>
      <c r="O78" s="2" t="n">
        <v>44628</v>
      </c>
    </row>
    <row r="79" customFormat="false" ht="13.8" hidden="false" customHeight="false" outlineLevel="0" collapsed="false">
      <c r="A79" s="1" t="s">
        <v>1503</v>
      </c>
      <c r="B79" s="1" t="s">
        <v>1504</v>
      </c>
      <c r="C79" s="4" t="s">
        <v>1664</v>
      </c>
      <c r="D79" s="4" t="s">
        <v>1601</v>
      </c>
      <c r="E79" s="4" t="s">
        <v>2028</v>
      </c>
      <c r="F79" s="4" t="s">
        <v>1988</v>
      </c>
      <c r="G79" s="4" t="s">
        <v>1709</v>
      </c>
      <c r="H79" s="4" t="s">
        <v>2029</v>
      </c>
      <c r="I79" s="4"/>
      <c r="J79" s="4" t="s">
        <v>2030</v>
      </c>
      <c r="K79" s="4" t="s">
        <v>2031</v>
      </c>
      <c r="L79" s="4" t="s">
        <v>2032</v>
      </c>
      <c r="M79" s="4" t="s">
        <v>2033</v>
      </c>
      <c r="N79" s="4" t="s">
        <v>2034</v>
      </c>
      <c r="O79" s="2" t="n">
        <v>44629</v>
      </c>
    </row>
    <row r="80" customFormat="false" ht="13.8" hidden="false" customHeight="false" outlineLevel="0" collapsed="false">
      <c r="A80" s="4" t="s">
        <v>1479</v>
      </c>
      <c r="B80" s="4" t="s">
        <v>1535</v>
      </c>
      <c r="C80" s="4" t="s">
        <v>1639</v>
      </c>
      <c r="D80" s="4" t="s">
        <v>1601</v>
      </c>
      <c r="E80" s="4" t="s">
        <v>2035</v>
      </c>
      <c r="F80" s="4" t="s">
        <v>1688</v>
      </c>
      <c r="G80" s="4" t="s">
        <v>2036</v>
      </c>
      <c r="H80" s="4" t="s">
        <v>1818</v>
      </c>
      <c r="I80" s="4" t="s">
        <v>2037</v>
      </c>
      <c r="J80" s="4"/>
      <c r="K80" s="4" t="s">
        <v>2038</v>
      </c>
      <c r="L80" s="4" t="s">
        <v>2039</v>
      </c>
      <c r="M80" s="4" t="s">
        <v>2040</v>
      </c>
      <c r="N80" s="4" t="s">
        <v>2041</v>
      </c>
      <c r="O80" s="2" t="n">
        <v>44630</v>
      </c>
    </row>
    <row r="81" customFormat="false" ht="13.8" hidden="false" customHeight="false" outlineLevel="0" collapsed="false">
      <c r="A81" s="1" t="s">
        <v>1479</v>
      </c>
      <c r="B81" s="1" t="s">
        <v>1496</v>
      </c>
      <c r="C81" s="4" t="s">
        <v>38</v>
      </c>
      <c r="D81" s="4" t="s">
        <v>1612</v>
      </c>
      <c r="E81" s="4" t="s">
        <v>2042</v>
      </c>
      <c r="F81" s="4" t="s">
        <v>2043</v>
      </c>
      <c r="G81" s="4" t="s">
        <v>1716</v>
      </c>
      <c r="H81" s="4" t="s">
        <v>2044</v>
      </c>
      <c r="I81" s="4"/>
      <c r="J81" s="4" t="s">
        <v>1895</v>
      </c>
      <c r="K81" s="4" t="s">
        <v>2045</v>
      </c>
      <c r="L81" s="4" t="s">
        <v>2046</v>
      </c>
      <c r="M81" s="4"/>
      <c r="N81" s="4" t="s">
        <v>2047</v>
      </c>
      <c r="O81" s="2" t="n">
        <v>44630</v>
      </c>
    </row>
    <row r="82" customFormat="false" ht="13.8" hidden="false" customHeight="false" outlineLevel="0" collapsed="false">
      <c r="A82" s="1" t="s">
        <v>1479</v>
      </c>
      <c r="B82" s="1" t="s">
        <v>1487</v>
      </c>
      <c r="C82" s="4" t="s">
        <v>1488</v>
      </c>
      <c r="D82" s="4" t="s">
        <v>1601</v>
      </c>
      <c r="E82" s="4" t="s">
        <v>2048</v>
      </c>
      <c r="F82" s="4" t="s">
        <v>2049</v>
      </c>
      <c r="G82" s="4" t="s">
        <v>2050</v>
      </c>
      <c r="H82" s="4" t="s">
        <v>1970</v>
      </c>
      <c r="I82" s="4"/>
      <c r="J82" s="4" t="s">
        <v>2051</v>
      </c>
      <c r="K82" s="4" t="s">
        <v>2052</v>
      </c>
      <c r="L82" s="4" t="s">
        <v>2053</v>
      </c>
      <c r="M82" s="4" t="s">
        <v>2054</v>
      </c>
      <c r="N82" s="4" t="s">
        <v>2055</v>
      </c>
      <c r="O82" s="2" t="n">
        <v>44631</v>
      </c>
    </row>
    <row r="83" customFormat="false" ht="13.8" hidden="false" customHeight="false" outlineLevel="0" collapsed="false">
      <c r="A83" s="4" t="s">
        <v>1479</v>
      </c>
      <c r="B83" s="4" t="s">
        <v>1535</v>
      </c>
      <c r="C83" s="4" t="s">
        <v>1639</v>
      </c>
      <c r="D83" s="4" t="s">
        <v>1601</v>
      </c>
      <c r="E83" s="4" t="s">
        <v>2056</v>
      </c>
      <c r="F83" s="4" t="s">
        <v>1688</v>
      </c>
      <c r="G83" s="4" t="s">
        <v>2057</v>
      </c>
      <c r="H83" s="4" t="s">
        <v>2058</v>
      </c>
      <c r="I83" s="4" t="s">
        <v>2037</v>
      </c>
      <c r="J83" s="4"/>
      <c r="K83" s="4" t="s">
        <v>2059</v>
      </c>
      <c r="L83" s="4" t="s">
        <v>2060</v>
      </c>
      <c r="M83" s="4" t="s">
        <v>2061</v>
      </c>
      <c r="N83" s="4" t="s">
        <v>2041</v>
      </c>
      <c r="O83" s="2" t="n">
        <v>44631</v>
      </c>
    </row>
    <row r="84" customFormat="false" ht="13.8" hidden="false" customHeight="false" outlineLevel="0" collapsed="false">
      <c r="A84" s="1" t="s">
        <v>1479</v>
      </c>
      <c r="B84" s="1" t="s">
        <v>1487</v>
      </c>
      <c r="C84" s="4" t="s">
        <v>1488</v>
      </c>
      <c r="D84" s="4" t="s">
        <v>1612</v>
      </c>
      <c r="E84" s="4" t="s">
        <v>2062</v>
      </c>
      <c r="F84" s="4" t="s">
        <v>2063</v>
      </c>
      <c r="G84" s="4" t="s">
        <v>2064</v>
      </c>
      <c r="H84" s="4" t="s">
        <v>2065</v>
      </c>
      <c r="I84" s="4"/>
      <c r="J84" s="4" t="s">
        <v>2066</v>
      </c>
      <c r="K84" s="4" t="s">
        <v>2067</v>
      </c>
      <c r="L84" s="4" t="s">
        <v>2068</v>
      </c>
      <c r="M84" s="4" t="s">
        <v>2069</v>
      </c>
      <c r="N84" s="4" t="s">
        <v>2070</v>
      </c>
      <c r="O84" s="2" t="n">
        <v>44631</v>
      </c>
    </row>
    <row r="85" customFormat="false" ht="13.8" hidden="false" customHeight="false" outlineLevel="0" collapsed="false">
      <c r="A85" s="1" t="s">
        <v>1495</v>
      </c>
      <c r="B85" s="1" t="s">
        <v>1487</v>
      </c>
      <c r="C85" s="4" t="s">
        <v>1656</v>
      </c>
      <c r="D85" s="4" t="s">
        <v>1601</v>
      </c>
      <c r="E85" s="4" t="s">
        <v>2071</v>
      </c>
      <c r="F85" s="4" t="s">
        <v>2072</v>
      </c>
      <c r="G85" s="4" t="s">
        <v>2073</v>
      </c>
      <c r="H85" s="4" t="s">
        <v>2074</v>
      </c>
      <c r="I85" s="4"/>
      <c r="J85" s="4" t="s">
        <v>2075</v>
      </c>
      <c r="K85" s="4" t="s">
        <v>2076</v>
      </c>
      <c r="L85" s="4" t="s">
        <v>2077</v>
      </c>
      <c r="M85" s="4" t="s">
        <v>2078</v>
      </c>
      <c r="N85" s="4" t="s">
        <v>2079</v>
      </c>
      <c r="O85" s="2" t="n">
        <v>44632</v>
      </c>
    </row>
    <row r="86" customFormat="false" ht="13.8" hidden="false" customHeight="false" outlineLevel="0" collapsed="false">
      <c r="A86" s="1" t="s">
        <v>1495</v>
      </c>
      <c r="B86" s="1" t="s">
        <v>1487</v>
      </c>
      <c r="C86" s="4" t="s">
        <v>1656</v>
      </c>
      <c r="D86" s="4" t="s">
        <v>1612</v>
      </c>
      <c r="E86" s="4" t="s">
        <v>2071</v>
      </c>
      <c r="F86" s="4" t="s">
        <v>2072</v>
      </c>
      <c r="G86" s="4" t="s">
        <v>2073</v>
      </c>
      <c r="H86" s="4" t="s">
        <v>2074</v>
      </c>
      <c r="I86" s="4"/>
      <c r="J86" s="4" t="s">
        <v>2075</v>
      </c>
      <c r="K86" s="4" t="s">
        <v>2076</v>
      </c>
      <c r="L86" s="4" t="s">
        <v>2077</v>
      </c>
      <c r="M86" s="4" t="s">
        <v>2080</v>
      </c>
      <c r="N86" s="4" t="s">
        <v>2081</v>
      </c>
      <c r="O86" s="2" t="n">
        <v>44632</v>
      </c>
    </row>
    <row r="87" customFormat="false" ht="13.8" hidden="false" customHeight="false" outlineLevel="0" collapsed="false">
      <c r="A87" s="4" t="s">
        <v>1479</v>
      </c>
      <c r="B87" s="4" t="s">
        <v>1535</v>
      </c>
      <c r="C87" s="4" t="s">
        <v>1639</v>
      </c>
      <c r="D87" s="4" t="s">
        <v>1601</v>
      </c>
      <c r="E87" s="4" t="s">
        <v>2082</v>
      </c>
      <c r="F87" s="4" t="s">
        <v>2083</v>
      </c>
      <c r="G87" s="4" t="s">
        <v>2015</v>
      </c>
      <c r="H87" s="4" t="s">
        <v>2084</v>
      </c>
      <c r="I87" s="4" t="s">
        <v>2085</v>
      </c>
      <c r="J87" s="4" t="n">
        <v>0</v>
      </c>
      <c r="K87" s="4" t="s">
        <v>2086</v>
      </c>
      <c r="L87" s="4" t="s">
        <v>2087</v>
      </c>
      <c r="M87" s="4" t="s">
        <v>2088</v>
      </c>
      <c r="N87" s="4" t="s">
        <v>2089</v>
      </c>
      <c r="O87" s="2" t="n">
        <v>44634</v>
      </c>
    </row>
    <row r="88" customFormat="false" ht="13.8" hidden="false" customHeight="false" outlineLevel="0" collapsed="false">
      <c r="A88" s="4" t="s">
        <v>1479</v>
      </c>
      <c r="B88" s="4" t="s">
        <v>1535</v>
      </c>
      <c r="C88" s="4" t="s">
        <v>1639</v>
      </c>
      <c r="D88" s="4" t="s">
        <v>1601</v>
      </c>
      <c r="E88" s="4" t="s">
        <v>2090</v>
      </c>
      <c r="F88" s="4" t="s">
        <v>2083</v>
      </c>
      <c r="G88" s="4" t="s">
        <v>2015</v>
      </c>
      <c r="H88" s="4" t="s">
        <v>2084</v>
      </c>
      <c r="I88" s="4"/>
      <c r="J88" s="4" t="n">
        <v>0</v>
      </c>
      <c r="K88" s="4" t="s">
        <v>2091</v>
      </c>
      <c r="L88" s="4" t="s">
        <v>2092</v>
      </c>
      <c r="M88" s="4" t="s">
        <v>2093</v>
      </c>
      <c r="N88" s="4" t="s">
        <v>2094</v>
      </c>
      <c r="O88" s="2" t="n">
        <v>44634</v>
      </c>
    </row>
    <row r="89" customFormat="false" ht="13.8" hidden="false" customHeight="false" outlineLevel="0" collapsed="false">
      <c r="A89" s="1" t="s">
        <v>1479</v>
      </c>
      <c r="B89" s="1" t="s">
        <v>1535</v>
      </c>
      <c r="C89" s="4" t="s">
        <v>1722</v>
      </c>
      <c r="D89" s="4" t="s">
        <v>1601</v>
      </c>
      <c r="E89" s="4" t="s">
        <v>2095</v>
      </c>
      <c r="F89" s="4" t="s">
        <v>1688</v>
      </c>
      <c r="G89" s="4" t="s">
        <v>2096</v>
      </c>
      <c r="H89" s="4" t="s">
        <v>2097</v>
      </c>
      <c r="I89" s="4" t="s">
        <v>2098</v>
      </c>
      <c r="J89" s="4" t="s">
        <v>2099</v>
      </c>
      <c r="K89" s="4" t="s">
        <v>2100</v>
      </c>
      <c r="L89" s="4" t="s">
        <v>2101</v>
      </c>
      <c r="M89" s="4" t="s">
        <v>2102</v>
      </c>
      <c r="N89" s="4" t="s">
        <v>2103</v>
      </c>
      <c r="O89" s="2" t="n">
        <v>44636</v>
      </c>
    </row>
    <row r="90" customFormat="false" ht="13.8" hidden="false" customHeight="false" outlineLevel="0" collapsed="false">
      <c r="A90" s="1" t="s">
        <v>1479</v>
      </c>
      <c r="B90" s="1" t="s">
        <v>1487</v>
      </c>
      <c r="C90" s="0" t="s">
        <v>1488</v>
      </c>
      <c r="D90" s="4" t="s">
        <v>1612</v>
      </c>
      <c r="E90" s="4" t="s">
        <v>2104</v>
      </c>
      <c r="F90" s="4" t="s">
        <v>2105</v>
      </c>
      <c r="G90" s="4" t="s">
        <v>2106</v>
      </c>
      <c r="H90" s="4" t="s">
        <v>2107</v>
      </c>
      <c r="I90" s="4" t="n">
        <v>0</v>
      </c>
      <c r="J90" s="4" t="s">
        <v>2108</v>
      </c>
      <c r="K90" s="4" t="s">
        <v>2109</v>
      </c>
      <c r="L90" s="4" t="s">
        <v>2110</v>
      </c>
      <c r="M90" s="4" t="s">
        <v>2111</v>
      </c>
      <c r="N90" s="4" t="s">
        <v>2112</v>
      </c>
      <c r="O90" s="2" t="n">
        <v>44636</v>
      </c>
    </row>
    <row r="91" customFormat="false" ht="13.8" hidden="false" customHeight="false" outlineLevel="0" collapsed="false">
      <c r="A91" s="1" t="s">
        <v>1479</v>
      </c>
      <c r="B91" s="1" t="s">
        <v>1535</v>
      </c>
      <c r="C91" s="4" t="s">
        <v>1722</v>
      </c>
      <c r="D91" s="4" t="s">
        <v>1612</v>
      </c>
      <c r="E91" s="4" t="s">
        <v>2113</v>
      </c>
      <c r="F91" s="4" t="s">
        <v>1641</v>
      </c>
      <c r="G91" s="4" t="s">
        <v>2114</v>
      </c>
      <c r="H91" s="4" t="s">
        <v>2115</v>
      </c>
      <c r="I91" s="4" t="s">
        <v>2116</v>
      </c>
      <c r="J91" s="4" t="n">
        <v>0</v>
      </c>
      <c r="K91" s="4" t="s">
        <v>2117</v>
      </c>
      <c r="L91" s="4" t="s">
        <v>2118</v>
      </c>
      <c r="M91" s="4" t="s">
        <v>2119</v>
      </c>
      <c r="N91" s="4" t="s">
        <v>2120</v>
      </c>
      <c r="O91" s="2" t="n">
        <v>44636</v>
      </c>
    </row>
    <row r="92" customFormat="false" ht="13.8" hidden="false" customHeight="false" outlineLevel="0" collapsed="false">
      <c r="A92" s="4" t="s">
        <v>1495</v>
      </c>
      <c r="B92" s="4" t="s">
        <v>1487</v>
      </c>
      <c r="C92" s="4" t="s">
        <v>1712</v>
      </c>
      <c r="D92" s="4" t="s">
        <v>1601</v>
      </c>
      <c r="E92" s="4" t="s">
        <v>2121</v>
      </c>
      <c r="F92" s="4" t="s">
        <v>2122</v>
      </c>
      <c r="G92" s="4" t="s">
        <v>2123</v>
      </c>
      <c r="H92" s="4"/>
      <c r="I92" s="4"/>
      <c r="J92" s="4" t="s">
        <v>2124</v>
      </c>
      <c r="K92" s="4" t="s">
        <v>2125</v>
      </c>
      <c r="L92" s="4" t="s">
        <v>2126</v>
      </c>
      <c r="M92" s="4" t="s">
        <v>2127</v>
      </c>
      <c r="N92" s="4" t="s">
        <v>2128</v>
      </c>
      <c r="O92" s="2" t="n">
        <v>44637</v>
      </c>
    </row>
    <row r="93" customFormat="false" ht="13.8" hidden="false" customHeight="false" outlineLevel="0" collapsed="false">
      <c r="A93" s="1" t="s">
        <v>1479</v>
      </c>
      <c r="B93" s="1" t="s">
        <v>1487</v>
      </c>
      <c r="C93" s="0" t="s">
        <v>1488</v>
      </c>
      <c r="D93" s="4" t="s">
        <v>1612</v>
      </c>
      <c r="E93" s="4" t="s">
        <v>2129</v>
      </c>
      <c r="F93" s="4" t="s">
        <v>1630</v>
      </c>
      <c r="G93" s="4" t="s">
        <v>2130</v>
      </c>
      <c r="H93" s="4" t="s">
        <v>2131</v>
      </c>
      <c r="I93" s="4"/>
      <c r="J93" s="4" t="s">
        <v>1786</v>
      </c>
      <c r="K93" s="4" t="s">
        <v>2132</v>
      </c>
      <c r="L93" s="4" t="s">
        <v>2133</v>
      </c>
      <c r="M93" s="4" t="s">
        <v>2134</v>
      </c>
      <c r="N93" s="4" t="s">
        <v>2135</v>
      </c>
      <c r="O93" s="2" t="n">
        <v>44637</v>
      </c>
    </row>
    <row r="94" customFormat="false" ht="13.8" hidden="false" customHeight="false" outlineLevel="0" collapsed="false">
      <c r="A94" s="1" t="s">
        <v>1503</v>
      </c>
      <c r="B94" s="1" t="s">
        <v>1648</v>
      </c>
      <c r="C94" s="4" t="s">
        <v>1648</v>
      </c>
      <c r="D94" s="4" t="s">
        <v>1612</v>
      </c>
      <c r="E94" s="4" t="s">
        <v>2136</v>
      </c>
      <c r="F94" s="4" t="s">
        <v>2137</v>
      </c>
      <c r="G94" s="4" t="s">
        <v>2138</v>
      </c>
      <c r="H94" s="4" t="s">
        <v>1716</v>
      </c>
      <c r="I94" s="4"/>
      <c r="J94" s="4" t="s">
        <v>2139</v>
      </c>
      <c r="K94" s="4" t="s">
        <v>2140</v>
      </c>
      <c r="L94" s="4" t="s">
        <v>2141</v>
      </c>
      <c r="M94" s="4" t="s">
        <v>2142</v>
      </c>
      <c r="N94" s="4" t="s">
        <v>2143</v>
      </c>
      <c r="O94" s="2" t="n">
        <v>44637</v>
      </c>
    </row>
    <row r="95" customFormat="false" ht="13.8" hidden="false" customHeight="false" outlineLevel="0" collapsed="false">
      <c r="A95" s="1" t="s">
        <v>1503</v>
      </c>
      <c r="B95" s="1" t="s">
        <v>1648</v>
      </c>
      <c r="C95" s="4" t="s">
        <v>1648</v>
      </c>
      <c r="D95" s="4" t="s">
        <v>1601</v>
      </c>
      <c r="E95" s="4" t="s">
        <v>2136</v>
      </c>
      <c r="F95" s="4" t="s">
        <v>2137</v>
      </c>
      <c r="G95" s="4" t="s">
        <v>2144</v>
      </c>
      <c r="H95" s="4" t="s">
        <v>2145</v>
      </c>
      <c r="I95" s="4"/>
      <c r="J95" s="4" t="s">
        <v>2146</v>
      </c>
      <c r="K95" s="4" t="s">
        <v>2140</v>
      </c>
      <c r="L95" s="4" t="s">
        <v>2141</v>
      </c>
      <c r="M95" s="4" t="s">
        <v>2142</v>
      </c>
      <c r="N95" s="4" t="s">
        <v>2147</v>
      </c>
      <c r="O95" s="2" t="n">
        <v>44638</v>
      </c>
    </row>
    <row r="96" customFormat="false" ht="13.8" hidden="false" customHeight="false" outlineLevel="0" collapsed="false">
      <c r="A96" s="1" t="s">
        <v>1495</v>
      </c>
      <c r="B96" s="1" t="s">
        <v>1496</v>
      </c>
      <c r="C96" s="4" t="s">
        <v>1619</v>
      </c>
      <c r="D96" s="4" t="s">
        <v>1601</v>
      </c>
      <c r="E96" s="4" t="s">
        <v>2148</v>
      </c>
      <c r="F96" s="4" t="s">
        <v>2149</v>
      </c>
      <c r="G96" s="4" t="s">
        <v>2150</v>
      </c>
      <c r="H96" s="4" t="s">
        <v>2151</v>
      </c>
      <c r="I96" s="4"/>
      <c r="J96" s="4" t="s">
        <v>2152</v>
      </c>
      <c r="K96" s="4" t="s">
        <v>2153</v>
      </c>
      <c r="L96" s="4" t="s">
        <v>2154</v>
      </c>
      <c r="M96" s="4" t="s">
        <v>2155</v>
      </c>
      <c r="N96" s="4" t="s">
        <v>2156</v>
      </c>
      <c r="O96" s="2" t="n">
        <v>44641</v>
      </c>
    </row>
    <row r="97" customFormat="false" ht="13.8" hidden="false" customHeight="false" outlineLevel="0" collapsed="false">
      <c r="A97" s="1" t="s">
        <v>1495</v>
      </c>
      <c r="B97" s="1" t="s">
        <v>1496</v>
      </c>
      <c r="C97" s="4" t="s">
        <v>1619</v>
      </c>
      <c r="D97" s="4" t="s">
        <v>1601</v>
      </c>
      <c r="E97" s="4" t="s">
        <v>2157</v>
      </c>
      <c r="F97" s="4" t="s">
        <v>1621</v>
      </c>
      <c r="G97" s="4" t="s">
        <v>1996</v>
      </c>
      <c r="H97" s="4" t="s">
        <v>2158</v>
      </c>
      <c r="I97" s="4"/>
      <c r="J97" s="4"/>
      <c r="K97" s="4" t="s">
        <v>2159</v>
      </c>
      <c r="L97" s="4" t="s">
        <v>2160</v>
      </c>
      <c r="M97" s="4" t="s">
        <v>2161</v>
      </c>
      <c r="N97" s="4" t="s">
        <v>2162</v>
      </c>
      <c r="O97" s="2" t="n">
        <v>44641</v>
      </c>
    </row>
    <row r="98" customFormat="false" ht="13.8" hidden="false" customHeight="false" outlineLevel="0" collapsed="false">
      <c r="A98" s="4" t="s">
        <v>2163</v>
      </c>
      <c r="B98" s="4" t="s">
        <v>2164</v>
      </c>
      <c r="C98" s="4"/>
      <c r="D98" s="4" t="s">
        <v>1612</v>
      </c>
      <c r="E98" s="4"/>
      <c r="F98" s="4"/>
      <c r="G98" s="4" t="s">
        <v>1614</v>
      </c>
      <c r="H98" s="4" t="s">
        <v>2138</v>
      </c>
      <c r="I98" s="4"/>
      <c r="J98" s="4"/>
      <c r="K98" s="4" t="s">
        <v>2165</v>
      </c>
      <c r="L98" s="4" t="s">
        <v>2166</v>
      </c>
      <c r="M98" s="4"/>
      <c r="N98" s="4" t="s">
        <v>2167</v>
      </c>
      <c r="O98" s="2" t="n">
        <v>44641</v>
      </c>
    </row>
    <row r="99" customFormat="false" ht="13.8" hidden="false" customHeight="false" outlineLevel="0" collapsed="false">
      <c r="A99" s="1" t="s">
        <v>1503</v>
      </c>
      <c r="B99" s="1" t="s">
        <v>1648</v>
      </c>
      <c r="C99" s="4" t="s">
        <v>1648</v>
      </c>
      <c r="D99" s="4" t="s">
        <v>1612</v>
      </c>
      <c r="E99" s="4" t="s">
        <v>2168</v>
      </c>
      <c r="F99" s="4" t="s">
        <v>2169</v>
      </c>
      <c r="G99" s="4" t="s">
        <v>1614</v>
      </c>
      <c r="H99" s="4" t="s">
        <v>2170</v>
      </c>
      <c r="I99" s="4" t="s">
        <v>2171</v>
      </c>
      <c r="J99" s="4"/>
      <c r="K99" s="4" t="s">
        <v>2172</v>
      </c>
      <c r="L99" s="4" t="s">
        <v>2173</v>
      </c>
      <c r="M99" s="4" t="s">
        <v>2174</v>
      </c>
      <c r="N99" s="4" t="s">
        <v>2175</v>
      </c>
      <c r="O99" s="2" t="n">
        <v>44641</v>
      </c>
    </row>
    <row r="100" customFormat="false" ht="13.8" hidden="false" customHeight="false" outlineLevel="0" collapsed="false">
      <c r="A100" s="1" t="s">
        <v>1503</v>
      </c>
      <c r="B100" s="1" t="s">
        <v>1648</v>
      </c>
      <c r="C100" s="4" t="s">
        <v>1648</v>
      </c>
      <c r="D100" s="4" t="s">
        <v>1612</v>
      </c>
      <c r="E100" s="4" t="s">
        <v>2176</v>
      </c>
      <c r="F100" s="4" t="s">
        <v>2177</v>
      </c>
      <c r="G100" s="4" t="s">
        <v>2178</v>
      </c>
      <c r="H100" s="4" t="s">
        <v>2179</v>
      </c>
      <c r="I100" s="4"/>
      <c r="J100" s="4"/>
      <c r="K100" s="4" t="s">
        <v>2180</v>
      </c>
      <c r="L100" s="4" t="s">
        <v>2181</v>
      </c>
      <c r="M100" s="4" t="s">
        <v>2182</v>
      </c>
      <c r="N100" s="4" t="s">
        <v>2183</v>
      </c>
      <c r="O100" s="2" t="n">
        <v>44641</v>
      </c>
    </row>
    <row r="101" customFormat="false" ht="13.8" hidden="false" customHeight="false" outlineLevel="0" collapsed="false">
      <c r="A101" s="4" t="s">
        <v>1495</v>
      </c>
      <c r="B101" s="4" t="s">
        <v>1535</v>
      </c>
      <c r="C101" s="4" t="s">
        <v>1732</v>
      </c>
      <c r="D101" s="4" t="s">
        <v>1612</v>
      </c>
      <c r="E101" s="4" t="s">
        <v>2184</v>
      </c>
      <c r="F101" s="4" t="s">
        <v>2185</v>
      </c>
      <c r="G101" s="4" t="s">
        <v>2186</v>
      </c>
      <c r="H101" s="4" t="s">
        <v>2187</v>
      </c>
      <c r="I101" s="4" t="n">
        <v>2</v>
      </c>
      <c r="J101" s="4" t="s">
        <v>1878</v>
      </c>
      <c r="K101" s="4" t="s">
        <v>2188</v>
      </c>
      <c r="L101" s="4" t="s">
        <v>2189</v>
      </c>
      <c r="M101" s="4" t="s">
        <v>2190</v>
      </c>
      <c r="N101" s="4" t="s">
        <v>2191</v>
      </c>
      <c r="O101" s="2" t="n">
        <v>44641</v>
      </c>
    </row>
    <row r="102" customFormat="false" ht="13.8" hidden="false" customHeight="false" outlineLevel="0" collapsed="false">
      <c r="A102" s="1" t="s">
        <v>1479</v>
      </c>
      <c r="B102" s="1" t="s">
        <v>1480</v>
      </c>
      <c r="C102" s="4" t="s">
        <v>1600</v>
      </c>
      <c r="D102" s="4" t="s">
        <v>1601</v>
      </c>
      <c r="E102" s="4" t="s">
        <v>2192</v>
      </c>
      <c r="F102" s="4" t="s">
        <v>2193</v>
      </c>
      <c r="G102" s="4" t="s">
        <v>2194</v>
      </c>
      <c r="H102" s="4" t="s">
        <v>2195</v>
      </c>
      <c r="I102" s="4" t="s">
        <v>2196</v>
      </c>
      <c r="J102" s="4"/>
      <c r="K102" s="4" t="s">
        <v>2197</v>
      </c>
      <c r="L102" s="4" t="s">
        <v>2198</v>
      </c>
      <c r="M102" s="4" t="s">
        <v>2199</v>
      </c>
      <c r="N102" s="4" t="s">
        <v>2200</v>
      </c>
      <c r="O102" s="2" t="n">
        <v>44642</v>
      </c>
    </row>
    <row r="103" customFormat="false" ht="13.8" hidden="false" customHeight="false" outlineLevel="0" collapsed="false">
      <c r="A103" s="1" t="s">
        <v>1495</v>
      </c>
      <c r="B103" s="1" t="s">
        <v>1496</v>
      </c>
      <c r="C103" s="4" t="s">
        <v>1619</v>
      </c>
      <c r="D103" s="4" t="s">
        <v>1601</v>
      </c>
      <c r="E103" s="4" t="s">
        <v>1815</v>
      </c>
      <c r="F103" s="4" t="s">
        <v>1816</v>
      </c>
      <c r="G103" s="4" t="s">
        <v>2201</v>
      </c>
      <c r="H103" s="4" t="s">
        <v>2202</v>
      </c>
      <c r="I103" s="4" t="s">
        <v>2203</v>
      </c>
      <c r="J103" s="4"/>
      <c r="K103" s="4" t="s">
        <v>2204</v>
      </c>
      <c r="L103" s="4" t="s">
        <v>2205</v>
      </c>
      <c r="M103" s="4" t="s">
        <v>2206</v>
      </c>
      <c r="N103" s="4" t="s">
        <v>2207</v>
      </c>
      <c r="O103" s="2" t="n">
        <v>44642</v>
      </c>
    </row>
    <row r="104" customFormat="false" ht="13.8" hidden="false" customHeight="false" outlineLevel="0" collapsed="false">
      <c r="A104" s="1" t="s">
        <v>1479</v>
      </c>
      <c r="B104" s="1" t="s">
        <v>1496</v>
      </c>
      <c r="C104" s="4" t="s">
        <v>1680</v>
      </c>
      <c r="D104" s="4" t="s">
        <v>1601</v>
      </c>
      <c r="E104" s="4" t="s">
        <v>2208</v>
      </c>
      <c r="F104" s="4" t="s">
        <v>2209</v>
      </c>
      <c r="G104" s="4" t="s">
        <v>1800</v>
      </c>
      <c r="H104" s="4" t="s">
        <v>2210</v>
      </c>
      <c r="I104" s="4" t="s">
        <v>2211</v>
      </c>
      <c r="J104" s="4" t="s">
        <v>2212</v>
      </c>
      <c r="K104" s="4" t="s">
        <v>2213</v>
      </c>
      <c r="L104" s="4" t="s">
        <v>2214</v>
      </c>
      <c r="M104" s="4" t="s">
        <v>2215</v>
      </c>
      <c r="N104" s="4" t="s">
        <v>2216</v>
      </c>
      <c r="O104" s="2" t="n">
        <v>44643</v>
      </c>
    </row>
    <row r="105" customFormat="false" ht="13.8" hidden="false" customHeight="false" outlineLevel="0" collapsed="false">
      <c r="A105" s="1" t="s">
        <v>1479</v>
      </c>
      <c r="B105" s="1" t="s">
        <v>1535</v>
      </c>
      <c r="C105" s="4" t="s">
        <v>1722</v>
      </c>
      <c r="D105" s="4" t="s">
        <v>1612</v>
      </c>
      <c r="E105" s="4" t="s">
        <v>1945</v>
      </c>
      <c r="F105" s="4" t="s">
        <v>2217</v>
      </c>
      <c r="G105" s="4" t="s">
        <v>1726</v>
      </c>
      <c r="H105" s="4" t="s">
        <v>1963</v>
      </c>
      <c r="I105" s="4" t="s">
        <v>2218</v>
      </c>
      <c r="J105" s="4" t="n">
        <v>35</v>
      </c>
      <c r="K105" s="4" t="s">
        <v>2219</v>
      </c>
      <c r="L105" s="4" t="s">
        <v>2220</v>
      </c>
      <c r="M105" s="4" t="s">
        <v>2221</v>
      </c>
      <c r="N105" s="4" t="s">
        <v>2222</v>
      </c>
      <c r="O105" s="2" t="n">
        <v>44644</v>
      </c>
    </row>
    <row r="106" customFormat="false" ht="13.8" hidden="false" customHeight="false" outlineLevel="0" collapsed="false">
      <c r="A106" s="4" t="s">
        <v>1479</v>
      </c>
      <c r="B106" s="4" t="s">
        <v>1535</v>
      </c>
      <c r="C106" s="4" t="s">
        <v>1639</v>
      </c>
      <c r="D106" s="4" t="s">
        <v>1601</v>
      </c>
      <c r="E106" s="4" t="s">
        <v>2223</v>
      </c>
      <c r="F106" s="4" t="s">
        <v>2022</v>
      </c>
      <c r="G106" s="4" t="s">
        <v>2224</v>
      </c>
      <c r="H106" s="4" t="s">
        <v>2225</v>
      </c>
      <c r="I106" s="4"/>
      <c r="J106" s="4" t="s">
        <v>2226</v>
      </c>
      <c r="K106" s="4" t="s">
        <v>2227</v>
      </c>
      <c r="L106" s="4" t="s">
        <v>2228</v>
      </c>
      <c r="M106" s="4" t="s">
        <v>2229</v>
      </c>
      <c r="N106" s="4" t="s">
        <v>2230</v>
      </c>
      <c r="O106" s="2" t="n">
        <v>44645</v>
      </c>
    </row>
    <row r="107" customFormat="false" ht="13.8" hidden="false" customHeight="false" outlineLevel="0" collapsed="false">
      <c r="A107" s="4" t="s">
        <v>1495</v>
      </c>
      <c r="B107" s="4" t="s">
        <v>1535</v>
      </c>
      <c r="C107" s="4" t="s">
        <v>1732</v>
      </c>
      <c r="D107" s="4" t="s">
        <v>1601</v>
      </c>
      <c r="E107" s="4" t="s">
        <v>2231</v>
      </c>
      <c r="F107" s="4" t="s">
        <v>2232</v>
      </c>
      <c r="G107" s="4" t="s">
        <v>2233</v>
      </c>
      <c r="H107" s="4" t="s">
        <v>2234</v>
      </c>
      <c r="I107" s="4" t="n">
        <v>7</v>
      </c>
      <c r="J107" s="4" t="s">
        <v>2235</v>
      </c>
      <c r="K107" s="4" t="s">
        <v>2236</v>
      </c>
      <c r="L107" s="4" t="s">
        <v>2237</v>
      </c>
      <c r="M107" s="4" t="s">
        <v>2238</v>
      </c>
      <c r="N107" s="4" t="s">
        <v>2239</v>
      </c>
      <c r="O107" s="2" t="n">
        <v>44645</v>
      </c>
    </row>
    <row r="108" customFormat="false" ht="13.8" hidden="false" customHeight="false" outlineLevel="0" collapsed="false">
      <c r="A108" s="4" t="s">
        <v>1495</v>
      </c>
      <c r="B108" s="4" t="s">
        <v>1535</v>
      </c>
      <c r="C108" s="4" t="s">
        <v>1732</v>
      </c>
      <c r="D108" s="4" t="s">
        <v>1612</v>
      </c>
      <c r="E108" s="4" t="s">
        <v>2240</v>
      </c>
      <c r="F108" s="4" t="s">
        <v>2241</v>
      </c>
      <c r="G108" s="4" t="s">
        <v>2242</v>
      </c>
      <c r="H108" s="4" t="s">
        <v>2243</v>
      </c>
      <c r="I108" s="4" t="n">
        <v>1</v>
      </c>
      <c r="J108" s="4" t="s">
        <v>2244</v>
      </c>
      <c r="K108" s="4" t="s">
        <v>2245</v>
      </c>
      <c r="L108" s="4" t="s">
        <v>2246</v>
      </c>
      <c r="M108" s="4" t="s">
        <v>2247</v>
      </c>
      <c r="N108" s="4" t="s">
        <v>2248</v>
      </c>
      <c r="O108" s="2" t="n">
        <v>44645</v>
      </c>
    </row>
    <row r="109" customFormat="false" ht="13.8" hidden="false" customHeight="false" outlineLevel="0" collapsed="false">
      <c r="A109" s="1" t="s">
        <v>1503</v>
      </c>
      <c r="B109" s="1" t="s">
        <v>1535</v>
      </c>
      <c r="C109" s="4" t="s">
        <v>1503</v>
      </c>
      <c r="D109" s="4" t="s">
        <v>1612</v>
      </c>
      <c r="E109" s="4" t="s">
        <v>2249</v>
      </c>
      <c r="F109" s="4" t="s">
        <v>2250</v>
      </c>
      <c r="G109" s="4" t="s">
        <v>2251</v>
      </c>
      <c r="H109" s="4" t="s">
        <v>2252</v>
      </c>
      <c r="I109" s="4"/>
      <c r="J109" s="4"/>
      <c r="K109" s="4" t="s">
        <v>2253</v>
      </c>
      <c r="L109" s="4" t="s">
        <v>2254</v>
      </c>
      <c r="M109" s="4" t="s">
        <v>2255</v>
      </c>
      <c r="N109" s="4" t="s">
        <v>2256</v>
      </c>
      <c r="O109" s="2" t="n">
        <v>44645</v>
      </c>
    </row>
    <row r="110" customFormat="false" ht="13.8" hidden="false" customHeight="false" outlineLevel="0" collapsed="false">
      <c r="A110" s="4" t="s">
        <v>1495</v>
      </c>
      <c r="B110" s="4" t="s">
        <v>1535</v>
      </c>
      <c r="C110" s="4" t="s">
        <v>1732</v>
      </c>
      <c r="D110" s="4" t="s">
        <v>1612</v>
      </c>
      <c r="E110" s="4" t="s">
        <v>2257</v>
      </c>
      <c r="F110" s="4" t="s">
        <v>2258</v>
      </c>
      <c r="G110" s="4" t="s">
        <v>2259</v>
      </c>
      <c r="H110" s="4" t="s">
        <v>2260</v>
      </c>
      <c r="I110" s="4" t="n">
        <v>0</v>
      </c>
      <c r="J110" s="4" t="n">
        <v>40</v>
      </c>
      <c r="K110" s="4" t="s">
        <v>2261</v>
      </c>
      <c r="L110" s="4" t="s">
        <v>2262</v>
      </c>
      <c r="M110" s="4" t="s">
        <v>2263</v>
      </c>
      <c r="N110" s="4" t="s">
        <v>2264</v>
      </c>
      <c r="O110" s="2" t="n">
        <v>44645</v>
      </c>
    </row>
    <row r="111" customFormat="false" ht="13.8" hidden="false" customHeight="false" outlineLevel="0" collapsed="false">
      <c r="A111" s="1" t="s">
        <v>1479</v>
      </c>
      <c r="B111" s="1" t="s">
        <v>1487</v>
      </c>
      <c r="C111" s="0" t="s">
        <v>1488</v>
      </c>
      <c r="D111" s="4" t="s">
        <v>1612</v>
      </c>
      <c r="E111" s="4" t="s">
        <v>2265</v>
      </c>
      <c r="F111" s="4" t="s">
        <v>1784</v>
      </c>
      <c r="G111" s="4" t="s">
        <v>2266</v>
      </c>
      <c r="H111" s="4" t="s">
        <v>2267</v>
      </c>
      <c r="I111" s="4" t="n">
        <v>0</v>
      </c>
      <c r="J111" s="4" t="s">
        <v>1625</v>
      </c>
      <c r="K111" s="4" t="s">
        <v>2268</v>
      </c>
      <c r="L111" s="4" t="s">
        <v>2269</v>
      </c>
      <c r="M111" s="4" t="s">
        <v>2270</v>
      </c>
      <c r="N111" s="4" t="s">
        <v>2271</v>
      </c>
      <c r="O111" s="2" t="n">
        <v>44645</v>
      </c>
    </row>
    <row r="112" customFormat="false" ht="13.8" hidden="false" customHeight="false" outlineLevel="0" collapsed="false">
      <c r="A112" s="1" t="s">
        <v>1479</v>
      </c>
      <c r="B112" s="1" t="s">
        <v>1480</v>
      </c>
      <c r="C112" s="4" t="s">
        <v>1600</v>
      </c>
      <c r="D112" s="4" t="s">
        <v>1601</v>
      </c>
      <c r="E112" s="4" t="s">
        <v>2272</v>
      </c>
      <c r="F112" s="4" t="s">
        <v>2273</v>
      </c>
      <c r="G112" s="4" t="s">
        <v>2274</v>
      </c>
      <c r="H112" s="4" t="s">
        <v>2074</v>
      </c>
      <c r="I112" s="4"/>
      <c r="J112" s="4"/>
      <c r="K112" s="4" t="s">
        <v>2275</v>
      </c>
      <c r="L112" s="4" t="s">
        <v>2276</v>
      </c>
      <c r="M112" s="4" t="s">
        <v>2277</v>
      </c>
      <c r="N112" s="4" t="s">
        <v>2278</v>
      </c>
      <c r="O112" s="2" t="n">
        <v>44646</v>
      </c>
    </row>
    <row r="113" customFormat="false" ht="13.8" hidden="false" customHeight="false" outlineLevel="0" collapsed="false">
      <c r="A113" s="1" t="s">
        <v>1503</v>
      </c>
      <c r="B113" s="1" t="s">
        <v>1648</v>
      </c>
      <c r="C113" s="4" t="s">
        <v>1648</v>
      </c>
      <c r="D113" s="4" t="s">
        <v>1601</v>
      </c>
      <c r="E113" s="4" t="s">
        <v>1761</v>
      </c>
      <c r="F113" s="4" t="s">
        <v>2279</v>
      </c>
      <c r="G113" s="4" t="s">
        <v>2280</v>
      </c>
      <c r="H113" s="4" t="s">
        <v>2281</v>
      </c>
      <c r="I113" s="4"/>
      <c r="J113" s="4" t="s">
        <v>2235</v>
      </c>
      <c r="K113" s="4" t="s">
        <v>2282</v>
      </c>
      <c r="L113" s="4" t="s">
        <v>2283</v>
      </c>
      <c r="M113" s="4"/>
      <c r="N113" s="4" t="s">
        <v>2284</v>
      </c>
      <c r="O113" s="2" t="n">
        <v>44646</v>
      </c>
    </row>
    <row r="114" customFormat="false" ht="13.8" hidden="false" customHeight="false" outlineLevel="0" collapsed="false">
      <c r="A114" s="1" t="s">
        <v>1479</v>
      </c>
      <c r="B114" s="1" t="s">
        <v>1480</v>
      </c>
      <c r="C114" s="4" t="s">
        <v>1600</v>
      </c>
      <c r="D114" s="4" t="s">
        <v>1612</v>
      </c>
      <c r="E114" s="4" t="s">
        <v>2272</v>
      </c>
      <c r="F114" s="4" t="s">
        <v>2273</v>
      </c>
      <c r="G114" s="4" t="s">
        <v>2274</v>
      </c>
      <c r="H114" s="4" t="s">
        <v>2274</v>
      </c>
      <c r="I114" s="4"/>
      <c r="J114" s="4"/>
      <c r="K114" s="4" t="s">
        <v>2276</v>
      </c>
      <c r="L114" s="4" t="s">
        <v>2285</v>
      </c>
      <c r="M114" s="4" t="s">
        <v>2286</v>
      </c>
      <c r="N114" s="4" t="s">
        <v>2287</v>
      </c>
      <c r="O114" s="2" t="n">
        <v>44646</v>
      </c>
    </row>
    <row r="115" customFormat="false" ht="13.8" hidden="false" customHeight="false" outlineLevel="0" collapsed="false">
      <c r="A115" s="1" t="s">
        <v>1479</v>
      </c>
      <c r="B115" s="1" t="s">
        <v>1535</v>
      </c>
      <c r="C115" s="4" t="s">
        <v>1722</v>
      </c>
      <c r="D115" s="4" t="s">
        <v>1612</v>
      </c>
      <c r="E115" s="4" t="s">
        <v>2288</v>
      </c>
      <c r="F115" s="4" t="s">
        <v>1688</v>
      </c>
      <c r="G115" s="4" t="s">
        <v>2289</v>
      </c>
      <c r="H115" s="4" t="s">
        <v>2290</v>
      </c>
      <c r="I115" s="4"/>
      <c r="J115" s="4" t="s">
        <v>2291</v>
      </c>
      <c r="K115" s="4" t="s">
        <v>2292</v>
      </c>
      <c r="L115" s="4" t="s">
        <v>2293</v>
      </c>
      <c r="M115" s="4" t="s">
        <v>2118</v>
      </c>
      <c r="N115" s="4" t="s">
        <v>2294</v>
      </c>
      <c r="O115" s="2" t="n">
        <v>44646</v>
      </c>
    </row>
    <row r="116" customFormat="false" ht="13.8" hidden="false" customHeight="false" outlineLevel="0" collapsed="false">
      <c r="A116" s="4" t="s">
        <v>1495</v>
      </c>
      <c r="B116" s="4" t="s">
        <v>1487</v>
      </c>
      <c r="C116" s="4" t="s">
        <v>1712</v>
      </c>
      <c r="D116" s="4" t="s">
        <v>1601</v>
      </c>
      <c r="E116" s="4" t="s">
        <v>2295</v>
      </c>
      <c r="F116" s="4" t="s">
        <v>2296</v>
      </c>
      <c r="G116" s="4" t="s">
        <v>2297</v>
      </c>
      <c r="H116" s="4" t="s">
        <v>2298</v>
      </c>
      <c r="I116" s="4" t="s">
        <v>2299</v>
      </c>
      <c r="J116" s="4" t="s">
        <v>2300</v>
      </c>
      <c r="K116" s="4" t="s">
        <v>2301</v>
      </c>
      <c r="L116" s="4" t="s">
        <v>2302</v>
      </c>
      <c r="M116" s="4" t="s">
        <v>2303</v>
      </c>
      <c r="N116" s="4" t="s">
        <v>2304</v>
      </c>
      <c r="O116" s="2" t="n">
        <v>44648</v>
      </c>
    </row>
    <row r="117" customFormat="false" ht="13.8" hidden="false" customHeight="false" outlineLevel="0" collapsed="false">
      <c r="A117" s="4" t="s">
        <v>1495</v>
      </c>
      <c r="B117" s="4" t="s">
        <v>1487</v>
      </c>
      <c r="C117" s="4" t="s">
        <v>1712</v>
      </c>
      <c r="D117" s="4" t="s">
        <v>1601</v>
      </c>
      <c r="E117" s="4" t="s">
        <v>2305</v>
      </c>
      <c r="F117" s="4" t="s">
        <v>2296</v>
      </c>
      <c r="G117" s="4" t="s">
        <v>2306</v>
      </c>
      <c r="H117" s="4" t="s">
        <v>2298</v>
      </c>
      <c r="I117" s="4"/>
      <c r="J117" s="4" t="s">
        <v>2307</v>
      </c>
      <c r="K117" s="4" t="s">
        <v>2308</v>
      </c>
      <c r="L117" s="4" t="s">
        <v>2309</v>
      </c>
      <c r="M117" s="4" t="s">
        <v>2310</v>
      </c>
      <c r="N117" s="4" t="s">
        <v>2311</v>
      </c>
      <c r="O117" s="2" t="n">
        <v>44648</v>
      </c>
    </row>
    <row r="118" customFormat="false" ht="13.8" hidden="false" customHeight="false" outlineLevel="0" collapsed="false">
      <c r="A118" s="1" t="s">
        <v>1479</v>
      </c>
      <c r="B118" s="1" t="s">
        <v>1487</v>
      </c>
      <c r="C118" s="0" t="s">
        <v>1488</v>
      </c>
      <c r="D118" s="4" t="s">
        <v>1612</v>
      </c>
      <c r="E118" s="4" t="s">
        <v>2312</v>
      </c>
      <c r="F118" s="4" t="s">
        <v>2313</v>
      </c>
      <c r="G118" s="4" t="s">
        <v>2314</v>
      </c>
      <c r="H118" s="4" t="s">
        <v>2315</v>
      </c>
      <c r="I118" s="4" t="s">
        <v>2316</v>
      </c>
      <c r="J118" s="4" t="s">
        <v>2244</v>
      </c>
      <c r="K118" s="4" t="s">
        <v>2317</v>
      </c>
      <c r="L118" s="4" t="s">
        <v>2318</v>
      </c>
      <c r="M118" s="4" t="s">
        <v>2319</v>
      </c>
      <c r="N118" s="4" t="s">
        <v>2320</v>
      </c>
      <c r="O118" s="2" t="n">
        <v>44648</v>
      </c>
    </row>
    <row r="119" customFormat="false" ht="13.8" hidden="false" customHeight="false" outlineLevel="0" collapsed="false">
      <c r="A119" s="4" t="s">
        <v>1479</v>
      </c>
      <c r="B119" s="4" t="s">
        <v>1535</v>
      </c>
      <c r="C119" s="4" t="s">
        <v>1639</v>
      </c>
      <c r="D119" s="4" t="s">
        <v>1601</v>
      </c>
      <c r="E119" s="4" t="s">
        <v>2321</v>
      </c>
      <c r="F119" s="4" t="s">
        <v>2322</v>
      </c>
      <c r="G119" s="4" t="s">
        <v>2323</v>
      </c>
      <c r="H119" s="4"/>
      <c r="I119" s="4"/>
      <c r="J119" s="4"/>
      <c r="K119" s="4" t="s">
        <v>2324</v>
      </c>
      <c r="L119" s="4" t="s">
        <v>2325</v>
      </c>
      <c r="M119" s="4"/>
      <c r="N119" s="4" t="s">
        <v>2326</v>
      </c>
      <c r="O119" s="2" t="n">
        <v>44649</v>
      </c>
    </row>
    <row r="120" customFormat="false" ht="13.8" hidden="false" customHeight="false" outlineLevel="0" collapsed="false">
      <c r="A120" s="1" t="s">
        <v>1479</v>
      </c>
      <c r="B120" s="1" t="s">
        <v>1496</v>
      </c>
      <c r="C120" s="4" t="s">
        <v>1680</v>
      </c>
      <c r="D120" s="4" t="s">
        <v>1601</v>
      </c>
      <c r="E120" s="4" t="s">
        <v>2327</v>
      </c>
      <c r="F120" s="4" t="s">
        <v>2328</v>
      </c>
      <c r="G120" s="4"/>
      <c r="H120" s="4"/>
      <c r="I120" s="4"/>
      <c r="J120" s="4"/>
      <c r="K120" s="4" t="s">
        <v>2329</v>
      </c>
      <c r="L120" s="4" t="s">
        <v>2330</v>
      </c>
      <c r="M120" s="4" t="s">
        <v>2331</v>
      </c>
      <c r="N120" s="4" t="s">
        <v>2332</v>
      </c>
      <c r="O120" s="2" t="n">
        <v>44649</v>
      </c>
    </row>
    <row r="121" customFormat="false" ht="13.8" hidden="false" customHeight="false" outlineLevel="0" collapsed="false">
      <c r="A121" s="1" t="s">
        <v>1479</v>
      </c>
      <c r="B121" s="1" t="s">
        <v>1480</v>
      </c>
      <c r="C121" s="4" t="s">
        <v>1600</v>
      </c>
      <c r="D121" s="4" t="s">
        <v>1612</v>
      </c>
      <c r="E121" s="4" t="s">
        <v>2333</v>
      </c>
      <c r="F121" s="4" t="s">
        <v>2334</v>
      </c>
      <c r="G121" s="4" t="s">
        <v>2335</v>
      </c>
      <c r="H121" s="4" t="s">
        <v>2336</v>
      </c>
      <c r="I121" s="4" t="n">
        <v>0</v>
      </c>
      <c r="J121" s="4" t="s">
        <v>2337</v>
      </c>
      <c r="K121" s="4" t="s">
        <v>2338</v>
      </c>
      <c r="L121" s="4" t="s">
        <v>2339</v>
      </c>
      <c r="M121" s="4" t="s">
        <v>2340</v>
      </c>
      <c r="N121" s="4" t="s">
        <v>2341</v>
      </c>
      <c r="O121" s="2" t="n">
        <v>44649</v>
      </c>
    </row>
    <row r="122" customFormat="false" ht="13.8" hidden="false" customHeight="false" outlineLevel="0" collapsed="false">
      <c r="A122" s="1" t="s">
        <v>1479</v>
      </c>
      <c r="B122" s="1" t="s">
        <v>1487</v>
      </c>
      <c r="C122" s="4" t="s">
        <v>1488</v>
      </c>
      <c r="D122" s="4" t="s">
        <v>1601</v>
      </c>
      <c r="E122" s="4" t="s">
        <v>2342</v>
      </c>
      <c r="F122" s="4" t="s">
        <v>2343</v>
      </c>
      <c r="G122" s="4"/>
      <c r="H122" s="4" t="s">
        <v>2344</v>
      </c>
      <c r="I122" s="4" t="n">
        <v>61</v>
      </c>
      <c r="J122" s="4" t="s">
        <v>2345</v>
      </c>
      <c r="K122" s="4" t="s">
        <v>2346</v>
      </c>
      <c r="L122" s="4" t="s">
        <v>2347</v>
      </c>
      <c r="M122" s="4" t="s">
        <v>2348</v>
      </c>
      <c r="N122" s="4" t="s">
        <v>2349</v>
      </c>
      <c r="O122" s="2" t="n">
        <v>44650</v>
      </c>
    </row>
    <row r="123" customFormat="false" ht="13.8" hidden="false" customHeight="false" outlineLevel="0" collapsed="false">
      <c r="A123" s="1" t="s">
        <v>1495</v>
      </c>
      <c r="B123" s="1" t="s">
        <v>1487</v>
      </c>
      <c r="C123" s="0" t="s">
        <v>1656</v>
      </c>
      <c r="D123" s="4" t="s">
        <v>1612</v>
      </c>
      <c r="E123" s="4" t="s">
        <v>2350</v>
      </c>
      <c r="F123" s="4" t="s">
        <v>2351</v>
      </c>
      <c r="G123" s="4" t="s">
        <v>2352</v>
      </c>
      <c r="H123" s="4" t="s">
        <v>1716</v>
      </c>
      <c r="I123" s="4" t="n">
        <v>13</v>
      </c>
      <c r="J123" s="4" t="s">
        <v>1794</v>
      </c>
      <c r="K123" s="4" t="s">
        <v>2353</v>
      </c>
      <c r="L123" s="4" t="s">
        <v>2354</v>
      </c>
      <c r="M123" s="4" t="s">
        <v>2355</v>
      </c>
      <c r="N123" s="4" t="s">
        <v>2356</v>
      </c>
      <c r="O123" s="2" t="n">
        <v>44651</v>
      </c>
    </row>
    <row r="124" customFormat="false" ht="13.8" hidden="false" customHeight="false" outlineLevel="0" collapsed="false">
      <c r="A124" s="1" t="s">
        <v>1479</v>
      </c>
      <c r="B124" s="1" t="s">
        <v>1487</v>
      </c>
      <c r="C124" s="4" t="s">
        <v>1488</v>
      </c>
      <c r="D124" s="4" t="s">
        <v>1601</v>
      </c>
      <c r="E124" s="4" t="s">
        <v>2357</v>
      </c>
      <c r="F124" s="4" t="s">
        <v>2358</v>
      </c>
      <c r="G124" s="4" t="s">
        <v>2359</v>
      </c>
      <c r="H124" s="8" t="n">
        <v>0.386805555555556</v>
      </c>
      <c r="I124" s="4"/>
      <c r="J124" s="4"/>
      <c r="K124" s="4" t="s">
        <v>2360</v>
      </c>
      <c r="L124" s="4" t="s">
        <v>2361</v>
      </c>
      <c r="M124" s="4" t="s">
        <v>2362</v>
      </c>
      <c r="N124" s="4" t="s">
        <v>2363</v>
      </c>
      <c r="O124" s="2" t="n">
        <v>44565</v>
      </c>
    </row>
    <row r="125" customFormat="false" ht="13.8" hidden="false" customHeight="false" outlineLevel="0" collapsed="false">
      <c r="A125" s="4" t="s">
        <v>1495</v>
      </c>
      <c r="B125" s="4" t="s">
        <v>1535</v>
      </c>
      <c r="C125" s="4" t="s">
        <v>1732</v>
      </c>
      <c r="D125" s="4" t="s">
        <v>1612</v>
      </c>
      <c r="E125" s="4" t="s">
        <v>2364</v>
      </c>
      <c r="F125" s="4" t="s">
        <v>1734</v>
      </c>
      <c r="G125" s="4" t="s">
        <v>2365</v>
      </c>
      <c r="H125" s="8" t="n">
        <v>0.921527777777778</v>
      </c>
      <c r="I125" s="4"/>
      <c r="J125" s="4" t="s">
        <v>2366</v>
      </c>
      <c r="K125" s="4" t="s">
        <v>2367</v>
      </c>
      <c r="L125" s="4" t="s">
        <v>2368</v>
      </c>
      <c r="M125" s="4" t="s">
        <v>1654</v>
      </c>
      <c r="N125" s="4"/>
      <c r="O125" s="2" t="n">
        <v>44565</v>
      </c>
    </row>
    <row r="126" customFormat="false" ht="13.8" hidden="false" customHeight="false" outlineLevel="0" collapsed="false">
      <c r="A126" s="4" t="s">
        <v>1495</v>
      </c>
      <c r="B126" s="4" t="s">
        <v>1535</v>
      </c>
      <c r="C126" s="4" t="s">
        <v>1672</v>
      </c>
      <c r="D126" s="4" t="s">
        <v>1601</v>
      </c>
      <c r="E126" s="4" t="s">
        <v>1734</v>
      </c>
      <c r="F126" s="4" t="s">
        <v>1734</v>
      </c>
      <c r="G126" s="4" t="s">
        <v>1709</v>
      </c>
      <c r="H126" s="8" t="n">
        <v>0.285416666666667</v>
      </c>
      <c r="I126" s="4"/>
      <c r="J126" s="4" t="s">
        <v>2369</v>
      </c>
      <c r="K126" s="4" t="s">
        <v>2370</v>
      </c>
      <c r="L126" s="4" t="s">
        <v>2371</v>
      </c>
      <c r="M126" s="4"/>
      <c r="N126" s="4" t="s">
        <v>2372</v>
      </c>
      <c r="O126" s="2" t="n">
        <v>44662</v>
      </c>
    </row>
    <row r="127" customFormat="false" ht="13.8" hidden="false" customHeight="false" outlineLevel="0" collapsed="false">
      <c r="A127" s="4" t="s">
        <v>1495</v>
      </c>
      <c r="B127" s="4" t="s">
        <v>1535</v>
      </c>
      <c r="C127" s="4" t="s">
        <v>1672</v>
      </c>
      <c r="D127" s="4" t="s">
        <v>1601</v>
      </c>
      <c r="E127" s="4" t="s">
        <v>1734</v>
      </c>
      <c r="F127" s="4" t="s">
        <v>1734</v>
      </c>
      <c r="G127" s="4" t="s">
        <v>2373</v>
      </c>
      <c r="H127" s="8" t="n">
        <v>0.285416666666667</v>
      </c>
      <c r="I127" s="4"/>
      <c r="J127" s="4"/>
      <c r="K127" s="4" t="s">
        <v>2374</v>
      </c>
      <c r="L127" s="4" t="s">
        <v>2375</v>
      </c>
      <c r="M127" s="4"/>
      <c r="N127" s="4" t="s">
        <v>2376</v>
      </c>
      <c r="O127" s="2" t="n">
        <v>44662</v>
      </c>
    </row>
    <row r="128" customFormat="false" ht="13.8" hidden="false" customHeight="false" outlineLevel="0" collapsed="false">
      <c r="A128" s="1" t="s">
        <v>1503</v>
      </c>
      <c r="B128" s="1" t="s">
        <v>1504</v>
      </c>
      <c r="C128" s="4" t="s">
        <v>1664</v>
      </c>
      <c r="D128" s="4" t="s">
        <v>1612</v>
      </c>
      <c r="E128" s="4" t="s">
        <v>2377</v>
      </c>
      <c r="F128" s="4" t="s">
        <v>2378</v>
      </c>
      <c r="G128" s="4" t="s">
        <v>2379</v>
      </c>
      <c r="H128" s="8" t="n">
        <v>0.805555555555555</v>
      </c>
      <c r="I128" s="4"/>
      <c r="J128" s="4" t="s">
        <v>2380</v>
      </c>
      <c r="K128" s="4" t="s">
        <v>2381</v>
      </c>
      <c r="L128" s="4" t="s">
        <v>2382</v>
      </c>
      <c r="M128" s="4" t="s">
        <v>2383</v>
      </c>
      <c r="N128" s="4" t="s">
        <v>2384</v>
      </c>
      <c r="O128" s="2" t="n">
        <v>44663</v>
      </c>
    </row>
    <row r="129" customFormat="false" ht="13.8" hidden="false" customHeight="false" outlineLevel="0" collapsed="false">
      <c r="A129" s="4" t="s">
        <v>1479</v>
      </c>
      <c r="B129" s="4" t="s">
        <v>1535</v>
      </c>
      <c r="C129" s="4" t="s">
        <v>1639</v>
      </c>
      <c r="D129" s="4" t="s">
        <v>1601</v>
      </c>
      <c r="E129" s="4" t="s">
        <v>2385</v>
      </c>
      <c r="F129" s="4" t="s">
        <v>1641</v>
      </c>
      <c r="G129" s="4" t="s">
        <v>2386</v>
      </c>
      <c r="H129" s="8" t="n">
        <v>0.270138888888889</v>
      </c>
      <c r="I129" s="4"/>
      <c r="J129" s="4" t="s">
        <v>2387</v>
      </c>
      <c r="K129" s="4" t="s">
        <v>2388</v>
      </c>
      <c r="L129" s="4" t="s">
        <v>2389</v>
      </c>
      <c r="M129" s="4"/>
      <c r="N129" s="4" t="s">
        <v>2390</v>
      </c>
      <c r="O129" s="2" t="n">
        <v>44664</v>
      </c>
    </row>
    <row r="130" customFormat="false" ht="13.8" hidden="false" customHeight="false" outlineLevel="0" collapsed="false">
      <c r="A130" s="4" t="s">
        <v>1495</v>
      </c>
      <c r="B130" s="4" t="s">
        <v>1535</v>
      </c>
      <c r="C130" s="4" t="s">
        <v>1672</v>
      </c>
      <c r="D130" s="4" t="s">
        <v>1601</v>
      </c>
      <c r="E130" s="4" t="s">
        <v>2391</v>
      </c>
      <c r="F130" s="4" t="s">
        <v>1724</v>
      </c>
      <c r="G130" s="4" t="s">
        <v>2386</v>
      </c>
      <c r="H130" s="8" t="n">
        <v>0.261805555555556</v>
      </c>
      <c r="I130" s="4" t="s">
        <v>2392</v>
      </c>
      <c r="J130" s="4" t="s">
        <v>2393</v>
      </c>
      <c r="K130" s="4" t="s">
        <v>2394</v>
      </c>
      <c r="L130" s="4" t="s">
        <v>2395</v>
      </c>
      <c r="M130" s="4" t="s">
        <v>2396</v>
      </c>
      <c r="N130" s="4" t="s">
        <v>2397</v>
      </c>
      <c r="O130" s="2" t="n">
        <v>44665</v>
      </c>
    </row>
    <row r="131" customFormat="false" ht="13.8" hidden="false" customHeight="false" outlineLevel="0" collapsed="false">
      <c r="A131" s="1" t="s">
        <v>1479</v>
      </c>
      <c r="B131" s="1" t="s">
        <v>1863</v>
      </c>
      <c r="C131" s="4" t="s">
        <v>1864</v>
      </c>
      <c r="D131" s="4" t="s">
        <v>1601</v>
      </c>
      <c r="E131" s="4" t="s">
        <v>2398</v>
      </c>
      <c r="F131" s="4" t="s">
        <v>2399</v>
      </c>
      <c r="G131" s="4"/>
      <c r="H131" s="8" t="n">
        <v>0.265972222222222</v>
      </c>
      <c r="I131" s="4"/>
      <c r="J131" s="4"/>
      <c r="K131" s="4" t="s">
        <v>2400</v>
      </c>
      <c r="L131" s="4" t="s">
        <v>2401</v>
      </c>
      <c r="M131" s="4" t="s">
        <v>2402</v>
      </c>
      <c r="N131" s="4" t="s">
        <v>2403</v>
      </c>
      <c r="O131" s="2" t="n">
        <v>44669</v>
      </c>
    </row>
    <row r="132" customFormat="false" ht="13.8" hidden="false" customHeight="false" outlineLevel="0" collapsed="false">
      <c r="A132" s="1" t="s">
        <v>1479</v>
      </c>
      <c r="B132" s="1" t="s">
        <v>1487</v>
      </c>
      <c r="C132" s="4" t="s">
        <v>1488</v>
      </c>
      <c r="D132" s="4" t="s">
        <v>1601</v>
      </c>
      <c r="E132" s="4" t="s">
        <v>2404</v>
      </c>
      <c r="F132" s="4" t="s">
        <v>2405</v>
      </c>
      <c r="G132" s="4"/>
      <c r="H132" s="8" t="n">
        <v>0.265972222222222</v>
      </c>
      <c r="I132" s="4" t="s">
        <v>2406</v>
      </c>
      <c r="J132" s="4" t="s">
        <v>2407</v>
      </c>
      <c r="K132" s="4" t="s">
        <v>2408</v>
      </c>
      <c r="L132" s="4" t="s">
        <v>2401</v>
      </c>
      <c r="M132" s="4" t="s">
        <v>2402</v>
      </c>
      <c r="N132" s="4" t="s">
        <v>2409</v>
      </c>
      <c r="O132" s="2" t="n">
        <v>44669</v>
      </c>
    </row>
    <row r="133" customFormat="false" ht="13.8" hidden="false" customHeight="false" outlineLevel="0" collapsed="false">
      <c r="A133" s="4" t="s">
        <v>1479</v>
      </c>
      <c r="B133" s="4" t="s">
        <v>1535</v>
      </c>
      <c r="C133" s="4" t="s">
        <v>1639</v>
      </c>
      <c r="D133" s="4" t="s">
        <v>1601</v>
      </c>
      <c r="E133" s="4" t="s">
        <v>2404</v>
      </c>
      <c r="F133" s="4" t="s">
        <v>2410</v>
      </c>
      <c r="G133" s="4"/>
      <c r="H133" s="8" t="n">
        <v>0.272222222222222</v>
      </c>
      <c r="I133" s="4" t="s">
        <v>2411</v>
      </c>
      <c r="J133" s="4" t="s">
        <v>2412</v>
      </c>
      <c r="K133" s="4" t="s">
        <v>2400</v>
      </c>
      <c r="L133" s="4" t="s">
        <v>2401</v>
      </c>
      <c r="M133" s="4" t="s">
        <v>2402</v>
      </c>
      <c r="N133" s="4" t="s">
        <v>2403</v>
      </c>
      <c r="O133" s="2" t="n">
        <v>44669</v>
      </c>
    </row>
    <row r="134" customFormat="false" ht="13.8" hidden="false" customHeight="false" outlineLevel="0" collapsed="false">
      <c r="A134" s="1" t="s">
        <v>1479</v>
      </c>
      <c r="B134" s="1" t="s">
        <v>1487</v>
      </c>
      <c r="C134" s="0" t="s">
        <v>1488</v>
      </c>
      <c r="D134" s="4" t="s">
        <v>1612</v>
      </c>
      <c r="E134" s="4" t="s">
        <v>2413</v>
      </c>
      <c r="F134" s="4" t="s">
        <v>2414</v>
      </c>
      <c r="G134" s="4" t="s">
        <v>2415</v>
      </c>
      <c r="H134" s="8" t="n">
        <v>0.625</v>
      </c>
      <c r="I134" s="4" t="n">
        <v>0</v>
      </c>
      <c r="J134" s="4" t="s">
        <v>1651</v>
      </c>
      <c r="K134" s="4" t="s">
        <v>2416</v>
      </c>
      <c r="L134" s="4" t="s">
        <v>2417</v>
      </c>
      <c r="M134" s="4" t="s">
        <v>2418</v>
      </c>
      <c r="N134" s="4" t="s">
        <v>2419</v>
      </c>
      <c r="O134" s="2" t="n">
        <v>44669</v>
      </c>
    </row>
    <row r="135" customFormat="false" ht="13.8" hidden="false" customHeight="false" outlineLevel="0" collapsed="false">
      <c r="A135" s="1" t="s">
        <v>1503</v>
      </c>
      <c r="B135" s="4" t="s">
        <v>1535</v>
      </c>
      <c r="C135" s="4" t="s">
        <v>2420</v>
      </c>
      <c r="D135" s="4" t="s">
        <v>1601</v>
      </c>
      <c r="E135" s="4" t="s">
        <v>2421</v>
      </c>
      <c r="F135" s="4" t="s">
        <v>2422</v>
      </c>
      <c r="G135" s="4" t="s">
        <v>2423</v>
      </c>
      <c r="H135" s="8" t="n">
        <v>0.520833333333333</v>
      </c>
      <c r="I135" s="4"/>
      <c r="J135" s="4" t="s">
        <v>2424</v>
      </c>
      <c r="K135" s="4" t="s">
        <v>2425</v>
      </c>
      <c r="L135" s="4" t="s">
        <v>2426</v>
      </c>
      <c r="M135" s="4"/>
      <c r="N135" s="4" t="s">
        <v>2427</v>
      </c>
      <c r="O135" s="2" t="n">
        <v>44670</v>
      </c>
    </row>
    <row r="136" customFormat="false" ht="13.8" hidden="false" customHeight="false" outlineLevel="0" collapsed="false">
      <c r="A136" s="1" t="s">
        <v>1495</v>
      </c>
      <c r="B136" s="1" t="s">
        <v>1496</v>
      </c>
      <c r="C136" s="4" t="s">
        <v>1619</v>
      </c>
      <c r="D136" s="4" t="s">
        <v>1601</v>
      </c>
      <c r="E136" s="4" t="s">
        <v>2428</v>
      </c>
      <c r="F136" s="4" t="s">
        <v>1808</v>
      </c>
      <c r="G136" s="4" t="s">
        <v>2429</v>
      </c>
      <c r="H136" s="8" t="n">
        <v>0.252777777777778</v>
      </c>
      <c r="I136" s="4"/>
      <c r="J136" s="4" t="s">
        <v>2430</v>
      </c>
      <c r="K136" s="4" t="s">
        <v>2431</v>
      </c>
      <c r="L136" s="4" t="s">
        <v>2432</v>
      </c>
      <c r="M136" s="4" t="s">
        <v>2433</v>
      </c>
      <c r="N136" s="4" t="s">
        <v>2434</v>
      </c>
      <c r="O136" s="2" t="n">
        <v>44671</v>
      </c>
    </row>
    <row r="137" customFormat="false" ht="13.8" hidden="false" customHeight="false" outlineLevel="0" collapsed="false">
      <c r="A137" s="1" t="s">
        <v>1495</v>
      </c>
      <c r="B137" s="1" t="s">
        <v>1487</v>
      </c>
      <c r="C137" s="4" t="s">
        <v>1656</v>
      </c>
      <c r="D137" s="4" t="s">
        <v>1601</v>
      </c>
      <c r="E137" s="4" t="s">
        <v>2435</v>
      </c>
      <c r="F137" s="4" t="s">
        <v>2436</v>
      </c>
      <c r="G137" s="4" t="s">
        <v>1867</v>
      </c>
      <c r="H137" s="8" t="n">
        <v>0.265972222222222</v>
      </c>
      <c r="I137" s="4"/>
      <c r="J137" s="4" t="s">
        <v>2437</v>
      </c>
      <c r="K137" s="4" t="s">
        <v>2438</v>
      </c>
      <c r="L137" s="4" t="s">
        <v>2439</v>
      </c>
      <c r="M137" s="4" t="s">
        <v>2440</v>
      </c>
      <c r="N137" s="4" t="s">
        <v>2441</v>
      </c>
      <c r="O137" s="2" t="n">
        <v>44673</v>
      </c>
    </row>
    <row r="138" customFormat="false" ht="13.8" hidden="false" customHeight="false" outlineLevel="0" collapsed="false">
      <c r="A138" s="4" t="s">
        <v>1479</v>
      </c>
      <c r="B138" s="4" t="s">
        <v>1535</v>
      </c>
      <c r="C138" s="4" t="s">
        <v>1639</v>
      </c>
      <c r="D138" s="4" t="s">
        <v>1601</v>
      </c>
      <c r="E138" s="4" t="s">
        <v>2442</v>
      </c>
      <c r="F138" s="4" t="s">
        <v>2322</v>
      </c>
      <c r="G138" s="4"/>
      <c r="H138" s="8" t="n">
        <v>0.276388888888889</v>
      </c>
      <c r="I138" s="4"/>
      <c r="J138" s="4"/>
      <c r="K138" s="4" t="s">
        <v>2443</v>
      </c>
      <c r="L138" s="4" t="s">
        <v>2439</v>
      </c>
      <c r="M138" s="4" t="s">
        <v>2440</v>
      </c>
      <c r="N138" s="4" t="s">
        <v>2441</v>
      </c>
      <c r="O138" s="2" t="n">
        <v>44673</v>
      </c>
    </row>
    <row r="139" customFormat="false" ht="13.8" hidden="false" customHeight="false" outlineLevel="0" collapsed="false">
      <c r="A139" s="1" t="s">
        <v>1479</v>
      </c>
      <c r="B139" s="1" t="s">
        <v>1863</v>
      </c>
      <c r="C139" s="4" t="s">
        <v>1864</v>
      </c>
      <c r="D139" s="4" t="s">
        <v>1601</v>
      </c>
      <c r="E139" s="4" t="s">
        <v>2444</v>
      </c>
      <c r="F139" s="4" t="s">
        <v>2445</v>
      </c>
      <c r="G139" s="4"/>
      <c r="H139" s="4"/>
      <c r="I139" s="4"/>
      <c r="J139" s="4"/>
      <c r="K139" s="4" t="s">
        <v>2446</v>
      </c>
      <c r="L139" s="4" t="s">
        <v>2447</v>
      </c>
      <c r="M139" s="4"/>
      <c r="N139" s="4" t="s">
        <v>2448</v>
      </c>
      <c r="O139" s="2" t="n">
        <v>44673</v>
      </c>
    </row>
    <row r="140" customFormat="false" ht="13.8" hidden="false" customHeight="false" outlineLevel="0" collapsed="false">
      <c r="A140" s="1" t="s">
        <v>1503</v>
      </c>
      <c r="B140" s="1" t="s">
        <v>1535</v>
      </c>
      <c r="C140" s="4" t="s">
        <v>1503</v>
      </c>
      <c r="D140" s="4" t="s">
        <v>1612</v>
      </c>
      <c r="E140" s="4" t="s">
        <v>2449</v>
      </c>
      <c r="F140" s="4" t="s">
        <v>2450</v>
      </c>
      <c r="G140" s="4" t="s">
        <v>2451</v>
      </c>
      <c r="H140" s="8" t="n">
        <v>0.659722222222222</v>
      </c>
      <c r="I140" s="4"/>
      <c r="J140" s="4" t="s">
        <v>1869</v>
      </c>
      <c r="K140" s="4" t="s">
        <v>2452</v>
      </c>
      <c r="L140" s="4" t="s">
        <v>2453</v>
      </c>
      <c r="M140" s="4" t="s">
        <v>2454</v>
      </c>
      <c r="N140" s="4" t="s">
        <v>2455</v>
      </c>
      <c r="O140" s="2" t="n">
        <v>44673</v>
      </c>
    </row>
    <row r="141" customFormat="false" ht="13.8" hidden="false" customHeight="false" outlineLevel="0" collapsed="false">
      <c r="A141" s="1" t="s">
        <v>1495</v>
      </c>
      <c r="B141" s="1" t="s">
        <v>1487</v>
      </c>
      <c r="C141" s="4" t="s">
        <v>1656</v>
      </c>
      <c r="D141" s="4" t="s">
        <v>1612</v>
      </c>
      <c r="E141" s="4" t="s">
        <v>2456</v>
      </c>
      <c r="F141" s="4" t="s">
        <v>2457</v>
      </c>
      <c r="G141" s="4" t="s">
        <v>2458</v>
      </c>
      <c r="H141" s="8" t="n">
        <v>0.729166666666667</v>
      </c>
      <c r="I141" s="4"/>
      <c r="J141" s="4" t="s">
        <v>2459</v>
      </c>
      <c r="K141" s="4" t="s">
        <v>1819</v>
      </c>
      <c r="L141" s="4" t="s">
        <v>2460</v>
      </c>
      <c r="M141" s="4" t="s">
        <v>2461</v>
      </c>
      <c r="N141" s="4" t="s">
        <v>2462</v>
      </c>
      <c r="O141" s="2" t="n">
        <v>44674</v>
      </c>
    </row>
    <row r="142" customFormat="false" ht="13.8" hidden="false" customHeight="false" outlineLevel="0" collapsed="false">
      <c r="A142" s="4" t="s">
        <v>1495</v>
      </c>
      <c r="B142" s="4" t="s">
        <v>1535</v>
      </c>
      <c r="C142" s="4" t="s">
        <v>1672</v>
      </c>
      <c r="D142" s="4" t="s">
        <v>1612</v>
      </c>
      <c r="E142" s="4" t="s">
        <v>2463</v>
      </c>
      <c r="F142" s="4" t="s">
        <v>2464</v>
      </c>
      <c r="G142" s="4" t="s">
        <v>2336</v>
      </c>
      <c r="H142" s="8" t="n">
        <v>0.875</v>
      </c>
      <c r="I142" s="4" t="n">
        <v>0</v>
      </c>
      <c r="J142" s="4" t="s">
        <v>2465</v>
      </c>
      <c r="K142" s="4" t="s">
        <v>2466</v>
      </c>
      <c r="L142" s="4" t="s">
        <v>2467</v>
      </c>
      <c r="M142" s="4" t="s">
        <v>2468</v>
      </c>
      <c r="N142" s="4" t="s">
        <v>2469</v>
      </c>
      <c r="O142" s="2" t="n">
        <v>44676</v>
      </c>
    </row>
    <row r="143" customFormat="false" ht="13.8" hidden="false" customHeight="false" outlineLevel="0" collapsed="false">
      <c r="A143" s="1" t="s">
        <v>1479</v>
      </c>
      <c r="B143" s="1" t="s">
        <v>1487</v>
      </c>
      <c r="C143" s="4" t="s">
        <v>1488</v>
      </c>
      <c r="D143" s="4" t="s">
        <v>1601</v>
      </c>
      <c r="E143" s="4" t="s">
        <v>2470</v>
      </c>
      <c r="F143" s="4" t="s">
        <v>2471</v>
      </c>
      <c r="G143" s="4" t="s">
        <v>2472</v>
      </c>
      <c r="H143" s="8" t="n">
        <v>0.369444444444444</v>
      </c>
      <c r="I143" s="4" t="s">
        <v>2473</v>
      </c>
      <c r="J143" s="4" t="s">
        <v>2474</v>
      </c>
      <c r="K143" s="4" t="s">
        <v>2475</v>
      </c>
      <c r="L143" s="4" t="s">
        <v>2476</v>
      </c>
      <c r="M143" s="4" t="s">
        <v>2477</v>
      </c>
      <c r="N143" s="4" t="s">
        <v>2478</v>
      </c>
      <c r="O143" s="2" t="n">
        <v>44677</v>
      </c>
    </row>
    <row r="144" customFormat="false" ht="13.8" hidden="false" customHeight="false" outlineLevel="0" collapsed="false">
      <c r="A144" s="1" t="s">
        <v>1479</v>
      </c>
      <c r="B144" s="1" t="s">
        <v>1496</v>
      </c>
      <c r="C144" s="4" t="s">
        <v>1680</v>
      </c>
      <c r="D144" s="4" t="s">
        <v>1601</v>
      </c>
      <c r="E144" s="4" t="s">
        <v>2479</v>
      </c>
      <c r="F144" s="4" t="s">
        <v>2480</v>
      </c>
      <c r="G144" s="4"/>
      <c r="H144" s="8" t="n">
        <v>0.490972222222222</v>
      </c>
      <c r="I144" s="4"/>
      <c r="J144" s="4"/>
      <c r="K144" s="4" t="s">
        <v>2481</v>
      </c>
      <c r="L144" s="4" t="s">
        <v>2482</v>
      </c>
      <c r="M144" s="4" t="s">
        <v>2483</v>
      </c>
      <c r="N144" s="4" t="s">
        <v>2484</v>
      </c>
      <c r="O144" s="2" t="n">
        <v>44677</v>
      </c>
    </row>
    <row r="145" customFormat="false" ht="13.8" hidden="false" customHeight="false" outlineLevel="0" collapsed="false">
      <c r="A145" s="4" t="s">
        <v>1495</v>
      </c>
      <c r="B145" s="4" t="s">
        <v>1535</v>
      </c>
      <c r="C145" s="4" t="s">
        <v>1672</v>
      </c>
      <c r="D145" s="4" t="s">
        <v>1612</v>
      </c>
      <c r="E145" s="4" t="s">
        <v>2485</v>
      </c>
      <c r="F145" s="4" t="s">
        <v>2486</v>
      </c>
      <c r="G145" s="4" t="s">
        <v>2487</v>
      </c>
      <c r="H145" s="8" t="n">
        <v>0.625</v>
      </c>
      <c r="I145" s="4"/>
      <c r="J145" s="4" t="s">
        <v>2488</v>
      </c>
      <c r="K145" s="4" t="s">
        <v>2489</v>
      </c>
      <c r="L145" s="4" t="s">
        <v>2490</v>
      </c>
      <c r="M145" s="4" t="s">
        <v>2491</v>
      </c>
      <c r="N145" s="4" t="s">
        <v>2492</v>
      </c>
      <c r="O145" s="2" t="n">
        <v>44677</v>
      </c>
    </row>
    <row r="146" customFormat="false" ht="13.8" hidden="false" customHeight="false" outlineLevel="0" collapsed="false">
      <c r="A146" s="1" t="s">
        <v>1479</v>
      </c>
      <c r="B146" s="1" t="s">
        <v>1487</v>
      </c>
      <c r="C146" s="4" t="s">
        <v>1488</v>
      </c>
      <c r="D146" s="4" t="s">
        <v>1612</v>
      </c>
      <c r="E146" s="4" t="s">
        <v>2493</v>
      </c>
      <c r="F146" s="4" t="s">
        <v>2494</v>
      </c>
      <c r="G146" s="4" t="s">
        <v>2495</v>
      </c>
      <c r="H146" s="8" t="n">
        <v>0.673611111111111</v>
      </c>
      <c r="I146" s="4"/>
      <c r="J146" s="4" t="s">
        <v>2496</v>
      </c>
      <c r="K146" s="4" t="s">
        <v>2497</v>
      </c>
      <c r="L146" s="4" t="s">
        <v>2498</v>
      </c>
      <c r="M146" s="4" t="s">
        <v>2499</v>
      </c>
      <c r="N146" s="4" t="s">
        <v>2500</v>
      </c>
      <c r="O146" s="2" t="n">
        <v>44677</v>
      </c>
    </row>
    <row r="147" customFormat="false" ht="13.8" hidden="false" customHeight="false" outlineLevel="0" collapsed="false">
      <c r="A147" s="1" t="s">
        <v>1503</v>
      </c>
      <c r="B147" s="1" t="s">
        <v>1535</v>
      </c>
      <c r="C147" s="4" t="s">
        <v>1503</v>
      </c>
      <c r="D147" s="4" t="s">
        <v>1612</v>
      </c>
      <c r="E147" s="4" t="s">
        <v>2501</v>
      </c>
      <c r="F147" s="4" t="s">
        <v>2250</v>
      </c>
      <c r="G147" s="4" t="s">
        <v>1735</v>
      </c>
      <c r="H147" s="8" t="n">
        <v>0.819444444444444</v>
      </c>
      <c r="I147" s="4"/>
      <c r="J147" s="4" t="s">
        <v>2502</v>
      </c>
      <c r="K147" s="4" t="s">
        <v>2503</v>
      </c>
      <c r="L147" s="4" t="s">
        <v>2504</v>
      </c>
      <c r="M147" s="4" t="s">
        <v>2505</v>
      </c>
      <c r="N147" s="4" t="s">
        <v>2506</v>
      </c>
      <c r="O147" s="2" t="n">
        <v>44678</v>
      </c>
    </row>
    <row r="148" customFormat="false" ht="13.8" hidden="false" customHeight="false" outlineLevel="0" collapsed="false">
      <c r="A148" s="1" t="s">
        <v>1479</v>
      </c>
      <c r="B148" s="1" t="s">
        <v>1487</v>
      </c>
      <c r="C148" s="4" t="s">
        <v>1488</v>
      </c>
      <c r="D148" s="4" t="s">
        <v>1601</v>
      </c>
      <c r="E148" s="4" t="s">
        <v>2357</v>
      </c>
      <c r="F148" s="4" t="s">
        <v>2358</v>
      </c>
      <c r="G148" s="4" t="s">
        <v>2359</v>
      </c>
      <c r="H148" s="8" t="n">
        <v>0.386805555555556</v>
      </c>
      <c r="I148" s="4"/>
      <c r="J148" s="4"/>
      <c r="K148" s="4" t="s">
        <v>2360</v>
      </c>
      <c r="L148" s="4" t="s">
        <v>2361</v>
      </c>
      <c r="M148" s="4" t="s">
        <v>2362</v>
      </c>
      <c r="N148" s="4" t="s">
        <v>2363</v>
      </c>
      <c r="O148" s="2" t="n">
        <v>44565</v>
      </c>
    </row>
    <row r="149" customFormat="false" ht="13.8" hidden="false" customHeight="false" outlineLevel="0" collapsed="false">
      <c r="A149" s="4" t="s">
        <v>1495</v>
      </c>
      <c r="B149" s="4" t="s">
        <v>1535</v>
      </c>
      <c r="C149" s="4" t="s">
        <v>1732</v>
      </c>
      <c r="D149" s="4" t="s">
        <v>1612</v>
      </c>
      <c r="E149" s="4" t="s">
        <v>2364</v>
      </c>
      <c r="F149" s="4" t="s">
        <v>1734</v>
      </c>
      <c r="G149" s="4" t="s">
        <v>2365</v>
      </c>
      <c r="H149" s="8" t="n">
        <v>0.921527777777778</v>
      </c>
      <c r="I149" s="4"/>
      <c r="J149" s="4" t="s">
        <v>2366</v>
      </c>
      <c r="K149" s="4" t="s">
        <v>2367</v>
      </c>
      <c r="L149" s="4" t="s">
        <v>2368</v>
      </c>
      <c r="M149" s="4" t="s">
        <v>1654</v>
      </c>
      <c r="N149" s="4"/>
      <c r="O149" s="2" t="n">
        <v>44565</v>
      </c>
    </row>
    <row r="150" customFormat="false" ht="13.8" hidden="false" customHeight="false" outlineLevel="0" collapsed="false">
      <c r="A150" s="4" t="s">
        <v>1495</v>
      </c>
      <c r="B150" s="4" t="s">
        <v>1535</v>
      </c>
      <c r="C150" s="4" t="s">
        <v>1672</v>
      </c>
      <c r="D150" s="4" t="s">
        <v>1601</v>
      </c>
      <c r="E150" s="4" t="s">
        <v>1734</v>
      </c>
      <c r="F150" s="4" t="s">
        <v>1734</v>
      </c>
      <c r="G150" s="4" t="s">
        <v>1709</v>
      </c>
      <c r="H150" s="8" t="n">
        <v>0.285416666666667</v>
      </c>
      <c r="I150" s="4"/>
      <c r="J150" s="4" t="s">
        <v>2369</v>
      </c>
      <c r="K150" s="4" t="s">
        <v>2370</v>
      </c>
      <c r="L150" s="4" t="s">
        <v>2371</v>
      </c>
      <c r="M150" s="4"/>
      <c r="N150" s="4" t="s">
        <v>2372</v>
      </c>
      <c r="O150" s="2" t="n">
        <v>44662</v>
      </c>
    </row>
    <row r="151" customFormat="false" ht="13.8" hidden="false" customHeight="false" outlineLevel="0" collapsed="false">
      <c r="A151" s="4" t="s">
        <v>1495</v>
      </c>
      <c r="B151" s="4" t="s">
        <v>1535</v>
      </c>
      <c r="C151" s="4" t="s">
        <v>1672</v>
      </c>
      <c r="D151" s="4" t="s">
        <v>1601</v>
      </c>
      <c r="E151" s="4" t="s">
        <v>1734</v>
      </c>
      <c r="F151" s="4" t="s">
        <v>1734</v>
      </c>
      <c r="G151" s="4" t="s">
        <v>2373</v>
      </c>
      <c r="H151" s="8" t="n">
        <v>0.285416666666667</v>
      </c>
      <c r="I151" s="4"/>
      <c r="J151" s="4"/>
      <c r="K151" s="4" t="s">
        <v>2374</v>
      </c>
      <c r="L151" s="4" t="s">
        <v>2375</v>
      </c>
      <c r="M151" s="4"/>
      <c r="N151" s="4" t="s">
        <v>2376</v>
      </c>
      <c r="O151" s="2" t="n">
        <v>44662</v>
      </c>
    </row>
    <row r="152" customFormat="false" ht="13.8" hidden="false" customHeight="false" outlineLevel="0" collapsed="false">
      <c r="A152" s="1" t="s">
        <v>1503</v>
      </c>
      <c r="B152" s="1" t="s">
        <v>1504</v>
      </c>
      <c r="C152" s="4" t="s">
        <v>1664</v>
      </c>
      <c r="D152" s="4" t="s">
        <v>1612</v>
      </c>
      <c r="E152" s="4" t="s">
        <v>2377</v>
      </c>
      <c r="F152" s="4" t="s">
        <v>2378</v>
      </c>
      <c r="G152" s="4" t="s">
        <v>2379</v>
      </c>
      <c r="H152" s="8" t="n">
        <v>0.805555555555555</v>
      </c>
      <c r="I152" s="4"/>
      <c r="J152" s="4" t="s">
        <v>2380</v>
      </c>
      <c r="K152" s="4" t="s">
        <v>2381</v>
      </c>
      <c r="L152" s="4" t="s">
        <v>2382</v>
      </c>
      <c r="M152" s="4" t="s">
        <v>2383</v>
      </c>
      <c r="N152" s="4" t="s">
        <v>2384</v>
      </c>
      <c r="O152" s="2" t="n">
        <v>44663</v>
      </c>
    </row>
    <row r="153" customFormat="false" ht="13.8" hidden="false" customHeight="false" outlineLevel="0" collapsed="false">
      <c r="A153" s="4" t="s">
        <v>1479</v>
      </c>
      <c r="B153" s="4" t="s">
        <v>1535</v>
      </c>
      <c r="C153" s="4" t="s">
        <v>1639</v>
      </c>
      <c r="D153" s="4" t="s">
        <v>1601</v>
      </c>
      <c r="E153" s="4" t="s">
        <v>2385</v>
      </c>
      <c r="F153" s="4" t="s">
        <v>1641</v>
      </c>
      <c r="G153" s="4" t="s">
        <v>2386</v>
      </c>
      <c r="H153" s="8" t="n">
        <v>0.270138888888889</v>
      </c>
      <c r="I153" s="4"/>
      <c r="J153" s="4" t="s">
        <v>2387</v>
      </c>
      <c r="K153" s="4" t="s">
        <v>2388</v>
      </c>
      <c r="L153" s="4" t="s">
        <v>2389</v>
      </c>
      <c r="M153" s="4"/>
      <c r="N153" s="4" t="s">
        <v>2390</v>
      </c>
      <c r="O153" s="2" t="n">
        <v>44664</v>
      </c>
    </row>
    <row r="154" customFormat="false" ht="13.8" hidden="false" customHeight="false" outlineLevel="0" collapsed="false">
      <c r="A154" s="4" t="s">
        <v>1495</v>
      </c>
      <c r="B154" s="4" t="s">
        <v>1535</v>
      </c>
      <c r="C154" s="4" t="s">
        <v>1672</v>
      </c>
      <c r="D154" s="4" t="s">
        <v>1601</v>
      </c>
      <c r="E154" s="4" t="s">
        <v>2391</v>
      </c>
      <c r="F154" s="4" t="s">
        <v>1724</v>
      </c>
      <c r="G154" s="4" t="s">
        <v>2386</v>
      </c>
      <c r="H154" s="8" t="n">
        <v>0.261805555555556</v>
      </c>
      <c r="I154" s="4" t="s">
        <v>2392</v>
      </c>
      <c r="J154" s="4" t="s">
        <v>2393</v>
      </c>
      <c r="K154" s="4" t="s">
        <v>2394</v>
      </c>
      <c r="L154" s="4" t="s">
        <v>2395</v>
      </c>
      <c r="M154" s="4" t="s">
        <v>2396</v>
      </c>
      <c r="N154" s="4" t="s">
        <v>2397</v>
      </c>
      <c r="O154" s="2" t="n">
        <v>44665</v>
      </c>
    </row>
    <row r="155" customFormat="false" ht="13.8" hidden="false" customHeight="false" outlineLevel="0" collapsed="false">
      <c r="A155" s="1" t="s">
        <v>1479</v>
      </c>
      <c r="B155" s="1" t="s">
        <v>1863</v>
      </c>
      <c r="C155" s="4" t="s">
        <v>1864</v>
      </c>
      <c r="D155" s="4" t="s">
        <v>1601</v>
      </c>
      <c r="E155" s="4" t="s">
        <v>2398</v>
      </c>
      <c r="F155" s="4" t="s">
        <v>2399</v>
      </c>
      <c r="G155" s="4"/>
      <c r="H155" s="8" t="n">
        <v>0.265972222222222</v>
      </c>
      <c r="I155" s="4"/>
      <c r="J155" s="4"/>
      <c r="K155" s="4" t="s">
        <v>2400</v>
      </c>
      <c r="L155" s="4" t="s">
        <v>2401</v>
      </c>
      <c r="M155" s="4" t="s">
        <v>2402</v>
      </c>
      <c r="N155" s="4" t="s">
        <v>2403</v>
      </c>
      <c r="O155" s="2" t="n">
        <v>44669</v>
      </c>
    </row>
    <row r="156" customFormat="false" ht="13.8" hidden="false" customHeight="false" outlineLevel="0" collapsed="false">
      <c r="A156" s="1" t="s">
        <v>1479</v>
      </c>
      <c r="B156" s="1" t="s">
        <v>1487</v>
      </c>
      <c r="C156" s="4" t="s">
        <v>1488</v>
      </c>
      <c r="D156" s="4" t="s">
        <v>1601</v>
      </c>
      <c r="E156" s="4" t="s">
        <v>2404</v>
      </c>
      <c r="F156" s="4" t="s">
        <v>2405</v>
      </c>
      <c r="G156" s="4"/>
      <c r="H156" s="8" t="n">
        <v>0.265972222222222</v>
      </c>
      <c r="I156" s="4" t="s">
        <v>2406</v>
      </c>
      <c r="J156" s="4" t="s">
        <v>2407</v>
      </c>
      <c r="K156" s="4" t="s">
        <v>2408</v>
      </c>
      <c r="L156" s="4" t="s">
        <v>2401</v>
      </c>
      <c r="M156" s="4" t="s">
        <v>2402</v>
      </c>
      <c r="N156" s="4" t="s">
        <v>2409</v>
      </c>
      <c r="O156" s="2" t="n">
        <v>44669</v>
      </c>
    </row>
    <row r="157" customFormat="false" ht="13.8" hidden="false" customHeight="false" outlineLevel="0" collapsed="false">
      <c r="A157" s="4" t="s">
        <v>1479</v>
      </c>
      <c r="B157" s="4" t="s">
        <v>1535</v>
      </c>
      <c r="C157" s="4" t="s">
        <v>1639</v>
      </c>
      <c r="D157" s="4" t="s">
        <v>1601</v>
      </c>
      <c r="E157" s="4" t="s">
        <v>2404</v>
      </c>
      <c r="F157" s="4" t="s">
        <v>2410</v>
      </c>
      <c r="G157" s="4"/>
      <c r="H157" s="8" t="n">
        <v>0.272222222222222</v>
      </c>
      <c r="I157" s="4" t="s">
        <v>2411</v>
      </c>
      <c r="J157" s="4" t="s">
        <v>2412</v>
      </c>
      <c r="K157" s="4" t="s">
        <v>2400</v>
      </c>
      <c r="L157" s="4" t="s">
        <v>2401</v>
      </c>
      <c r="M157" s="4" t="s">
        <v>2402</v>
      </c>
      <c r="N157" s="4" t="s">
        <v>2403</v>
      </c>
      <c r="O157" s="2" t="n">
        <v>44669</v>
      </c>
    </row>
    <row r="158" customFormat="false" ht="13.8" hidden="false" customHeight="false" outlineLevel="0" collapsed="false">
      <c r="A158" s="1" t="s">
        <v>1479</v>
      </c>
      <c r="B158" s="1" t="s">
        <v>1487</v>
      </c>
      <c r="C158" s="4" t="s">
        <v>1488</v>
      </c>
      <c r="D158" s="4" t="s">
        <v>1612</v>
      </c>
      <c r="E158" s="4" t="s">
        <v>2413</v>
      </c>
      <c r="F158" s="4" t="s">
        <v>2414</v>
      </c>
      <c r="G158" s="4" t="s">
        <v>2415</v>
      </c>
      <c r="H158" s="8" t="n">
        <v>0.625</v>
      </c>
      <c r="I158" s="4" t="n">
        <v>0</v>
      </c>
      <c r="J158" s="4" t="s">
        <v>1651</v>
      </c>
      <c r="K158" s="4" t="s">
        <v>2416</v>
      </c>
      <c r="L158" s="4" t="s">
        <v>2417</v>
      </c>
      <c r="M158" s="4" t="s">
        <v>2418</v>
      </c>
      <c r="N158" s="4" t="s">
        <v>2419</v>
      </c>
      <c r="O158" s="2" t="n">
        <v>44669</v>
      </c>
    </row>
    <row r="159" customFormat="false" ht="13.8" hidden="false" customHeight="false" outlineLevel="0" collapsed="false">
      <c r="A159" s="1" t="s">
        <v>1503</v>
      </c>
      <c r="B159" s="4" t="s">
        <v>1535</v>
      </c>
      <c r="C159" s="4" t="s">
        <v>2420</v>
      </c>
      <c r="D159" s="4" t="s">
        <v>1601</v>
      </c>
      <c r="E159" s="4" t="s">
        <v>2421</v>
      </c>
      <c r="F159" s="4" t="s">
        <v>2422</v>
      </c>
      <c r="G159" s="4" t="s">
        <v>2423</v>
      </c>
      <c r="H159" s="8" t="n">
        <v>0.520833333333333</v>
      </c>
      <c r="I159" s="4"/>
      <c r="J159" s="4" t="s">
        <v>2424</v>
      </c>
      <c r="K159" s="4" t="s">
        <v>2425</v>
      </c>
      <c r="L159" s="4" t="s">
        <v>2426</v>
      </c>
      <c r="M159" s="4"/>
      <c r="N159" s="4" t="s">
        <v>2427</v>
      </c>
      <c r="O159" s="2" t="n">
        <v>44670</v>
      </c>
    </row>
    <row r="160" customFormat="false" ht="13.8" hidden="false" customHeight="false" outlineLevel="0" collapsed="false">
      <c r="A160" s="1" t="s">
        <v>1495</v>
      </c>
      <c r="B160" s="1" t="s">
        <v>1496</v>
      </c>
      <c r="C160" s="4" t="s">
        <v>1619</v>
      </c>
      <c r="D160" s="4" t="s">
        <v>1601</v>
      </c>
      <c r="E160" s="4" t="s">
        <v>2428</v>
      </c>
      <c r="F160" s="4" t="s">
        <v>1808</v>
      </c>
      <c r="G160" s="4" t="s">
        <v>2429</v>
      </c>
      <c r="H160" s="8" t="n">
        <v>0.252777777777778</v>
      </c>
      <c r="I160" s="4"/>
      <c r="J160" s="4" t="s">
        <v>2430</v>
      </c>
      <c r="K160" s="4" t="s">
        <v>2431</v>
      </c>
      <c r="L160" s="4" t="s">
        <v>2432</v>
      </c>
      <c r="M160" s="4" t="s">
        <v>2433</v>
      </c>
      <c r="N160" s="4" t="s">
        <v>2434</v>
      </c>
      <c r="O160" s="2" t="n">
        <v>44671</v>
      </c>
    </row>
    <row r="161" customFormat="false" ht="13.8" hidden="false" customHeight="false" outlineLevel="0" collapsed="false">
      <c r="A161" s="1" t="s">
        <v>1495</v>
      </c>
      <c r="B161" s="1" t="s">
        <v>1487</v>
      </c>
      <c r="C161" s="4" t="s">
        <v>1656</v>
      </c>
      <c r="D161" s="4" t="s">
        <v>1601</v>
      </c>
      <c r="E161" s="4" t="s">
        <v>2435</v>
      </c>
      <c r="F161" s="4" t="s">
        <v>2436</v>
      </c>
      <c r="G161" s="4" t="s">
        <v>1867</v>
      </c>
      <c r="H161" s="8" t="n">
        <v>0.265972222222222</v>
      </c>
      <c r="I161" s="4"/>
      <c r="J161" s="4" t="s">
        <v>2437</v>
      </c>
      <c r="K161" s="4" t="s">
        <v>2438</v>
      </c>
      <c r="L161" s="4" t="s">
        <v>2439</v>
      </c>
      <c r="M161" s="4" t="s">
        <v>2440</v>
      </c>
      <c r="N161" s="4" t="s">
        <v>2441</v>
      </c>
      <c r="O161" s="2" t="n">
        <v>44673</v>
      </c>
    </row>
    <row r="162" customFormat="false" ht="13.8" hidden="false" customHeight="false" outlineLevel="0" collapsed="false">
      <c r="A162" s="4" t="s">
        <v>1479</v>
      </c>
      <c r="B162" s="4" t="s">
        <v>1535</v>
      </c>
      <c r="C162" s="4" t="s">
        <v>1639</v>
      </c>
      <c r="D162" s="4" t="s">
        <v>1601</v>
      </c>
      <c r="E162" s="4" t="s">
        <v>2442</v>
      </c>
      <c r="F162" s="4" t="s">
        <v>2322</v>
      </c>
      <c r="G162" s="4"/>
      <c r="H162" s="8" t="n">
        <v>0.276388888888889</v>
      </c>
      <c r="I162" s="4"/>
      <c r="J162" s="4"/>
      <c r="K162" s="4" t="s">
        <v>2443</v>
      </c>
      <c r="L162" s="4" t="s">
        <v>2439</v>
      </c>
      <c r="M162" s="4" t="s">
        <v>2440</v>
      </c>
      <c r="N162" s="4" t="s">
        <v>2441</v>
      </c>
      <c r="O162" s="2" t="n">
        <v>44673</v>
      </c>
    </row>
    <row r="163" customFormat="false" ht="13.8" hidden="false" customHeight="false" outlineLevel="0" collapsed="false">
      <c r="A163" s="1" t="s">
        <v>1479</v>
      </c>
      <c r="B163" s="1" t="s">
        <v>1863</v>
      </c>
      <c r="C163" s="4" t="s">
        <v>1864</v>
      </c>
      <c r="D163" s="4" t="s">
        <v>1601</v>
      </c>
      <c r="E163" s="4" t="s">
        <v>2444</v>
      </c>
      <c r="F163" s="4" t="s">
        <v>2445</v>
      </c>
      <c r="G163" s="4"/>
      <c r="H163" s="4"/>
      <c r="I163" s="4"/>
      <c r="J163" s="4"/>
      <c r="K163" s="4" t="s">
        <v>2446</v>
      </c>
      <c r="L163" s="4" t="s">
        <v>2447</v>
      </c>
      <c r="M163" s="4"/>
      <c r="N163" s="4" t="s">
        <v>2448</v>
      </c>
      <c r="O163" s="2" t="n">
        <v>44673</v>
      </c>
    </row>
    <row r="164" customFormat="false" ht="13.8" hidden="false" customHeight="false" outlineLevel="0" collapsed="false">
      <c r="A164" s="1" t="s">
        <v>1503</v>
      </c>
      <c r="B164" s="1" t="s">
        <v>1535</v>
      </c>
      <c r="C164" s="4" t="s">
        <v>1503</v>
      </c>
      <c r="D164" s="4" t="s">
        <v>1612</v>
      </c>
      <c r="E164" s="4" t="s">
        <v>2449</v>
      </c>
      <c r="F164" s="4" t="s">
        <v>2450</v>
      </c>
      <c r="G164" s="4" t="s">
        <v>2451</v>
      </c>
      <c r="H164" s="8" t="n">
        <v>0.659722222222222</v>
      </c>
      <c r="I164" s="4"/>
      <c r="J164" s="4" t="s">
        <v>1869</v>
      </c>
      <c r="K164" s="4" t="s">
        <v>2452</v>
      </c>
      <c r="L164" s="4" t="s">
        <v>2453</v>
      </c>
      <c r="M164" s="4" t="s">
        <v>2454</v>
      </c>
      <c r="N164" s="4" t="s">
        <v>2455</v>
      </c>
      <c r="O164" s="2" t="n">
        <v>44673</v>
      </c>
    </row>
    <row r="165" customFormat="false" ht="13.8" hidden="false" customHeight="false" outlineLevel="0" collapsed="false">
      <c r="A165" s="1" t="s">
        <v>1495</v>
      </c>
      <c r="B165" s="1" t="s">
        <v>1487</v>
      </c>
      <c r="C165" s="4" t="s">
        <v>1656</v>
      </c>
      <c r="D165" s="4" t="s">
        <v>1612</v>
      </c>
      <c r="E165" s="4" t="s">
        <v>2456</v>
      </c>
      <c r="F165" s="4" t="s">
        <v>2457</v>
      </c>
      <c r="G165" s="4" t="s">
        <v>2458</v>
      </c>
      <c r="H165" s="8" t="n">
        <v>0.729166666666667</v>
      </c>
      <c r="I165" s="4"/>
      <c r="J165" s="4" t="s">
        <v>2459</v>
      </c>
      <c r="K165" s="4" t="s">
        <v>1819</v>
      </c>
      <c r="L165" s="4" t="s">
        <v>2460</v>
      </c>
      <c r="M165" s="4" t="s">
        <v>2461</v>
      </c>
      <c r="N165" s="4" t="s">
        <v>2462</v>
      </c>
      <c r="O165" s="2" t="n">
        <v>44674</v>
      </c>
    </row>
    <row r="166" customFormat="false" ht="13.8" hidden="false" customHeight="false" outlineLevel="0" collapsed="false">
      <c r="A166" s="4" t="s">
        <v>1495</v>
      </c>
      <c r="B166" s="4" t="s">
        <v>1535</v>
      </c>
      <c r="C166" s="4" t="s">
        <v>1672</v>
      </c>
      <c r="D166" s="4" t="s">
        <v>1612</v>
      </c>
      <c r="E166" s="4" t="s">
        <v>2463</v>
      </c>
      <c r="F166" s="4" t="s">
        <v>2464</v>
      </c>
      <c r="G166" s="4" t="s">
        <v>2336</v>
      </c>
      <c r="H166" s="8" t="n">
        <v>0.875</v>
      </c>
      <c r="I166" s="4" t="n">
        <v>0</v>
      </c>
      <c r="J166" s="4" t="s">
        <v>2465</v>
      </c>
      <c r="K166" s="4" t="s">
        <v>2466</v>
      </c>
      <c r="L166" s="4" t="s">
        <v>2467</v>
      </c>
      <c r="M166" s="4" t="s">
        <v>2468</v>
      </c>
      <c r="N166" s="4" t="s">
        <v>2469</v>
      </c>
      <c r="O166" s="2" t="n">
        <v>44676</v>
      </c>
    </row>
    <row r="167" customFormat="false" ht="13.8" hidden="false" customHeight="false" outlineLevel="0" collapsed="false">
      <c r="A167" s="1" t="s">
        <v>1479</v>
      </c>
      <c r="B167" s="1" t="s">
        <v>1487</v>
      </c>
      <c r="C167" s="4" t="s">
        <v>1488</v>
      </c>
      <c r="D167" s="4" t="s">
        <v>1601</v>
      </c>
      <c r="E167" s="4" t="s">
        <v>2470</v>
      </c>
      <c r="F167" s="4" t="s">
        <v>2471</v>
      </c>
      <c r="G167" s="4" t="s">
        <v>2472</v>
      </c>
      <c r="H167" s="8" t="n">
        <v>0.369444444444444</v>
      </c>
      <c r="I167" s="4" t="s">
        <v>2473</v>
      </c>
      <c r="J167" s="4" t="s">
        <v>2474</v>
      </c>
      <c r="K167" s="4" t="s">
        <v>2475</v>
      </c>
      <c r="L167" s="4" t="s">
        <v>2476</v>
      </c>
      <c r="M167" s="4" t="s">
        <v>2477</v>
      </c>
      <c r="N167" s="4" t="s">
        <v>2478</v>
      </c>
      <c r="O167" s="2" t="n">
        <v>44677</v>
      </c>
    </row>
    <row r="168" customFormat="false" ht="13.8" hidden="false" customHeight="false" outlineLevel="0" collapsed="false">
      <c r="A168" s="1" t="s">
        <v>1479</v>
      </c>
      <c r="B168" s="1" t="s">
        <v>1496</v>
      </c>
      <c r="C168" s="4" t="s">
        <v>1680</v>
      </c>
      <c r="D168" s="4" t="s">
        <v>1601</v>
      </c>
      <c r="E168" s="4" t="s">
        <v>2479</v>
      </c>
      <c r="F168" s="4" t="s">
        <v>2480</v>
      </c>
      <c r="G168" s="4"/>
      <c r="H168" s="8" t="n">
        <v>0.490972222222222</v>
      </c>
      <c r="I168" s="4"/>
      <c r="J168" s="4"/>
      <c r="K168" s="4" t="s">
        <v>2481</v>
      </c>
      <c r="L168" s="4" t="s">
        <v>2482</v>
      </c>
      <c r="M168" s="4" t="s">
        <v>2483</v>
      </c>
      <c r="N168" s="4" t="s">
        <v>2484</v>
      </c>
      <c r="O168" s="2" t="n">
        <v>44677</v>
      </c>
    </row>
    <row r="169" customFormat="false" ht="13.8" hidden="false" customHeight="false" outlineLevel="0" collapsed="false">
      <c r="A169" s="4" t="s">
        <v>1495</v>
      </c>
      <c r="B169" s="4" t="s">
        <v>1535</v>
      </c>
      <c r="C169" s="4" t="s">
        <v>1672</v>
      </c>
      <c r="D169" s="4" t="s">
        <v>1612</v>
      </c>
      <c r="E169" s="4" t="s">
        <v>2485</v>
      </c>
      <c r="F169" s="4" t="s">
        <v>2486</v>
      </c>
      <c r="G169" s="4" t="s">
        <v>2487</v>
      </c>
      <c r="H169" s="8" t="n">
        <v>0.625</v>
      </c>
      <c r="I169" s="4"/>
      <c r="J169" s="4" t="s">
        <v>2488</v>
      </c>
      <c r="K169" s="4" t="s">
        <v>2489</v>
      </c>
      <c r="L169" s="4" t="s">
        <v>2490</v>
      </c>
      <c r="M169" s="4" t="s">
        <v>2491</v>
      </c>
      <c r="N169" s="4" t="s">
        <v>2492</v>
      </c>
      <c r="O169" s="2" t="n">
        <v>44677</v>
      </c>
    </row>
    <row r="170" customFormat="false" ht="13.8" hidden="false" customHeight="false" outlineLevel="0" collapsed="false">
      <c r="A170" s="1" t="s">
        <v>1479</v>
      </c>
      <c r="B170" s="1" t="s">
        <v>1487</v>
      </c>
      <c r="C170" s="4" t="s">
        <v>1488</v>
      </c>
      <c r="D170" s="4" t="s">
        <v>1612</v>
      </c>
      <c r="E170" s="4" t="s">
        <v>2493</v>
      </c>
      <c r="F170" s="4" t="s">
        <v>2494</v>
      </c>
      <c r="G170" s="4" t="s">
        <v>2495</v>
      </c>
      <c r="H170" s="8" t="n">
        <v>0.673611111111111</v>
      </c>
      <c r="I170" s="4"/>
      <c r="J170" s="4" t="s">
        <v>2496</v>
      </c>
      <c r="K170" s="4" t="s">
        <v>2497</v>
      </c>
      <c r="L170" s="4" t="s">
        <v>2498</v>
      </c>
      <c r="M170" s="4" t="s">
        <v>2499</v>
      </c>
      <c r="N170" s="4" t="s">
        <v>2500</v>
      </c>
      <c r="O170" s="2" t="n">
        <v>44677</v>
      </c>
    </row>
    <row r="171" customFormat="false" ht="13.8" hidden="false" customHeight="false" outlineLevel="0" collapsed="false">
      <c r="A171" s="1" t="s">
        <v>1503</v>
      </c>
      <c r="B171" s="1" t="s">
        <v>1535</v>
      </c>
      <c r="C171" s="4" t="s">
        <v>1503</v>
      </c>
      <c r="D171" s="4" t="s">
        <v>1612</v>
      </c>
      <c r="E171" s="4" t="s">
        <v>2501</v>
      </c>
      <c r="F171" s="4" t="s">
        <v>2250</v>
      </c>
      <c r="G171" s="4" t="s">
        <v>1735</v>
      </c>
      <c r="H171" s="8" t="n">
        <v>0.819444444444444</v>
      </c>
      <c r="I171" s="4"/>
      <c r="J171" s="4" t="s">
        <v>2502</v>
      </c>
      <c r="K171" s="4" t="s">
        <v>2503</v>
      </c>
      <c r="L171" s="4" t="s">
        <v>2504</v>
      </c>
      <c r="M171" s="4" t="s">
        <v>2505</v>
      </c>
      <c r="N171" s="4" t="s">
        <v>2506</v>
      </c>
      <c r="O171" s="2" t="n">
        <v>44678</v>
      </c>
    </row>
    <row r="172" customFormat="false" ht="14.25" hidden="false" customHeight="false" outlineLevel="0" collapsed="false">
      <c r="A172" s="1" t="s">
        <v>1479</v>
      </c>
      <c r="B172" s="1" t="s">
        <v>1496</v>
      </c>
      <c r="C172" s="0" t="s">
        <v>1680</v>
      </c>
      <c r="D172" s="4" t="s">
        <v>1601</v>
      </c>
      <c r="E172" s="0" t="s">
        <v>2507</v>
      </c>
      <c r="F172" s="0" t="s">
        <v>2508</v>
      </c>
      <c r="G172" s="6" t="n">
        <v>0.236111111111111</v>
      </c>
      <c r="H172" s="6" t="n">
        <v>0.236111111111111</v>
      </c>
      <c r="J172" s="0" t="n">
        <v>140</v>
      </c>
      <c r="K172" s="9" t="s">
        <v>2509</v>
      </c>
      <c r="L172" s="10" t="s">
        <v>2510</v>
      </c>
      <c r="M172" s="9" t="s">
        <v>2511</v>
      </c>
      <c r="N172" s="9" t="s">
        <v>2512</v>
      </c>
      <c r="O172" s="2" t="n">
        <v>44679</v>
      </c>
    </row>
    <row r="173" customFormat="false" ht="13.8" hidden="false" customHeight="false" outlineLevel="0" collapsed="false">
      <c r="A173" s="1" t="s">
        <v>1479</v>
      </c>
      <c r="B173" s="1" t="s">
        <v>1487</v>
      </c>
      <c r="C173" s="4" t="s">
        <v>1488</v>
      </c>
      <c r="D173" s="4" t="s">
        <v>1612</v>
      </c>
      <c r="E173" s="9" t="s">
        <v>2513</v>
      </c>
      <c r="F173" s="0" t="s">
        <v>2514</v>
      </c>
      <c r="G173" s="6" t="n">
        <v>0.533333333333333</v>
      </c>
      <c r="H173" s="6" t="n">
        <v>0.724305555555556</v>
      </c>
      <c r="K173" s="9" t="s">
        <v>2515</v>
      </c>
      <c r="L173" s="9" t="s">
        <v>2516</v>
      </c>
      <c r="N173" s="9" t="s">
        <v>2517</v>
      </c>
      <c r="O173" s="2" t="n">
        <v>44679</v>
      </c>
    </row>
    <row r="174" customFormat="false" ht="13.8" hidden="false" customHeight="false" outlineLevel="0" collapsed="false">
      <c r="A174" s="1" t="s">
        <v>1479</v>
      </c>
      <c r="B174" s="1" t="s">
        <v>1487</v>
      </c>
      <c r="C174" s="4" t="s">
        <v>1488</v>
      </c>
      <c r="D174" s="4" t="s">
        <v>1601</v>
      </c>
      <c r="E174" s="9" t="s">
        <v>2513</v>
      </c>
      <c r="F174" s="0" t="s">
        <v>2514</v>
      </c>
      <c r="G174" s="0" t="s">
        <v>2518</v>
      </c>
      <c r="H174" s="6" t="n">
        <v>0.327083333333333</v>
      </c>
      <c r="I174" s="0" t="n">
        <v>22</v>
      </c>
      <c r="J174" s="0" t="s">
        <v>2519</v>
      </c>
      <c r="K174" s="9" t="s">
        <v>2520</v>
      </c>
      <c r="L174" s="9" t="s">
        <v>2520</v>
      </c>
      <c r="M174" s="9" t="s">
        <v>2521</v>
      </c>
      <c r="N174" s="9" t="s">
        <v>2522</v>
      </c>
      <c r="O174" s="2" t="n">
        <v>44680</v>
      </c>
    </row>
    <row r="175" customFormat="false" ht="13.8" hidden="false" customHeight="false" outlineLevel="0" collapsed="false">
      <c r="A175" s="1" t="s">
        <v>1479</v>
      </c>
      <c r="B175" s="1" t="s">
        <v>1496</v>
      </c>
      <c r="C175" s="0" t="s">
        <v>1873</v>
      </c>
      <c r="D175" s="4" t="s">
        <v>1601</v>
      </c>
      <c r="E175" s="0" t="s">
        <v>2523</v>
      </c>
      <c r="F175" s="0" t="s">
        <v>2524</v>
      </c>
      <c r="H175" s="6" t="n">
        <v>0.380555555555556</v>
      </c>
      <c r="I175" s="0" t="n">
        <v>0</v>
      </c>
      <c r="J175" s="0" t="n">
        <v>0</v>
      </c>
      <c r="K175" s="9" t="s">
        <v>2525</v>
      </c>
      <c r="L175" s="9" t="s">
        <v>2526</v>
      </c>
      <c r="M175" s="0" t="s">
        <v>2527</v>
      </c>
      <c r="N175" s="9" t="s">
        <v>2528</v>
      </c>
      <c r="O175" s="2" t="n">
        <v>44680</v>
      </c>
    </row>
    <row r="176" customFormat="false" ht="13.8" hidden="false" customHeight="false" outlineLevel="0" collapsed="false">
      <c r="A176" s="4" t="s">
        <v>1495</v>
      </c>
      <c r="B176" s="4" t="s">
        <v>1487</v>
      </c>
      <c r="C176" s="1" t="s">
        <v>1712</v>
      </c>
      <c r="D176" s="1" t="s">
        <v>2529</v>
      </c>
      <c r="E176" s="1"/>
      <c r="F176" s="1" t="s">
        <v>2530</v>
      </c>
      <c r="G176" s="1" t="s">
        <v>2531</v>
      </c>
      <c r="H176" s="1" t="s">
        <v>2532</v>
      </c>
      <c r="I176" s="1" t="s">
        <v>2533</v>
      </c>
      <c r="J176" s="1" t="s">
        <v>2534</v>
      </c>
      <c r="K176" s="1" t="s">
        <v>2535</v>
      </c>
      <c r="L176" s="1" t="s">
        <v>2536</v>
      </c>
      <c r="M176" s="1"/>
      <c r="N176" s="1" t="s">
        <v>2537</v>
      </c>
      <c r="O176" s="11" t="n">
        <v>2</v>
      </c>
    </row>
    <row r="177" customFormat="false" ht="13.8" hidden="false" customHeight="false" outlineLevel="0" collapsed="false">
      <c r="A177" s="4" t="s">
        <v>1495</v>
      </c>
      <c r="B177" s="4" t="s">
        <v>1487</v>
      </c>
      <c r="C177" s="1" t="s">
        <v>1712</v>
      </c>
      <c r="D177" s="1" t="s">
        <v>2538</v>
      </c>
      <c r="E177" s="1" t="s">
        <v>2539</v>
      </c>
      <c r="F177" s="1" t="s">
        <v>2540</v>
      </c>
      <c r="G177" s="1" t="s">
        <v>2138</v>
      </c>
      <c r="H177" s="1" t="s">
        <v>2495</v>
      </c>
      <c r="I177" s="1" t="s">
        <v>2541</v>
      </c>
      <c r="J177" s="1" t="s">
        <v>2542</v>
      </c>
      <c r="K177" s="1" t="s">
        <v>2543</v>
      </c>
      <c r="L177" s="1" t="s">
        <v>2544</v>
      </c>
      <c r="M177" s="1" t="s">
        <v>2545</v>
      </c>
      <c r="N177" s="1" t="s">
        <v>2546</v>
      </c>
      <c r="O177" s="2" t="n">
        <v>44683</v>
      </c>
    </row>
    <row r="178" customFormat="false" ht="13.8" hidden="false" customHeight="false" outlineLevel="0" collapsed="false">
      <c r="A178" s="1" t="s">
        <v>1479</v>
      </c>
      <c r="B178" s="1" t="s">
        <v>1487</v>
      </c>
      <c r="C178" s="4" t="s">
        <v>1488</v>
      </c>
      <c r="D178" s="1" t="s">
        <v>2538</v>
      </c>
      <c r="E178" s="1" t="s">
        <v>2547</v>
      </c>
      <c r="F178" s="1" t="s">
        <v>2548</v>
      </c>
      <c r="G178" s="1" t="s">
        <v>2487</v>
      </c>
      <c r="H178" s="1" t="s">
        <v>1614</v>
      </c>
      <c r="I178" s="1" t="s">
        <v>2549</v>
      </c>
      <c r="J178" s="1" t="s">
        <v>2550</v>
      </c>
      <c r="K178" s="1" t="s">
        <v>2551</v>
      </c>
      <c r="L178" s="1" t="s">
        <v>2552</v>
      </c>
      <c r="M178" s="1" t="s">
        <v>2553</v>
      </c>
      <c r="N178" s="1" t="s">
        <v>2554</v>
      </c>
      <c r="O178" s="2" t="n">
        <v>44685</v>
      </c>
    </row>
    <row r="179" customFormat="false" ht="13.8" hidden="false" customHeight="false" outlineLevel="0" collapsed="false">
      <c r="A179" s="4" t="s">
        <v>1495</v>
      </c>
      <c r="B179" s="4" t="s">
        <v>1487</v>
      </c>
      <c r="C179" s="1" t="s">
        <v>1712</v>
      </c>
      <c r="D179" s="1" t="s">
        <v>2538</v>
      </c>
      <c r="E179" s="1" t="s">
        <v>2555</v>
      </c>
      <c r="F179" s="1" t="s">
        <v>2556</v>
      </c>
      <c r="G179" s="1" t="s">
        <v>1939</v>
      </c>
      <c r="H179" s="1" t="s">
        <v>2557</v>
      </c>
      <c r="I179" s="1"/>
      <c r="J179" s="1" t="s">
        <v>2558</v>
      </c>
      <c r="K179" s="1" t="s">
        <v>2559</v>
      </c>
      <c r="L179" s="1" t="s">
        <v>2560</v>
      </c>
      <c r="M179" s="1" t="s">
        <v>2561</v>
      </c>
      <c r="N179" s="1" t="s">
        <v>2562</v>
      </c>
      <c r="O179" s="2" t="n">
        <v>44685</v>
      </c>
    </row>
    <row r="180" customFormat="false" ht="13.8" hidden="false" customHeight="false" outlineLevel="0" collapsed="false">
      <c r="A180" s="1" t="s">
        <v>1479</v>
      </c>
      <c r="B180" s="1" t="s">
        <v>1487</v>
      </c>
      <c r="C180" s="4" t="s">
        <v>1488</v>
      </c>
      <c r="D180" s="1" t="s">
        <v>2529</v>
      </c>
      <c r="E180" s="1" t="s">
        <v>2563</v>
      </c>
      <c r="F180" s="1" t="s">
        <v>2564</v>
      </c>
      <c r="G180" s="1" t="s">
        <v>2565</v>
      </c>
      <c r="H180" s="1" t="s">
        <v>2566</v>
      </c>
      <c r="I180" s="1"/>
      <c r="J180" s="1" t="s">
        <v>2567</v>
      </c>
      <c r="K180" s="1" t="s">
        <v>2568</v>
      </c>
      <c r="L180" s="1" t="s">
        <v>2569</v>
      </c>
      <c r="M180" s="1"/>
      <c r="N180" s="1" t="s">
        <v>2570</v>
      </c>
      <c r="O180" s="2" t="n">
        <v>44704</v>
      </c>
    </row>
    <row r="181" customFormat="false" ht="13.8" hidden="false" customHeight="false" outlineLevel="0" collapsed="false">
      <c r="A181" s="4" t="s">
        <v>1479</v>
      </c>
      <c r="B181" s="4" t="s">
        <v>1535</v>
      </c>
      <c r="C181" s="1" t="s">
        <v>1639</v>
      </c>
      <c r="D181" s="1" t="s">
        <v>2538</v>
      </c>
      <c r="E181" s="1" t="s">
        <v>1838</v>
      </c>
      <c r="F181" s="1" t="s">
        <v>2571</v>
      </c>
      <c r="G181" s="1"/>
      <c r="H181" s="1" t="s">
        <v>2572</v>
      </c>
      <c r="I181" s="1"/>
      <c r="J181" s="1" t="s">
        <v>2573</v>
      </c>
      <c r="K181" s="1" t="s">
        <v>2574</v>
      </c>
      <c r="L181" s="1" t="s">
        <v>2575</v>
      </c>
      <c r="M181" s="1"/>
      <c r="N181" s="1" t="s">
        <v>2576</v>
      </c>
      <c r="O181" s="2" t="n">
        <v>44704</v>
      </c>
    </row>
    <row r="182" customFormat="false" ht="13.8" hidden="false" customHeight="false" outlineLevel="0" collapsed="false">
      <c r="A182" s="4" t="s">
        <v>1479</v>
      </c>
      <c r="B182" s="4" t="s">
        <v>1535</v>
      </c>
      <c r="C182" s="1" t="s">
        <v>1639</v>
      </c>
      <c r="D182" s="1" t="s">
        <v>2529</v>
      </c>
      <c r="E182" s="1" t="s">
        <v>1838</v>
      </c>
      <c r="F182" s="1" t="s">
        <v>2571</v>
      </c>
      <c r="G182" s="1"/>
      <c r="H182" s="1" t="s">
        <v>2572</v>
      </c>
      <c r="I182" s="1"/>
      <c r="J182" s="1" t="s">
        <v>2573</v>
      </c>
      <c r="K182" s="1" t="s">
        <v>2574</v>
      </c>
      <c r="L182" s="1" t="s">
        <v>2575</v>
      </c>
      <c r="M182" s="1"/>
      <c r="N182" s="1" t="s">
        <v>2577</v>
      </c>
      <c r="O182" s="2" t="n">
        <v>44705</v>
      </c>
    </row>
    <row r="183" customFormat="false" ht="13.8" hidden="false" customHeight="false" outlineLevel="0" collapsed="false">
      <c r="A183" s="1" t="s">
        <v>1495</v>
      </c>
      <c r="B183" s="1" t="s">
        <v>1496</v>
      </c>
      <c r="C183" s="1" t="s">
        <v>1619</v>
      </c>
      <c r="D183" s="1" t="s">
        <v>2538</v>
      </c>
      <c r="E183" s="1" t="s">
        <v>1761</v>
      </c>
      <c r="F183" s="1" t="s">
        <v>1816</v>
      </c>
      <c r="G183" s="1"/>
      <c r="H183" s="1"/>
      <c r="I183" s="1"/>
      <c r="J183" s="1"/>
      <c r="K183" s="1" t="s">
        <v>2578</v>
      </c>
      <c r="L183" s="1" t="s">
        <v>2579</v>
      </c>
      <c r="M183" s="1"/>
      <c r="N183" s="1"/>
      <c r="O183" s="2" t="n">
        <v>44705</v>
      </c>
    </row>
    <row r="184" customFormat="false" ht="13.8" hidden="false" customHeight="false" outlineLevel="0" collapsed="false">
      <c r="A184" s="1" t="s">
        <v>1495</v>
      </c>
      <c r="B184" s="1" t="s">
        <v>1496</v>
      </c>
      <c r="C184" s="1" t="s">
        <v>1619</v>
      </c>
      <c r="D184" s="1" t="s">
        <v>2529</v>
      </c>
      <c r="E184" s="1" t="s">
        <v>1761</v>
      </c>
      <c r="F184" s="1" t="s">
        <v>1816</v>
      </c>
      <c r="G184" s="1" t="s">
        <v>2580</v>
      </c>
      <c r="H184" s="1" t="s">
        <v>2581</v>
      </c>
      <c r="I184" s="1"/>
      <c r="J184" s="1" t="s">
        <v>2582</v>
      </c>
      <c r="K184" s="1" t="s">
        <v>2578</v>
      </c>
      <c r="L184" s="1" t="s">
        <v>2579</v>
      </c>
      <c r="M184" s="1" t="s">
        <v>2583</v>
      </c>
      <c r="N184" s="1" t="s">
        <v>2584</v>
      </c>
      <c r="O184" s="2" t="n">
        <v>44706</v>
      </c>
    </row>
    <row r="185" customFormat="false" ht="13.8" hidden="false" customHeight="false" outlineLevel="0" collapsed="false">
      <c r="A185" s="4" t="s">
        <v>1479</v>
      </c>
      <c r="B185" s="4" t="s">
        <v>1535</v>
      </c>
      <c r="C185" s="1" t="s">
        <v>1639</v>
      </c>
      <c r="D185" s="1" t="s">
        <v>2529</v>
      </c>
      <c r="E185" s="1" t="s">
        <v>2585</v>
      </c>
      <c r="F185" s="1" t="s">
        <v>2586</v>
      </c>
      <c r="G185" s="1" t="s">
        <v>1867</v>
      </c>
      <c r="H185" s="1" t="s">
        <v>2587</v>
      </c>
      <c r="I185" s="1" t="s">
        <v>2588</v>
      </c>
      <c r="J185" s="1" t="s">
        <v>2589</v>
      </c>
      <c r="K185" s="1" t="s">
        <v>2590</v>
      </c>
      <c r="L185" s="1" t="s">
        <v>2591</v>
      </c>
      <c r="M185" s="1" t="s">
        <v>2592</v>
      </c>
      <c r="N185" s="1" t="s">
        <v>2593</v>
      </c>
      <c r="O185" s="2" t="n">
        <v>44707</v>
      </c>
    </row>
    <row r="186" customFormat="false" ht="13.8" hidden="false" customHeight="false" outlineLevel="0" collapsed="false">
      <c r="A186" s="1" t="s">
        <v>1495</v>
      </c>
      <c r="B186" s="1" t="s">
        <v>1487</v>
      </c>
      <c r="C186" s="1" t="s">
        <v>1656</v>
      </c>
      <c r="D186" s="1" t="s">
        <v>2538</v>
      </c>
      <c r="E186" s="1" t="s">
        <v>2594</v>
      </c>
      <c r="F186" s="1" t="s">
        <v>2595</v>
      </c>
      <c r="G186" s="1" t="s">
        <v>2596</v>
      </c>
      <c r="H186" s="1" t="s">
        <v>2597</v>
      </c>
      <c r="I186" s="1"/>
      <c r="J186" s="1" t="s">
        <v>2598</v>
      </c>
      <c r="K186" s="1" t="s">
        <v>1805</v>
      </c>
      <c r="L186" s="1" t="s">
        <v>2599</v>
      </c>
      <c r="M186" s="1" t="s">
        <v>2600</v>
      </c>
      <c r="N186" s="1" t="s">
        <v>2601</v>
      </c>
      <c r="O186" s="2" t="n">
        <v>44707</v>
      </c>
    </row>
    <row r="187" customFormat="false" ht="13.8" hidden="false" customHeight="false" outlineLevel="0" collapsed="false">
      <c r="A187" s="1" t="s">
        <v>1495</v>
      </c>
      <c r="B187" s="1" t="s">
        <v>1487</v>
      </c>
      <c r="C187" s="1" t="s">
        <v>1656</v>
      </c>
      <c r="D187" s="1" t="s">
        <v>2538</v>
      </c>
      <c r="E187" s="1" t="s">
        <v>2594</v>
      </c>
      <c r="F187" s="1" t="s">
        <v>2595</v>
      </c>
      <c r="G187" s="1" t="s">
        <v>2602</v>
      </c>
      <c r="H187" s="1" t="s">
        <v>2603</v>
      </c>
      <c r="I187" s="1"/>
      <c r="J187" s="1" t="s">
        <v>2604</v>
      </c>
      <c r="K187" s="1" t="s">
        <v>2605</v>
      </c>
      <c r="L187" s="1" t="s">
        <v>2606</v>
      </c>
      <c r="M187" s="1"/>
      <c r="N187" s="1" t="s">
        <v>2607</v>
      </c>
      <c r="O187" s="2" t="n">
        <v>44707</v>
      </c>
    </row>
    <row r="188" customFormat="false" ht="13.8" hidden="false" customHeight="false" outlineLevel="0" collapsed="false">
      <c r="A188" s="1" t="s">
        <v>1479</v>
      </c>
      <c r="B188" s="1" t="s">
        <v>1487</v>
      </c>
      <c r="C188" s="4" t="s">
        <v>1488</v>
      </c>
      <c r="D188" s="1" t="s">
        <v>2529</v>
      </c>
      <c r="E188" s="1"/>
      <c r="F188" s="1" t="s">
        <v>1909</v>
      </c>
      <c r="G188" s="1"/>
      <c r="H188" s="1"/>
      <c r="I188" s="1"/>
      <c r="J188" s="1"/>
      <c r="K188" s="1" t="s">
        <v>2608</v>
      </c>
      <c r="L188" s="1" t="s">
        <v>2609</v>
      </c>
      <c r="M188" s="1" t="s">
        <v>2610</v>
      </c>
      <c r="N188" s="1" t="s">
        <v>2611</v>
      </c>
      <c r="O188" s="2" t="n">
        <v>44709</v>
      </c>
    </row>
    <row r="189" customFormat="false" ht="13.8" hidden="false" customHeight="false" outlineLevel="0" collapsed="false">
      <c r="A189" s="4" t="s">
        <v>1495</v>
      </c>
      <c r="B189" s="4" t="s">
        <v>1535</v>
      </c>
      <c r="C189" s="1" t="s">
        <v>1672</v>
      </c>
      <c r="D189" s="1" t="s">
        <v>2529</v>
      </c>
      <c r="E189" s="1" t="s">
        <v>2612</v>
      </c>
      <c r="F189" s="1" t="s">
        <v>1734</v>
      </c>
      <c r="G189" s="1" t="s">
        <v>2225</v>
      </c>
      <c r="H189" s="1" t="s">
        <v>2613</v>
      </c>
      <c r="I189" s="1" t="s">
        <v>2614</v>
      </c>
      <c r="J189" s="1" t="s">
        <v>2615</v>
      </c>
      <c r="K189" s="1" t="s">
        <v>2616</v>
      </c>
      <c r="L189" s="1" t="s">
        <v>2617</v>
      </c>
      <c r="M189" s="1" t="s">
        <v>2618</v>
      </c>
      <c r="N189" s="1" t="s">
        <v>2619</v>
      </c>
      <c r="O189" s="2" t="n">
        <v>44711</v>
      </c>
    </row>
    <row r="190" customFormat="false" ht="13.8" hidden="false" customHeight="false" outlineLevel="0" collapsed="false">
      <c r="A190" s="4" t="s">
        <v>1495</v>
      </c>
      <c r="B190" s="4" t="s">
        <v>1535</v>
      </c>
      <c r="C190" s="1" t="s">
        <v>1672</v>
      </c>
      <c r="D190" s="1" t="s">
        <v>2538</v>
      </c>
      <c r="E190" s="1" t="s">
        <v>2612</v>
      </c>
      <c r="F190" s="1" t="s">
        <v>1734</v>
      </c>
      <c r="G190" s="1" t="s">
        <v>2596</v>
      </c>
      <c r="H190" s="1" t="s">
        <v>2620</v>
      </c>
      <c r="I190" s="1" t="s">
        <v>2621</v>
      </c>
      <c r="J190" s="1" t="s">
        <v>2622</v>
      </c>
      <c r="K190" s="1" t="s">
        <v>2623</v>
      </c>
      <c r="L190" s="1" t="s">
        <v>2624</v>
      </c>
      <c r="M190" s="1" t="s">
        <v>2625</v>
      </c>
      <c r="N190" s="1" t="s">
        <v>2626</v>
      </c>
      <c r="O190" s="2" t="n">
        <v>44711</v>
      </c>
    </row>
    <row r="191" customFormat="false" ht="13.8" hidden="false" customHeight="false" outlineLevel="0" collapsed="false">
      <c r="A191" s="1" t="s">
        <v>1479</v>
      </c>
      <c r="B191" s="1" t="s">
        <v>1487</v>
      </c>
      <c r="C191" s="4" t="s">
        <v>1488</v>
      </c>
      <c r="D191" s="1" t="s">
        <v>2538</v>
      </c>
      <c r="E191" s="1" t="s">
        <v>1773</v>
      </c>
      <c r="F191" s="1" t="s">
        <v>2313</v>
      </c>
      <c r="G191" s="1" t="s">
        <v>2627</v>
      </c>
      <c r="H191" s="1" t="s">
        <v>2628</v>
      </c>
      <c r="I191" s="1"/>
      <c r="J191" s="1"/>
      <c r="K191" s="1" t="s">
        <v>2629</v>
      </c>
      <c r="L191" s="1" t="s">
        <v>2630</v>
      </c>
      <c r="M191" s="1" t="s">
        <v>2631</v>
      </c>
      <c r="N191" s="1" t="s">
        <v>2632</v>
      </c>
      <c r="O191" s="2" t="n">
        <v>44711</v>
      </c>
    </row>
    <row r="192" customFormat="false" ht="13.8" hidden="false" customHeight="false" outlineLevel="0" collapsed="false">
      <c r="A192" s="1" t="s">
        <v>1479</v>
      </c>
      <c r="B192" s="1" t="s">
        <v>1487</v>
      </c>
      <c r="C192" s="4" t="s">
        <v>1488</v>
      </c>
      <c r="D192" s="1" t="s">
        <v>2529</v>
      </c>
      <c r="E192" s="1" t="s">
        <v>2633</v>
      </c>
      <c r="F192" s="1" t="s">
        <v>2634</v>
      </c>
      <c r="G192" s="1"/>
      <c r="H192" s="1" t="s">
        <v>2635</v>
      </c>
      <c r="I192" s="1"/>
      <c r="J192" s="1"/>
      <c r="K192" s="1" t="s">
        <v>2636</v>
      </c>
      <c r="L192" s="1" t="s">
        <v>2637</v>
      </c>
      <c r="M192" s="1" t="s">
        <v>2638</v>
      </c>
      <c r="N192" s="1" t="s">
        <v>2639</v>
      </c>
      <c r="O192" s="2" t="n">
        <v>44712</v>
      </c>
    </row>
    <row r="193" customFormat="false" ht="13.8" hidden="false" customHeight="false" outlineLevel="0" collapsed="false">
      <c r="A193" s="1" t="s">
        <v>1503</v>
      </c>
      <c r="B193" s="1" t="s">
        <v>1535</v>
      </c>
      <c r="C193" s="1" t="s">
        <v>1503</v>
      </c>
      <c r="D193" s="1" t="s">
        <v>2538</v>
      </c>
      <c r="E193" s="1" t="s">
        <v>2640</v>
      </c>
      <c r="F193" s="1" t="s">
        <v>2641</v>
      </c>
      <c r="G193" s="1" t="n">
        <v>0.875</v>
      </c>
      <c r="H193" s="1" t="s">
        <v>2642</v>
      </c>
      <c r="I193" s="1" t="n">
        <v>0</v>
      </c>
      <c r="J193" s="1"/>
      <c r="K193" s="1" t="s">
        <v>2643</v>
      </c>
      <c r="L193" s="1" t="s">
        <v>2644</v>
      </c>
      <c r="M193" s="1" t="s">
        <v>2645</v>
      </c>
      <c r="N193" s="1" t="s">
        <v>2646</v>
      </c>
      <c r="O193" s="2" t="n">
        <v>44712</v>
      </c>
    </row>
    <row r="194" customFormat="false" ht="13.8" hidden="false" customHeight="false" outlineLevel="0" collapsed="false">
      <c r="A194" s="1" t="s">
        <v>1495</v>
      </c>
      <c r="B194" s="1" t="s">
        <v>1496</v>
      </c>
      <c r="C194" s="1" t="s">
        <v>1619</v>
      </c>
      <c r="D194" s="1" t="s">
        <v>2529</v>
      </c>
      <c r="E194" s="1" t="s">
        <v>1761</v>
      </c>
      <c r="F194" s="1" t="s">
        <v>1816</v>
      </c>
      <c r="G194" s="1" t="s">
        <v>2580</v>
      </c>
      <c r="H194" s="1"/>
      <c r="I194" s="1" t="s">
        <v>2647</v>
      </c>
      <c r="J194" s="1"/>
      <c r="K194" s="1" t="s">
        <v>2578</v>
      </c>
      <c r="L194" s="1" t="s">
        <v>2648</v>
      </c>
      <c r="M194" s="1" t="s">
        <v>2649</v>
      </c>
      <c r="N194" s="1" t="s">
        <v>2650</v>
      </c>
      <c r="O194" s="2" t="n">
        <v>44567</v>
      </c>
    </row>
    <row r="195" customFormat="false" ht="13.8" hidden="false" customHeight="false" outlineLevel="0" collapsed="false">
      <c r="A195" s="1" t="s">
        <v>1479</v>
      </c>
      <c r="B195" s="1" t="s">
        <v>2651</v>
      </c>
      <c r="C195" s="1" t="s">
        <v>1479</v>
      </c>
      <c r="D195" s="1" t="s">
        <v>2538</v>
      </c>
      <c r="E195" s="1" t="s">
        <v>2652</v>
      </c>
      <c r="F195" s="1" t="s">
        <v>2653</v>
      </c>
      <c r="G195" s="1" t="s">
        <v>2365</v>
      </c>
      <c r="H195" s="1" t="s">
        <v>2654</v>
      </c>
      <c r="I195" s="1"/>
      <c r="J195" s="1" t="s">
        <v>2655</v>
      </c>
      <c r="K195" s="1" t="s">
        <v>2656</v>
      </c>
      <c r="L195" s="1" t="s">
        <v>2657</v>
      </c>
      <c r="M195" s="1" t="s">
        <v>2658</v>
      </c>
      <c r="N195" s="1" t="s">
        <v>2659</v>
      </c>
      <c r="O195" s="2" t="n">
        <v>44567</v>
      </c>
    </row>
    <row r="196" customFormat="false" ht="13.8" hidden="false" customHeight="false" outlineLevel="0" collapsed="false">
      <c r="A196" s="1" t="s">
        <v>1479</v>
      </c>
      <c r="B196" s="1" t="s">
        <v>1480</v>
      </c>
      <c r="C196" s="1" t="s">
        <v>1600</v>
      </c>
      <c r="D196" s="1" t="s">
        <v>2529</v>
      </c>
      <c r="E196" s="1" t="s">
        <v>2660</v>
      </c>
      <c r="F196" s="1" t="s">
        <v>2193</v>
      </c>
      <c r="G196" s="1" t="s">
        <v>2661</v>
      </c>
      <c r="H196" s="1" t="s">
        <v>2662</v>
      </c>
      <c r="I196" s="1"/>
      <c r="J196" s="1" t="s">
        <v>2663</v>
      </c>
      <c r="K196" s="1" t="s">
        <v>2664</v>
      </c>
      <c r="L196" s="1" t="s">
        <v>2665</v>
      </c>
      <c r="M196" s="1" t="s">
        <v>2666</v>
      </c>
      <c r="N196" s="1" t="s">
        <v>2667</v>
      </c>
      <c r="O196" s="2" t="n">
        <v>44598</v>
      </c>
    </row>
    <row r="197" customFormat="false" ht="13.8" hidden="false" customHeight="false" outlineLevel="0" collapsed="false">
      <c r="A197" s="1" t="s">
        <v>1479</v>
      </c>
      <c r="B197" s="1" t="s">
        <v>1480</v>
      </c>
      <c r="C197" s="1" t="s">
        <v>1480</v>
      </c>
      <c r="D197" s="1" t="s">
        <v>2538</v>
      </c>
      <c r="E197" s="1" t="s">
        <v>2668</v>
      </c>
      <c r="F197" s="1" t="s">
        <v>2334</v>
      </c>
      <c r="G197" s="1" t="s">
        <v>1614</v>
      </c>
      <c r="H197" s="1" t="s">
        <v>2138</v>
      </c>
      <c r="I197" s="1"/>
      <c r="J197" s="1" t="s">
        <v>2669</v>
      </c>
      <c r="K197" s="1" t="s">
        <v>2670</v>
      </c>
      <c r="L197" s="1" t="s">
        <v>2671</v>
      </c>
      <c r="M197" s="1" t="s">
        <v>2672</v>
      </c>
      <c r="N197" s="1" t="s">
        <v>2673</v>
      </c>
      <c r="O197" s="2" t="n">
        <v>44598</v>
      </c>
    </row>
    <row r="198" customFormat="false" ht="13.8" hidden="false" customHeight="false" outlineLevel="0" collapsed="false">
      <c r="A198" s="1" t="s">
        <v>1495</v>
      </c>
      <c r="B198" s="1" t="s">
        <v>1487</v>
      </c>
      <c r="C198" s="1" t="s">
        <v>2674</v>
      </c>
      <c r="D198" s="1" t="s">
        <v>2538</v>
      </c>
      <c r="E198" s="1" t="s">
        <v>2675</v>
      </c>
      <c r="F198" s="1" t="s">
        <v>2004</v>
      </c>
      <c r="G198" s="1" t="s">
        <v>2676</v>
      </c>
      <c r="H198" s="1" t="s">
        <v>2677</v>
      </c>
      <c r="I198" s="1" t="s">
        <v>2678</v>
      </c>
      <c r="J198" s="1" t="s">
        <v>2679</v>
      </c>
      <c r="K198" s="1" t="s">
        <v>2680</v>
      </c>
      <c r="L198" s="1" t="s">
        <v>2681</v>
      </c>
      <c r="M198" s="1" t="s">
        <v>2682</v>
      </c>
      <c r="N198" s="1" t="s">
        <v>2683</v>
      </c>
      <c r="O198" s="2" t="n">
        <v>44598</v>
      </c>
    </row>
    <row r="199" customFormat="false" ht="13.8" hidden="false" customHeight="false" outlineLevel="0" collapsed="false">
      <c r="A199" s="1" t="s">
        <v>1479</v>
      </c>
      <c r="B199" s="1" t="s">
        <v>1480</v>
      </c>
      <c r="C199" s="1" t="s">
        <v>1600</v>
      </c>
      <c r="D199" s="1" t="s">
        <v>2538</v>
      </c>
      <c r="E199" s="1" t="s">
        <v>2660</v>
      </c>
      <c r="F199" s="1" t="s">
        <v>2193</v>
      </c>
      <c r="G199" s="1" t="s">
        <v>2684</v>
      </c>
      <c r="H199" s="1" t="s">
        <v>2685</v>
      </c>
      <c r="I199" s="1"/>
      <c r="J199" s="1" t="s">
        <v>2686</v>
      </c>
      <c r="K199" s="1" t="s">
        <v>2687</v>
      </c>
      <c r="L199" s="1" t="s">
        <v>2688</v>
      </c>
      <c r="M199" s="1" t="s">
        <v>2689</v>
      </c>
      <c r="N199" s="1" t="s">
        <v>2690</v>
      </c>
      <c r="O199" s="2" t="n">
        <v>44626</v>
      </c>
    </row>
    <row r="200" customFormat="false" ht="13.8" hidden="false" customHeight="false" outlineLevel="0" collapsed="false">
      <c r="A200" s="1" t="s">
        <v>1495</v>
      </c>
      <c r="B200" s="1" t="s">
        <v>1535</v>
      </c>
      <c r="C200" s="1" t="s">
        <v>1495</v>
      </c>
      <c r="D200" s="1" t="s">
        <v>2538</v>
      </c>
      <c r="E200" s="1" t="s">
        <v>2691</v>
      </c>
      <c r="F200" s="1" t="s">
        <v>2692</v>
      </c>
      <c r="G200" s="1" t="s">
        <v>2693</v>
      </c>
      <c r="H200" s="1" t="s">
        <v>2694</v>
      </c>
      <c r="I200" s="1"/>
      <c r="J200" s="1" t="s">
        <v>2695</v>
      </c>
      <c r="K200" s="1" t="s">
        <v>2696</v>
      </c>
      <c r="L200" s="1" t="s">
        <v>2697</v>
      </c>
      <c r="M200" s="1" t="s">
        <v>2698</v>
      </c>
      <c r="N200" s="1" t="s">
        <v>2699</v>
      </c>
      <c r="O200" s="2" t="n">
        <v>44718</v>
      </c>
    </row>
    <row r="201" customFormat="false" ht="13.8" hidden="false" customHeight="false" outlineLevel="0" collapsed="false">
      <c r="A201" s="1" t="s">
        <v>1479</v>
      </c>
      <c r="B201" s="1" t="s">
        <v>1487</v>
      </c>
      <c r="C201" s="4" t="s">
        <v>1488</v>
      </c>
      <c r="D201" s="1" t="s">
        <v>2529</v>
      </c>
      <c r="E201" s="1" t="s">
        <v>2700</v>
      </c>
      <c r="F201" s="1" t="s">
        <v>2701</v>
      </c>
      <c r="G201" s="1" t="s">
        <v>2702</v>
      </c>
      <c r="H201" s="1" t="s">
        <v>2703</v>
      </c>
      <c r="I201" s="1" t="s">
        <v>2704</v>
      </c>
      <c r="J201" s="1" t="s">
        <v>2705</v>
      </c>
      <c r="K201" s="1" t="s">
        <v>2706</v>
      </c>
      <c r="L201" s="1" t="s">
        <v>2707</v>
      </c>
      <c r="M201" s="1" t="s">
        <v>2708</v>
      </c>
      <c r="N201" s="1" t="s">
        <v>2709</v>
      </c>
      <c r="O201" s="2" t="n">
        <v>44720</v>
      </c>
    </row>
    <row r="202" customFormat="false" ht="13.8" hidden="false" customHeight="false" outlineLevel="0" collapsed="false">
      <c r="A202" s="1" t="s">
        <v>1479</v>
      </c>
      <c r="B202" s="1" t="s">
        <v>1480</v>
      </c>
      <c r="C202" s="1" t="s">
        <v>1480</v>
      </c>
      <c r="D202" s="1" t="s">
        <v>2538</v>
      </c>
      <c r="E202" s="1" t="s">
        <v>2668</v>
      </c>
      <c r="F202" s="1" t="s">
        <v>2193</v>
      </c>
      <c r="G202" s="1" t="s">
        <v>1735</v>
      </c>
      <c r="H202" s="1" t="s">
        <v>2710</v>
      </c>
      <c r="I202" s="1"/>
      <c r="J202" s="1" t="s">
        <v>2669</v>
      </c>
      <c r="K202" s="1" t="s">
        <v>2711</v>
      </c>
      <c r="L202" s="1" t="s">
        <v>2671</v>
      </c>
      <c r="M202" s="1" t="s">
        <v>2712</v>
      </c>
      <c r="N202" s="1" t="s">
        <v>2713</v>
      </c>
      <c r="O202" s="2" t="n">
        <v>44720</v>
      </c>
    </row>
    <row r="203" customFormat="false" ht="13.8" hidden="false" customHeight="false" outlineLevel="0" collapsed="false">
      <c r="A203" s="1" t="s">
        <v>1479</v>
      </c>
      <c r="B203" s="1" t="s">
        <v>1480</v>
      </c>
      <c r="C203" s="1" t="s">
        <v>1480</v>
      </c>
      <c r="D203" s="1" t="s">
        <v>2538</v>
      </c>
      <c r="E203" s="1" t="s">
        <v>2668</v>
      </c>
      <c r="F203" s="1" t="s">
        <v>2193</v>
      </c>
      <c r="G203" s="1" t="s">
        <v>2714</v>
      </c>
      <c r="H203" s="1" t="s">
        <v>2715</v>
      </c>
      <c r="I203" s="1"/>
      <c r="J203" s="1" t="s">
        <v>2716</v>
      </c>
      <c r="K203" s="1" t="s">
        <v>2711</v>
      </c>
      <c r="L203" s="1" t="s">
        <v>2717</v>
      </c>
      <c r="M203" s="1" t="s">
        <v>2718</v>
      </c>
      <c r="N203" s="1" t="s">
        <v>2719</v>
      </c>
      <c r="O203" s="2" t="n">
        <v>44720</v>
      </c>
    </row>
    <row r="204" customFormat="false" ht="13.8" hidden="false" customHeight="false" outlineLevel="0" collapsed="false">
      <c r="A204" s="1" t="s">
        <v>1479</v>
      </c>
      <c r="B204" s="1" t="s">
        <v>1535</v>
      </c>
      <c r="C204" s="1" t="s">
        <v>1479</v>
      </c>
      <c r="D204" s="1" t="s">
        <v>2529</v>
      </c>
      <c r="E204" s="1" t="s">
        <v>2720</v>
      </c>
      <c r="F204" s="1" t="s">
        <v>1688</v>
      </c>
      <c r="G204" s="1" t="s">
        <v>2721</v>
      </c>
      <c r="H204" s="1" t="s">
        <v>2722</v>
      </c>
      <c r="I204" s="1"/>
      <c r="J204" s="1"/>
      <c r="K204" s="1" t="s">
        <v>2723</v>
      </c>
      <c r="L204" s="1" t="s">
        <v>2724</v>
      </c>
      <c r="M204" s="1" t="s">
        <v>2725</v>
      </c>
      <c r="N204" s="1" t="s">
        <v>2726</v>
      </c>
      <c r="O204" s="2" t="n">
        <v>44722</v>
      </c>
    </row>
    <row r="205" customFormat="false" ht="13.8" hidden="false" customHeight="false" outlineLevel="0" collapsed="false">
      <c r="A205" s="1" t="s">
        <v>1495</v>
      </c>
      <c r="B205" s="1" t="s">
        <v>1535</v>
      </c>
      <c r="C205" s="1" t="s">
        <v>1495</v>
      </c>
      <c r="D205" s="1" t="s">
        <v>2538</v>
      </c>
      <c r="E205" s="1" t="s">
        <v>2727</v>
      </c>
      <c r="F205" s="1" t="s">
        <v>2692</v>
      </c>
      <c r="G205" s="1" t="s">
        <v>1876</v>
      </c>
      <c r="H205" s="1" t="n">
        <v>0.690972222222222</v>
      </c>
      <c r="I205" s="1"/>
      <c r="J205" s="1" t="s">
        <v>2728</v>
      </c>
      <c r="K205" s="1" t="s">
        <v>2729</v>
      </c>
      <c r="L205" s="1" t="s">
        <v>2730</v>
      </c>
      <c r="M205" s="1" t="s">
        <v>2731</v>
      </c>
      <c r="N205" s="1" t="s">
        <v>2732</v>
      </c>
      <c r="O205" s="2" t="n">
        <v>44722</v>
      </c>
    </row>
    <row r="206" customFormat="false" ht="13.8" hidden="false" customHeight="false" outlineLevel="0" collapsed="false">
      <c r="A206" s="1" t="s">
        <v>1503</v>
      </c>
      <c r="B206" s="1" t="s">
        <v>1535</v>
      </c>
      <c r="C206" s="1" t="s">
        <v>1503</v>
      </c>
      <c r="D206" s="1" t="s">
        <v>2538</v>
      </c>
      <c r="E206" s="1" t="s">
        <v>2733</v>
      </c>
      <c r="F206" s="1" t="s">
        <v>2250</v>
      </c>
      <c r="G206" s="1" t="s">
        <v>2710</v>
      </c>
      <c r="H206" s="1" t="s">
        <v>2734</v>
      </c>
      <c r="I206" s="1"/>
      <c r="J206" s="1" t="s">
        <v>2735</v>
      </c>
      <c r="K206" s="1" t="s">
        <v>2736</v>
      </c>
      <c r="L206" s="1" t="s">
        <v>2737</v>
      </c>
      <c r="M206" s="1" t="s">
        <v>2738</v>
      </c>
      <c r="N206" s="1" t="s">
        <v>2739</v>
      </c>
      <c r="O206" s="2" t="n">
        <v>44722</v>
      </c>
    </row>
    <row r="207" customFormat="false" ht="13.8" hidden="false" customHeight="false" outlineLevel="0" collapsed="false">
      <c r="A207" s="1" t="s">
        <v>1503</v>
      </c>
      <c r="B207" s="1" t="s">
        <v>1535</v>
      </c>
      <c r="C207" s="1" t="s">
        <v>1503</v>
      </c>
      <c r="D207" s="1" t="s">
        <v>2538</v>
      </c>
      <c r="E207" s="1" t="s">
        <v>2740</v>
      </c>
      <c r="F207" s="1" t="s">
        <v>2741</v>
      </c>
      <c r="G207" s="1" t="s">
        <v>2742</v>
      </c>
      <c r="H207" s="1" t="s">
        <v>2743</v>
      </c>
      <c r="I207" s="1"/>
      <c r="J207" s="1" t="s">
        <v>2744</v>
      </c>
      <c r="K207" s="1" t="s">
        <v>2745</v>
      </c>
      <c r="L207" s="1" t="s">
        <v>2746</v>
      </c>
      <c r="M207" s="1" t="s">
        <v>2747</v>
      </c>
      <c r="N207" s="1" t="s">
        <v>2748</v>
      </c>
      <c r="O207" s="2" t="n">
        <v>44722</v>
      </c>
    </row>
    <row r="208" customFormat="false" ht="13.8" hidden="false" customHeight="false" outlineLevel="0" collapsed="false">
      <c r="A208" s="1" t="s">
        <v>1479</v>
      </c>
      <c r="B208" s="1" t="s">
        <v>1496</v>
      </c>
      <c r="C208" s="1" t="s">
        <v>1479</v>
      </c>
      <c r="D208" s="1" t="s">
        <v>2538</v>
      </c>
      <c r="E208" s="1" t="s">
        <v>2749</v>
      </c>
      <c r="F208" s="1" t="s">
        <v>2750</v>
      </c>
      <c r="G208" s="1" t="s">
        <v>1614</v>
      </c>
      <c r="H208" s="1" t="s">
        <v>2138</v>
      </c>
      <c r="I208" s="1"/>
      <c r="J208" s="1"/>
      <c r="K208" s="1" t="s">
        <v>2751</v>
      </c>
      <c r="L208" s="1" t="s">
        <v>2752</v>
      </c>
      <c r="M208" s="1" t="s">
        <v>2753</v>
      </c>
      <c r="N208" s="1" t="s">
        <v>2754</v>
      </c>
      <c r="O208" s="2" t="n">
        <v>44722</v>
      </c>
    </row>
    <row r="209" customFormat="false" ht="13.8" hidden="false" customHeight="false" outlineLevel="0" collapsed="false">
      <c r="A209" s="4" t="s">
        <v>1479</v>
      </c>
      <c r="B209" s="4" t="s">
        <v>1535</v>
      </c>
      <c r="C209" s="1" t="s">
        <v>1639</v>
      </c>
      <c r="D209" s="1" t="s">
        <v>2529</v>
      </c>
      <c r="E209" s="1" t="s">
        <v>2755</v>
      </c>
      <c r="F209" s="1" t="s">
        <v>1674</v>
      </c>
      <c r="G209" s="1"/>
      <c r="H209" s="1" t="s">
        <v>2756</v>
      </c>
      <c r="I209" s="1"/>
      <c r="J209" s="1"/>
      <c r="K209" s="1" t="s">
        <v>2757</v>
      </c>
      <c r="L209" s="1" t="s">
        <v>2758</v>
      </c>
      <c r="M209" s="1" t="s">
        <v>2759</v>
      </c>
      <c r="N209" s="1" t="s">
        <v>2760</v>
      </c>
      <c r="O209" s="2" t="n">
        <v>44725</v>
      </c>
    </row>
    <row r="210" customFormat="false" ht="13.8" hidden="false" customHeight="false" outlineLevel="0" collapsed="false">
      <c r="A210" s="4" t="s">
        <v>1479</v>
      </c>
      <c r="B210" s="4" t="s">
        <v>1535</v>
      </c>
      <c r="C210" s="1" t="s">
        <v>1639</v>
      </c>
      <c r="D210" s="1" t="s">
        <v>2529</v>
      </c>
      <c r="E210" s="1" t="s">
        <v>2761</v>
      </c>
      <c r="F210" s="1" t="s">
        <v>1688</v>
      </c>
      <c r="G210" s="1"/>
      <c r="H210" s="1" t="s">
        <v>2762</v>
      </c>
      <c r="I210" s="1" t="s">
        <v>2763</v>
      </c>
      <c r="J210" s="1"/>
      <c r="K210" s="1" t="s">
        <v>2764</v>
      </c>
      <c r="L210" s="1" t="s">
        <v>2765</v>
      </c>
      <c r="M210" s="1" t="s">
        <v>2766</v>
      </c>
      <c r="N210" s="1" t="s">
        <v>2767</v>
      </c>
      <c r="O210" s="2" t="n">
        <v>44725</v>
      </c>
    </row>
    <row r="211" customFormat="false" ht="13.8" hidden="false" customHeight="false" outlineLevel="0" collapsed="false">
      <c r="A211" s="4" t="s">
        <v>1495</v>
      </c>
      <c r="B211" s="4" t="s">
        <v>1535</v>
      </c>
      <c r="C211" s="1" t="s">
        <v>1672</v>
      </c>
      <c r="D211" s="1" t="s">
        <v>2538</v>
      </c>
      <c r="E211" s="1" t="s">
        <v>2768</v>
      </c>
      <c r="F211" s="1" t="s">
        <v>1734</v>
      </c>
      <c r="G211" s="1" t="s">
        <v>1735</v>
      </c>
      <c r="H211" s="1" t="s">
        <v>2769</v>
      </c>
      <c r="I211" s="1" t="s">
        <v>2770</v>
      </c>
      <c r="J211" s="1" t="s">
        <v>2669</v>
      </c>
      <c r="K211" s="1" t="s">
        <v>2771</v>
      </c>
      <c r="L211" s="1" t="s">
        <v>2772</v>
      </c>
      <c r="M211" s="1" t="s">
        <v>2773</v>
      </c>
      <c r="N211" s="1" t="s">
        <v>2774</v>
      </c>
      <c r="O211" s="2" t="n">
        <v>44725</v>
      </c>
    </row>
    <row r="212" customFormat="false" ht="13.8" hidden="false" customHeight="false" outlineLevel="0" collapsed="false">
      <c r="A212" s="1" t="s">
        <v>1503</v>
      </c>
      <c r="B212" s="1" t="s">
        <v>1535</v>
      </c>
      <c r="C212" s="1" t="s">
        <v>1503</v>
      </c>
      <c r="D212" s="1" t="s">
        <v>2538</v>
      </c>
      <c r="E212" s="1" t="s">
        <v>2775</v>
      </c>
      <c r="F212" s="1" t="s">
        <v>2641</v>
      </c>
      <c r="G212" s="1" t="s">
        <v>1726</v>
      </c>
      <c r="H212" s="1" t="s">
        <v>2676</v>
      </c>
      <c r="I212" s="1"/>
      <c r="J212" s="1" t="s">
        <v>2776</v>
      </c>
      <c r="K212" s="1" t="s">
        <v>2777</v>
      </c>
      <c r="L212" s="1" t="s">
        <v>2778</v>
      </c>
      <c r="M212" s="1" t="s">
        <v>2779</v>
      </c>
      <c r="N212" s="1" t="s">
        <v>2780</v>
      </c>
      <c r="O212" s="2" t="n">
        <v>44725</v>
      </c>
    </row>
    <row r="213" customFormat="false" ht="13.8" hidden="false" customHeight="false" outlineLevel="0" collapsed="false">
      <c r="A213" s="1" t="s">
        <v>1479</v>
      </c>
      <c r="B213" s="1" t="s">
        <v>1487</v>
      </c>
      <c r="C213" s="4" t="s">
        <v>1488</v>
      </c>
      <c r="D213" s="1" t="s">
        <v>2529</v>
      </c>
      <c r="E213" s="1" t="s">
        <v>2781</v>
      </c>
      <c r="F213" s="1" t="s">
        <v>1784</v>
      </c>
      <c r="G213" s="1"/>
      <c r="H213" s="1" t="s">
        <v>2097</v>
      </c>
      <c r="I213" s="1" t="s">
        <v>2782</v>
      </c>
      <c r="J213" s="1" t="s">
        <v>2783</v>
      </c>
      <c r="K213" s="1" t="s">
        <v>2784</v>
      </c>
      <c r="L213" s="1" t="s">
        <v>2785</v>
      </c>
      <c r="M213" s="1"/>
      <c r="N213" s="1" t="s">
        <v>2786</v>
      </c>
      <c r="O213" s="2" t="n">
        <v>44727</v>
      </c>
    </row>
    <row r="214" customFormat="false" ht="13.8" hidden="false" customHeight="false" outlineLevel="0" collapsed="false">
      <c r="A214" s="4" t="s">
        <v>1479</v>
      </c>
      <c r="B214" s="4" t="s">
        <v>1535</v>
      </c>
      <c r="C214" s="1" t="s">
        <v>1639</v>
      </c>
      <c r="D214" s="1" t="s">
        <v>2538</v>
      </c>
      <c r="E214" s="1" t="s">
        <v>2787</v>
      </c>
      <c r="F214" s="1" t="s">
        <v>2788</v>
      </c>
      <c r="G214" s="1" t="s">
        <v>2789</v>
      </c>
      <c r="H214" s="1" t="s">
        <v>2790</v>
      </c>
      <c r="I214" s="1"/>
      <c r="J214" s="1" t="s">
        <v>2791</v>
      </c>
      <c r="K214" s="1" t="s">
        <v>2792</v>
      </c>
      <c r="L214" s="1" t="s">
        <v>2793</v>
      </c>
      <c r="M214" s="1" t="s">
        <v>2794</v>
      </c>
      <c r="N214" s="1" t="s">
        <v>2795</v>
      </c>
      <c r="O214" s="2" t="n">
        <v>44727</v>
      </c>
    </row>
    <row r="215" customFormat="false" ht="13.8" hidden="false" customHeight="false" outlineLevel="0" collapsed="false">
      <c r="A215" s="1" t="s">
        <v>1479</v>
      </c>
      <c r="B215" s="1" t="s">
        <v>1480</v>
      </c>
      <c r="C215" s="1" t="s">
        <v>1600</v>
      </c>
      <c r="D215" s="1" t="s">
        <v>2538</v>
      </c>
      <c r="E215" s="1" t="s">
        <v>2796</v>
      </c>
      <c r="F215" s="1"/>
      <c r="G215" s="1" t="s">
        <v>2266</v>
      </c>
      <c r="H215" s="1" t="s">
        <v>2797</v>
      </c>
      <c r="I215" s="1"/>
      <c r="J215" s="1" t="s">
        <v>2798</v>
      </c>
      <c r="K215" s="1" t="s">
        <v>2799</v>
      </c>
      <c r="L215" s="1" t="s">
        <v>2800</v>
      </c>
      <c r="M215" s="1" t="s">
        <v>2801</v>
      </c>
      <c r="N215" s="1" t="s">
        <v>2802</v>
      </c>
      <c r="O215" s="2" t="n">
        <v>44727</v>
      </c>
    </row>
    <row r="216" customFormat="false" ht="13.8" hidden="false" customHeight="false" outlineLevel="0" collapsed="false">
      <c r="A216" s="1" t="s">
        <v>1479</v>
      </c>
      <c r="B216" s="1" t="s">
        <v>1535</v>
      </c>
      <c r="C216" s="1" t="s">
        <v>1479</v>
      </c>
      <c r="D216" s="1" t="s">
        <v>2538</v>
      </c>
      <c r="E216" s="1" t="s">
        <v>2803</v>
      </c>
      <c r="F216" s="1" t="s">
        <v>2692</v>
      </c>
      <c r="G216" s="1" t="n">
        <v>0.684027777777778</v>
      </c>
      <c r="H216" s="1" t="s">
        <v>1939</v>
      </c>
      <c r="I216" s="1"/>
      <c r="J216" s="1" t="s">
        <v>2804</v>
      </c>
      <c r="K216" s="1" t="s">
        <v>2805</v>
      </c>
      <c r="L216" s="1" t="s">
        <v>2806</v>
      </c>
      <c r="M216" s="1" t="s">
        <v>2807</v>
      </c>
      <c r="N216" s="1" t="s">
        <v>2808</v>
      </c>
      <c r="O216" s="2" t="n">
        <v>44729</v>
      </c>
    </row>
    <row r="217" customFormat="false" ht="13.8" hidden="false" customHeight="false" outlineLevel="0" collapsed="false">
      <c r="A217" s="1" t="s">
        <v>1479</v>
      </c>
      <c r="B217" s="1" t="s">
        <v>1496</v>
      </c>
      <c r="C217" s="1" t="s">
        <v>1680</v>
      </c>
      <c r="D217" s="1" t="s">
        <v>2529</v>
      </c>
      <c r="E217" s="1" t="s">
        <v>2809</v>
      </c>
      <c r="F217" s="1" t="s">
        <v>2810</v>
      </c>
      <c r="G217" s="1"/>
      <c r="H217" s="1" t="s">
        <v>2811</v>
      </c>
      <c r="I217" s="1" t="s">
        <v>1633</v>
      </c>
      <c r="J217" s="1" t="s">
        <v>2812</v>
      </c>
      <c r="K217" s="1" t="s">
        <v>2813</v>
      </c>
      <c r="L217" s="1" t="s">
        <v>2814</v>
      </c>
      <c r="M217" s="1" t="s">
        <v>2815</v>
      </c>
      <c r="N217" s="1" t="s">
        <v>2816</v>
      </c>
      <c r="O217" s="2" t="n">
        <v>44733</v>
      </c>
    </row>
    <row r="218" customFormat="false" ht="13.8" hidden="false" customHeight="false" outlineLevel="0" collapsed="false">
      <c r="A218" s="1" t="s">
        <v>1479</v>
      </c>
      <c r="B218" s="1" t="s">
        <v>1487</v>
      </c>
      <c r="C218" s="4" t="s">
        <v>1488</v>
      </c>
      <c r="D218" s="1" t="s">
        <v>2538</v>
      </c>
      <c r="E218" s="1" t="s">
        <v>2817</v>
      </c>
      <c r="F218" s="1" t="s">
        <v>2818</v>
      </c>
      <c r="G218" s="1" t="s">
        <v>2458</v>
      </c>
      <c r="H218" s="1" t="s">
        <v>2819</v>
      </c>
      <c r="I218" s="1"/>
      <c r="J218" s="1" t="s">
        <v>2728</v>
      </c>
      <c r="K218" s="1" t="s">
        <v>2820</v>
      </c>
      <c r="L218" s="1" t="s">
        <v>2821</v>
      </c>
      <c r="M218" s="1" t="s">
        <v>2801</v>
      </c>
      <c r="N218" s="1" t="s">
        <v>2822</v>
      </c>
      <c r="O218" s="2" t="n">
        <v>44733</v>
      </c>
    </row>
    <row r="219" customFormat="false" ht="13.8" hidden="false" customHeight="false" outlineLevel="0" collapsed="false">
      <c r="A219" s="1" t="s">
        <v>1479</v>
      </c>
      <c r="B219" s="1" t="s">
        <v>1487</v>
      </c>
      <c r="C219" s="4" t="s">
        <v>1488</v>
      </c>
      <c r="D219" s="1" t="s">
        <v>2529</v>
      </c>
      <c r="E219" s="1" t="s">
        <v>2071</v>
      </c>
      <c r="F219" s="1" t="s">
        <v>2823</v>
      </c>
      <c r="G219" s="1" t="s">
        <v>1689</v>
      </c>
      <c r="H219" s="1" t="s">
        <v>2824</v>
      </c>
      <c r="I219" s="1"/>
      <c r="J219" s="1" t="s">
        <v>2825</v>
      </c>
      <c r="K219" s="1" t="s">
        <v>2826</v>
      </c>
      <c r="L219" s="1" t="s">
        <v>2827</v>
      </c>
      <c r="M219" s="1"/>
      <c r="N219" s="1" t="s">
        <v>2828</v>
      </c>
      <c r="O219" s="2" t="n">
        <v>44734</v>
      </c>
    </row>
    <row r="220" customFormat="false" ht="13.8" hidden="false" customHeight="false" outlineLevel="0" collapsed="false">
      <c r="A220" s="1" t="s">
        <v>1503</v>
      </c>
      <c r="B220" s="1" t="s">
        <v>1535</v>
      </c>
      <c r="C220" s="1" t="s">
        <v>2829</v>
      </c>
      <c r="D220" s="1" t="s">
        <v>2529</v>
      </c>
      <c r="E220" s="1" t="s">
        <v>2830</v>
      </c>
      <c r="F220" s="1" t="s">
        <v>2831</v>
      </c>
      <c r="G220" s="1" t="s">
        <v>2832</v>
      </c>
      <c r="H220" s="1" t="s">
        <v>1622</v>
      </c>
      <c r="I220" s="1"/>
      <c r="J220" s="1" t="s">
        <v>2437</v>
      </c>
      <c r="K220" s="1" t="s">
        <v>2833</v>
      </c>
      <c r="L220" s="1" t="s">
        <v>2834</v>
      </c>
      <c r="M220" s="1" t="s">
        <v>2835</v>
      </c>
      <c r="N220" s="1" t="s">
        <v>2836</v>
      </c>
      <c r="O220" s="2" t="n">
        <v>44734</v>
      </c>
    </row>
    <row r="221" customFormat="false" ht="13.8" hidden="false" customHeight="false" outlineLevel="0" collapsed="false">
      <c r="A221" s="1" t="s">
        <v>1479</v>
      </c>
      <c r="B221" s="1" t="s">
        <v>1487</v>
      </c>
      <c r="C221" s="4" t="s">
        <v>1488</v>
      </c>
      <c r="D221" s="1" t="s">
        <v>2529</v>
      </c>
      <c r="E221" s="1" t="s">
        <v>2837</v>
      </c>
      <c r="F221" s="1" t="s">
        <v>2838</v>
      </c>
      <c r="G221" s="1"/>
      <c r="H221" s="1" t="s">
        <v>2839</v>
      </c>
      <c r="I221" s="1" t="s">
        <v>2840</v>
      </c>
      <c r="J221" s="1" t="s">
        <v>2669</v>
      </c>
      <c r="K221" s="1" t="s">
        <v>2841</v>
      </c>
      <c r="L221" s="1" t="s">
        <v>2842</v>
      </c>
      <c r="M221" s="1" t="s">
        <v>2843</v>
      </c>
      <c r="N221" s="1" t="s">
        <v>2844</v>
      </c>
      <c r="O221" s="2" t="n">
        <v>44734</v>
      </c>
    </row>
    <row r="222" customFormat="false" ht="13.8" hidden="false" customHeight="false" outlineLevel="0" collapsed="false">
      <c r="A222" s="1" t="s">
        <v>1503</v>
      </c>
      <c r="B222" s="1" t="s">
        <v>1535</v>
      </c>
      <c r="C222" s="1" t="s">
        <v>2829</v>
      </c>
      <c r="D222" s="1" t="s">
        <v>2529</v>
      </c>
      <c r="E222" s="1" t="s">
        <v>2845</v>
      </c>
      <c r="F222" s="1" t="s">
        <v>2831</v>
      </c>
      <c r="G222" s="1"/>
      <c r="H222" s="1"/>
      <c r="I222" s="1"/>
      <c r="J222" s="1"/>
      <c r="K222" s="1" t="s">
        <v>2846</v>
      </c>
      <c r="L222" s="1" t="s">
        <v>2847</v>
      </c>
      <c r="M222" s="1"/>
      <c r="N222" s="1" t="s">
        <v>2848</v>
      </c>
      <c r="O222" s="2" t="n">
        <v>44734</v>
      </c>
    </row>
    <row r="223" customFormat="false" ht="13.8" hidden="false" customHeight="false" outlineLevel="0" collapsed="false">
      <c r="A223" s="4" t="s">
        <v>1479</v>
      </c>
      <c r="B223" s="4" t="s">
        <v>1535</v>
      </c>
      <c r="C223" s="1" t="s">
        <v>1639</v>
      </c>
      <c r="D223" s="1" t="s">
        <v>2529</v>
      </c>
      <c r="E223" s="1" t="s">
        <v>1838</v>
      </c>
      <c r="F223" s="1" t="s">
        <v>2586</v>
      </c>
      <c r="G223" s="1"/>
      <c r="H223" s="1"/>
      <c r="I223" s="1"/>
      <c r="J223" s="1"/>
      <c r="K223" s="1" t="s">
        <v>2849</v>
      </c>
      <c r="L223" s="1" t="s">
        <v>2850</v>
      </c>
      <c r="M223" s="1"/>
      <c r="N223" s="1" t="s">
        <v>2851</v>
      </c>
      <c r="O223" s="2" t="n">
        <v>44736</v>
      </c>
    </row>
    <row r="224" customFormat="false" ht="13.8" hidden="false" customHeight="false" outlineLevel="0" collapsed="false">
      <c r="A224" s="1" t="s">
        <v>1479</v>
      </c>
      <c r="B224" s="1" t="s">
        <v>1863</v>
      </c>
      <c r="C224" s="1" t="s">
        <v>1864</v>
      </c>
      <c r="D224" s="1" t="s">
        <v>2538</v>
      </c>
      <c r="E224" s="1" t="s">
        <v>2852</v>
      </c>
      <c r="F224" s="1" t="s">
        <v>2445</v>
      </c>
      <c r="G224" s="1" t="n">
        <v>0.729166666666667</v>
      </c>
      <c r="H224" s="1" t="n">
        <v>0.770833333333333</v>
      </c>
      <c r="I224" s="1"/>
      <c r="J224" s="1" t="s">
        <v>2853</v>
      </c>
      <c r="K224" s="1" t="s">
        <v>2854</v>
      </c>
      <c r="L224" s="1" t="s">
        <v>2855</v>
      </c>
      <c r="M224" s="1" t="s">
        <v>2856</v>
      </c>
      <c r="N224" s="1" t="s">
        <v>2857</v>
      </c>
      <c r="O224" s="2" t="n">
        <v>44736</v>
      </c>
    </row>
    <row r="225" customFormat="false" ht="13.8" hidden="false" customHeight="false" outlineLevel="0" collapsed="false">
      <c r="A225" s="1" t="s">
        <v>1495</v>
      </c>
      <c r="B225" s="1" t="s">
        <v>1487</v>
      </c>
      <c r="C225" s="1" t="s">
        <v>1656</v>
      </c>
      <c r="D225" s="1" t="s">
        <v>2538</v>
      </c>
      <c r="E225" s="1"/>
      <c r="F225" s="1" t="s">
        <v>2858</v>
      </c>
      <c r="G225" s="1" t="n">
        <v>0.708333333333333</v>
      </c>
      <c r="H225" s="1" t="n">
        <v>0.722222222222222</v>
      </c>
      <c r="I225" s="1"/>
      <c r="J225" s="1"/>
      <c r="K225" s="1" t="s">
        <v>2859</v>
      </c>
      <c r="L225" s="1" t="s">
        <v>2860</v>
      </c>
      <c r="M225" s="1" t="s">
        <v>2861</v>
      </c>
      <c r="N225" s="1" t="s">
        <v>2862</v>
      </c>
      <c r="O225" s="2" t="n">
        <v>44736</v>
      </c>
    </row>
    <row r="226" customFormat="false" ht="13.8" hidden="false" customHeight="false" outlineLevel="0" collapsed="false">
      <c r="A226" s="1" t="s">
        <v>1503</v>
      </c>
      <c r="B226" s="1" t="s">
        <v>1648</v>
      </c>
      <c r="C226" s="1" t="s">
        <v>1648</v>
      </c>
      <c r="D226" s="1" t="s">
        <v>2529</v>
      </c>
      <c r="E226" s="1" t="s">
        <v>1838</v>
      </c>
      <c r="F226" s="1" t="s">
        <v>2863</v>
      </c>
      <c r="G226" s="1"/>
      <c r="H226" s="1" t="s">
        <v>2864</v>
      </c>
      <c r="I226" s="1"/>
      <c r="J226" s="1"/>
      <c r="K226" s="1" t="s">
        <v>2865</v>
      </c>
      <c r="L226" s="1" t="s">
        <v>2866</v>
      </c>
      <c r="M226" s="1" t="s">
        <v>2867</v>
      </c>
      <c r="N226" s="1" t="s">
        <v>2868</v>
      </c>
      <c r="O226" s="2" t="n">
        <v>44739</v>
      </c>
    </row>
    <row r="227" customFormat="false" ht="13.8" hidden="false" customHeight="false" outlineLevel="0" collapsed="false">
      <c r="A227" s="1" t="s">
        <v>1495</v>
      </c>
      <c r="B227" s="1" t="s">
        <v>1496</v>
      </c>
      <c r="C227" s="1" t="s">
        <v>1619</v>
      </c>
      <c r="D227" s="1" t="s">
        <v>2529</v>
      </c>
      <c r="E227" s="1" t="s">
        <v>2869</v>
      </c>
      <c r="F227" s="1" t="s">
        <v>2014</v>
      </c>
      <c r="G227" s="1" t="s">
        <v>2050</v>
      </c>
      <c r="H227" s="1" t="s">
        <v>2870</v>
      </c>
      <c r="I227" s="1"/>
      <c r="J227" s="1" t="s">
        <v>1625</v>
      </c>
      <c r="K227" s="1" t="s">
        <v>2871</v>
      </c>
      <c r="L227" s="1" t="s">
        <v>2872</v>
      </c>
      <c r="M227" s="1"/>
      <c r="N227" s="1" t="s">
        <v>2873</v>
      </c>
      <c r="O227" s="2" t="n">
        <v>44740</v>
      </c>
    </row>
    <row r="228" customFormat="false" ht="13.8" hidden="false" customHeight="false" outlineLevel="0" collapsed="false">
      <c r="A228" s="1" t="s">
        <v>1479</v>
      </c>
      <c r="B228" s="1" t="s">
        <v>1535</v>
      </c>
      <c r="C228" s="1" t="s">
        <v>1722</v>
      </c>
      <c r="D228" s="1" t="s">
        <v>2529</v>
      </c>
      <c r="E228" s="1" t="s">
        <v>2273</v>
      </c>
      <c r="F228" s="1" t="s">
        <v>1922</v>
      </c>
      <c r="G228" s="1" t="s">
        <v>2874</v>
      </c>
      <c r="H228" s="1" t="s">
        <v>1923</v>
      </c>
      <c r="I228" s="1" t="n">
        <v>0</v>
      </c>
      <c r="J228" s="1" t="s">
        <v>1869</v>
      </c>
      <c r="K228" s="1" t="s">
        <v>2875</v>
      </c>
      <c r="L228" s="1" t="s">
        <v>1925</v>
      </c>
      <c r="M228" s="1" t="s">
        <v>2876</v>
      </c>
      <c r="N228" s="1" t="s">
        <v>2877</v>
      </c>
      <c r="O228" s="2" t="n">
        <v>44740</v>
      </c>
    </row>
    <row r="229" customFormat="false" ht="13.8" hidden="false" customHeight="false" outlineLevel="0" collapsed="false">
      <c r="A229" s="1" t="s">
        <v>1503</v>
      </c>
      <c r="B229" s="1" t="s">
        <v>1535</v>
      </c>
      <c r="C229" s="1" t="s">
        <v>1503</v>
      </c>
      <c r="D229" s="1" t="s">
        <v>2538</v>
      </c>
      <c r="E229" s="1" t="s">
        <v>2878</v>
      </c>
      <c r="F229" s="1" t="s">
        <v>2641</v>
      </c>
      <c r="G229" s="1" t="s">
        <v>1651</v>
      </c>
      <c r="H229" s="1" t="s">
        <v>1876</v>
      </c>
      <c r="I229" s="1" t="s">
        <v>1651</v>
      </c>
      <c r="J229" s="1" t="s">
        <v>1651</v>
      </c>
      <c r="K229" s="1" t="s">
        <v>2879</v>
      </c>
      <c r="L229" s="1" t="s">
        <v>2880</v>
      </c>
      <c r="M229" s="1" t="s">
        <v>2881</v>
      </c>
      <c r="N229" s="1" t="s">
        <v>2882</v>
      </c>
      <c r="O229" s="2" t="n">
        <v>44740</v>
      </c>
    </row>
    <row r="230" customFormat="false" ht="13.8" hidden="false" customHeight="false" outlineLevel="0" collapsed="false">
      <c r="A230" s="1" t="s">
        <v>1495</v>
      </c>
      <c r="B230" s="1" t="s">
        <v>1496</v>
      </c>
      <c r="C230" s="1" t="s">
        <v>2883</v>
      </c>
      <c r="D230" s="1" t="s">
        <v>2538</v>
      </c>
      <c r="E230" s="1" t="s">
        <v>2884</v>
      </c>
      <c r="F230" s="1" t="s">
        <v>1816</v>
      </c>
      <c r="G230" s="1" t="s">
        <v>2885</v>
      </c>
      <c r="H230" s="1" t="s">
        <v>2886</v>
      </c>
      <c r="I230" s="1"/>
      <c r="J230" s="1" t="s">
        <v>2887</v>
      </c>
      <c r="K230" s="1" t="s">
        <v>2888</v>
      </c>
      <c r="L230" s="1" t="s">
        <v>2889</v>
      </c>
      <c r="M230" s="1" t="s">
        <v>2890</v>
      </c>
      <c r="N230" s="1" t="s">
        <v>2891</v>
      </c>
      <c r="O230" s="2" t="n">
        <v>44740</v>
      </c>
    </row>
    <row r="231" customFormat="false" ht="13.8" hidden="false" customHeight="false" outlineLevel="0" collapsed="false">
      <c r="A231" s="4" t="s">
        <v>1495</v>
      </c>
      <c r="B231" s="4" t="s">
        <v>1535</v>
      </c>
      <c r="C231" s="1" t="s">
        <v>1732</v>
      </c>
      <c r="D231" s="1" t="s">
        <v>2538</v>
      </c>
      <c r="E231" s="1" t="s">
        <v>2892</v>
      </c>
      <c r="F231" s="1" t="s">
        <v>2893</v>
      </c>
      <c r="G231" s="1" t="s">
        <v>1735</v>
      </c>
      <c r="H231" s="1" t="s">
        <v>2710</v>
      </c>
      <c r="I231" s="1" t="n">
        <v>0</v>
      </c>
      <c r="J231" s="1" t="s">
        <v>2894</v>
      </c>
      <c r="K231" s="1" t="s">
        <v>2895</v>
      </c>
      <c r="L231" s="1" t="s">
        <v>2896</v>
      </c>
      <c r="M231" s="1" t="s">
        <v>2897</v>
      </c>
      <c r="N231" s="1" t="s">
        <v>2898</v>
      </c>
      <c r="O231" s="2" t="n">
        <v>44740</v>
      </c>
    </row>
    <row r="232" customFormat="false" ht="13.8" hidden="false" customHeight="false" outlineLevel="0" collapsed="false">
      <c r="A232" s="1" t="s">
        <v>1479</v>
      </c>
      <c r="B232" s="1" t="s">
        <v>1480</v>
      </c>
      <c r="C232" s="1" t="s">
        <v>1600</v>
      </c>
      <c r="D232" s="1" t="s">
        <v>2538</v>
      </c>
      <c r="E232" s="1" t="s">
        <v>2796</v>
      </c>
      <c r="F232" s="1" t="s">
        <v>2334</v>
      </c>
      <c r="G232" s="1" t="s">
        <v>2734</v>
      </c>
      <c r="H232" s="1" t="s">
        <v>2899</v>
      </c>
      <c r="I232" s="1"/>
      <c r="J232" s="1" t="s">
        <v>2900</v>
      </c>
      <c r="K232" s="1" t="s">
        <v>2901</v>
      </c>
      <c r="L232" s="1" t="s">
        <v>2902</v>
      </c>
      <c r="M232" s="1" t="s">
        <v>2903</v>
      </c>
      <c r="N232" s="1" t="s">
        <v>2904</v>
      </c>
      <c r="O232" s="2" t="n">
        <v>44741</v>
      </c>
    </row>
    <row r="233" customFormat="false" ht="13.8" hidden="false" customHeight="false" outlineLevel="0" collapsed="false">
      <c r="A233" s="4" t="s">
        <v>1479</v>
      </c>
      <c r="B233" s="4" t="s">
        <v>1535</v>
      </c>
      <c r="C233" s="1" t="s">
        <v>1639</v>
      </c>
      <c r="D233" s="1" t="s">
        <v>2529</v>
      </c>
      <c r="E233" s="1" t="s">
        <v>2905</v>
      </c>
      <c r="F233" s="1" t="s">
        <v>2906</v>
      </c>
      <c r="G233" s="1"/>
      <c r="H233" s="1"/>
      <c r="I233" s="1"/>
      <c r="J233" s="1"/>
      <c r="K233" s="1" t="s">
        <v>2907</v>
      </c>
      <c r="L233" s="1" t="s">
        <v>2908</v>
      </c>
      <c r="M233" s="1" t="s">
        <v>2909</v>
      </c>
      <c r="N233" s="1" t="s">
        <v>2910</v>
      </c>
      <c r="O233" s="2" t="n">
        <v>44742</v>
      </c>
    </row>
    <row r="234" customFormat="false" ht="13.8" hidden="false" customHeight="false" outlineLevel="0" collapsed="false">
      <c r="A234" s="4" t="s">
        <v>1479</v>
      </c>
      <c r="B234" s="4" t="s">
        <v>1535</v>
      </c>
      <c r="C234" s="1" t="s">
        <v>1639</v>
      </c>
      <c r="D234" s="1" t="s">
        <v>2529</v>
      </c>
      <c r="E234" s="1" t="s">
        <v>2911</v>
      </c>
      <c r="F234" s="1" t="s">
        <v>2912</v>
      </c>
      <c r="G234" s="1"/>
      <c r="H234" s="1" t="s">
        <v>2913</v>
      </c>
      <c r="I234" s="1"/>
      <c r="J234" s="1"/>
      <c r="K234" s="1" t="s">
        <v>2914</v>
      </c>
      <c r="L234" s="1" t="s">
        <v>2915</v>
      </c>
      <c r="M234" s="1" t="s">
        <v>2916</v>
      </c>
      <c r="N234" s="1" t="s">
        <v>2917</v>
      </c>
      <c r="O234" s="2" t="n">
        <v>44742</v>
      </c>
    </row>
    <row r="235" customFormat="false" ht="13.8" hidden="false" customHeight="false" outlineLevel="0" collapsed="false">
      <c r="A235" s="1" t="s">
        <v>1479</v>
      </c>
      <c r="B235" s="1" t="s">
        <v>1487</v>
      </c>
      <c r="C235" s="4" t="s">
        <v>1488</v>
      </c>
      <c r="D235" s="1" t="s">
        <v>2538</v>
      </c>
      <c r="E235" s="1" t="s">
        <v>2918</v>
      </c>
      <c r="F235" s="1" t="s">
        <v>2919</v>
      </c>
      <c r="G235" s="1" t="s">
        <v>2920</v>
      </c>
      <c r="H235" s="1" t="s">
        <v>2921</v>
      </c>
      <c r="I235" s="1" t="s">
        <v>2922</v>
      </c>
      <c r="J235" s="1" t="n">
        <v>29</v>
      </c>
      <c r="K235" s="1" t="s">
        <v>2923</v>
      </c>
      <c r="L235" s="1" t="s">
        <v>2924</v>
      </c>
      <c r="M235" s="1" t="s">
        <v>2925</v>
      </c>
      <c r="N235" s="1" t="s">
        <v>2926</v>
      </c>
      <c r="O235" s="2" t="n">
        <v>44742</v>
      </c>
    </row>
    <row r="236" customFormat="false" ht="13.8" hidden="false" customHeight="false" outlineLevel="0" collapsed="false">
      <c r="A236" s="4" t="s">
        <v>1479</v>
      </c>
      <c r="B236" s="4" t="s">
        <v>1535</v>
      </c>
      <c r="C236" s="12" t="s">
        <v>1639</v>
      </c>
      <c r="D236" s="13" t="s">
        <v>2529</v>
      </c>
      <c r="E236" s="13" t="s">
        <v>2927</v>
      </c>
      <c r="F236" s="13" t="s">
        <v>2928</v>
      </c>
      <c r="G236" s="13" t="s">
        <v>1800</v>
      </c>
      <c r="H236" s="13" t="s">
        <v>1970</v>
      </c>
      <c r="I236" s="13"/>
      <c r="J236" s="13"/>
      <c r="K236" s="13" t="s">
        <v>2929</v>
      </c>
      <c r="L236" s="13" t="s">
        <v>2930</v>
      </c>
      <c r="M236" s="13" t="s">
        <v>2931</v>
      </c>
      <c r="N236" s="13"/>
      <c r="O236" s="2" t="n">
        <v>44658</v>
      </c>
    </row>
    <row r="237" customFormat="false" ht="13.8" hidden="false" customHeight="false" outlineLevel="0" collapsed="false">
      <c r="A237" s="1" t="s">
        <v>1479</v>
      </c>
      <c r="B237" s="1" t="s">
        <v>1480</v>
      </c>
      <c r="C237" s="14" t="s">
        <v>1600</v>
      </c>
      <c r="D237" s="15" t="s">
        <v>2529</v>
      </c>
      <c r="E237" s="15" t="s">
        <v>2932</v>
      </c>
      <c r="F237" s="15" t="s">
        <v>2933</v>
      </c>
      <c r="G237" s="15" t="s">
        <v>1800</v>
      </c>
      <c r="H237" s="15" t="s">
        <v>2532</v>
      </c>
      <c r="I237" s="15"/>
      <c r="J237" s="15"/>
      <c r="K237" s="15" t="s">
        <v>2934</v>
      </c>
      <c r="L237" s="15" t="s">
        <v>2935</v>
      </c>
      <c r="M237" s="15" t="s">
        <v>2931</v>
      </c>
      <c r="N237" s="15" t="s">
        <v>2936</v>
      </c>
      <c r="O237" s="2" t="n">
        <v>44658</v>
      </c>
    </row>
    <row r="238" customFormat="false" ht="13.8" hidden="false" customHeight="false" outlineLevel="0" collapsed="false">
      <c r="A238" s="1" t="s">
        <v>1495</v>
      </c>
      <c r="B238" s="1" t="s">
        <v>1487</v>
      </c>
      <c r="C238" s="12" t="s">
        <v>1656</v>
      </c>
      <c r="D238" s="13" t="s">
        <v>2529</v>
      </c>
      <c r="E238" s="13" t="s">
        <v>2937</v>
      </c>
      <c r="F238" s="13" t="s">
        <v>2938</v>
      </c>
      <c r="G238" s="13" t="s">
        <v>2939</v>
      </c>
      <c r="H238" s="13" t="s">
        <v>2940</v>
      </c>
      <c r="I238" s="13"/>
      <c r="J238" s="13"/>
      <c r="K238" s="13" t="s">
        <v>2941</v>
      </c>
      <c r="L238" s="13" t="s">
        <v>2942</v>
      </c>
      <c r="M238" s="13" t="s">
        <v>2943</v>
      </c>
      <c r="N238" s="13" t="s">
        <v>2944</v>
      </c>
      <c r="O238" s="2" t="n">
        <v>44658</v>
      </c>
    </row>
    <row r="239" customFormat="false" ht="13.8" hidden="false" customHeight="false" outlineLevel="0" collapsed="false">
      <c r="A239" s="4" t="s">
        <v>1479</v>
      </c>
      <c r="B239" s="4" t="s">
        <v>1535</v>
      </c>
      <c r="C239" s="14" t="s">
        <v>1639</v>
      </c>
      <c r="D239" s="15" t="s">
        <v>2529</v>
      </c>
      <c r="E239" s="15" t="s">
        <v>2945</v>
      </c>
      <c r="F239" s="15" t="s">
        <v>2911</v>
      </c>
      <c r="G239" s="15"/>
      <c r="H239" s="15" t="s">
        <v>2946</v>
      </c>
      <c r="I239" s="15"/>
      <c r="J239" s="15"/>
      <c r="K239" s="15" t="s">
        <v>2947</v>
      </c>
      <c r="L239" s="15" t="s">
        <v>2948</v>
      </c>
      <c r="M239" s="15"/>
      <c r="N239" s="15" t="s">
        <v>2949</v>
      </c>
      <c r="O239" s="2" t="n">
        <v>44658</v>
      </c>
    </row>
    <row r="240" customFormat="false" ht="13.8" hidden="false" customHeight="false" outlineLevel="0" collapsed="false">
      <c r="A240" s="1" t="s">
        <v>1479</v>
      </c>
      <c r="B240" s="1" t="s">
        <v>1480</v>
      </c>
      <c r="C240" s="12" t="s">
        <v>1600</v>
      </c>
      <c r="D240" s="13" t="s">
        <v>2529</v>
      </c>
      <c r="E240" s="13" t="s">
        <v>2950</v>
      </c>
      <c r="F240" s="13" t="s">
        <v>2334</v>
      </c>
      <c r="G240" s="13" t="s">
        <v>1800</v>
      </c>
      <c r="H240" s="13" t="s">
        <v>2532</v>
      </c>
      <c r="I240" s="13"/>
      <c r="J240" s="13"/>
      <c r="K240" s="13" t="s">
        <v>2951</v>
      </c>
      <c r="L240" s="13" t="s">
        <v>2952</v>
      </c>
      <c r="M240" s="13" t="s">
        <v>2931</v>
      </c>
      <c r="N240" s="13" t="s">
        <v>2953</v>
      </c>
      <c r="O240" s="2" t="n">
        <v>44658</v>
      </c>
    </row>
    <row r="241" customFormat="false" ht="13.8" hidden="false" customHeight="false" outlineLevel="0" collapsed="false">
      <c r="A241" s="1" t="s">
        <v>1503</v>
      </c>
      <c r="B241" s="1" t="s">
        <v>1535</v>
      </c>
      <c r="C241" s="14" t="s">
        <v>1503</v>
      </c>
      <c r="D241" s="15" t="s">
        <v>2538</v>
      </c>
      <c r="E241" s="15" t="s">
        <v>2954</v>
      </c>
      <c r="F241" s="15" t="s">
        <v>2422</v>
      </c>
      <c r="G241" s="15" t="s">
        <v>2015</v>
      </c>
      <c r="H241" s="15" t="s">
        <v>1613</v>
      </c>
      <c r="I241" s="15" t="s">
        <v>2704</v>
      </c>
      <c r="J241" s="15" t="s">
        <v>2705</v>
      </c>
      <c r="K241" s="15" t="s">
        <v>2955</v>
      </c>
      <c r="L241" s="15" t="s">
        <v>2956</v>
      </c>
      <c r="M241" s="15" t="s">
        <v>2957</v>
      </c>
      <c r="N241" s="15" t="s">
        <v>2958</v>
      </c>
      <c r="O241" s="2" t="n">
        <v>44658</v>
      </c>
    </row>
    <row r="242" customFormat="false" ht="13.8" hidden="false" customHeight="false" outlineLevel="0" collapsed="false">
      <c r="A242" s="1" t="s">
        <v>1503</v>
      </c>
      <c r="B242" s="1" t="s">
        <v>1535</v>
      </c>
      <c r="C242" s="12" t="s">
        <v>1503</v>
      </c>
      <c r="D242" s="13" t="s">
        <v>2538</v>
      </c>
      <c r="E242" s="13" t="s">
        <v>2959</v>
      </c>
      <c r="F242" s="13" t="s">
        <v>2641</v>
      </c>
      <c r="G242" s="13" t="s">
        <v>1939</v>
      </c>
      <c r="H242" s="13" t="s">
        <v>2960</v>
      </c>
      <c r="I242" s="13" t="s">
        <v>2704</v>
      </c>
      <c r="J242" s="13" t="s">
        <v>2961</v>
      </c>
      <c r="K242" s="13" t="s">
        <v>2962</v>
      </c>
      <c r="L242" s="13" t="s">
        <v>2963</v>
      </c>
      <c r="M242" s="13" t="s">
        <v>2964</v>
      </c>
      <c r="N242" s="13" t="s">
        <v>2965</v>
      </c>
      <c r="O242" s="2" t="n">
        <v>44658</v>
      </c>
    </row>
    <row r="243" customFormat="false" ht="13.8" hidden="false" customHeight="false" outlineLevel="0" collapsed="false">
      <c r="A243" s="4" t="s">
        <v>1479</v>
      </c>
      <c r="B243" s="4" t="s">
        <v>1535</v>
      </c>
      <c r="C243" s="14" t="s">
        <v>1639</v>
      </c>
      <c r="D243" s="15" t="s">
        <v>2529</v>
      </c>
      <c r="E243" s="15" t="s">
        <v>2966</v>
      </c>
      <c r="F243" s="15" t="s">
        <v>1641</v>
      </c>
      <c r="G243" s="15" t="s">
        <v>2967</v>
      </c>
      <c r="H243" s="15" t="s">
        <v>2968</v>
      </c>
      <c r="I243" s="15" t="s">
        <v>1633</v>
      </c>
      <c r="J243" s="15" t="s">
        <v>2969</v>
      </c>
      <c r="K243" s="15" t="s">
        <v>2970</v>
      </c>
      <c r="L243" s="15" t="s">
        <v>2971</v>
      </c>
      <c r="M243" s="15"/>
      <c r="N243" s="15" t="s">
        <v>2972</v>
      </c>
      <c r="O243" s="2" t="n">
        <v>44688</v>
      </c>
    </row>
    <row r="244" customFormat="false" ht="13.8" hidden="false" customHeight="false" outlineLevel="0" collapsed="false">
      <c r="A244" s="1" t="s">
        <v>1479</v>
      </c>
      <c r="B244" s="1" t="s">
        <v>1487</v>
      </c>
      <c r="C244" s="4" t="s">
        <v>1488</v>
      </c>
      <c r="D244" s="15" t="s">
        <v>2529</v>
      </c>
      <c r="E244" s="15" t="s">
        <v>2973</v>
      </c>
      <c r="F244" s="15" t="s">
        <v>2974</v>
      </c>
      <c r="G244" s="15" t="s">
        <v>1868</v>
      </c>
      <c r="H244" s="15" t="s">
        <v>2975</v>
      </c>
      <c r="I244" s="15"/>
      <c r="J244" s="15" t="s">
        <v>2976</v>
      </c>
      <c r="K244" s="15" t="s">
        <v>2977</v>
      </c>
      <c r="L244" s="15" t="s">
        <v>2978</v>
      </c>
      <c r="M244" s="15" t="s">
        <v>2979</v>
      </c>
      <c r="N244" s="15" t="s">
        <v>2980</v>
      </c>
      <c r="O244" s="2" t="n">
        <v>44688</v>
      </c>
    </row>
    <row r="245" customFormat="false" ht="13.8" hidden="false" customHeight="false" outlineLevel="0" collapsed="false">
      <c r="A245" s="1" t="s">
        <v>1503</v>
      </c>
      <c r="B245" s="1" t="s">
        <v>1535</v>
      </c>
      <c r="C245" s="12" t="s">
        <v>1503</v>
      </c>
      <c r="D245" s="13" t="s">
        <v>2529</v>
      </c>
      <c r="E245" s="13" t="s">
        <v>2959</v>
      </c>
      <c r="F245" s="13" t="s">
        <v>2641</v>
      </c>
      <c r="G245" s="13" t="s">
        <v>2057</v>
      </c>
      <c r="H245" s="13" t="s">
        <v>2981</v>
      </c>
      <c r="I245" s="13" t="s">
        <v>2704</v>
      </c>
      <c r="J245" s="13" t="s">
        <v>2982</v>
      </c>
      <c r="K245" s="13" t="s">
        <v>2983</v>
      </c>
      <c r="L245" s="13" t="s">
        <v>2984</v>
      </c>
      <c r="M245" s="13"/>
      <c r="N245" s="13" t="s">
        <v>2985</v>
      </c>
      <c r="O245" s="2" t="n">
        <v>44688</v>
      </c>
    </row>
    <row r="246" customFormat="false" ht="13.8" hidden="false" customHeight="false" outlineLevel="0" collapsed="false">
      <c r="A246" s="1" t="s">
        <v>1479</v>
      </c>
      <c r="B246" s="1" t="s">
        <v>1496</v>
      </c>
      <c r="C246" s="14" t="s">
        <v>1680</v>
      </c>
      <c r="D246" s="15" t="s">
        <v>2538</v>
      </c>
      <c r="E246" s="15" t="s">
        <v>2986</v>
      </c>
      <c r="F246" s="15" t="s">
        <v>2987</v>
      </c>
      <c r="G246" s="15" t="s">
        <v>2988</v>
      </c>
      <c r="H246" s="15" t="s">
        <v>2989</v>
      </c>
      <c r="I246" s="15" t="s">
        <v>2990</v>
      </c>
      <c r="J246" s="15" t="s">
        <v>2991</v>
      </c>
      <c r="K246" s="15" t="s">
        <v>2992</v>
      </c>
      <c r="L246" s="15" t="s">
        <v>2993</v>
      </c>
      <c r="M246" s="15" t="s">
        <v>2994</v>
      </c>
      <c r="N246" s="15" t="s">
        <v>2995</v>
      </c>
      <c r="O246" s="2" t="n">
        <v>44688</v>
      </c>
    </row>
    <row r="247" customFormat="false" ht="13.8" hidden="false" customHeight="false" outlineLevel="0" collapsed="false">
      <c r="A247" s="1" t="s">
        <v>1503</v>
      </c>
      <c r="B247" s="1" t="s">
        <v>1535</v>
      </c>
      <c r="C247" s="12" t="s">
        <v>1503</v>
      </c>
      <c r="D247" s="13" t="s">
        <v>2538</v>
      </c>
      <c r="E247" s="13" t="s">
        <v>1980</v>
      </c>
      <c r="F247" s="13" t="s">
        <v>2996</v>
      </c>
      <c r="G247" s="13"/>
      <c r="H247" s="13" t="s">
        <v>2997</v>
      </c>
      <c r="I247" s="13"/>
      <c r="J247" s="13"/>
      <c r="K247" s="13" t="s">
        <v>2998</v>
      </c>
      <c r="L247" s="13" t="s">
        <v>2999</v>
      </c>
      <c r="M247" s="13" t="s">
        <v>3000</v>
      </c>
      <c r="N247" s="13" t="s">
        <v>3001</v>
      </c>
      <c r="O247" s="2" t="n">
        <v>44688</v>
      </c>
    </row>
    <row r="248" customFormat="false" ht="13.8" hidden="false" customHeight="false" outlineLevel="0" collapsed="false">
      <c r="A248" s="1" t="s">
        <v>1479</v>
      </c>
      <c r="B248" s="1" t="s">
        <v>1496</v>
      </c>
      <c r="C248" s="14" t="s">
        <v>1680</v>
      </c>
      <c r="D248" s="15" t="s">
        <v>2529</v>
      </c>
      <c r="E248" s="15" t="s">
        <v>3002</v>
      </c>
      <c r="F248" s="15" t="s">
        <v>2014</v>
      </c>
      <c r="G248" s="15" t="s">
        <v>1868</v>
      </c>
      <c r="H248" s="15" t="s">
        <v>3003</v>
      </c>
      <c r="I248" s="15"/>
      <c r="J248" s="15" t="s">
        <v>3004</v>
      </c>
      <c r="K248" s="15" t="s">
        <v>3005</v>
      </c>
      <c r="L248" s="15" t="s">
        <v>3006</v>
      </c>
      <c r="M248" s="15" t="s">
        <v>3007</v>
      </c>
      <c r="N248" s="15" t="s">
        <v>3008</v>
      </c>
      <c r="O248" s="2" t="n">
        <v>44719</v>
      </c>
    </row>
    <row r="249" customFormat="false" ht="13.8" hidden="false" customHeight="false" outlineLevel="0" collapsed="false">
      <c r="A249" s="1" t="s">
        <v>1479</v>
      </c>
      <c r="B249" s="1" t="s">
        <v>3009</v>
      </c>
      <c r="C249" s="12" t="s">
        <v>3010</v>
      </c>
      <c r="D249" s="13" t="s">
        <v>2538</v>
      </c>
      <c r="E249" s="13" t="s">
        <v>3011</v>
      </c>
      <c r="F249" s="13" t="s">
        <v>3012</v>
      </c>
      <c r="G249" s="13"/>
      <c r="H249" s="13" t="s">
        <v>3013</v>
      </c>
      <c r="I249" s="13"/>
      <c r="J249" s="13"/>
      <c r="K249" s="13" t="s">
        <v>3014</v>
      </c>
      <c r="L249" s="13" t="s">
        <v>3015</v>
      </c>
      <c r="M249" s="13"/>
      <c r="N249" s="13" t="s">
        <v>3016</v>
      </c>
      <c r="O249" s="2" t="n">
        <v>44719</v>
      </c>
    </row>
    <row r="250" customFormat="false" ht="13.8" hidden="false" customHeight="false" outlineLevel="0" collapsed="false">
      <c r="A250" s="1" t="s">
        <v>1479</v>
      </c>
      <c r="B250" s="1" t="s">
        <v>3009</v>
      </c>
      <c r="C250" s="14" t="s">
        <v>3010</v>
      </c>
      <c r="D250" s="15" t="s">
        <v>2529</v>
      </c>
      <c r="E250" s="15" t="s">
        <v>3011</v>
      </c>
      <c r="F250" s="15" t="s">
        <v>3012</v>
      </c>
      <c r="G250" s="15"/>
      <c r="H250" s="15" t="s">
        <v>3013</v>
      </c>
      <c r="I250" s="15"/>
      <c r="J250" s="15"/>
      <c r="K250" s="15" t="s">
        <v>3017</v>
      </c>
      <c r="L250" s="15" t="s">
        <v>3018</v>
      </c>
      <c r="M250" s="15"/>
      <c r="N250" s="15" t="s">
        <v>3019</v>
      </c>
      <c r="O250" s="2" t="n">
        <v>44749</v>
      </c>
    </row>
    <row r="251" customFormat="false" ht="13.8" hidden="false" customHeight="false" outlineLevel="0" collapsed="false">
      <c r="A251" s="1" t="s">
        <v>1479</v>
      </c>
      <c r="B251" s="1" t="s">
        <v>1496</v>
      </c>
      <c r="C251" s="12" t="s">
        <v>1680</v>
      </c>
      <c r="D251" s="13" t="s">
        <v>2538</v>
      </c>
      <c r="E251" s="13" t="s">
        <v>3020</v>
      </c>
      <c r="F251" s="13" t="s">
        <v>3021</v>
      </c>
      <c r="G251" s="13" t="s">
        <v>1747</v>
      </c>
      <c r="H251" s="13" t="s">
        <v>2315</v>
      </c>
      <c r="I251" s="13"/>
      <c r="J251" s="13" t="s">
        <v>3022</v>
      </c>
      <c r="K251" s="13" t="s">
        <v>3023</v>
      </c>
      <c r="L251" s="13" t="s">
        <v>3024</v>
      </c>
      <c r="M251" s="13" t="s">
        <v>3025</v>
      </c>
      <c r="N251" s="13" t="s">
        <v>3026</v>
      </c>
      <c r="O251" s="2" t="n">
        <v>44749</v>
      </c>
    </row>
    <row r="252" customFormat="false" ht="13.8" hidden="false" customHeight="false" outlineLevel="0" collapsed="false">
      <c r="A252" s="1" t="s">
        <v>1479</v>
      </c>
      <c r="B252" s="1" t="s">
        <v>1496</v>
      </c>
      <c r="C252" s="14" t="s">
        <v>1680</v>
      </c>
      <c r="D252" s="15" t="s">
        <v>2529</v>
      </c>
      <c r="E252" s="15" t="s">
        <v>3027</v>
      </c>
      <c r="F252" s="15" t="s">
        <v>3028</v>
      </c>
      <c r="G252" s="15" t="s">
        <v>3029</v>
      </c>
      <c r="H252" s="15" t="s">
        <v>3030</v>
      </c>
      <c r="I252" s="15"/>
      <c r="J252" s="15"/>
      <c r="K252" s="15" t="s">
        <v>3031</v>
      </c>
      <c r="L252" s="15" t="s">
        <v>3032</v>
      </c>
      <c r="M252" s="15" t="s">
        <v>3033</v>
      </c>
      <c r="N252" s="15" t="s">
        <v>3034</v>
      </c>
      <c r="O252" s="2" t="n">
        <v>44750</v>
      </c>
    </row>
    <row r="253" customFormat="false" ht="13.8" hidden="false" customHeight="false" outlineLevel="0" collapsed="false">
      <c r="A253" s="1" t="s">
        <v>1503</v>
      </c>
      <c r="B253" s="1" t="s">
        <v>1535</v>
      </c>
      <c r="C253" s="12" t="s">
        <v>2829</v>
      </c>
      <c r="D253" s="13" t="s">
        <v>2538</v>
      </c>
      <c r="E253" s="13" t="s">
        <v>3035</v>
      </c>
      <c r="F253" s="13" t="s">
        <v>3036</v>
      </c>
      <c r="G253" s="13"/>
      <c r="H253" s="13" t="s">
        <v>2721</v>
      </c>
      <c r="I253" s="13" t="s">
        <v>2704</v>
      </c>
      <c r="J253" s="13" t="s">
        <v>3037</v>
      </c>
      <c r="K253" s="13" t="s">
        <v>3038</v>
      </c>
      <c r="L253" s="13" t="s">
        <v>3039</v>
      </c>
      <c r="M253" s="13" t="s">
        <v>3040</v>
      </c>
      <c r="N253" s="13" t="s">
        <v>3041</v>
      </c>
      <c r="O253" s="2" t="n">
        <v>44750</v>
      </c>
    </row>
    <row r="254" customFormat="false" ht="13.8" hidden="false" customHeight="false" outlineLevel="0" collapsed="false">
      <c r="A254" s="4" t="s">
        <v>1479</v>
      </c>
      <c r="B254" s="4" t="s">
        <v>1535</v>
      </c>
      <c r="C254" s="14" t="s">
        <v>1639</v>
      </c>
      <c r="D254" s="15" t="s">
        <v>2538</v>
      </c>
      <c r="E254" s="15" t="s">
        <v>3042</v>
      </c>
      <c r="F254" s="15" t="s">
        <v>1641</v>
      </c>
      <c r="G254" s="15" t="s">
        <v>3043</v>
      </c>
      <c r="H254" s="15" t="s">
        <v>2170</v>
      </c>
      <c r="I254" s="15" t="s">
        <v>2704</v>
      </c>
      <c r="J254" s="15" t="s">
        <v>3044</v>
      </c>
      <c r="K254" s="15" t="s">
        <v>3045</v>
      </c>
      <c r="L254" s="15" t="s">
        <v>3046</v>
      </c>
      <c r="M254" s="15" t="s">
        <v>3047</v>
      </c>
      <c r="N254" s="15" t="s">
        <v>3048</v>
      </c>
      <c r="O254" s="2" t="n">
        <v>44750</v>
      </c>
    </row>
    <row r="255" customFormat="false" ht="13.8" hidden="false" customHeight="false" outlineLevel="0" collapsed="false">
      <c r="A255" s="1" t="s">
        <v>1495</v>
      </c>
      <c r="B255" s="1" t="s">
        <v>1487</v>
      </c>
      <c r="C255" s="12" t="s">
        <v>1656</v>
      </c>
      <c r="D255" s="13" t="s">
        <v>2538</v>
      </c>
      <c r="E255" s="13" t="s">
        <v>3049</v>
      </c>
      <c r="F255" s="13" t="s">
        <v>3050</v>
      </c>
      <c r="G255" s="13" t="s">
        <v>3051</v>
      </c>
      <c r="H255" s="13" t="s">
        <v>2365</v>
      </c>
      <c r="I255" s="13" t="s">
        <v>2704</v>
      </c>
      <c r="J255" s="13" t="s">
        <v>2853</v>
      </c>
      <c r="K255" s="13" t="s">
        <v>3052</v>
      </c>
      <c r="L255" s="13" t="s">
        <v>3053</v>
      </c>
      <c r="M255" s="13" t="s">
        <v>3054</v>
      </c>
      <c r="N255" s="13" t="s">
        <v>3055</v>
      </c>
      <c r="O255" s="2" t="n">
        <v>44750</v>
      </c>
    </row>
    <row r="256" customFormat="false" ht="13.8" hidden="false" customHeight="false" outlineLevel="0" collapsed="false">
      <c r="A256" s="1" t="s">
        <v>1479</v>
      </c>
      <c r="B256" s="1" t="s">
        <v>1487</v>
      </c>
      <c r="C256" s="4" t="s">
        <v>1488</v>
      </c>
      <c r="D256" s="15" t="s">
        <v>2538</v>
      </c>
      <c r="E256" s="15" t="s">
        <v>2700</v>
      </c>
      <c r="F256" s="15" t="s">
        <v>2701</v>
      </c>
      <c r="G256" s="15" t="s">
        <v>2170</v>
      </c>
      <c r="H256" s="15" t="s">
        <v>3056</v>
      </c>
      <c r="I256" s="15" t="s">
        <v>2704</v>
      </c>
      <c r="J256" s="15" t="s">
        <v>3057</v>
      </c>
      <c r="K256" s="15" t="s">
        <v>2706</v>
      </c>
      <c r="L256" s="15" t="s">
        <v>2707</v>
      </c>
      <c r="M256" s="15" t="s">
        <v>2708</v>
      </c>
      <c r="N256" s="15" t="s">
        <v>3058</v>
      </c>
      <c r="O256" s="2" t="n">
        <v>44750</v>
      </c>
    </row>
    <row r="257" customFormat="false" ht="13.8" hidden="false" customHeight="false" outlineLevel="0" collapsed="false">
      <c r="A257" s="4" t="s">
        <v>1479</v>
      </c>
      <c r="B257" s="4" t="s">
        <v>1535</v>
      </c>
      <c r="C257" s="12" t="s">
        <v>1639</v>
      </c>
      <c r="D257" s="13" t="s">
        <v>2538</v>
      </c>
      <c r="E257" s="13" t="s">
        <v>3059</v>
      </c>
      <c r="F257" s="13" t="s">
        <v>2022</v>
      </c>
      <c r="G257" s="13" t="s">
        <v>2920</v>
      </c>
      <c r="H257" s="13" t="s">
        <v>3060</v>
      </c>
      <c r="I257" s="13" t="s">
        <v>2704</v>
      </c>
      <c r="J257" s="13" t="s">
        <v>3061</v>
      </c>
      <c r="K257" s="13" t="s">
        <v>3062</v>
      </c>
      <c r="L257" s="13" t="s">
        <v>3063</v>
      </c>
      <c r="M257" s="13" t="s">
        <v>3064</v>
      </c>
      <c r="N257" s="13" t="s">
        <v>3065</v>
      </c>
      <c r="O257" s="2" t="n">
        <v>44750</v>
      </c>
    </row>
    <row r="258" customFormat="false" ht="13.8" hidden="false" customHeight="false" outlineLevel="0" collapsed="false">
      <c r="A258" s="1" t="s">
        <v>1503</v>
      </c>
      <c r="B258" s="1" t="s">
        <v>1504</v>
      </c>
      <c r="C258" s="14" t="s">
        <v>3066</v>
      </c>
      <c r="D258" s="15" t="s">
        <v>2538</v>
      </c>
      <c r="E258" s="15" t="s">
        <v>3067</v>
      </c>
      <c r="F258" s="15" t="s">
        <v>3068</v>
      </c>
      <c r="G258" s="15" t="s">
        <v>3069</v>
      </c>
      <c r="H258" s="15" t="s">
        <v>2336</v>
      </c>
      <c r="I258" s="15" t="s">
        <v>2704</v>
      </c>
      <c r="J258" s="15" t="s">
        <v>2853</v>
      </c>
      <c r="K258" s="15" t="s">
        <v>3070</v>
      </c>
      <c r="L258" s="15" t="s">
        <v>3071</v>
      </c>
      <c r="M258" s="15" t="s">
        <v>3072</v>
      </c>
      <c r="N258" s="15" t="s">
        <v>3073</v>
      </c>
      <c r="O258" s="2" t="n">
        <v>44750</v>
      </c>
    </row>
    <row r="259" customFormat="false" ht="13.8" hidden="false" customHeight="false" outlineLevel="0" collapsed="false">
      <c r="A259" s="4" t="s">
        <v>1479</v>
      </c>
      <c r="B259" s="4" t="s">
        <v>1535</v>
      </c>
      <c r="C259" s="12" t="s">
        <v>1639</v>
      </c>
      <c r="D259" s="13" t="s">
        <v>2529</v>
      </c>
      <c r="E259" s="13" t="s">
        <v>3074</v>
      </c>
      <c r="F259" s="13" t="s">
        <v>3075</v>
      </c>
      <c r="G259" s="13" t="s">
        <v>1676</v>
      </c>
      <c r="H259" s="13" t="s">
        <v>3076</v>
      </c>
      <c r="I259" s="13" t="s">
        <v>3077</v>
      </c>
      <c r="J259" s="13" t="s">
        <v>3078</v>
      </c>
      <c r="K259" s="13" t="s">
        <v>3079</v>
      </c>
      <c r="L259" s="13" t="s">
        <v>3080</v>
      </c>
      <c r="M259" s="13" t="s">
        <v>3081</v>
      </c>
      <c r="N259" s="13" t="s">
        <v>3082</v>
      </c>
      <c r="O259" s="2" t="n">
        <v>44754</v>
      </c>
    </row>
    <row r="260" customFormat="false" ht="13.8" hidden="false" customHeight="false" outlineLevel="0" collapsed="false">
      <c r="A260" s="4" t="s">
        <v>1479</v>
      </c>
      <c r="B260" s="4" t="s">
        <v>1535</v>
      </c>
      <c r="C260" s="14" t="s">
        <v>1639</v>
      </c>
      <c r="D260" s="15" t="s">
        <v>2529</v>
      </c>
      <c r="E260" s="15" t="s">
        <v>3083</v>
      </c>
      <c r="F260" s="15" t="s">
        <v>2022</v>
      </c>
      <c r="G260" s="15" t="s">
        <v>3084</v>
      </c>
      <c r="H260" s="15" t="s">
        <v>3085</v>
      </c>
      <c r="I260" s="15" t="s">
        <v>2704</v>
      </c>
      <c r="J260" s="15" t="s">
        <v>3086</v>
      </c>
      <c r="K260" s="15" t="s">
        <v>3087</v>
      </c>
      <c r="L260" s="15" t="s">
        <v>3088</v>
      </c>
      <c r="M260" s="15" t="s">
        <v>3089</v>
      </c>
      <c r="N260" s="15" t="s">
        <v>3090</v>
      </c>
      <c r="O260" s="2" t="n">
        <v>44755</v>
      </c>
    </row>
    <row r="261" customFormat="false" ht="13.8" hidden="false" customHeight="false" outlineLevel="0" collapsed="false">
      <c r="A261" s="1" t="s">
        <v>1479</v>
      </c>
      <c r="B261" s="1" t="s">
        <v>1487</v>
      </c>
      <c r="C261" s="4" t="s">
        <v>1488</v>
      </c>
      <c r="D261" s="13" t="s">
        <v>2538</v>
      </c>
      <c r="E261" s="13" t="s">
        <v>3091</v>
      </c>
      <c r="F261" s="13" t="s">
        <v>3092</v>
      </c>
      <c r="G261" s="13" t="s">
        <v>1939</v>
      </c>
      <c r="H261" s="13" t="s">
        <v>2170</v>
      </c>
      <c r="I261" s="13"/>
      <c r="J261" s="13" t="s">
        <v>3093</v>
      </c>
      <c r="K261" s="13" t="s">
        <v>3094</v>
      </c>
      <c r="L261" s="13" t="s">
        <v>3095</v>
      </c>
      <c r="M261" s="13" t="s">
        <v>3096</v>
      </c>
      <c r="N261" s="13" t="s">
        <v>3097</v>
      </c>
      <c r="O261" s="2" t="n">
        <v>44755</v>
      </c>
    </row>
    <row r="262" customFormat="false" ht="13.8" hidden="false" customHeight="false" outlineLevel="0" collapsed="false">
      <c r="A262" s="1" t="s">
        <v>1479</v>
      </c>
      <c r="B262" s="1" t="s">
        <v>1487</v>
      </c>
      <c r="C262" s="4" t="s">
        <v>1488</v>
      </c>
      <c r="D262" s="15" t="s">
        <v>2529</v>
      </c>
      <c r="E262" s="15" t="s">
        <v>3098</v>
      </c>
      <c r="F262" s="15" t="s">
        <v>3099</v>
      </c>
      <c r="G262" s="15" t="s">
        <v>2096</v>
      </c>
      <c r="H262" s="15" t="s">
        <v>3100</v>
      </c>
      <c r="I262" s="15" t="s">
        <v>3101</v>
      </c>
      <c r="J262" s="15" t="s">
        <v>3102</v>
      </c>
      <c r="K262" s="15" t="s">
        <v>3103</v>
      </c>
      <c r="L262" s="15" t="s">
        <v>3104</v>
      </c>
      <c r="M262" s="15" t="s">
        <v>3105</v>
      </c>
      <c r="N262" s="15" t="s">
        <v>3106</v>
      </c>
      <c r="O262" s="2" t="n">
        <v>44757</v>
      </c>
    </row>
    <row r="263" customFormat="false" ht="13.8" hidden="false" customHeight="false" outlineLevel="0" collapsed="false">
      <c r="A263" s="4" t="s">
        <v>1495</v>
      </c>
      <c r="B263" s="4" t="s">
        <v>1487</v>
      </c>
      <c r="C263" s="12" t="s">
        <v>1712</v>
      </c>
      <c r="D263" s="13" t="s">
        <v>2538</v>
      </c>
      <c r="E263" s="13" t="s">
        <v>3107</v>
      </c>
      <c r="F263" s="13" t="s">
        <v>3108</v>
      </c>
      <c r="G263" s="13" t="s">
        <v>2114</v>
      </c>
      <c r="H263" s="13" t="s">
        <v>3109</v>
      </c>
      <c r="I263" s="13"/>
      <c r="J263" s="13" t="s">
        <v>1625</v>
      </c>
      <c r="K263" s="13" t="s">
        <v>3110</v>
      </c>
      <c r="L263" s="13" t="s">
        <v>3111</v>
      </c>
      <c r="M263" s="13" t="s">
        <v>3112</v>
      </c>
      <c r="N263" s="13" t="s">
        <v>3113</v>
      </c>
      <c r="O263" s="2" t="n">
        <v>44760</v>
      </c>
    </row>
    <row r="264" customFormat="false" ht="13.8" hidden="false" customHeight="false" outlineLevel="0" collapsed="false">
      <c r="A264" s="1" t="s">
        <v>1503</v>
      </c>
      <c r="B264" s="1" t="s">
        <v>1535</v>
      </c>
      <c r="C264" s="14" t="s">
        <v>2829</v>
      </c>
      <c r="D264" s="15" t="s">
        <v>2529</v>
      </c>
      <c r="E264" s="15" t="s">
        <v>3114</v>
      </c>
      <c r="F264" s="15" t="s">
        <v>2422</v>
      </c>
      <c r="G264" s="15" t="s">
        <v>3115</v>
      </c>
      <c r="H264" s="15" t="s">
        <v>3116</v>
      </c>
      <c r="I264" s="15" t="s">
        <v>3117</v>
      </c>
      <c r="J264" s="15" t="s">
        <v>1948</v>
      </c>
      <c r="K264" s="15" t="s">
        <v>3118</v>
      </c>
      <c r="L264" s="15" t="s">
        <v>3119</v>
      </c>
      <c r="M264" s="15" t="s">
        <v>3120</v>
      </c>
      <c r="N264" s="15" t="s">
        <v>3121</v>
      </c>
      <c r="O264" s="2" t="n">
        <v>44761</v>
      </c>
    </row>
    <row r="265" customFormat="false" ht="13.8" hidden="false" customHeight="false" outlineLevel="0" collapsed="false">
      <c r="A265" s="1" t="s">
        <v>1479</v>
      </c>
      <c r="B265" s="1" t="s">
        <v>1487</v>
      </c>
      <c r="C265" s="4" t="s">
        <v>1488</v>
      </c>
      <c r="D265" s="13" t="s">
        <v>2538</v>
      </c>
      <c r="E265" s="13"/>
      <c r="F265" s="13" t="s">
        <v>3122</v>
      </c>
      <c r="G265" s="13"/>
      <c r="H265" s="13"/>
      <c r="I265" s="13"/>
      <c r="J265" s="13"/>
      <c r="K265" s="13" t="s">
        <v>3123</v>
      </c>
      <c r="L265" s="13" t="s">
        <v>3124</v>
      </c>
      <c r="M265" s="13" t="s">
        <v>3125</v>
      </c>
      <c r="N265" s="13" t="s">
        <v>3126</v>
      </c>
      <c r="O265" s="2" t="n">
        <v>44761</v>
      </c>
    </row>
    <row r="266" customFormat="false" ht="13.8" hidden="false" customHeight="false" outlineLevel="0" collapsed="false">
      <c r="A266" s="4" t="s">
        <v>1479</v>
      </c>
      <c r="B266" s="4" t="s">
        <v>1535</v>
      </c>
      <c r="C266" s="14" t="s">
        <v>1639</v>
      </c>
      <c r="D266" s="15" t="s">
        <v>2529</v>
      </c>
      <c r="E266" s="15" t="s">
        <v>3127</v>
      </c>
      <c r="F266" s="15" t="s">
        <v>2912</v>
      </c>
      <c r="G266" s="15" t="s">
        <v>2084</v>
      </c>
      <c r="H266" s="15" t="s">
        <v>2359</v>
      </c>
      <c r="I266" s="15" t="s">
        <v>3128</v>
      </c>
      <c r="J266" s="15" t="s">
        <v>3129</v>
      </c>
      <c r="K266" s="15" t="s">
        <v>3130</v>
      </c>
      <c r="L266" s="15" t="s">
        <v>3131</v>
      </c>
      <c r="M266" s="15" t="s">
        <v>3132</v>
      </c>
      <c r="N266" s="15" t="s">
        <v>3133</v>
      </c>
      <c r="O266" s="2" t="n">
        <v>44762</v>
      </c>
    </row>
    <row r="267" customFormat="false" ht="13.8" hidden="false" customHeight="false" outlineLevel="0" collapsed="false">
      <c r="A267" s="4" t="s">
        <v>1479</v>
      </c>
      <c r="B267" s="4" t="s">
        <v>1535</v>
      </c>
      <c r="C267" s="12" t="s">
        <v>1639</v>
      </c>
      <c r="D267" s="13" t="s">
        <v>2529</v>
      </c>
      <c r="E267" s="13" t="s">
        <v>3127</v>
      </c>
      <c r="F267" s="13" t="s">
        <v>2912</v>
      </c>
      <c r="G267" s="13" t="s">
        <v>2289</v>
      </c>
      <c r="H267" s="13" t="s">
        <v>3134</v>
      </c>
      <c r="I267" s="13" t="s">
        <v>3128</v>
      </c>
      <c r="J267" s="13" t="s">
        <v>2502</v>
      </c>
      <c r="K267" s="13" t="s">
        <v>3135</v>
      </c>
      <c r="L267" s="13" t="s">
        <v>3131</v>
      </c>
      <c r="M267" s="13" t="s">
        <v>3136</v>
      </c>
      <c r="N267" s="13" t="s">
        <v>3137</v>
      </c>
      <c r="O267" s="2" t="n">
        <v>44762</v>
      </c>
    </row>
    <row r="268" customFormat="false" ht="13.8" hidden="false" customHeight="false" outlineLevel="0" collapsed="false">
      <c r="A268" s="1" t="s">
        <v>1495</v>
      </c>
      <c r="B268" s="1" t="s">
        <v>1487</v>
      </c>
      <c r="C268" s="14" t="s">
        <v>1656</v>
      </c>
      <c r="D268" s="15" t="s">
        <v>2529</v>
      </c>
      <c r="E268" s="15" t="s">
        <v>3138</v>
      </c>
      <c r="F268" s="15" t="s">
        <v>3139</v>
      </c>
      <c r="G268" s="15" t="s">
        <v>3140</v>
      </c>
      <c r="H268" s="15" t="s">
        <v>3141</v>
      </c>
      <c r="I268" s="15"/>
      <c r="J268" s="15" t="s">
        <v>2502</v>
      </c>
      <c r="K268" s="15" t="s">
        <v>3142</v>
      </c>
      <c r="L268" s="15" t="s">
        <v>3143</v>
      </c>
      <c r="M268" s="15" t="s">
        <v>3144</v>
      </c>
      <c r="N268" s="15" t="s">
        <v>3145</v>
      </c>
      <c r="O268" s="2" t="n">
        <v>44762</v>
      </c>
    </row>
    <row r="269" customFormat="false" ht="13.8" hidden="false" customHeight="false" outlineLevel="0" collapsed="false">
      <c r="A269" s="4" t="s">
        <v>1479</v>
      </c>
      <c r="B269" s="4" t="s">
        <v>1535</v>
      </c>
      <c r="C269" s="12" t="s">
        <v>1639</v>
      </c>
      <c r="D269" s="13" t="s">
        <v>2538</v>
      </c>
      <c r="E269" s="13" t="s">
        <v>2911</v>
      </c>
      <c r="F269" s="13" t="s">
        <v>3146</v>
      </c>
      <c r="G269" s="16" t="n">
        <v>0.583333333333333</v>
      </c>
      <c r="H269" s="16" t="n">
        <v>0.590277777777778</v>
      </c>
      <c r="I269" s="13"/>
      <c r="J269" s="13" t="s">
        <v>3147</v>
      </c>
      <c r="K269" s="13" t="s">
        <v>3148</v>
      </c>
      <c r="L269" s="13" t="s">
        <v>3149</v>
      </c>
      <c r="M269" s="13" t="s">
        <v>3150</v>
      </c>
      <c r="N269" s="13" t="s">
        <v>3151</v>
      </c>
      <c r="O269" s="2" t="n">
        <v>44762</v>
      </c>
    </row>
    <row r="270" customFormat="false" ht="13.8" hidden="false" customHeight="false" outlineLevel="0" collapsed="false">
      <c r="A270" s="1" t="s">
        <v>1479</v>
      </c>
      <c r="B270" s="1" t="s">
        <v>1487</v>
      </c>
      <c r="C270" s="4" t="s">
        <v>1488</v>
      </c>
      <c r="D270" s="15" t="s">
        <v>2538</v>
      </c>
      <c r="E270" s="15" t="s">
        <v>3152</v>
      </c>
      <c r="F270" s="15" t="s">
        <v>3153</v>
      </c>
      <c r="G270" s="15" t="s">
        <v>3154</v>
      </c>
      <c r="H270" s="17" t="n">
        <v>0.690972222222222</v>
      </c>
      <c r="I270" s="15"/>
      <c r="J270" s="15" t="s">
        <v>3155</v>
      </c>
      <c r="K270" s="15" t="s">
        <v>3156</v>
      </c>
      <c r="L270" s="15" t="s">
        <v>3157</v>
      </c>
      <c r="M270" s="15" t="s">
        <v>3158</v>
      </c>
      <c r="N270" s="15" t="s">
        <v>3159</v>
      </c>
      <c r="O270" s="2" t="n">
        <v>44762</v>
      </c>
    </row>
    <row r="271" customFormat="false" ht="13.8" hidden="false" customHeight="false" outlineLevel="0" collapsed="false">
      <c r="A271" s="1" t="s">
        <v>1503</v>
      </c>
      <c r="B271" s="1" t="s">
        <v>1535</v>
      </c>
      <c r="C271" s="12" t="s">
        <v>1503</v>
      </c>
      <c r="D271" s="13" t="s">
        <v>2538</v>
      </c>
      <c r="E271" s="13" t="s">
        <v>2741</v>
      </c>
      <c r="F271" s="13" t="s">
        <v>3160</v>
      </c>
      <c r="G271" s="16" t="n">
        <v>0.666666666666667</v>
      </c>
      <c r="H271" s="16" t="n">
        <v>0.701388888888889</v>
      </c>
      <c r="I271" s="13"/>
      <c r="J271" s="13" t="s">
        <v>3161</v>
      </c>
      <c r="K271" s="13" t="s">
        <v>3162</v>
      </c>
      <c r="L271" s="13" t="s">
        <v>3163</v>
      </c>
      <c r="M271" s="13" t="s">
        <v>3164</v>
      </c>
      <c r="N271" s="13" t="s">
        <v>3165</v>
      </c>
      <c r="O271" s="2" t="n">
        <v>44762</v>
      </c>
    </row>
    <row r="272" customFormat="false" ht="13.8" hidden="false" customHeight="false" outlineLevel="0" collapsed="false">
      <c r="A272" s="1" t="s">
        <v>1479</v>
      </c>
      <c r="B272" s="1" t="s">
        <v>1863</v>
      </c>
      <c r="C272" s="14" t="s">
        <v>1479</v>
      </c>
      <c r="D272" s="15" t="s">
        <v>2538</v>
      </c>
      <c r="E272" s="15" t="s">
        <v>3166</v>
      </c>
      <c r="F272" s="15" t="s">
        <v>3167</v>
      </c>
      <c r="G272" s="17" t="n">
        <v>0.708333333333333</v>
      </c>
      <c r="H272" s="17" t="n">
        <v>0.743055555555555</v>
      </c>
      <c r="I272" s="15"/>
      <c r="J272" s="15" t="s">
        <v>3168</v>
      </c>
      <c r="K272" s="15" t="s">
        <v>3169</v>
      </c>
      <c r="L272" s="15" t="s">
        <v>3170</v>
      </c>
      <c r="M272" s="15" t="s">
        <v>3171</v>
      </c>
      <c r="N272" s="15" t="s">
        <v>3172</v>
      </c>
      <c r="O272" s="2" t="n">
        <v>44762</v>
      </c>
    </row>
    <row r="273" customFormat="false" ht="13.8" hidden="false" customHeight="false" outlineLevel="0" collapsed="false">
      <c r="A273" s="1" t="s">
        <v>1503</v>
      </c>
      <c r="B273" s="1" t="s">
        <v>1648</v>
      </c>
      <c r="C273" s="12" t="s">
        <v>1648</v>
      </c>
      <c r="D273" s="13" t="s">
        <v>2538</v>
      </c>
      <c r="E273" s="13" t="s">
        <v>1874</v>
      </c>
      <c r="F273" s="13" t="s">
        <v>1946</v>
      </c>
      <c r="G273" s="16" t="n">
        <v>0.833333333333333</v>
      </c>
      <c r="H273" s="13" t="s">
        <v>3173</v>
      </c>
      <c r="I273" s="13"/>
      <c r="J273" s="13" t="s">
        <v>3174</v>
      </c>
      <c r="K273" s="13" t="s">
        <v>3175</v>
      </c>
      <c r="L273" s="13" t="s">
        <v>3176</v>
      </c>
      <c r="M273" s="13" t="s">
        <v>3177</v>
      </c>
      <c r="N273" s="13" t="s">
        <v>3178</v>
      </c>
      <c r="O273" s="2" t="n">
        <v>44762</v>
      </c>
    </row>
    <row r="274" customFormat="false" ht="13.8" hidden="false" customHeight="false" outlineLevel="0" collapsed="false">
      <c r="A274" s="4" t="s">
        <v>1479</v>
      </c>
      <c r="B274" s="4" t="s">
        <v>1535</v>
      </c>
      <c r="C274" s="14" t="s">
        <v>1639</v>
      </c>
      <c r="D274" s="15" t="s">
        <v>2529</v>
      </c>
      <c r="E274" s="15" t="s">
        <v>3179</v>
      </c>
      <c r="F274" s="15" t="s">
        <v>3180</v>
      </c>
      <c r="G274" s="15"/>
      <c r="H274" s="15" t="s">
        <v>3181</v>
      </c>
      <c r="I274" s="15"/>
      <c r="J274" s="15"/>
      <c r="K274" s="15" t="s">
        <v>3182</v>
      </c>
      <c r="L274" s="15" t="s">
        <v>3183</v>
      </c>
      <c r="M274" s="15" t="s">
        <v>3184</v>
      </c>
      <c r="N274" s="15" t="s">
        <v>3185</v>
      </c>
      <c r="O274" s="2" t="n">
        <v>44763</v>
      </c>
    </row>
    <row r="275" customFormat="false" ht="13.8" hidden="false" customHeight="false" outlineLevel="0" collapsed="false">
      <c r="A275" s="1" t="s">
        <v>1495</v>
      </c>
      <c r="B275" s="1" t="s">
        <v>1487</v>
      </c>
      <c r="C275" s="12" t="s">
        <v>1495</v>
      </c>
      <c r="D275" s="13" t="s">
        <v>2538</v>
      </c>
      <c r="E275" s="13" t="s">
        <v>3186</v>
      </c>
      <c r="F275" s="13" t="s">
        <v>3187</v>
      </c>
      <c r="G275" s="13" t="s">
        <v>3154</v>
      </c>
      <c r="H275" s="16" t="n">
        <v>0.694444444444444</v>
      </c>
      <c r="I275" s="13" t="s">
        <v>3188</v>
      </c>
      <c r="J275" s="13" t="s">
        <v>2853</v>
      </c>
      <c r="K275" s="13" t="s">
        <v>3189</v>
      </c>
      <c r="L275" s="13" t="s">
        <v>3190</v>
      </c>
      <c r="M275" s="13" t="s">
        <v>3191</v>
      </c>
      <c r="N275" s="13" t="s">
        <v>3192</v>
      </c>
      <c r="O275" s="2" t="n">
        <v>44763</v>
      </c>
    </row>
    <row r="276" customFormat="false" ht="13.8" hidden="false" customHeight="false" outlineLevel="0" collapsed="false">
      <c r="A276" s="4" t="s">
        <v>1479</v>
      </c>
      <c r="B276" s="4" t="s">
        <v>1535</v>
      </c>
      <c r="C276" s="14" t="s">
        <v>1639</v>
      </c>
      <c r="D276" s="15" t="s">
        <v>2529</v>
      </c>
      <c r="E276" s="15" t="s">
        <v>3179</v>
      </c>
      <c r="F276" s="15" t="s">
        <v>3180</v>
      </c>
      <c r="G276" s="15"/>
      <c r="H276" s="15" t="s">
        <v>3181</v>
      </c>
      <c r="I276" s="15"/>
      <c r="J276" s="15"/>
      <c r="K276" s="15" t="s">
        <v>3182</v>
      </c>
      <c r="L276" s="15" t="s">
        <v>3183</v>
      </c>
      <c r="M276" s="15" t="s">
        <v>3184</v>
      </c>
      <c r="N276" s="15" t="s">
        <v>3185</v>
      </c>
      <c r="O276" s="2" t="n">
        <v>44763</v>
      </c>
    </row>
    <row r="277" customFormat="false" ht="13.8" hidden="false" customHeight="false" outlineLevel="0" collapsed="false">
      <c r="A277" s="1" t="s">
        <v>1495</v>
      </c>
      <c r="B277" s="1" t="s">
        <v>1487</v>
      </c>
      <c r="C277" s="12" t="s">
        <v>1495</v>
      </c>
      <c r="D277" s="13" t="s">
        <v>2538</v>
      </c>
      <c r="E277" s="13" t="s">
        <v>3186</v>
      </c>
      <c r="F277" s="13" t="s">
        <v>3187</v>
      </c>
      <c r="G277" s="13" t="s">
        <v>3154</v>
      </c>
      <c r="H277" s="16" t="n">
        <v>0.694444444444444</v>
      </c>
      <c r="I277" s="13" t="s">
        <v>3188</v>
      </c>
      <c r="J277" s="13" t="s">
        <v>2853</v>
      </c>
      <c r="K277" s="13" t="s">
        <v>3189</v>
      </c>
      <c r="L277" s="13" t="s">
        <v>3190</v>
      </c>
      <c r="M277" s="13" t="s">
        <v>3191</v>
      </c>
      <c r="N277" s="13" t="s">
        <v>3192</v>
      </c>
      <c r="O277" s="2" t="n">
        <v>44763</v>
      </c>
    </row>
    <row r="278" customFormat="false" ht="13.8" hidden="false" customHeight="false" outlineLevel="0" collapsed="false">
      <c r="A278" s="1" t="s">
        <v>1495</v>
      </c>
      <c r="B278" s="1" t="s">
        <v>1496</v>
      </c>
      <c r="C278" s="14" t="s">
        <v>1619</v>
      </c>
      <c r="D278" s="15" t="s">
        <v>2529</v>
      </c>
      <c r="E278" s="15" t="s">
        <v>3193</v>
      </c>
      <c r="F278" s="15" t="s">
        <v>2149</v>
      </c>
      <c r="G278" s="15" t="s">
        <v>2050</v>
      </c>
      <c r="H278" s="15" t="s">
        <v>3194</v>
      </c>
      <c r="I278" s="15" t="s">
        <v>3195</v>
      </c>
      <c r="J278" s="15" t="s">
        <v>3196</v>
      </c>
      <c r="K278" s="15" t="s">
        <v>3197</v>
      </c>
      <c r="L278" s="15" t="s">
        <v>3198</v>
      </c>
      <c r="M278" s="15" t="s">
        <v>3199</v>
      </c>
      <c r="N278" s="15" t="s">
        <v>3200</v>
      </c>
      <c r="O278" s="2" t="n">
        <v>44767</v>
      </c>
    </row>
    <row r="279" customFormat="false" ht="13.8" hidden="false" customHeight="false" outlineLevel="0" collapsed="false">
      <c r="A279" s="1" t="s">
        <v>1479</v>
      </c>
      <c r="B279" s="1" t="s">
        <v>1863</v>
      </c>
      <c r="C279" s="12" t="s">
        <v>1864</v>
      </c>
      <c r="D279" s="13" t="s">
        <v>2529</v>
      </c>
      <c r="E279" s="13" t="s">
        <v>3201</v>
      </c>
      <c r="F279" s="13" t="s">
        <v>3202</v>
      </c>
      <c r="G279" s="13" t="s">
        <v>3203</v>
      </c>
      <c r="H279" s="13" t="s">
        <v>3204</v>
      </c>
      <c r="I279" s="13"/>
      <c r="J279" s="13"/>
      <c r="K279" s="13" t="s">
        <v>3205</v>
      </c>
      <c r="L279" s="13" t="s">
        <v>3206</v>
      </c>
      <c r="M279" s="13" t="s">
        <v>3207</v>
      </c>
      <c r="N279" s="13" t="s">
        <v>3208</v>
      </c>
      <c r="O279" s="2" t="n">
        <v>44768</v>
      </c>
    </row>
    <row r="280" customFormat="false" ht="13.8" hidden="false" customHeight="false" outlineLevel="0" collapsed="false">
      <c r="A280" s="1" t="s">
        <v>1503</v>
      </c>
      <c r="B280" s="1" t="s">
        <v>1504</v>
      </c>
      <c r="C280" s="14" t="s">
        <v>1503</v>
      </c>
      <c r="D280" s="15" t="s">
        <v>2529</v>
      </c>
      <c r="E280" s="15" t="s">
        <v>3209</v>
      </c>
      <c r="F280" s="15" t="s">
        <v>1698</v>
      </c>
      <c r="G280" s="15" t="s">
        <v>3210</v>
      </c>
      <c r="H280" s="15" t="s">
        <v>3211</v>
      </c>
      <c r="I280" s="15" t="s">
        <v>3212</v>
      </c>
      <c r="J280" s="15" t="s">
        <v>3213</v>
      </c>
      <c r="K280" s="15" t="s">
        <v>3214</v>
      </c>
      <c r="L280" s="15" t="s">
        <v>3215</v>
      </c>
      <c r="M280" s="15" t="s">
        <v>3216</v>
      </c>
      <c r="N280" s="15" t="s">
        <v>3217</v>
      </c>
      <c r="O280" s="2" t="n">
        <v>44768</v>
      </c>
    </row>
    <row r="281" customFormat="false" ht="13.8" hidden="false" customHeight="false" outlineLevel="0" collapsed="false">
      <c r="A281" s="4" t="s">
        <v>1479</v>
      </c>
      <c r="B281" s="4" t="s">
        <v>1535</v>
      </c>
      <c r="C281" s="12" t="s">
        <v>1639</v>
      </c>
      <c r="D281" s="13" t="s">
        <v>2538</v>
      </c>
      <c r="E281" s="13" t="s">
        <v>3218</v>
      </c>
      <c r="F281" s="13" t="s">
        <v>3219</v>
      </c>
      <c r="G281" s="13" t="s">
        <v>2743</v>
      </c>
      <c r="H281" s="13" t="s">
        <v>1613</v>
      </c>
      <c r="I281" s="13"/>
      <c r="J281" s="13" t="s">
        <v>1851</v>
      </c>
      <c r="K281" s="13" t="s">
        <v>3220</v>
      </c>
      <c r="L281" s="13" t="s">
        <v>3221</v>
      </c>
      <c r="M281" s="13" t="s">
        <v>3222</v>
      </c>
      <c r="N281" s="13" t="s">
        <v>3223</v>
      </c>
      <c r="O281" s="2" t="n">
        <v>44768</v>
      </c>
    </row>
    <row r="282" customFormat="false" ht="13.8" hidden="false" customHeight="false" outlineLevel="0" collapsed="false">
      <c r="A282" s="1" t="s">
        <v>1495</v>
      </c>
      <c r="B282" s="1" t="s">
        <v>1496</v>
      </c>
      <c r="C282" s="14" t="s">
        <v>1619</v>
      </c>
      <c r="D282" s="15" t="s">
        <v>2538</v>
      </c>
      <c r="E282" s="15" t="s">
        <v>3224</v>
      </c>
      <c r="F282" s="15" t="s">
        <v>2149</v>
      </c>
      <c r="G282" s="15"/>
      <c r="H282" s="15" t="s">
        <v>2789</v>
      </c>
      <c r="I282" s="15" t="s">
        <v>3225</v>
      </c>
      <c r="J282" s="15"/>
      <c r="K282" s="15" t="s">
        <v>3226</v>
      </c>
      <c r="L282" s="15" t="s">
        <v>3227</v>
      </c>
      <c r="M282" s="15"/>
      <c r="N282" s="15" t="s">
        <v>3228</v>
      </c>
      <c r="O282" s="2" t="n">
        <v>44768</v>
      </c>
    </row>
    <row r="283" customFormat="false" ht="13.8" hidden="false" customHeight="false" outlineLevel="0" collapsed="false">
      <c r="A283" s="1" t="s">
        <v>1479</v>
      </c>
      <c r="B283" s="1" t="s">
        <v>1487</v>
      </c>
      <c r="C283" s="4" t="s">
        <v>1488</v>
      </c>
      <c r="D283" s="13" t="s">
        <v>2538</v>
      </c>
      <c r="E283" s="13" t="s">
        <v>3229</v>
      </c>
      <c r="F283" s="13" t="s">
        <v>1969</v>
      </c>
      <c r="G283" s="13" t="s">
        <v>3230</v>
      </c>
      <c r="H283" s="13" t="s">
        <v>3231</v>
      </c>
      <c r="I283" s="13"/>
      <c r="J283" s="13" t="s">
        <v>1878</v>
      </c>
      <c r="K283" s="13" t="s">
        <v>3232</v>
      </c>
      <c r="L283" s="13" t="s">
        <v>3233</v>
      </c>
      <c r="M283" s="13" t="s">
        <v>3234</v>
      </c>
      <c r="N283" s="13" t="s">
        <v>3235</v>
      </c>
      <c r="O283" s="2" t="n">
        <v>44768</v>
      </c>
    </row>
    <row r="284" customFormat="false" ht="13.8" hidden="false" customHeight="false" outlineLevel="0" collapsed="false">
      <c r="A284" s="4" t="s">
        <v>1479</v>
      </c>
      <c r="B284" s="4" t="s">
        <v>1535</v>
      </c>
      <c r="C284" s="14" t="s">
        <v>1639</v>
      </c>
      <c r="D284" s="15" t="s">
        <v>2529</v>
      </c>
      <c r="E284" s="15" t="s">
        <v>3236</v>
      </c>
      <c r="F284" s="15" t="s">
        <v>1688</v>
      </c>
      <c r="G284" s="15" t="s">
        <v>1800</v>
      </c>
      <c r="H284" s="15" t="s">
        <v>3237</v>
      </c>
      <c r="I284" s="15"/>
      <c r="J284" s="15"/>
      <c r="K284" s="15" t="s">
        <v>3238</v>
      </c>
      <c r="L284" s="15" t="s">
        <v>3239</v>
      </c>
      <c r="M284" s="15" t="s">
        <v>3240</v>
      </c>
      <c r="N284" s="15" t="s">
        <v>3241</v>
      </c>
      <c r="O284" s="2" t="n">
        <v>44769</v>
      </c>
    </row>
    <row r="285" customFormat="false" ht="13.8" hidden="false" customHeight="false" outlineLevel="0" collapsed="false">
      <c r="A285" s="1" t="s">
        <v>1479</v>
      </c>
      <c r="B285" s="1" t="s">
        <v>1535</v>
      </c>
      <c r="C285" s="12" t="s">
        <v>1479</v>
      </c>
      <c r="D285" s="13" t="s">
        <v>2538</v>
      </c>
      <c r="E285" s="13" t="s">
        <v>3242</v>
      </c>
      <c r="F285" s="13" t="s">
        <v>2692</v>
      </c>
      <c r="G285" s="13" t="s">
        <v>1613</v>
      </c>
      <c r="H285" s="13" t="s">
        <v>1614</v>
      </c>
      <c r="I285" s="13"/>
      <c r="J285" s="13" t="s">
        <v>3243</v>
      </c>
      <c r="K285" s="13" t="s">
        <v>3244</v>
      </c>
      <c r="L285" s="13" t="s">
        <v>3245</v>
      </c>
      <c r="M285" s="13" t="s">
        <v>3246</v>
      </c>
      <c r="N285" s="13" t="s">
        <v>3247</v>
      </c>
      <c r="O285" s="2" t="n">
        <v>44769</v>
      </c>
    </row>
    <row r="286" customFormat="false" ht="13.8" hidden="false" customHeight="false" outlineLevel="0" collapsed="false">
      <c r="A286" s="1" t="s">
        <v>1495</v>
      </c>
      <c r="B286" s="1" t="s">
        <v>1487</v>
      </c>
      <c r="C286" s="14" t="s">
        <v>1495</v>
      </c>
      <c r="D286" s="15" t="s">
        <v>2538</v>
      </c>
      <c r="E286" s="15" t="s">
        <v>3248</v>
      </c>
      <c r="F286" s="15" t="s">
        <v>3249</v>
      </c>
      <c r="G286" s="15" t="s">
        <v>2138</v>
      </c>
      <c r="H286" s="17" t="n">
        <v>0.659722222222222</v>
      </c>
      <c r="I286" s="15"/>
      <c r="J286" s="15" t="s">
        <v>3250</v>
      </c>
      <c r="K286" s="15" t="s">
        <v>3251</v>
      </c>
      <c r="L286" s="15" t="s">
        <v>3252</v>
      </c>
      <c r="M286" s="15" t="s">
        <v>3253</v>
      </c>
      <c r="N286" s="15" t="s">
        <v>3254</v>
      </c>
      <c r="O286" s="2" t="n">
        <v>44769</v>
      </c>
    </row>
    <row r="287" customFormat="false" ht="13.8" hidden="false" customHeight="false" outlineLevel="0" collapsed="false">
      <c r="A287" s="1" t="s">
        <v>1503</v>
      </c>
      <c r="B287" s="1" t="s">
        <v>1504</v>
      </c>
      <c r="C287" s="12" t="s">
        <v>1503</v>
      </c>
      <c r="D287" s="13" t="s">
        <v>2538</v>
      </c>
      <c r="E287" s="13" t="s">
        <v>3255</v>
      </c>
      <c r="F287" s="13" t="s">
        <v>1698</v>
      </c>
      <c r="G287" s="13" t="s">
        <v>1726</v>
      </c>
      <c r="H287" s="13" t="s">
        <v>2886</v>
      </c>
      <c r="I287" s="13" t="s">
        <v>3212</v>
      </c>
      <c r="J287" s="13" t="s">
        <v>3213</v>
      </c>
      <c r="K287" s="13" t="s">
        <v>3214</v>
      </c>
      <c r="L287" s="13" t="s">
        <v>3215</v>
      </c>
      <c r="M287" s="13" t="s">
        <v>3216</v>
      </c>
      <c r="N287" s="13" t="s">
        <v>3256</v>
      </c>
      <c r="O287" s="2" t="n">
        <v>44769</v>
      </c>
    </row>
    <row r="288" customFormat="false" ht="13.8" hidden="false" customHeight="false" outlineLevel="0" collapsed="false">
      <c r="A288" s="1" t="s">
        <v>1479</v>
      </c>
      <c r="B288" s="1" t="s">
        <v>1535</v>
      </c>
      <c r="C288" s="14" t="s">
        <v>1479</v>
      </c>
      <c r="D288" s="15" t="s">
        <v>2529</v>
      </c>
      <c r="E288" s="15" t="s">
        <v>3242</v>
      </c>
      <c r="F288" s="15" t="s">
        <v>2692</v>
      </c>
      <c r="G288" s="15" t="s">
        <v>1613</v>
      </c>
      <c r="H288" s="15" t="s">
        <v>1614</v>
      </c>
      <c r="I288" s="15"/>
      <c r="J288" s="15" t="s">
        <v>3243</v>
      </c>
      <c r="K288" s="15" t="s">
        <v>3244</v>
      </c>
      <c r="L288" s="15" t="s">
        <v>3245</v>
      </c>
      <c r="M288" s="15" t="s">
        <v>3246</v>
      </c>
      <c r="N288" s="15"/>
      <c r="O288" s="2" t="n">
        <v>44770</v>
      </c>
    </row>
    <row r="289" customFormat="false" ht="13.8" hidden="false" customHeight="false" outlineLevel="0" collapsed="false">
      <c r="A289" s="1" t="s">
        <v>1479</v>
      </c>
      <c r="B289" s="1" t="s">
        <v>1535</v>
      </c>
      <c r="C289" s="12" t="s">
        <v>1479</v>
      </c>
      <c r="D289" s="13" t="s">
        <v>2529</v>
      </c>
      <c r="E289" s="13" t="s">
        <v>3257</v>
      </c>
      <c r="F289" s="13" t="s">
        <v>2692</v>
      </c>
      <c r="G289" s="13"/>
      <c r="H289" s="13"/>
      <c r="I289" s="13"/>
      <c r="J289" s="13"/>
      <c r="K289" s="13" t="s">
        <v>3258</v>
      </c>
      <c r="L289" s="13" t="s">
        <v>3259</v>
      </c>
      <c r="M289" s="13" t="s">
        <v>3260</v>
      </c>
      <c r="N289" s="13" t="s">
        <v>3261</v>
      </c>
      <c r="O289" s="2" t="n">
        <v>44770</v>
      </c>
    </row>
    <row r="290" customFormat="false" ht="13.8" hidden="false" customHeight="false" outlineLevel="0" collapsed="false">
      <c r="A290" s="1" t="s">
        <v>1479</v>
      </c>
      <c r="B290" s="1" t="s">
        <v>1535</v>
      </c>
      <c r="C290" s="14" t="s">
        <v>1479</v>
      </c>
      <c r="D290" s="15" t="s">
        <v>2529</v>
      </c>
      <c r="E290" s="15" t="s">
        <v>3262</v>
      </c>
      <c r="F290" s="15" t="s">
        <v>2692</v>
      </c>
      <c r="G290" s="15"/>
      <c r="H290" s="15"/>
      <c r="I290" s="15"/>
      <c r="J290" s="15"/>
      <c r="K290" s="15" t="s">
        <v>3258</v>
      </c>
      <c r="L290" s="15" t="s">
        <v>3263</v>
      </c>
      <c r="M290" s="15" t="s">
        <v>3260</v>
      </c>
      <c r="N290" s="15" t="s">
        <v>3264</v>
      </c>
      <c r="O290" s="2" t="n">
        <v>44770</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true">
    <pageSetUpPr fitToPage="false"/>
  </sheetPr>
  <dimension ref="A1:T318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P3169" activePane="bottomLeft" state="frozen"/>
      <selection pane="topLeft" activeCell="A1" activeCellId="0" sqref="A1"/>
      <selection pane="bottomLeft" activeCell="A1" activeCellId="0" sqref="A1"/>
    </sheetView>
  </sheetViews>
  <sheetFormatPr defaultColWidth="15.8671875" defaultRowHeight="14.25" zeroHeight="false" outlineLevelRow="0" outlineLevelCol="0"/>
  <cols>
    <col collapsed="false" customWidth="true" hidden="false" outlineLevel="0" max="1" min="1" style="0" width="15.71"/>
    <col collapsed="false" customWidth="true" hidden="false" outlineLevel="0" max="4" min="2" style="1" width="19.57"/>
    <col collapsed="false" customWidth="true" hidden="false" outlineLevel="0" max="5" min="5" style="0" width="29.14"/>
    <col collapsed="false" customWidth="true" hidden="false" outlineLevel="0" max="6" min="6" style="0" width="11.14"/>
    <col collapsed="false" customWidth="true" hidden="false" outlineLevel="0" max="7" min="7" style="0" width="37.43"/>
    <col collapsed="false" customWidth="true" hidden="false" outlineLevel="0" max="8" min="8" style="0" width="32.57"/>
    <col collapsed="false" customWidth="true" hidden="false" outlineLevel="0" max="9" min="9" style="0" width="20"/>
    <col collapsed="false" customWidth="true" hidden="false" outlineLevel="0" max="10" min="10" style="0" width="29.57"/>
    <col collapsed="false" customWidth="true" hidden="false" outlineLevel="0" max="11" min="11" style="0" width="17.43"/>
    <col collapsed="false" customWidth="true" hidden="false" outlineLevel="0" max="12" min="12" style="0" width="20.43"/>
    <col collapsed="false" customWidth="true" hidden="false" outlineLevel="0" max="13" min="13" style="0" width="70.28"/>
    <col collapsed="false" customWidth="true" hidden="false" outlineLevel="0" max="14" min="14" style="0" width="87.85"/>
    <col collapsed="false" customWidth="true" hidden="false" outlineLevel="0" max="15" min="15" style="0" width="22.43"/>
    <col collapsed="false" customWidth="true" hidden="false" outlineLevel="0" max="16" min="16" style="0" width="150.72"/>
    <col collapsed="false" customWidth="true" hidden="false" outlineLevel="0" max="17" min="17" style="2" width="14.43"/>
  </cols>
  <sheetData>
    <row r="1" customFormat="false" ht="14.25" hidden="false" customHeight="false" outlineLevel="0" collapsed="false">
      <c r="A1" s="4" t="s">
        <v>3265</v>
      </c>
      <c r="B1" s="3" t="s">
        <v>3266</v>
      </c>
      <c r="C1" s="3" t="s">
        <v>1464</v>
      </c>
      <c r="D1" s="3" t="s">
        <v>1465</v>
      </c>
      <c r="E1" s="4" t="s">
        <v>1466</v>
      </c>
      <c r="F1" s="4" t="s">
        <v>1467</v>
      </c>
      <c r="G1" s="4" t="s">
        <v>1468</v>
      </c>
      <c r="H1" s="4" t="s">
        <v>1469</v>
      </c>
      <c r="I1" s="4" t="s">
        <v>1470</v>
      </c>
      <c r="J1" s="4" t="s">
        <v>1471</v>
      </c>
      <c r="K1" s="4" t="s">
        <v>1472</v>
      </c>
      <c r="L1" s="4" t="s">
        <v>1473</v>
      </c>
      <c r="M1" s="4" t="s">
        <v>1474</v>
      </c>
      <c r="N1" s="4" t="s">
        <v>1475</v>
      </c>
      <c r="O1" s="4" t="s">
        <v>1476</v>
      </c>
      <c r="P1" s="4" t="s">
        <v>1477</v>
      </c>
      <c r="Q1" s="5" t="s">
        <v>1</v>
      </c>
      <c r="R1" s="4" t="s">
        <v>1478</v>
      </c>
      <c r="S1" s="4" t="s">
        <v>34</v>
      </c>
      <c r="T1" s="4" t="s">
        <v>33</v>
      </c>
    </row>
    <row r="2" customFormat="false" ht="14.25" hidden="true" customHeight="false" outlineLevel="0" collapsed="false">
      <c r="A2" s="0" t="n">
        <v>1</v>
      </c>
      <c r="B2" s="1" t="s">
        <v>106</v>
      </c>
      <c r="C2" s="1" t="s">
        <v>1479</v>
      </c>
      <c r="D2" s="1" t="s">
        <v>1487</v>
      </c>
      <c r="E2" s="0" t="s">
        <v>1488</v>
      </c>
      <c r="F2" s="0" t="s">
        <v>48</v>
      </c>
      <c r="G2" s="0" t="s">
        <v>3267</v>
      </c>
      <c r="I2" s="6" t="n">
        <v>0.434027777777778</v>
      </c>
      <c r="J2" s="6" t="n">
        <v>0.440972222222222</v>
      </c>
      <c r="L2" s="0" t="n">
        <v>25</v>
      </c>
      <c r="M2" s="0" t="s">
        <v>3268</v>
      </c>
      <c r="N2" s="0" t="s">
        <v>3269</v>
      </c>
      <c r="P2" s="0" t="s">
        <v>3270</v>
      </c>
      <c r="Q2" s="2" t="n">
        <v>42843</v>
      </c>
      <c r="S2" s="0" t="n">
        <f aca="false">YEAR(Q2)</f>
        <v>2017</v>
      </c>
      <c r="T2" s="0" t="n">
        <f aca="false">MONTH(Q2)</f>
        <v>4</v>
      </c>
    </row>
    <row r="3" customFormat="false" ht="14.25" hidden="true" customHeight="false" outlineLevel="0" collapsed="false">
      <c r="A3" s="0" t="n">
        <v>2</v>
      </c>
      <c r="B3" s="1" t="s">
        <v>106</v>
      </c>
      <c r="C3" s="1" t="s">
        <v>1479</v>
      </c>
      <c r="D3" s="1" t="s">
        <v>1535</v>
      </c>
      <c r="E3" s="0" t="s">
        <v>39</v>
      </c>
      <c r="F3" s="0" t="s">
        <v>48</v>
      </c>
      <c r="G3" s="0" t="s">
        <v>3271</v>
      </c>
      <c r="I3" s="6" t="n">
        <v>0.409722222222222</v>
      </c>
      <c r="J3" s="6" t="n">
        <v>0.416666666666667</v>
      </c>
      <c r="L3" s="0" t="n">
        <v>15</v>
      </c>
      <c r="M3" s="0" t="s">
        <v>3272</v>
      </c>
      <c r="N3" s="0" t="s">
        <v>3273</v>
      </c>
      <c r="P3" s="0" t="s">
        <v>3274</v>
      </c>
      <c r="Q3" s="2" t="n">
        <v>42843</v>
      </c>
      <c r="S3" s="0" t="n">
        <f aca="false">YEAR(Q3)</f>
        <v>2017</v>
      </c>
      <c r="T3" s="0" t="n">
        <f aca="false">MONTH(Q3)</f>
        <v>4</v>
      </c>
    </row>
    <row r="4" customFormat="false" ht="14.25" hidden="true" customHeight="false" outlineLevel="0" collapsed="false">
      <c r="A4" s="0" t="n">
        <v>3</v>
      </c>
      <c r="B4" s="1" t="s">
        <v>106</v>
      </c>
      <c r="C4" s="1" t="s">
        <v>1503</v>
      </c>
      <c r="D4" s="1" t="s">
        <v>1535</v>
      </c>
      <c r="E4" s="0" t="s">
        <v>44</v>
      </c>
      <c r="F4" s="0" t="s">
        <v>49</v>
      </c>
      <c r="G4" s="0" t="s">
        <v>3275</v>
      </c>
      <c r="I4" s="6" t="n">
        <v>0.625</v>
      </c>
      <c r="J4" s="6" t="n">
        <v>0.652777777777778</v>
      </c>
      <c r="M4" s="0" t="s">
        <v>3276</v>
      </c>
      <c r="N4" s="0" t="s">
        <v>3277</v>
      </c>
      <c r="P4" s="0" t="s">
        <v>3278</v>
      </c>
      <c r="Q4" s="2" t="n">
        <v>42843</v>
      </c>
      <c r="S4" s="0" t="n">
        <f aca="false">YEAR(Q4)</f>
        <v>2017</v>
      </c>
      <c r="T4" s="0" t="n">
        <f aca="false">MONTH(Q4)</f>
        <v>4</v>
      </c>
    </row>
    <row r="5" customFormat="false" ht="42.75" hidden="true" customHeight="false" outlineLevel="0" collapsed="false">
      <c r="A5" s="0" t="n">
        <v>4</v>
      </c>
      <c r="B5" s="1" t="s">
        <v>106</v>
      </c>
      <c r="C5" s="1" t="s">
        <v>1479</v>
      </c>
      <c r="D5" s="1" t="s">
        <v>1496</v>
      </c>
      <c r="E5" s="0" t="s">
        <v>38</v>
      </c>
      <c r="F5" s="0" t="s">
        <v>50</v>
      </c>
      <c r="G5" s="0" t="s">
        <v>3279</v>
      </c>
      <c r="I5" s="6" t="n">
        <v>0.833333333333333</v>
      </c>
      <c r="J5" s="6" t="n">
        <v>0.0555555555555556</v>
      </c>
      <c r="M5" s="0" t="s">
        <v>3280</v>
      </c>
      <c r="N5" s="0" t="s">
        <v>3281</v>
      </c>
      <c r="P5" s="7" t="s">
        <v>3282</v>
      </c>
      <c r="Q5" s="2" t="n">
        <v>42843</v>
      </c>
      <c r="S5" s="0" t="n">
        <f aca="false">YEAR(Q5)</f>
        <v>2017</v>
      </c>
      <c r="T5" s="0" t="n">
        <f aca="false">MONTH(Q5)</f>
        <v>4</v>
      </c>
    </row>
    <row r="6" customFormat="false" ht="14.25" hidden="true" customHeight="false" outlineLevel="0" collapsed="false">
      <c r="A6" s="0" t="n">
        <v>5</v>
      </c>
      <c r="B6" s="1" t="s">
        <v>118</v>
      </c>
      <c r="C6" s="1" t="s">
        <v>1479</v>
      </c>
      <c r="D6" s="1" t="s">
        <v>1496</v>
      </c>
      <c r="E6" s="0" t="s">
        <v>38</v>
      </c>
      <c r="F6" s="0" t="s">
        <v>49</v>
      </c>
      <c r="G6" s="0" t="s">
        <v>3283</v>
      </c>
      <c r="I6" s="6" t="n">
        <v>0.621527777777778</v>
      </c>
      <c r="J6" s="6" t="n">
        <v>0.629166666666667</v>
      </c>
      <c r="K6" s="0" t="s">
        <v>3284</v>
      </c>
      <c r="L6" s="0" t="n">
        <v>17</v>
      </c>
      <c r="M6" s="0" t="s">
        <v>3285</v>
      </c>
      <c r="N6" s="0" t="s">
        <v>3286</v>
      </c>
      <c r="P6" s="0" t="s">
        <v>3287</v>
      </c>
      <c r="Q6" s="2" t="n">
        <v>42844</v>
      </c>
      <c r="S6" s="0" t="n">
        <f aca="false">YEAR(Q6)</f>
        <v>2017</v>
      </c>
      <c r="T6" s="0" t="n">
        <f aca="false">MONTH(Q6)</f>
        <v>4</v>
      </c>
    </row>
    <row r="7" customFormat="false" ht="14.25" hidden="true" customHeight="false" outlineLevel="0" collapsed="false">
      <c r="A7" s="0" t="n">
        <v>6</v>
      </c>
      <c r="B7" s="1" t="s">
        <v>118</v>
      </c>
      <c r="C7" s="1" t="s">
        <v>1479</v>
      </c>
      <c r="D7" s="1" t="s">
        <v>1535</v>
      </c>
      <c r="E7" s="0" t="s">
        <v>39</v>
      </c>
      <c r="F7" s="0" t="s">
        <v>50</v>
      </c>
      <c r="G7" s="0" t="s">
        <v>3288</v>
      </c>
      <c r="I7" s="6" t="n">
        <v>0.999305555555556</v>
      </c>
      <c r="J7" s="6" t="n">
        <v>0.00694444444444444</v>
      </c>
      <c r="K7" s="0" t="n">
        <v>13</v>
      </c>
      <c r="L7" s="0" t="n">
        <v>177</v>
      </c>
      <c r="M7" s="0" t="s">
        <v>3289</v>
      </c>
      <c r="N7" s="0" t="s">
        <v>3290</v>
      </c>
      <c r="P7" s="0" t="s">
        <v>3291</v>
      </c>
      <c r="Q7" s="2" t="n">
        <v>42844</v>
      </c>
      <c r="S7" s="0" t="n">
        <f aca="false">YEAR(Q7)</f>
        <v>2017</v>
      </c>
      <c r="T7" s="0" t="n">
        <f aca="false">MONTH(Q7)</f>
        <v>4</v>
      </c>
    </row>
    <row r="8" customFormat="false" ht="14.25" hidden="true" customHeight="false" outlineLevel="0" collapsed="false">
      <c r="A8" s="0" t="n">
        <v>7</v>
      </c>
      <c r="B8" s="1" t="s">
        <v>126</v>
      </c>
      <c r="C8" s="1" t="s">
        <v>1479</v>
      </c>
      <c r="D8" s="1" t="s">
        <v>1487</v>
      </c>
      <c r="E8" s="0" t="s">
        <v>1488</v>
      </c>
      <c r="F8" s="0" t="s">
        <v>49</v>
      </c>
      <c r="G8" s="0" t="s">
        <v>3292</v>
      </c>
      <c r="I8" s="6" t="n">
        <v>0.594444444444444</v>
      </c>
      <c r="J8" s="6" t="n">
        <v>0.615972222222222</v>
      </c>
      <c r="L8" s="0" t="n">
        <v>75</v>
      </c>
      <c r="M8" s="0" t="s">
        <v>3293</v>
      </c>
      <c r="N8" s="0" t="s">
        <v>3294</v>
      </c>
      <c r="P8" s="0" t="s">
        <v>3295</v>
      </c>
      <c r="Q8" s="2" t="n">
        <v>42899</v>
      </c>
      <c r="S8" s="0" t="n">
        <f aca="false">YEAR(Q8)</f>
        <v>2017</v>
      </c>
      <c r="T8" s="0" t="n">
        <f aca="false">MONTH(Q8)</f>
        <v>6</v>
      </c>
    </row>
    <row r="9" customFormat="false" ht="14.25" hidden="true" customHeight="false" outlineLevel="0" collapsed="false">
      <c r="A9" s="0" t="n">
        <v>8</v>
      </c>
      <c r="B9" s="1" t="s">
        <v>126</v>
      </c>
      <c r="C9" s="1" t="s">
        <v>1479</v>
      </c>
      <c r="D9" s="1" t="s">
        <v>1496</v>
      </c>
      <c r="E9" s="0" t="s">
        <v>38</v>
      </c>
      <c r="F9" s="0" t="s">
        <v>49</v>
      </c>
      <c r="G9" s="0" t="s">
        <v>3296</v>
      </c>
      <c r="I9" s="6" t="n">
        <v>0.650694444444444</v>
      </c>
      <c r="J9" s="6" t="n">
        <v>0.657638888888889</v>
      </c>
      <c r="K9" s="0" t="n">
        <v>31</v>
      </c>
      <c r="L9" s="0" t="n">
        <v>30</v>
      </c>
      <c r="M9" s="0" t="s">
        <v>3297</v>
      </c>
      <c r="N9" s="0" t="s">
        <v>3298</v>
      </c>
      <c r="P9" s="0" t="s">
        <v>3299</v>
      </c>
      <c r="Q9" s="2" t="n">
        <v>42899</v>
      </c>
      <c r="S9" s="0" t="n">
        <f aca="false">YEAR(Q9)</f>
        <v>2017</v>
      </c>
      <c r="T9" s="0" t="n">
        <f aca="false">MONTH(Q9)</f>
        <v>6</v>
      </c>
    </row>
    <row r="10" customFormat="false" ht="14.25" hidden="true" customHeight="false" outlineLevel="0" collapsed="false">
      <c r="A10" s="0" t="n">
        <v>9</v>
      </c>
      <c r="B10" s="1" t="s">
        <v>126</v>
      </c>
      <c r="C10" s="1" t="s">
        <v>1503</v>
      </c>
      <c r="D10" s="1" t="s">
        <v>1535</v>
      </c>
      <c r="E10" s="0" t="s">
        <v>44</v>
      </c>
      <c r="F10" s="0" t="s">
        <v>49</v>
      </c>
      <c r="G10" s="0" t="s">
        <v>3300</v>
      </c>
      <c r="I10" s="6" t="n">
        <v>0.660416666666667</v>
      </c>
      <c r="J10" s="6" t="n">
        <v>0.66875</v>
      </c>
      <c r="M10" s="0" t="s">
        <v>3301</v>
      </c>
      <c r="N10" s="0" t="s">
        <v>3302</v>
      </c>
      <c r="P10" s="0" t="s">
        <v>3303</v>
      </c>
      <c r="Q10" s="2" t="n">
        <v>42899</v>
      </c>
      <c r="S10" s="0" t="n">
        <f aca="false">YEAR(Q10)</f>
        <v>2017</v>
      </c>
      <c r="T10" s="0" t="n">
        <f aca="false">MONTH(Q10)</f>
        <v>6</v>
      </c>
    </row>
    <row r="11" customFormat="false" ht="14.25" hidden="true" customHeight="false" outlineLevel="0" collapsed="false">
      <c r="A11" s="0" t="n">
        <v>10</v>
      </c>
      <c r="B11" s="1" t="s">
        <v>126</v>
      </c>
      <c r="C11" s="1" t="s">
        <v>1479</v>
      </c>
      <c r="D11" s="1" t="s">
        <v>1535</v>
      </c>
      <c r="E11" s="0" t="s">
        <v>39</v>
      </c>
      <c r="F11" s="0" t="s">
        <v>49</v>
      </c>
      <c r="G11" s="0" t="s">
        <v>3304</v>
      </c>
      <c r="I11" s="6" t="n">
        <v>0</v>
      </c>
      <c r="J11" s="6" t="n">
        <v>0.690972222222222</v>
      </c>
      <c r="K11" s="0" t="n">
        <v>6</v>
      </c>
      <c r="L11" s="0" t="n">
        <v>30</v>
      </c>
      <c r="M11" s="0" t="s">
        <v>3305</v>
      </c>
      <c r="N11" s="0" t="s">
        <v>3306</v>
      </c>
      <c r="P11" s="0" t="s">
        <v>3307</v>
      </c>
      <c r="Q11" s="2" t="n">
        <v>42899</v>
      </c>
      <c r="S11" s="0" t="n">
        <f aca="false">YEAR(Q11)</f>
        <v>2017</v>
      </c>
      <c r="T11" s="0" t="n">
        <f aca="false">MONTH(Q11)</f>
        <v>6</v>
      </c>
    </row>
    <row r="12" customFormat="false" ht="57" hidden="true" customHeight="false" outlineLevel="0" collapsed="false">
      <c r="A12" s="0" t="n">
        <v>11</v>
      </c>
      <c r="B12" s="1" t="s">
        <v>126</v>
      </c>
      <c r="C12" s="1" t="s">
        <v>1479</v>
      </c>
      <c r="D12" s="1" t="s">
        <v>1487</v>
      </c>
      <c r="E12" s="4" t="s">
        <v>1488</v>
      </c>
      <c r="F12" s="0" t="s">
        <v>50</v>
      </c>
      <c r="G12" s="0" t="s">
        <v>3308</v>
      </c>
      <c r="I12" s="6" t="n">
        <v>0.979861111111111</v>
      </c>
      <c r="J12" s="6" t="n">
        <v>0.998611111111111</v>
      </c>
      <c r="K12" s="0" t="n">
        <v>20</v>
      </c>
      <c r="L12" s="0" t="n">
        <v>50</v>
      </c>
      <c r="M12" s="0" t="s">
        <v>3309</v>
      </c>
      <c r="N12" s="7" t="s">
        <v>3310</v>
      </c>
      <c r="O12" s="7"/>
      <c r="P12" s="7" t="s">
        <v>3311</v>
      </c>
      <c r="Q12" s="2" t="n">
        <v>42899</v>
      </c>
      <c r="S12" s="0" t="n">
        <f aca="false">YEAR(Q12)</f>
        <v>2017</v>
      </c>
      <c r="T12" s="0" t="n">
        <f aca="false">MONTH(Q12)</f>
        <v>6</v>
      </c>
    </row>
    <row r="13" customFormat="false" ht="14.25" hidden="true" customHeight="false" outlineLevel="0" collapsed="false">
      <c r="A13" s="0" t="n">
        <v>12</v>
      </c>
      <c r="B13" s="1" t="s">
        <v>126</v>
      </c>
      <c r="C13" s="1" t="s">
        <v>1479</v>
      </c>
      <c r="D13" s="1" t="s">
        <v>1496</v>
      </c>
      <c r="E13" s="0" t="s">
        <v>38</v>
      </c>
      <c r="F13" s="0" t="s">
        <v>50</v>
      </c>
      <c r="G13" s="0" t="s">
        <v>3312</v>
      </c>
      <c r="I13" s="6" t="n">
        <v>0.0625</v>
      </c>
      <c r="J13" s="6" t="n">
        <v>0.0763888888888889</v>
      </c>
      <c r="M13" s="0" t="s">
        <v>3313</v>
      </c>
      <c r="N13" s="0" t="s">
        <v>3314</v>
      </c>
      <c r="P13" s="0" t="s">
        <v>3315</v>
      </c>
      <c r="Q13" s="2" t="n">
        <v>42899</v>
      </c>
      <c r="S13" s="0" t="n">
        <f aca="false">YEAR(Q13)</f>
        <v>2017</v>
      </c>
      <c r="T13" s="0" t="n">
        <f aca="false">MONTH(Q13)</f>
        <v>6</v>
      </c>
    </row>
    <row r="14" customFormat="false" ht="14.25" hidden="true" customHeight="false" outlineLevel="0" collapsed="false">
      <c r="A14" s="0" t="n">
        <v>13</v>
      </c>
      <c r="B14" s="1" t="s">
        <v>135</v>
      </c>
      <c r="C14" s="1" t="s">
        <v>1479</v>
      </c>
      <c r="D14" s="1" t="s">
        <v>1487</v>
      </c>
      <c r="E14" s="0" t="s">
        <v>1488</v>
      </c>
      <c r="F14" s="0" t="s">
        <v>48</v>
      </c>
      <c r="G14" s="0" t="s">
        <v>3316</v>
      </c>
      <c r="J14" s="6" t="n">
        <v>0.513888888888889</v>
      </c>
      <c r="M14" s="0" t="s">
        <v>3317</v>
      </c>
      <c r="N14" s="0" t="s">
        <v>3318</v>
      </c>
      <c r="P14" s="0" t="s">
        <v>3319</v>
      </c>
      <c r="Q14" s="2" t="n">
        <v>42892</v>
      </c>
      <c r="S14" s="0" t="n">
        <f aca="false">YEAR(Q14)</f>
        <v>2017</v>
      </c>
      <c r="T14" s="0" t="n">
        <f aca="false">MONTH(Q14)</f>
        <v>6</v>
      </c>
    </row>
    <row r="15" customFormat="false" ht="14.25" hidden="true" customHeight="false" outlineLevel="0" collapsed="false">
      <c r="A15" s="0" t="n">
        <v>14</v>
      </c>
      <c r="B15" s="1" t="s">
        <v>135</v>
      </c>
      <c r="C15" s="1" t="s">
        <v>1503</v>
      </c>
      <c r="D15" s="1" t="s">
        <v>1504</v>
      </c>
      <c r="E15" s="0" t="s">
        <v>45</v>
      </c>
      <c r="F15" s="0" t="s">
        <v>49</v>
      </c>
      <c r="G15" s="0" t="s">
        <v>3320</v>
      </c>
      <c r="I15" s="6" t="n">
        <v>0.6875</v>
      </c>
      <c r="J15" s="6" t="n">
        <v>0.6875</v>
      </c>
      <c r="L15" s="0" t="n">
        <v>90</v>
      </c>
      <c r="M15" s="0" t="s">
        <v>3321</v>
      </c>
      <c r="N15" s="0" t="s">
        <v>3322</v>
      </c>
      <c r="P15" s="0" t="s">
        <v>3323</v>
      </c>
      <c r="Q15" s="2" t="n">
        <v>42892</v>
      </c>
      <c r="S15" s="0" t="n">
        <f aca="false">YEAR(Q15)</f>
        <v>2017</v>
      </c>
      <c r="T15" s="0" t="n">
        <f aca="false">MONTH(Q15)</f>
        <v>6</v>
      </c>
    </row>
    <row r="16" customFormat="false" ht="14.25" hidden="true" customHeight="false" outlineLevel="0" collapsed="false">
      <c r="A16" s="0" t="n">
        <v>15</v>
      </c>
      <c r="B16" s="1" t="s">
        <v>135</v>
      </c>
      <c r="C16" s="1" t="s">
        <v>1479</v>
      </c>
      <c r="D16" s="1" t="s">
        <v>1535</v>
      </c>
      <c r="E16" s="0" t="s">
        <v>39</v>
      </c>
      <c r="F16" s="0" t="s">
        <v>49</v>
      </c>
      <c r="G16" s="0" t="s">
        <v>3324</v>
      </c>
      <c r="M16" s="0" t="s">
        <v>3325</v>
      </c>
      <c r="N16" s="0" t="s">
        <v>3326</v>
      </c>
      <c r="P16" s="0" t="s">
        <v>3327</v>
      </c>
      <c r="Q16" s="2" t="n">
        <v>42892</v>
      </c>
      <c r="S16" s="0" t="n">
        <f aca="false">YEAR(Q16)</f>
        <v>2017</v>
      </c>
      <c r="T16" s="0" t="n">
        <f aca="false">MONTH(Q16)</f>
        <v>6</v>
      </c>
    </row>
    <row r="17" customFormat="false" ht="14.25" hidden="true" customHeight="false" outlineLevel="0" collapsed="false">
      <c r="A17" s="0" t="n">
        <v>16</v>
      </c>
      <c r="B17" s="1" t="s">
        <v>135</v>
      </c>
      <c r="C17" s="1" t="s">
        <v>1479</v>
      </c>
      <c r="D17" s="1" t="s">
        <v>1480</v>
      </c>
      <c r="E17" s="0" t="s">
        <v>43</v>
      </c>
      <c r="F17" s="0" t="s">
        <v>50</v>
      </c>
      <c r="G17" s="0" t="s">
        <v>3328</v>
      </c>
      <c r="I17" s="6" t="n">
        <v>0.958333333333333</v>
      </c>
      <c r="J17" s="6" t="n">
        <v>0.0208333333333333</v>
      </c>
      <c r="K17" s="0" t="n">
        <v>0</v>
      </c>
      <c r="L17" s="0" t="n">
        <v>140</v>
      </c>
      <c r="M17" s="0" t="s">
        <v>3329</v>
      </c>
      <c r="N17" s="0" t="s">
        <v>3330</v>
      </c>
      <c r="P17" s="0" t="s">
        <v>3331</v>
      </c>
      <c r="Q17" s="2" t="n">
        <v>42892</v>
      </c>
      <c r="S17" s="0" t="n">
        <f aca="false">YEAR(Q17)</f>
        <v>2017</v>
      </c>
      <c r="T17" s="0" t="n">
        <f aca="false">MONTH(Q17)</f>
        <v>6</v>
      </c>
    </row>
    <row r="18" customFormat="false" ht="57" hidden="true" customHeight="false" outlineLevel="0" collapsed="false">
      <c r="A18" s="0" t="n">
        <v>17</v>
      </c>
      <c r="B18" s="1" t="s">
        <v>135</v>
      </c>
      <c r="C18" s="1" t="s">
        <v>1479</v>
      </c>
      <c r="D18" s="1" t="s">
        <v>1480</v>
      </c>
      <c r="E18" s="0" t="s">
        <v>43</v>
      </c>
      <c r="F18" s="0" t="s">
        <v>50</v>
      </c>
      <c r="G18" s="0" t="s">
        <v>3332</v>
      </c>
      <c r="I18" s="6" t="n">
        <v>0.0118055555555556</v>
      </c>
      <c r="M18" s="0" t="s">
        <v>3333</v>
      </c>
      <c r="N18" s="0" t="s">
        <v>3334</v>
      </c>
      <c r="P18" s="7" t="s">
        <v>3335</v>
      </c>
      <c r="Q18" s="2" t="n">
        <v>42892</v>
      </c>
      <c r="S18" s="0" t="n">
        <f aca="false">YEAR(Q18)</f>
        <v>2017</v>
      </c>
      <c r="T18" s="0" t="n">
        <f aca="false">MONTH(Q18)</f>
        <v>6</v>
      </c>
    </row>
    <row r="19" customFormat="false" ht="14.25" hidden="true" customHeight="false" outlineLevel="0" collapsed="false">
      <c r="A19" s="0" t="n">
        <v>18</v>
      </c>
      <c r="B19" s="1" t="s">
        <v>140</v>
      </c>
      <c r="C19" s="1" t="s">
        <v>1479</v>
      </c>
      <c r="D19" s="1" t="s">
        <v>1487</v>
      </c>
      <c r="E19" s="0" t="s">
        <v>1488</v>
      </c>
      <c r="F19" s="0" t="s">
        <v>49</v>
      </c>
      <c r="G19" s="0" t="s">
        <v>3336</v>
      </c>
      <c r="I19" s="6" t="n">
        <v>0.649305555555556</v>
      </c>
      <c r="J19" s="6" t="n">
        <v>0.652777777777778</v>
      </c>
      <c r="K19" s="0" t="n">
        <v>0</v>
      </c>
      <c r="L19" s="0" t="n">
        <v>10</v>
      </c>
      <c r="M19" s="0" t="s">
        <v>3337</v>
      </c>
      <c r="P19" s="0" t="s">
        <v>3338</v>
      </c>
      <c r="Q19" s="2" t="n">
        <v>42893</v>
      </c>
      <c r="S19" s="0" t="n">
        <f aca="false">YEAR(Q19)</f>
        <v>2017</v>
      </c>
      <c r="T19" s="0" t="n">
        <f aca="false">MONTH(Q19)</f>
        <v>6</v>
      </c>
    </row>
    <row r="20" customFormat="false" ht="14.25" hidden="true" customHeight="false" outlineLevel="0" collapsed="false">
      <c r="A20" s="0" t="n">
        <v>19</v>
      </c>
      <c r="B20" s="1" t="s">
        <v>140</v>
      </c>
      <c r="C20" s="1" t="s">
        <v>1479</v>
      </c>
      <c r="D20" s="1" t="s">
        <v>1487</v>
      </c>
      <c r="E20" s="0" t="s">
        <v>1488</v>
      </c>
      <c r="F20" s="0" t="s">
        <v>49</v>
      </c>
      <c r="G20" s="0" t="s">
        <v>3339</v>
      </c>
      <c r="I20" s="6" t="n">
        <v>0.672916666666667</v>
      </c>
      <c r="J20" s="6" t="n">
        <v>0.683333333333333</v>
      </c>
      <c r="L20" s="0" t="n">
        <v>103</v>
      </c>
      <c r="M20" s="0" t="s">
        <v>3340</v>
      </c>
      <c r="N20" s="0" t="s">
        <v>3341</v>
      </c>
      <c r="P20" s="0" t="s">
        <v>3342</v>
      </c>
      <c r="Q20" s="2" t="n">
        <v>42893</v>
      </c>
      <c r="S20" s="0" t="n">
        <f aca="false">YEAR(Q20)</f>
        <v>2017</v>
      </c>
      <c r="T20" s="0" t="n">
        <f aca="false">MONTH(Q20)</f>
        <v>6</v>
      </c>
    </row>
    <row r="21" customFormat="false" ht="14.25" hidden="true" customHeight="false" outlineLevel="0" collapsed="false">
      <c r="A21" s="0" t="n">
        <v>20</v>
      </c>
      <c r="B21" s="1" t="s">
        <v>140</v>
      </c>
      <c r="C21" s="1" t="s">
        <v>1503</v>
      </c>
      <c r="D21" s="1" t="s">
        <v>1535</v>
      </c>
      <c r="E21" s="0" t="s">
        <v>44</v>
      </c>
      <c r="F21" s="0" t="s">
        <v>49</v>
      </c>
      <c r="G21" s="0" t="s">
        <v>3343</v>
      </c>
      <c r="I21" s="6" t="n">
        <v>0.775</v>
      </c>
      <c r="L21" s="0" t="n">
        <v>120</v>
      </c>
      <c r="M21" s="0" t="s">
        <v>3344</v>
      </c>
      <c r="N21" s="0" t="s">
        <v>3345</v>
      </c>
      <c r="P21" s="0" t="s">
        <v>3338</v>
      </c>
      <c r="Q21" s="2" t="n">
        <v>42893</v>
      </c>
      <c r="S21" s="0" t="n">
        <f aca="false">YEAR(Q21)</f>
        <v>2017</v>
      </c>
      <c r="T21" s="0" t="n">
        <f aca="false">MONTH(Q21)</f>
        <v>6</v>
      </c>
    </row>
    <row r="22" customFormat="false" ht="14.25" hidden="true" customHeight="false" outlineLevel="0" collapsed="false">
      <c r="A22" s="0" t="n">
        <v>21</v>
      </c>
      <c r="B22" s="1" t="s">
        <v>140</v>
      </c>
      <c r="C22" s="1" t="s">
        <v>1479</v>
      </c>
      <c r="D22" s="1" t="s">
        <v>1487</v>
      </c>
      <c r="E22" s="0" t="s">
        <v>1488</v>
      </c>
      <c r="F22" s="0" t="s">
        <v>49</v>
      </c>
      <c r="G22" s="0" t="s">
        <v>3346</v>
      </c>
      <c r="L22" s="0" t="n">
        <v>13</v>
      </c>
      <c r="M22" s="0" t="s">
        <v>3340</v>
      </c>
      <c r="N22" s="0" t="s">
        <v>3341</v>
      </c>
      <c r="P22" s="0" t="s">
        <v>3347</v>
      </c>
      <c r="Q22" s="2" t="n">
        <v>42893</v>
      </c>
      <c r="S22" s="0" t="n">
        <f aca="false">YEAR(Q22)</f>
        <v>2017</v>
      </c>
      <c r="T22" s="0" t="n">
        <f aca="false">MONTH(Q22)</f>
        <v>6</v>
      </c>
    </row>
    <row r="23" customFormat="false" ht="14.25" hidden="true" customHeight="false" outlineLevel="0" collapsed="false">
      <c r="A23" s="0" t="n">
        <v>22</v>
      </c>
      <c r="B23" s="1" t="s">
        <v>148</v>
      </c>
      <c r="C23" s="1" t="s">
        <v>1479</v>
      </c>
      <c r="D23" s="1" t="s">
        <v>1487</v>
      </c>
      <c r="E23" s="0" t="s">
        <v>1488</v>
      </c>
      <c r="F23" s="0" t="s">
        <v>49</v>
      </c>
      <c r="G23" s="0" t="s">
        <v>3348</v>
      </c>
      <c r="I23" s="6" t="n">
        <v>0.777777777777778</v>
      </c>
      <c r="J23" s="6" t="n">
        <v>0.795833333333333</v>
      </c>
      <c r="L23" s="0" t="n">
        <v>70</v>
      </c>
      <c r="M23" s="0" t="s">
        <v>3349</v>
      </c>
      <c r="N23" s="0" t="s">
        <v>3350</v>
      </c>
      <c r="P23" s="0" t="s">
        <v>3351</v>
      </c>
      <c r="Q23" s="2" t="n">
        <v>42894</v>
      </c>
      <c r="S23" s="0" t="n">
        <f aca="false">YEAR(Q23)</f>
        <v>2017</v>
      </c>
      <c r="T23" s="0" t="n">
        <f aca="false">MONTH(Q23)</f>
        <v>6</v>
      </c>
    </row>
    <row r="24" customFormat="false" ht="14.25" hidden="true" customHeight="false" outlineLevel="0" collapsed="false">
      <c r="A24" s="0" t="n">
        <v>23</v>
      </c>
      <c r="B24" s="1" t="s">
        <v>148</v>
      </c>
      <c r="C24" s="1" t="s">
        <v>1479</v>
      </c>
      <c r="D24" s="1" t="s">
        <v>1487</v>
      </c>
      <c r="E24" s="0" t="s">
        <v>1488</v>
      </c>
      <c r="F24" s="0" t="s">
        <v>49</v>
      </c>
      <c r="G24" s="0" t="s">
        <v>3352</v>
      </c>
      <c r="I24" s="6" t="n">
        <v>0.760416666666667</v>
      </c>
      <c r="J24" s="6" t="n">
        <v>0.833333333333333</v>
      </c>
      <c r="L24" s="0" t="n">
        <v>6</v>
      </c>
      <c r="M24" s="0" t="s">
        <v>3353</v>
      </c>
      <c r="N24" s="0" t="s">
        <v>3354</v>
      </c>
      <c r="P24" s="0" t="s">
        <v>3355</v>
      </c>
      <c r="Q24" s="2" t="n">
        <v>42894</v>
      </c>
      <c r="S24" s="0" t="n">
        <f aca="false">YEAR(Q24)</f>
        <v>2017</v>
      </c>
      <c r="T24" s="0" t="n">
        <f aca="false">MONTH(Q24)</f>
        <v>6</v>
      </c>
    </row>
    <row r="25" customFormat="false" ht="14.25" hidden="true" customHeight="false" outlineLevel="0" collapsed="false">
      <c r="A25" s="0" t="n">
        <v>24</v>
      </c>
      <c r="B25" s="1" t="s">
        <v>148</v>
      </c>
      <c r="C25" s="1" t="s">
        <v>1479</v>
      </c>
      <c r="D25" s="1" t="s">
        <v>1487</v>
      </c>
      <c r="E25" s="0" t="s">
        <v>1488</v>
      </c>
      <c r="F25" s="0" t="s">
        <v>49</v>
      </c>
      <c r="G25" s="0" t="s">
        <v>3356</v>
      </c>
      <c r="J25" s="6" t="n">
        <v>0.65625</v>
      </c>
      <c r="M25" s="0" t="s">
        <v>3357</v>
      </c>
      <c r="N25" s="0" t="s">
        <v>3358</v>
      </c>
      <c r="P25" s="0" t="s">
        <v>3359</v>
      </c>
      <c r="Q25" s="2" t="n">
        <v>42894</v>
      </c>
      <c r="S25" s="0" t="n">
        <f aca="false">YEAR(Q25)</f>
        <v>2017</v>
      </c>
      <c r="T25" s="0" t="n">
        <f aca="false">MONTH(Q25)</f>
        <v>6</v>
      </c>
    </row>
    <row r="26" customFormat="false" ht="14.25" hidden="true" customHeight="false" outlineLevel="0" collapsed="false">
      <c r="A26" s="0" t="n">
        <v>25</v>
      </c>
      <c r="B26" s="1" t="s">
        <v>157</v>
      </c>
      <c r="C26" s="1" t="s">
        <v>1479</v>
      </c>
      <c r="D26" s="1" t="s">
        <v>1535</v>
      </c>
      <c r="E26" s="0" t="s">
        <v>39</v>
      </c>
      <c r="F26" s="0" t="s">
        <v>48</v>
      </c>
      <c r="G26" s="0" t="s">
        <v>3360</v>
      </c>
      <c r="I26" s="6" t="n">
        <v>0.236111111111111</v>
      </c>
      <c r="L26" s="0" t="n">
        <v>36</v>
      </c>
      <c r="M26" s="0" t="s">
        <v>3361</v>
      </c>
      <c r="N26" s="0" t="s">
        <v>3362</v>
      </c>
      <c r="Q26" s="2" t="n">
        <v>42898</v>
      </c>
      <c r="S26" s="0" t="n">
        <f aca="false">YEAR(Q26)</f>
        <v>2017</v>
      </c>
      <c r="T26" s="0" t="n">
        <f aca="false">MONTH(Q26)</f>
        <v>6</v>
      </c>
    </row>
    <row r="27" customFormat="false" ht="14.25" hidden="true" customHeight="false" outlineLevel="0" collapsed="false">
      <c r="A27" s="0" t="n">
        <v>26</v>
      </c>
      <c r="B27" s="1" t="s">
        <v>157</v>
      </c>
      <c r="C27" s="1" t="s">
        <v>1479</v>
      </c>
      <c r="D27" s="1" t="s">
        <v>1487</v>
      </c>
      <c r="E27" s="0" t="s">
        <v>1488</v>
      </c>
      <c r="F27" s="0" t="s">
        <v>48</v>
      </c>
      <c r="G27" s="0" t="s">
        <v>3363</v>
      </c>
      <c r="I27" s="6" t="n">
        <v>0.402777777777778</v>
      </c>
      <c r="J27" s="6" t="n">
        <v>0.413194444444444</v>
      </c>
      <c r="L27" s="0" t="n">
        <v>33</v>
      </c>
      <c r="M27" s="0" t="s">
        <v>3364</v>
      </c>
      <c r="N27" s="0" t="s">
        <v>3365</v>
      </c>
      <c r="P27" s="0" t="s">
        <v>3366</v>
      </c>
      <c r="Q27" s="2" t="n">
        <v>42898</v>
      </c>
      <c r="S27" s="0" t="n">
        <f aca="false">YEAR(Q27)</f>
        <v>2017</v>
      </c>
      <c r="T27" s="0" t="n">
        <f aca="false">MONTH(Q27)</f>
        <v>6</v>
      </c>
    </row>
    <row r="28" customFormat="false" ht="14.25" hidden="true" customHeight="false" outlineLevel="0" collapsed="false">
      <c r="A28" s="0" t="n">
        <v>27</v>
      </c>
      <c r="B28" s="1" t="s">
        <v>157</v>
      </c>
      <c r="C28" s="1" t="s">
        <v>1479</v>
      </c>
      <c r="D28" s="1" t="s">
        <v>1487</v>
      </c>
      <c r="E28" s="0" t="s">
        <v>1488</v>
      </c>
      <c r="F28" s="0" t="s">
        <v>48</v>
      </c>
      <c r="G28" s="0" t="s">
        <v>3367</v>
      </c>
      <c r="I28" s="6" t="n">
        <v>0.409722222222222</v>
      </c>
      <c r="L28" s="0" t="n">
        <v>20</v>
      </c>
      <c r="M28" s="0" t="s">
        <v>3368</v>
      </c>
      <c r="N28" s="0" t="s">
        <v>3369</v>
      </c>
      <c r="P28" s="0" t="s">
        <v>3370</v>
      </c>
      <c r="Q28" s="2" t="n">
        <v>42898</v>
      </c>
      <c r="S28" s="0" t="n">
        <f aca="false">YEAR(Q28)</f>
        <v>2017</v>
      </c>
      <c r="T28" s="0" t="n">
        <f aca="false">MONTH(Q28)</f>
        <v>6</v>
      </c>
    </row>
    <row r="29" customFormat="false" ht="14.25" hidden="true" customHeight="false" outlineLevel="0" collapsed="false">
      <c r="A29" s="0" t="n">
        <v>28</v>
      </c>
      <c r="B29" s="1" t="s">
        <v>157</v>
      </c>
      <c r="C29" s="1" t="s">
        <v>1479</v>
      </c>
      <c r="D29" s="1" t="s">
        <v>1496</v>
      </c>
      <c r="E29" s="0" t="s">
        <v>38</v>
      </c>
      <c r="F29" s="0" t="s">
        <v>48</v>
      </c>
      <c r="G29" s="0" t="s">
        <v>3371</v>
      </c>
      <c r="I29" s="6" t="n">
        <v>0.522222222222222</v>
      </c>
      <c r="J29" s="6" t="n">
        <v>0.530555555555556</v>
      </c>
      <c r="L29" s="0" t="n">
        <v>40</v>
      </c>
      <c r="M29" s="0" t="s">
        <v>3372</v>
      </c>
      <c r="N29" s="0" t="s">
        <v>3373</v>
      </c>
      <c r="P29" s="0" t="s">
        <v>3374</v>
      </c>
      <c r="Q29" s="2" t="n">
        <v>42898</v>
      </c>
      <c r="S29" s="0" t="n">
        <f aca="false">YEAR(Q29)</f>
        <v>2017</v>
      </c>
      <c r="T29" s="0" t="n">
        <f aca="false">MONTH(Q29)</f>
        <v>6</v>
      </c>
    </row>
    <row r="30" customFormat="false" ht="14.25" hidden="true" customHeight="false" outlineLevel="0" collapsed="false">
      <c r="A30" s="0" t="n">
        <v>29</v>
      </c>
      <c r="B30" s="1" t="s">
        <v>165</v>
      </c>
      <c r="C30" s="1" t="s">
        <v>1479</v>
      </c>
      <c r="D30" s="1" t="s">
        <v>1535</v>
      </c>
      <c r="E30" s="0" t="s">
        <v>39</v>
      </c>
      <c r="F30" s="0" t="s">
        <v>48</v>
      </c>
      <c r="G30" s="0" t="s">
        <v>3375</v>
      </c>
      <c r="I30" s="6" t="n">
        <v>0.236111111111111</v>
      </c>
      <c r="J30" s="6" t="n">
        <v>0.347222222222222</v>
      </c>
      <c r="K30" s="0" t="n">
        <v>15</v>
      </c>
      <c r="M30" s="0" t="s">
        <v>3376</v>
      </c>
      <c r="N30" s="0" t="s">
        <v>3377</v>
      </c>
      <c r="P30" s="0" t="s">
        <v>3378</v>
      </c>
      <c r="Q30" s="2" t="n">
        <v>42900</v>
      </c>
      <c r="S30" s="0" t="n">
        <f aca="false">YEAR(Q30)</f>
        <v>2017</v>
      </c>
      <c r="T30" s="0" t="n">
        <f aca="false">MONTH(Q30)</f>
        <v>6</v>
      </c>
    </row>
    <row r="31" customFormat="false" ht="14.25" hidden="true" customHeight="false" outlineLevel="0" collapsed="false">
      <c r="A31" s="0" t="n">
        <v>30</v>
      </c>
      <c r="B31" s="1" t="s">
        <v>165</v>
      </c>
      <c r="C31" s="1" t="s">
        <v>1479</v>
      </c>
      <c r="D31" s="1" t="s">
        <v>1487</v>
      </c>
      <c r="E31" s="0" t="s">
        <v>1488</v>
      </c>
      <c r="F31" s="0" t="s">
        <v>48</v>
      </c>
      <c r="G31" s="0" t="s">
        <v>3379</v>
      </c>
      <c r="I31" s="6" t="n">
        <v>0.523611111111111</v>
      </c>
      <c r="J31" s="6" t="n">
        <v>0.53125</v>
      </c>
      <c r="L31" s="0" t="n">
        <v>30</v>
      </c>
      <c r="M31" s="0" t="s">
        <v>3380</v>
      </c>
      <c r="N31" s="0" t="s">
        <v>3381</v>
      </c>
      <c r="P31" s="0" t="s">
        <v>3382</v>
      </c>
      <c r="Q31" s="2" t="n">
        <v>42900</v>
      </c>
      <c r="S31" s="0" t="n">
        <f aca="false">YEAR(Q31)</f>
        <v>2017</v>
      </c>
      <c r="T31" s="0" t="n">
        <f aca="false">MONTH(Q31)</f>
        <v>6</v>
      </c>
    </row>
    <row r="32" customFormat="false" ht="14.25" hidden="true" customHeight="false" outlineLevel="0" collapsed="false">
      <c r="A32" s="0" t="n">
        <v>31</v>
      </c>
      <c r="B32" s="1" t="s">
        <v>173</v>
      </c>
      <c r="C32" s="1" t="s">
        <v>1479</v>
      </c>
      <c r="D32" s="1" t="s">
        <v>1535</v>
      </c>
      <c r="E32" s="0" t="s">
        <v>39</v>
      </c>
      <c r="F32" s="0" t="s">
        <v>48</v>
      </c>
      <c r="G32" s="0" t="s">
        <v>3383</v>
      </c>
      <c r="J32" s="6" t="n">
        <v>0.326388888888889</v>
      </c>
      <c r="M32" s="0" t="s">
        <v>3384</v>
      </c>
      <c r="N32" s="0" t="s">
        <v>3385</v>
      </c>
      <c r="P32" s="0" t="s">
        <v>3386</v>
      </c>
      <c r="Q32" s="2" t="n">
        <v>42905</v>
      </c>
      <c r="S32" s="0" t="n">
        <f aca="false">YEAR(Q32)</f>
        <v>2017</v>
      </c>
      <c r="T32" s="0" t="n">
        <f aca="false">MONTH(Q32)</f>
        <v>6</v>
      </c>
    </row>
    <row r="33" customFormat="false" ht="14.25" hidden="true" customHeight="false" outlineLevel="0" collapsed="false">
      <c r="A33" s="0" t="n">
        <v>32</v>
      </c>
      <c r="B33" s="1" t="s">
        <v>173</v>
      </c>
      <c r="C33" s="1" t="s">
        <v>1495</v>
      </c>
      <c r="D33" s="1" t="s">
        <v>1496</v>
      </c>
      <c r="E33" s="0" t="s">
        <v>41</v>
      </c>
      <c r="F33" s="0" t="s">
        <v>48</v>
      </c>
      <c r="G33" s="0" t="s">
        <v>3383</v>
      </c>
      <c r="I33" s="6" t="n">
        <v>0.430555555555556</v>
      </c>
      <c r="J33" s="6" t="n">
        <v>0.444444444444444</v>
      </c>
      <c r="K33" s="0" t="n">
        <v>2</v>
      </c>
      <c r="L33" s="0" t="n">
        <v>260</v>
      </c>
      <c r="M33" s="0" t="s">
        <v>3387</v>
      </c>
      <c r="N33" s="0" t="s">
        <v>3388</v>
      </c>
      <c r="P33" s="0" t="s">
        <v>3389</v>
      </c>
      <c r="Q33" s="2" t="n">
        <v>42905</v>
      </c>
      <c r="S33" s="0" t="n">
        <f aca="false">YEAR(Q33)</f>
        <v>2017</v>
      </c>
      <c r="T33" s="0" t="n">
        <f aca="false">MONTH(Q33)</f>
        <v>6</v>
      </c>
    </row>
    <row r="34" customFormat="false" ht="42.75" hidden="true" customHeight="false" outlineLevel="0" collapsed="false">
      <c r="A34" s="0" t="n">
        <v>33</v>
      </c>
      <c r="B34" s="1" t="s">
        <v>173</v>
      </c>
      <c r="C34" s="1" t="s">
        <v>1479</v>
      </c>
      <c r="D34" s="1" t="s">
        <v>1487</v>
      </c>
      <c r="E34" s="0" t="s">
        <v>1488</v>
      </c>
      <c r="F34" s="18" t="s">
        <v>3390</v>
      </c>
      <c r="G34" s="0" t="s">
        <v>3391</v>
      </c>
      <c r="J34" s="6" t="n">
        <v>0.666666666666667</v>
      </c>
      <c r="K34" s="0" t="n">
        <v>0</v>
      </c>
      <c r="M34" s="0" t="s">
        <v>3392</v>
      </c>
      <c r="N34" s="0" t="s">
        <v>3393</v>
      </c>
      <c r="P34" s="7" t="s">
        <v>3394</v>
      </c>
      <c r="Q34" s="2" t="n">
        <v>42905</v>
      </c>
      <c r="S34" s="0" t="n">
        <f aca="false">YEAR(Q34)</f>
        <v>2017</v>
      </c>
      <c r="T34" s="0" t="n">
        <f aca="false">MONTH(Q34)</f>
        <v>6</v>
      </c>
    </row>
    <row r="35" customFormat="false" ht="57" hidden="true" customHeight="false" outlineLevel="0" collapsed="false">
      <c r="A35" s="0" t="n">
        <v>34</v>
      </c>
      <c r="B35" s="1" t="s">
        <v>173</v>
      </c>
      <c r="C35" s="1" t="s">
        <v>1479</v>
      </c>
      <c r="D35" s="1" t="s">
        <v>1487</v>
      </c>
      <c r="E35" s="0" t="s">
        <v>1488</v>
      </c>
      <c r="F35" s="0" t="s">
        <v>49</v>
      </c>
      <c r="G35" s="0" t="s">
        <v>3395</v>
      </c>
      <c r="I35" s="6" t="n">
        <v>0.715277777777778</v>
      </c>
      <c r="J35" s="6" t="n">
        <v>0.729166666666667</v>
      </c>
      <c r="K35" s="0" t="n">
        <v>119</v>
      </c>
      <c r="L35" s="0" t="n">
        <v>180</v>
      </c>
      <c r="M35" s="0" t="s">
        <v>3396</v>
      </c>
      <c r="N35" s="7" t="s">
        <v>3397</v>
      </c>
      <c r="O35" s="7"/>
      <c r="P35" s="7" t="s">
        <v>3398</v>
      </c>
      <c r="Q35" s="2" t="n">
        <v>42905</v>
      </c>
      <c r="S35" s="0" t="n">
        <f aca="false">YEAR(Q35)</f>
        <v>2017</v>
      </c>
      <c r="T35" s="0" t="n">
        <f aca="false">MONTH(Q35)</f>
        <v>6</v>
      </c>
    </row>
    <row r="36" customFormat="false" ht="42.75" hidden="true" customHeight="false" outlineLevel="0" collapsed="false">
      <c r="A36" s="0" t="n">
        <v>35</v>
      </c>
      <c r="B36" s="1" t="s">
        <v>173</v>
      </c>
      <c r="C36" s="1" t="s">
        <v>1479</v>
      </c>
      <c r="D36" s="1" t="s">
        <v>1535</v>
      </c>
      <c r="E36" s="0" t="s">
        <v>39</v>
      </c>
      <c r="F36" s="0" t="s">
        <v>49</v>
      </c>
      <c r="G36" s="0" t="s">
        <v>3399</v>
      </c>
      <c r="I36" s="6" t="n">
        <v>0.746527777777778</v>
      </c>
      <c r="J36" s="6" t="n">
        <v>0.756944444444444</v>
      </c>
      <c r="L36" s="0" t="n">
        <v>50</v>
      </c>
      <c r="M36" s="7" t="s">
        <v>3400</v>
      </c>
      <c r="N36" s="7" t="s">
        <v>3401</v>
      </c>
      <c r="O36" s="7"/>
      <c r="P36" s="7" t="s">
        <v>3402</v>
      </c>
      <c r="Q36" s="2" t="n">
        <v>42905</v>
      </c>
      <c r="S36" s="0" t="n">
        <f aca="false">YEAR(Q36)</f>
        <v>2017</v>
      </c>
      <c r="T36" s="0" t="n">
        <f aca="false">MONTH(Q36)</f>
        <v>6</v>
      </c>
    </row>
    <row r="37" customFormat="false" ht="42.75" hidden="true" customHeight="false" outlineLevel="0" collapsed="false">
      <c r="A37" s="0" t="n">
        <v>36</v>
      </c>
      <c r="B37" s="1" t="s">
        <v>173</v>
      </c>
      <c r="C37" s="1" t="s">
        <v>1479</v>
      </c>
      <c r="D37" s="1" t="s">
        <v>1535</v>
      </c>
      <c r="E37" s="0" t="s">
        <v>39</v>
      </c>
      <c r="F37" s="0" t="s">
        <v>49</v>
      </c>
      <c r="G37" s="0" t="s">
        <v>3403</v>
      </c>
      <c r="I37" s="6" t="n">
        <v>0.951388888888889</v>
      </c>
      <c r="J37" s="6" t="n">
        <v>0.958333333333333</v>
      </c>
      <c r="K37" s="0" t="n">
        <v>25</v>
      </c>
      <c r="L37" s="0" t="n">
        <v>30</v>
      </c>
      <c r="M37" s="0" t="s">
        <v>3404</v>
      </c>
      <c r="N37" s="7" t="s">
        <v>3405</v>
      </c>
      <c r="O37" s="7"/>
      <c r="P37" s="0" t="s">
        <v>3406</v>
      </c>
      <c r="Q37" s="2" t="n">
        <v>42905</v>
      </c>
      <c r="S37" s="0" t="n">
        <f aca="false">YEAR(Q37)</f>
        <v>2017</v>
      </c>
      <c r="T37" s="0" t="n">
        <f aca="false">MONTH(Q37)</f>
        <v>6</v>
      </c>
    </row>
    <row r="38" customFormat="false" ht="14.25" hidden="true" customHeight="false" outlineLevel="0" collapsed="false">
      <c r="A38" s="0" t="n">
        <v>37</v>
      </c>
      <c r="B38" s="1" t="s">
        <v>180</v>
      </c>
      <c r="C38" s="1" t="s">
        <v>1479</v>
      </c>
      <c r="D38" s="1" t="s">
        <v>1487</v>
      </c>
      <c r="E38" s="0" t="s">
        <v>1488</v>
      </c>
      <c r="F38" s="0" t="s">
        <v>48</v>
      </c>
      <c r="G38" s="0" t="s">
        <v>3407</v>
      </c>
      <c r="I38" s="6" t="n">
        <v>0.423611111111111</v>
      </c>
      <c r="J38" s="6" t="n">
        <v>0.430555555555556</v>
      </c>
      <c r="L38" s="0" t="n">
        <v>15</v>
      </c>
      <c r="M38" s="0" t="s">
        <v>3408</v>
      </c>
      <c r="N38" s="0" t="s">
        <v>3409</v>
      </c>
      <c r="P38" s="0" t="s">
        <v>3410</v>
      </c>
      <c r="Q38" s="2" t="n">
        <v>42907</v>
      </c>
      <c r="S38" s="0" t="n">
        <f aca="false">YEAR(Q38)</f>
        <v>2017</v>
      </c>
      <c r="T38" s="0" t="n">
        <f aca="false">MONTH(Q38)</f>
        <v>6</v>
      </c>
    </row>
    <row r="39" customFormat="false" ht="14.25" hidden="true" customHeight="false" outlineLevel="0" collapsed="false">
      <c r="A39" s="0" t="n">
        <v>38</v>
      </c>
      <c r="B39" s="1" t="s">
        <v>180</v>
      </c>
      <c r="C39" s="1" t="s">
        <v>1479</v>
      </c>
      <c r="D39" s="1" t="s">
        <v>1535</v>
      </c>
      <c r="E39" s="0" t="s">
        <v>39</v>
      </c>
      <c r="F39" s="0" t="s">
        <v>48</v>
      </c>
      <c r="G39" s="0" t="s">
        <v>3411</v>
      </c>
      <c r="I39" s="6" t="n">
        <v>0.449305555555556</v>
      </c>
      <c r="J39" s="6" t="n">
        <v>0.465277777777778</v>
      </c>
      <c r="K39" s="0" t="n">
        <v>0</v>
      </c>
      <c r="L39" s="0" t="n">
        <v>18</v>
      </c>
      <c r="M39" s="0" t="s">
        <v>3412</v>
      </c>
      <c r="N39" s="0" t="s">
        <v>3413</v>
      </c>
      <c r="P39" s="0" t="s">
        <v>3414</v>
      </c>
      <c r="Q39" s="2" t="n">
        <v>42907</v>
      </c>
      <c r="S39" s="0" t="n">
        <f aca="false">YEAR(Q39)</f>
        <v>2017</v>
      </c>
      <c r="T39" s="0" t="n">
        <f aca="false">MONTH(Q39)</f>
        <v>6</v>
      </c>
    </row>
    <row r="40" customFormat="false" ht="42.75" hidden="true" customHeight="false" outlineLevel="0" collapsed="false">
      <c r="A40" s="0" t="n">
        <v>39</v>
      </c>
      <c r="B40" s="1" t="s">
        <v>180</v>
      </c>
      <c r="C40" s="1" t="s">
        <v>1479</v>
      </c>
      <c r="D40" s="1" t="s">
        <v>1487</v>
      </c>
      <c r="E40" s="0" t="s">
        <v>1488</v>
      </c>
      <c r="F40" s="0" t="s">
        <v>49</v>
      </c>
      <c r="G40" s="0" t="s">
        <v>3415</v>
      </c>
      <c r="I40" s="6" t="n">
        <v>0.581944444444444</v>
      </c>
      <c r="J40" s="6" t="n">
        <v>0.611111111111111</v>
      </c>
      <c r="L40" s="0" t="n">
        <v>100</v>
      </c>
      <c r="M40" s="0" t="s">
        <v>3416</v>
      </c>
      <c r="N40" s="0" t="s">
        <v>3417</v>
      </c>
      <c r="P40" s="7" t="s">
        <v>3418</v>
      </c>
      <c r="Q40" s="2" t="n">
        <v>42907</v>
      </c>
      <c r="S40" s="0" t="n">
        <f aca="false">YEAR(Q40)</f>
        <v>2017</v>
      </c>
      <c r="T40" s="0" t="n">
        <f aca="false">MONTH(Q40)</f>
        <v>6</v>
      </c>
    </row>
    <row r="41" customFormat="false" ht="42.75" hidden="true" customHeight="false" outlineLevel="0" collapsed="false">
      <c r="A41" s="0" t="n">
        <v>40</v>
      </c>
      <c r="B41" s="1" t="s">
        <v>180</v>
      </c>
      <c r="C41" s="1" t="s">
        <v>1479</v>
      </c>
      <c r="D41" s="1" t="s">
        <v>1487</v>
      </c>
      <c r="E41" s="0" t="s">
        <v>1488</v>
      </c>
      <c r="F41" s="0" t="s">
        <v>49</v>
      </c>
      <c r="G41" s="0" t="s">
        <v>3419</v>
      </c>
      <c r="I41" s="6" t="n">
        <v>0.697916666666667</v>
      </c>
      <c r="J41" s="6" t="n">
        <v>0.701388888888889</v>
      </c>
      <c r="L41" s="0" t="n">
        <v>20</v>
      </c>
      <c r="M41" s="0" t="s">
        <v>3420</v>
      </c>
      <c r="N41" s="0" t="s">
        <v>3421</v>
      </c>
      <c r="P41" s="7" t="s">
        <v>3422</v>
      </c>
      <c r="Q41" s="2" t="n">
        <v>42907</v>
      </c>
      <c r="S41" s="0" t="n">
        <f aca="false">YEAR(Q41)</f>
        <v>2017</v>
      </c>
      <c r="T41" s="0" t="n">
        <f aca="false">MONTH(Q41)</f>
        <v>6</v>
      </c>
    </row>
    <row r="42" customFormat="false" ht="14.25" hidden="true" customHeight="false" outlineLevel="0" collapsed="false">
      <c r="A42" s="0" t="n">
        <v>41</v>
      </c>
      <c r="B42" s="1" t="s">
        <v>180</v>
      </c>
      <c r="C42" s="1" t="s">
        <v>1479</v>
      </c>
      <c r="D42" s="1" t="s">
        <v>1535</v>
      </c>
      <c r="E42" s="0" t="s">
        <v>39</v>
      </c>
      <c r="F42" s="0" t="s">
        <v>49</v>
      </c>
      <c r="G42" s="0" t="s">
        <v>3423</v>
      </c>
      <c r="I42" s="6" t="n">
        <v>0</v>
      </c>
      <c r="J42" s="6" t="n">
        <v>0</v>
      </c>
      <c r="K42" s="0" t="n">
        <v>0</v>
      </c>
      <c r="L42" s="0" t="n">
        <v>0</v>
      </c>
      <c r="M42" s="0" t="s">
        <v>3424</v>
      </c>
      <c r="N42" s="0" t="s">
        <v>3425</v>
      </c>
      <c r="P42" s="0" t="s">
        <v>3426</v>
      </c>
      <c r="Q42" s="2" t="n">
        <v>42907</v>
      </c>
      <c r="S42" s="0" t="n">
        <f aca="false">YEAR(Q42)</f>
        <v>2017</v>
      </c>
      <c r="T42" s="0" t="n">
        <f aca="false">MONTH(Q42)</f>
        <v>6</v>
      </c>
    </row>
    <row r="43" customFormat="false" ht="14.25" hidden="true" customHeight="false" outlineLevel="0" collapsed="false">
      <c r="A43" s="0" t="n">
        <v>42</v>
      </c>
      <c r="B43" s="1" t="s">
        <v>180</v>
      </c>
      <c r="C43" s="1" t="s">
        <v>1479</v>
      </c>
      <c r="D43" s="1" t="s">
        <v>1487</v>
      </c>
      <c r="E43" s="0" t="s">
        <v>1488</v>
      </c>
      <c r="F43" s="0" t="s">
        <v>49</v>
      </c>
      <c r="G43" s="0" t="s">
        <v>3427</v>
      </c>
      <c r="J43" s="6" t="n">
        <v>0.916666666666667</v>
      </c>
      <c r="K43" s="0" t="n">
        <v>0</v>
      </c>
      <c r="L43" s="0" t="n">
        <v>0</v>
      </c>
      <c r="M43" s="0" t="s">
        <v>3428</v>
      </c>
      <c r="N43" s="0" t="s">
        <v>3429</v>
      </c>
      <c r="P43" s="0" t="s">
        <v>3430</v>
      </c>
      <c r="Q43" s="2" t="n">
        <v>42907</v>
      </c>
      <c r="S43" s="0" t="n">
        <f aca="false">YEAR(Q43)</f>
        <v>2017</v>
      </c>
      <c r="T43" s="0" t="n">
        <f aca="false">MONTH(Q43)</f>
        <v>6</v>
      </c>
    </row>
    <row r="44" customFormat="false" ht="14.25" hidden="true" customHeight="false" outlineLevel="0" collapsed="false">
      <c r="A44" s="0" t="n">
        <v>43</v>
      </c>
      <c r="B44" s="1" t="s">
        <v>185</v>
      </c>
      <c r="C44" s="1" t="s">
        <v>1503</v>
      </c>
      <c r="D44" s="1" t="s">
        <v>1535</v>
      </c>
      <c r="E44" s="0" t="s">
        <v>44</v>
      </c>
      <c r="F44" s="0" t="s">
        <v>49</v>
      </c>
      <c r="G44" s="0" t="s">
        <v>3431</v>
      </c>
      <c r="I44" s="6" t="n">
        <v>0.708333333333333</v>
      </c>
      <c r="J44" s="6" t="n">
        <v>0.715277777777778</v>
      </c>
      <c r="L44" s="0" t="n">
        <v>45</v>
      </c>
      <c r="M44" s="0" t="s">
        <v>3432</v>
      </c>
      <c r="N44" s="0" t="s">
        <v>3433</v>
      </c>
      <c r="P44" s="0" t="s">
        <v>3434</v>
      </c>
      <c r="Q44" s="2" t="n">
        <v>42908</v>
      </c>
      <c r="S44" s="0" t="n">
        <f aca="false">YEAR(Q44)</f>
        <v>2017</v>
      </c>
      <c r="T44" s="0" t="n">
        <f aca="false">MONTH(Q44)</f>
        <v>6</v>
      </c>
    </row>
    <row r="45" customFormat="false" ht="14.25" hidden="true" customHeight="false" outlineLevel="0" collapsed="false">
      <c r="A45" s="0" t="n">
        <v>44</v>
      </c>
      <c r="B45" s="1" t="s">
        <v>185</v>
      </c>
      <c r="C45" s="1" t="s">
        <v>1479</v>
      </c>
      <c r="D45" s="1" t="s">
        <v>1535</v>
      </c>
      <c r="E45" s="0" t="s">
        <v>39</v>
      </c>
      <c r="F45" s="0" t="s">
        <v>49</v>
      </c>
      <c r="G45" s="0" t="s">
        <v>3435</v>
      </c>
      <c r="I45" s="6" t="n">
        <v>0.625</v>
      </c>
      <c r="J45" s="6" t="n">
        <v>0.645833333333333</v>
      </c>
      <c r="L45" s="0" t="n">
        <v>100</v>
      </c>
      <c r="M45" s="0" t="s">
        <v>3436</v>
      </c>
      <c r="N45" s="0" t="s">
        <v>3437</v>
      </c>
      <c r="P45" s="0" t="s">
        <v>3438</v>
      </c>
      <c r="Q45" s="2" t="n">
        <v>42908</v>
      </c>
      <c r="S45" s="0" t="n">
        <f aca="false">YEAR(Q45)</f>
        <v>2017</v>
      </c>
      <c r="T45" s="0" t="n">
        <f aca="false">MONTH(Q45)</f>
        <v>6</v>
      </c>
    </row>
    <row r="46" customFormat="false" ht="14.25" hidden="true" customHeight="false" outlineLevel="0" collapsed="false">
      <c r="A46" s="0" t="n">
        <v>45</v>
      </c>
      <c r="B46" s="1" t="s">
        <v>185</v>
      </c>
      <c r="C46" s="1" t="s">
        <v>1479</v>
      </c>
      <c r="D46" s="1" t="s">
        <v>1487</v>
      </c>
      <c r="E46" s="0" t="s">
        <v>1488</v>
      </c>
      <c r="F46" s="0" t="s">
        <v>49</v>
      </c>
      <c r="G46" s="0" t="s">
        <v>3439</v>
      </c>
      <c r="I46" s="6" t="n">
        <v>0.895833333333333</v>
      </c>
      <c r="J46" s="6" t="n">
        <v>0.90625</v>
      </c>
      <c r="L46" s="0" t="n">
        <v>30</v>
      </c>
      <c r="M46" s="0" t="s">
        <v>3440</v>
      </c>
      <c r="N46" s="0" t="s">
        <v>3441</v>
      </c>
      <c r="P46" s="0" t="s">
        <v>3442</v>
      </c>
      <c r="Q46" s="2" t="n">
        <v>42908</v>
      </c>
      <c r="S46" s="0" t="n">
        <f aca="false">YEAR(Q46)</f>
        <v>2017</v>
      </c>
      <c r="T46" s="0" t="n">
        <f aca="false">MONTH(Q46)</f>
        <v>6</v>
      </c>
    </row>
    <row r="47" customFormat="false" ht="14.25" hidden="true" customHeight="false" outlineLevel="0" collapsed="false">
      <c r="A47" s="0" t="n">
        <v>46</v>
      </c>
      <c r="B47" s="1" t="s">
        <v>190</v>
      </c>
      <c r="C47" s="1" t="s">
        <v>1503</v>
      </c>
      <c r="D47" s="1" t="s">
        <v>1535</v>
      </c>
      <c r="E47" s="0" t="s">
        <v>44</v>
      </c>
      <c r="F47" s="0" t="s">
        <v>48</v>
      </c>
      <c r="G47" s="0" t="s">
        <v>3443</v>
      </c>
      <c r="I47" s="6" t="n">
        <v>0.375</v>
      </c>
      <c r="J47" s="6" t="n">
        <v>0.395833333333333</v>
      </c>
      <c r="L47" s="0" t="n">
        <v>30</v>
      </c>
      <c r="M47" s="0" t="s">
        <v>3444</v>
      </c>
      <c r="N47" s="0" t="s">
        <v>3445</v>
      </c>
      <c r="P47" s="0" t="s">
        <v>3446</v>
      </c>
      <c r="Q47" s="2" t="n">
        <v>42909</v>
      </c>
      <c r="S47" s="0" t="n">
        <f aca="false">YEAR(Q47)</f>
        <v>2017</v>
      </c>
      <c r="T47" s="0" t="n">
        <f aca="false">MONTH(Q47)</f>
        <v>6</v>
      </c>
    </row>
    <row r="48" customFormat="false" ht="14.25" hidden="true" customHeight="false" outlineLevel="0" collapsed="false">
      <c r="A48" s="0" t="n">
        <v>47</v>
      </c>
      <c r="B48" s="1" t="s">
        <v>190</v>
      </c>
      <c r="C48" s="1" t="s">
        <v>1495</v>
      </c>
      <c r="D48" s="1" t="s">
        <v>1487</v>
      </c>
      <c r="E48" s="0" t="s">
        <v>40</v>
      </c>
      <c r="F48" s="0" t="s">
        <v>49</v>
      </c>
      <c r="G48" s="0" t="s">
        <v>3447</v>
      </c>
      <c r="I48" s="6" t="n">
        <v>0.916666666666667</v>
      </c>
      <c r="J48" s="6" t="n">
        <v>0.927083333333333</v>
      </c>
      <c r="L48" s="0" t="n">
        <v>70</v>
      </c>
      <c r="M48" s="0" t="s">
        <v>3448</v>
      </c>
      <c r="N48" s="0" t="s">
        <v>3449</v>
      </c>
      <c r="P48" s="0" t="s">
        <v>3450</v>
      </c>
      <c r="Q48" s="2" t="n">
        <v>42909</v>
      </c>
      <c r="S48" s="0" t="n">
        <f aca="false">YEAR(Q48)</f>
        <v>2017</v>
      </c>
      <c r="T48" s="0" t="n">
        <f aca="false">MONTH(Q48)</f>
        <v>6</v>
      </c>
    </row>
    <row r="49" customFormat="false" ht="14.25" hidden="true" customHeight="false" outlineLevel="0" collapsed="false">
      <c r="A49" s="0" t="n">
        <v>48</v>
      </c>
      <c r="B49" s="1" t="s">
        <v>197</v>
      </c>
      <c r="C49" s="1" t="s">
        <v>1503</v>
      </c>
      <c r="D49" s="1" t="s">
        <v>1535</v>
      </c>
      <c r="E49" s="0" t="s">
        <v>44</v>
      </c>
      <c r="F49" s="0" t="s">
        <v>49</v>
      </c>
      <c r="G49" s="0" t="s">
        <v>3451</v>
      </c>
      <c r="J49" s="6" t="n">
        <v>0.333333333333333</v>
      </c>
      <c r="M49" s="0" t="s">
        <v>3452</v>
      </c>
      <c r="N49" s="0" t="s">
        <v>3453</v>
      </c>
      <c r="P49" s="0" t="s">
        <v>3454</v>
      </c>
      <c r="Q49" s="2" t="n">
        <v>42910</v>
      </c>
      <c r="S49" s="0" t="n">
        <f aca="false">YEAR(Q49)</f>
        <v>2017</v>
      </c>
      <c r="T49" s="0" t="n">
        <f aca="false">MONTH(Q49)</f>
        <v>6</v>
      </c>
    </row>
    <row r="50" customFormat="false" ht="14.25" hidden="true" customHeight="false" outlineLevel="0" collapsed="false">
      <c r="A50" s="0" t="n">
        <v>49</v>
      </c>
      <c r="B50" s="1" t="s">
        <v>202</v>
      </c>
      <c r="C50" s="1" t="s">
        <v>1479</v>
      </c>
      <c r="D50" s="1" t="s">
        <v>1496</v>
      </c>
      <c r="E50" s="0" t="s">
        <v>38</v>
      </c>
      <c r="F50" s="0" t="s">
        <v>48</v>
      </c>
      <c r="G50" s="0" t="s">
        <v>3455</v>
      </c>
      <c r="I50" s="6" t="n">
        <v>0.236111111111111</v>
      </c>
      <c r="J50" s="6" t="n">
        <v>0.25</v>
      </c>
      <c r="K50" s="0" t="n">
        <v>0</v>
      </c>
      <c r="L50" s="0" t="n">
        <v>360</v>
      </c>
      <c r="M50" s="0" t="s">
        <v>3456</v>
      </c>
      <c r="N50" s="0" t="s">
        <v>3457</v>
      </c>
      <c r="P50" s="0" t="s">
        <v>3458</v>
      </c>
      <c r="Q50" s="2" t="n">
        <v>42912</v>
      </c>
      <c r="S50" s="0" t="n">
        <f aca="false">YEAR(Q50)</f>
        <v>2017</v>
      </c>
      <c r="T50" s="0" t="n">
        <f aca="false">MONTH(Q50)</f>
        <v>6</v>
      </c>
    </row>
    <row r="51" customFormat="false" ht="14.25" hidden="true" customHeight="false" outlineLevel="0" collapsed="false">
      <c r="A51" s="0" t="n">
        <v>50</v>
      </c>
      <c r="B51" s="1" t="s">
        <v>202</v>
      </c>
      <c r="C51" s="1" t="s">
        <v>1479</v>
      </c>
      <c r="D51" s="1" t="s">
        <v>1480</v>
      </c>
      <c r="E51" s="0" t="s">
        <v>43</v>
      </c>
      <c r="F51" s="0" t="s">
        <v>49</v>
      </c>
      <c r="G51" s="0" t="s">
        <v>3459</v>
      </c>
      <c r="I51" s="6" t="n">
        <v>0.629166666666667</v>
      </c>
      <c r="K51" s="0" t="n">
        <v>0</v>
      </c>
      <c r="L51" s="0" t="n">
        <v>200</v>
      </c>
      <c r="M51" s="0" t="s">
        <v>3460</v>
      </c>
      <c r="N51" s="0" t="s">
        <v>3461</v>
      </c>
      <c r="P51" s="0" t="s">
        <v>3462</v>
      </c>
      <c r="Q51" s="2" t="n">
        <v>42912</v>
      </c>
      <c r="S51" s="0" t="n">
        <f aca="false">YEAR(Q51)</f>
        <v>2017</v>
      </c>
      <c r="T51" s="0" t="n">
        <f aca="false">MONTH(Q51)</f>
        <v>6</v>
      </c>
    </row>
    <row r="52" customFormat="false" ht="14.25" hidden="true" customHeight="false" outlineLevel="0" collapsed="false">
      <c r="A52" s="0" t="n">
        <v>51</v>
      </c>
      <c r="B52" s="1" t="s">
        <v>202</v>
      </c>
      <c r="C52" s="1" t="s">
        <v>1479</v>
      </c>
      <c r="D52" s="1" t="s">
        <v>1487</v>
      </c>
      <c r="E52" s="4" t="s">
        <v>1488</v>
      </c>
      <c r="F52" s="0" t="s">
        <v>49</v>
      </c>
      <c r="G52" s="0" t="s">
        <v>3463</v>
      </c>
      <c r="I52" s="6" t="n">
        <v>0.6875</v>
      </c>
      <c r="J52" s="6" t="n">
        <v>0.694444444444444</v>
      </c>
      <c r="K52" s="0" t="n">
        <v>12</v>
      </c>
      <c r="L52" s="0" t="n">
        <v>15</v>
      </c>
      <c r="M52" s="0" t="s">
        <v>3464</v>
      </c>
      <c r="N52" s="0" t="s">
        <v>3465</v>
      </c>
      <c r="P52" s="0" t="s">
        <v>3466</v>
      </c>
      <c r="Q52" s="2" t="n">
        <v>42912</v>
      </c>
      <c r="S52" s="0" t="n">
        <f aca="false">YEAR(Q52)</f>
        <v>2017</v>
      </c>
      <c r="T52" s="0" t="n">
        <f aca="false">MONTH(Q52)</f>
        <v>6</v>
      </c>
    </row>
    <row r="53" customFormat="false" ht="14.25" hidden="true" customHeight="false" outlineLevel="0" collapsed="false">
      <c r="A53" s="0" t="n">
        <v>52</v>
      </c>
      <c r="B53" s="1" t="s">
        <v>202</v>
      </c>
      <c r="C53" s="1" t="s">
        <v>1503</v>
      </c>
      <c r="D53" s="1" t="s">
        <v>1535</v>
      </c>
      <c r="E53" s="0" t="s">
        <v>44</v>
      </c>
      <c r="F53" s="18" t="s">
        <v>3467</v>
      </c>
      <c r="G53" s="0" t="s">
        <v>3468</v>
      </c>
      <c r="I53" s="6" t="n">
        <v>0.4375</v>
      </c>
      <c r="J53" s="6" t="n">
        <v>0.822916666666667</v>
      </c>
      <c r="M53" s="0" t="s">
        <v>3469</v>
      </c>
      <c r="N53" s="0" t="s">
        <v>3470</v>
      </c>
      <c r="P53" s="0" t="s">
        <v>3471</v>
      </c>
      <c r="Q53" s="2" t="n">
        <v>42912</v>
      </c>
      <c r="S53" s="0" t="n">
        <f aca="false">YEAR(Q53)</f>
        <v>2017</v>
      </c>
      <c r="T53" s="0" t="n">
        <f aca="false">MONTH(Q53)</f>
        <v>6</v>
      </c>
    </row>
    <row r="54" customFormat="false" ht="14.25" hidden="true" customHeight="false" outlineLevel="0" collapsed="false">
      <c r="A54" s="0" t="n">
        <v>53</v>
      </c>
      <c r="B54" s="1" t="s">
        <v>209</v>
      </c>
      <c r="C54" s="1" t="s">
        <v>1479</v>
      </c>
      <c r="D54" s="1" t="s">
        <v>1496</v>
      </c>
      <c r="E54" s="0" t="s">
        <v>38</v>
      </c>
      <c r="F54" s="0" t="s">
        <v>48</v>
      </c>
      <c r="G54" s="0" t="s">
        <v>3472</v>
      </c>
      <c r="I54" s="6" t="n">
        <v>0.267361111111111</v>
      </c>
      <c r="J54" s="6" t="n">
        <v>0.291666666666667</v>
      </c>
      <c r="K54" s="0" t="n">
        <v>80</v>
      </c>
      <c r="L54" s="0" t="n">
        <v>85</v>
      </c>
      <c r="M54" s="0" t="s">
        <v>3473</v>
      </c>
      <c r="N54" s="0" t="s">
        <v>3474</v>
      </c>
      <c r="P54" s="0" t="s">
        <v>3475</v>
      </c>
      <c r="Q54" s="2" t="n">
        <v>42913</v>
      </c>
      <c r="S54" s="0" t="n">
        <f aca="false">YEAR(Q54)</f>
        <v>2017</v>
      </c>
      <c r="T54" s="0" t="n">
        <f aca="false">MONTH(Q54)</f>
        <v>6</v>
      </c>
    </row>
    <row r="55" customFormat="false" ht="14.25" hidden="true" customHeight="false" outlineLevel="0" collapsed="false">
      <c r="A55" s="0" t="n">
        <v>54</v>
      </c>
      <c r="B55" s="1" t="s">
        <v>209</v>
      </c>
      <c r="C55" s="1" t="s">
        <v>1503</v>
      </c>
      <c r="D55" s="1" t="s">
        <v>1535</v>
      </c>
      <c r="E55" s="0" t="s">
        <v>44</v>
      </c>
      <c r="F55" s="0" t="s">
        <v>48</v>
      </c>
      <c r="G55" s="0" t="s">
        <v>3476</v>
      </c>
      <c r="I55" s="6" t="n">
        <v>0</v>
      </c>
      <c r="J55" s="6" t="n">
        <v>0.4375</v>
      </c>
      <c r="L55" s="0" t="n">
        <v>100</v>
      </c>
      <c r="M55" s="0" t="s">
        <v>3477</v>
      </c>
      <c r="N55" s="0" t="s">
        <v>3478</v>
      </c>
      <c r="P55" s="0" t="s">
        <v>3479</v>
      </c>
      <c r="Q55" s="2" t="n">
        <v>42913</v>
      </c>
      <c r="S55" s="0" t="n">
        <f aca="false">YEAR(Q55)</f>
        <v>2017</v>
      </c>
      <c r="T55" s="0" t="n">
        <f aca="false">MONTH(Q55)</f>
        <v>6</v>
      </c>
    </row>
    <row r="56" customFormat="false" ht="42.75" hidden="true" customHeight="false" outlineLevel="0" collapsed="false">
      <c r="A56" s="0" t="n">
        <v>55</v>
      </c>
      <c r="B56" s="1" t="s">
        <v>209</v>
      </c>
      <c r="C56" s="1" t="s">
        <v>1503</v>
      </c>
      <c r="D56" s="1" t="s">
        <v>1535</v>
      </c>
      <c r="E56" s="0" t="s">
        <v>44</v>
      </c>
      <c r="F56" s="0" t="s">
        <v>49</v>
      </c>
      <c r="G56" s="0" t="s">
        <v>3480</v>
      </c>
      <c r="I56" s="6" t="n">
        <v>0.9375</v>
      </c>
      <c r="J56" s="6" t="n">
        <v>0.947916666666667</v>
      </c>
      <c r="L56" s="0" t="n">
        <v>30</v>
      </c>
      <c r="M56" s="0" t="s">
        <v>3481</v>
      </c>
      <c r="N56" s="0" t="s">
        <v>3482</v>
      </c>
      <c r="P56" s="7" t="s">
        <v>3483</v>
      </c>
      <c r="Q56" s="2" t="n">
        <v>42913</v>
      </c>
      <c r="S56" s="0" t="n">
        <f aca="false">YEAR(Q56)</f>
        <v>2017</v>
      </c>
      <c r="T56" s="0" t="n">
        <f aca="false">MONTH(Q56)</f>
        <v>6</v>
      </c>
    </row>
    <row r="57" customFormat="false" ht="57" hidden="true" customHeight="false" outlineLevel="0" collapsed="false">
      <c r="A57" s="0" t="n">
        <v>56</v>
      </c>
      <c r="B57" s="1" t="s">
        <v>209</v>
      </c>
      <c r="C57" s="1" t="s">
        <v>1503</v>
      </c>
      <c r="D57" s="1" t="s">
        <v>1535</v>
      </c>
      <c r="E57" s="0" t="s">
        <v>44</v>
      </c>
      <c r="F57" s="0" t="s">
        <v>49</v>
      </c>
      <c r="G57" s="0" t="s">
        <v>3484</v>
      </c>
      <c r="I57" s="6" t="n">
        <v>0.25</v>
      </c>
      <c r="M57" s="0" t="s">
        <v>3485</v>
      </c>
      <c r="N57" s="0" t="s">
        <v>3486</v>
      </c>
      <c r="P57" s="7" t="s">
        <v>3487</v>
      </c>
      <c r="Q57" s="2" t="n">
        <v>42913</v>
      </c>
      <c r="S57" s="0" t="n">
        <f aca="false">YEAR(Q57)</f>
        <v>2017</v>
      </c>
      <c r="T57" s="0" t="n">
        <f aca="false">MONTH(Q57)</f>
        <v>6</v>
      </c>
    </row>
    <row r="58" customFormat="false" ht="14.25" hidden="true" customHeight="false" outlineLevel="0" collapsed="false">
      <c r="A58" s="0" t="n">
        <v>57</v>
      </c>
      <c r="B58" s="1" t="s">
        <v>215</v>
      </c>
      <c r="C58" s="1" t="s">
        <v>1479</v>
      </c>
      <c r="D58" s="1" t="s">
        <v>1487</v>
      </c>
      <c r="E58" s="0" t="s">
        <v>1488</v>
      </c>
      <c r="F58" s="0" t="s">
        <v>48</v>
      </c>
      <c r="G58" s="0" t="s">
        <v>3488</v>
      </c>
      <c r="I58" s="6" t="n">
        <v>0.556944444444444</v>
      </c>
      <c r="J58" s="6" t="n">
        <v>0.5625</v>
      </c>
      <c r="K58" s="0" t="n">
        <v>0</v>
      </c>
      <c r="L58" s="0" t="n">
        <v>13</v>
      </c>
      <c r="M58" s="0" t="s">
        <v>3387</v>
      </c>
      <c r="N58" s="0" t="s">
        <v>3489</v>
      </c>
      <c r="P58" s="0" t="s">
        <v>3490</v>
      </c>
      <c r="Q58" s="2" t="n">
        <v>42914</v>
      </c>
      <c r="S58" s="0" t="n">
        <f aca="false">YEAR(Q58)</f>
        <v>2017</v>
      </c>
      <c r="T58" s="0" t="n">
        <f aca="false">MONTH(Q58)</f>
        <v>6</v>
      </c>
    </row>
    <row r="59" customFormat="false" ht="14.25" hidden="true" customHeight="false" outlineLevel="0" collapsed="false">
      <c r="A59" s="0" t="n">
        <v>58</v>
      </c>
      <c r="B59" s="1" t="s">
        <v>215</v>
      </c>
      <c r="C59" s="1" t="s">
        <v>1479</v>
      </c>
      <c r="D59" s="1" t="s">
        <v>1487</v>
      </c>
      <c r="E59" s="4" t="s">
        <v>1488</v>
      </c>
      <c r="F59" s="0" t="s">
        <v>49</v>
      </c>
      <c r="G59" s="0" t="s">
        <v>3491</v>
      </c>
      <c r="I59" s="6" t="n">
        <v>0.665277777777778</v>
      </c>
      <c r="J59" s="6" t="n">
        <v>0.680555555555555</v>
      </c>
      <c r="K59" s="0" t="n">
        <v>22</v>
      </c>
      <c r="L59" s="0" t="n">
        <v>50</v>
      </c>
      <c r="M59" s="0" t="s">
        <v>3492</v>
      </c>
      <c r="N59" s="0" t="s">
        <v>3493</v>
      </c>
      <c r="P59" s="0" t="s">
        <v>3494</v>
      </c>
      <c r="Q59" s="2" t="n">
        <v>42914</v>
      </c>
      <c r="S59" s="0" t="n">
        <f aca="false">YEAR(Q59)</f>
        <v>2017</v>
      </c>
      <c r="T59" s="0" t="n">
        <f aca="false">MONTH(Q59)</f>
        <v>6</v>
      </c>
    </row>
    <row r="60" customFormat="false" ht="14.25" hidden="true" customHeight="false" outlineLevel="0" collapsed="false">
      <c r="A60" s="0" t="n">
        <v>59</v>
      </c>
      <c r="B60" s="1" t="s">
        <v>220</v>
      </c>
      <c r="C60" s="1" t="s">
        <v>1503</v>
      </c>
      <c r="D60" s="1" t="s">
        <v>1535</v>
      </c>
      <c r="E60" s="0" t="s">
        <v>44</v>
      </c>
      <c r="F60" s="0" t="s">
        <v>49</v>
      </c>
      <c r="G60" s="0" t="s">
        <v>3495</v>
      </c>
      <c r="J60" s="6" t="n">
        <v>0.673611111111111</v>
      </c>
      <c r="K60" s="0" t="n">
        <v>0</v>
      </c>
      <c r="M60" s="0" t="s">
        <v>3496</v>
      </c>
      <c r="N60" s="0" t="s">
        <v>3497</v>
      </c>
      <c r="P60" s="0" t="s">
        <v>3498</v>
      </c>
      <c r="Q60" s="2" t="n">
        <v>42915</v>
      </c>
      <c r="S60" s="0" t="n">
        <f aca="false">YEAR(Q60)</f>
        <v>2017</v>
      </c>
      <c r="T60" s="0" t="n">
        <f aca="false">MONTH(Q60)</f>
        <v>6</v>
      </c>
    </row>
    <row r="61" customFormat="false" ht="14.25" hidden="true" customHeight="false" outlineLevel="0" collapsed="false">
      <c r="A61" s="0" t="n">
        <v>60</v>
      </c>
      <c r="B61" s="1" t="s">
        <v>220</v>
      </c>
      <c r="C61" s="1" t="s">
        <v>1479</v>
      </c>
      <c r="D61" s="1" t="s">
        <v>1487</v>
      </c>
      <c r="E61" s="0" t="s">
        <v>1488</v>
      </c>
      <c r="F61" s="0" t="s">
        <v>49</v>
      </c>
      <c r="G61" s="0" t="s">
        <v>3499</v>
      </c>
      <c r="I61" s="6" t="n">
        <v>0.666666666666667</v>
      </c>
      <c r="J61" s="6" t="n">
        <v>0.677083333333333</v>
      </c>
      <c r="L61" s="0" t="n">
        <v>65</v>
      </c>
      <c r="M61" s="0" t="s">
        <v>3500</v>
      </c>
      <c r="N61" s="0" t="s">
        <v>3501</v>
      </c>
      <c r="P61" s="0" t="s">
        <v>3502</v>
      </c>
      <c r="Q61" s="2" t="n">
        <v>42915</v>
      </c>
      <c r="S61" s="0" t="n">
        <f aca="false">YEAR(Q61)</f>
        <v>2017</v>
      </c>
      <c r="T61" s="0" t="n">
        <f aca="false">MONTH(Q61)</f>
        <v>6</v>
      </c>
    </row>
    <row r="62" customFormat="false" ht="14.25" hidden="true" customHeight="false" outlineLevel="0" collapsed="false">
      <c r="A62" s="0" t="n">
        <v>61</v>
      </c>
      <c r="B62" s="1" t="s">
        <v>220</v>
      </c>
      <c r="C62" s="1" t="s">
        <v>1479</v>
      </c>
      <c r="D62" s="1" t="s">
        <v>1535</v>
      </c>
      <c r="E62" s="0" t="s">
        <v>39</v>
      </c>
      <c r="F62" s="0" t="s">
        <v>49</v>
      </c>
      <c r="G62" s="0" t="s">
        <v>3503</v>
      </c>
      <c r="J62" s="6" t="n">
        <v>0.736111111111111</v>
      </c>
      <c r="K62" s="0" t="n">
        <v>0</v>
      </c>
      <c r="M62" s="0" t="s">
        <v>3504</v>
      </c>
      <c r="N62" s="0" t="s">
        <v>3505</v>
      </c>
      <c r="P62" s="0" t="s">
        <v>3506</v>
      </c>
      <c r="Q62" s="2" t="n">
        <v>42915</v>
      </c>
      <c r="S62" s="0" t="n">
        <f aca="false">YEAR(Q62)</f>
        <v>2017</v>
      </c>
      <c r="T62" s="0" t="n">
        <f aca="false">MONTH(Q62)</f>
        <v>6</v>
      </c>
    </row>
    <row r="63" customFormat="false" ht="14.25" hidden="true" customHeight="false" outlineLevel="0" collapsed="false">
      <c r="A63" s="0" t="n">
        <v>62</v>
      </c>
      <c r="B63" s="1" t="s">
        <v>227</v>
      </c>
      <c r="C63" s="1" t="s">
        <v>1479</v>
      </c>
      <c r="D63" s="1" t="s">
        <v>1496</v>
      </c>
      <c r="E63" s="0" t="s">
        <v>38</v>
      </c>
      <c r="F63" s="0" t="s">
        <v>48</v>
      </c>
      <c r="G63" s="0" t="s">
        <v>3507</v>
      </c>
      <c r="I63" s="6" t="n">
        <v>0.565972222222222</v>
      </c>
      <c r="J63" s="6" t="n">
        <v>0.576388888888889</v>
      </c>
      <c r="K63" s="0" t="n">
        <v>0</v>
      </c>
      <c r="L63" s="0" t="n">
        <v>50</v>
      </c>
      <c r="M63" s="0" t="s">
        <v>3508</v>
      </c>
      <c r="N63" s="0" t="s">
        <v>3509</v>
      </c>
      <c r="P63" s="0" t="s">
        <v>3510</v>
      </c>
      <c r="Q63" s="2" t="n">
        <v>42916</v>
      </c>
      <c r="S63" s="0" t="n">
        <f aca="false">YEAR(Q63)</f>
        <v>2017</v>
      </c>
      <c r="T63" s="0" t="n">
        <f aca="false">MONTH(Q63)</f>
        <v>6</v>
      </c>
    </row>
    <row r="64" customFormat="false" ht="14.25" hidden="true" customHeight="false" outlineLevel="0" collapsed="false">
      <c r="A64" s="0" t="n">
        <v>63</v>
      </c>
      <c r="B64" s="1" t="s">
        <v>234</v>
      </c>
      <c r="C64" s="1" t="s">
        <v>1503</v>
      </c>
      <c r="D64" s="1" t="s">
        <v>1504</v>
      </c>
      <c r="E64" s="0" t="s">
        <v>45</v>
      </c>
      <c r="F64" s="0" t="s">
        <v>48</v>
      </c>
      <c r="G64" s="0" t="s">
        <v>3511</v>
      </c>
      <c r="I64" s="6" t="n">
        <v>0.208333333333333</v>
      </c>
      <c r="J64" s="6" t="n">
        <v>0.25</v>
      </c>
      <c r="K64" s="0" t="n">
        <v>0</v>
      </c>
      <c r="L64" s="0" t="n">
        <v>60</v>
      </c>
      <c r="M64" s="0" t="s">
        <v>3512</v>
      </c>
      <c r="N64" s="0" t="s">
        <v>3513</v>
      </c>
      <c r="P64" s="0" t="s">
        <v>3514</v>
      </c>
      <c r="Q64" s="2" t="n">
        <v>42928</v>
      </c>
      <c r="S64" s="0" t="n">
        <f aca="false">YEAR(Q64)</f>
        <v>2017</v>
      </c>
      <c r="T64" s="0" t="n">
        <f aca="false">MONTH(Q64)</f>
        <v>7</v>
      </c>
    </row>
    <row r="65" customFormat="false" ht="14.25" hidden="true" customHeight="false" outlineLevel="0" collapsed="false">
      <c r="A65" s="0" t="n">
        <v>64</v>
      </c>
      <c r="B65" s="1" t="s">
        <v>234</v>
      </c>
      <c r="C65" s="1" t="s">
        <v>1479</v>
      </c>
      <c r="D65" s="1" t="s">
        <v>1487</v>
      </c>
      <c r="E65" s="4" t="s">
        <v>1488</v>
      </c>
      <c r="F65" s="0" t="s">
        <v>49</v>
      </c>
      <c r="G65" s="0" t="s">
        <v>3515</v>
      </c>
      <c r="I65" s="6" t="n">
        <v>0.631944444444444</v>
      </c>
      <c r="J65" s="6" t="n">
        <v>0.638888888888889</v>
      </c>
      <c r="K65" s="0" t="n">
        <v>10</v>
      </c>
      <c r="L65" s="0" t="n">
        <v>60</v>
      </c>
      <c r="M65" s="0" t="s">
        <v>3516</v>
      </c>
      <c r="N65" s="0" t="s">
        <v>3517</v>
      </c>
      <c r="P65" s="0" t="s">
        <v>3518</v>
      </c>
      <c r="Q65" s="2" t="n">
        <v>42928</v>
      </c>
      <c r="S65" s="0" t="n">
        <f aca="false">YEAR(Q65)</f>
        <v>2017</v>
      </c>
      <c r="T65" s="0" t="n">
        <f aca="false">MONTH(Q65)</f>
        <v>7</v>
      </c>
    </row>
    <row r="66" customFormat="false" ht="14.25" hidden="true" customHeight="false" outlineLevel="0" collapsed="false">
      <c r="A66" s="0" t="n">
        <v>65</v>
      </c>
      <c r="B66" s="1" t="s">
        <v>234</v>
      </c>
      <c r="C66" s="1" t="s">
        <v>1479</v>
      </c>
      <c r="D66" s="1" t="s">
        <v>1487</v>
      </c>
      <c r="E66" s="4" t="s">
        <v>1488</v>
      </c>
      <c r="F66" s="0" t="s">
        <v>49</v>
      </c>
      <c r="G66" s="0" t="s">
        <v>3519</v>
      </c>
      <c r="I66" s="6" t="n">
        <v>0.638888888888889</v>
      </c>
      <c r="J66" s="6" t="n">
        <v>0.645833333333333</v>
      </c>
      <c r="K66" s="0" t="n">
        <v>5</v>
      </c>
      <c r="L66" s="0" t="n">
        <v>15</v>
      </c>
      <c r="M66" s="0" t="s">
        <v>3520</v>
      </c>
      <c r="N66" s="0" t="s">
        <v>3521</v>
      </c>
      <c r="P66" s="0" t="s">
        <v>3522</v>
      </c>
      <c r="Q66" s="2" t="n">
        <v>42928</v>
      </c>
      <c r="S66" s="0" t="n">
        <f aca="false">YEAR(Q66)</f>
        <v>2017</v>
      </c>
      <c r="T66" s="0" t="n">
        <f aca="false">MONTH(Q66)</f>
        <v>7</v>
      </c>
    </row>
    <row r="67" customFormat="false" ht="14.25" hidden="true" customHeight="false" outlineLevel="0" collapsed="false">
      <c r="A67" s="0" t="n">
        <v>66</v>
      </c>
      <c r="B67" s="1" t="s">
        <v>234</v>
      </c>
      <c r="C67" s="1" t="s">
        <v>1479</v>
      </c>
      <c r="D67" s="1" t="s">
        <v>1487</v>
      </c>
      <c r="E67" s="0" t="s">
        <v>1488</v>
      </c>
      <c r="F67" s="0" t="s">
        <v>49</v>
      </c>
      <c r="G67" s="0" t="s">
        <v>3523</v>
      </c>
      <c r="I67" s="6" t="n">
        <v>0.763888888888889</v>
      </c>
      <c r="J67" s="6" t="n">
        <v>0.774305555555555</v>
      </c>
      <c r="K67" s="0" t="n">
        <v>0</v>
      </c>
      <c r="L67" s="0" t="n">
        <v>25</v>
      </c>
      <c r="M67" s="0" t="s">
        <v>3524</v>
      </c>
      <c r="N67" s="0" t="s">
        <v>3525</v>
      </c>
      <c r="P67" s="0" t="s">
        <v>3526</v>
      </c>
      <c r="Q67" s="2" t="n">
        <v>42928</v>
      </c>
      <c r="S67" s="0" t="n">
        <f aca="false">YEAR(Q67)</f>
        <v>2017</v>
      </c>
      <c r="T67" s="0" t="n">
        <f aca="false">MONTH(Q67)</f>
        <v>7</v>
      </c>
    </row>
    <row r="68" customFormat="false" ht="14.25" hidden="true" customHeight="false" outlineLevel="0" collapsed="false">
      <c r="A68" s="0" t="n">
        <v>67</v>
      </c>
      <c r="B68" s="1" t="s">
        <v>239</v>
      </c>
      <c r="C68" s="1" t="s">
        <v>1479</v>
      </c>
      <c r="D68" s="1" t="s">
        <v>1487</v>
      </c>
      <c r="E68" s="0" t="s">
        <v>1488</v>
      </c>
      <c r="F68" s="0" t="s">
        <v>49</v>
      </c>
      <c r="G68" s="0" t="s">
        <v>3527</v>
      </c>
      <c r="I68" s="6" t="n">
        <v>0.645833333333333</v>
      </c>
      <c r="J68" s="6" t="n">
        <v>0.659722222222222</v>
      </c>
      <c r="K68" s="0" t="n">
        <v>0</v>
      </c>
      <c r="L68" s="0" t="n">
        <v>40</v>
      </c>
      <c r="M68" s="0" t="s">
        <v>3528</v>
      </c>
      <c r="N68" s="0" t="s">
        <v>3529</v>
      </c>
      <c r="P68" s="0" t="s">
        <v>3530</v>
      </c>
      <c r="Q68" s="2" t="n">
        <v>42929</v>
      </c>
      <c r="S68" s="0" t="n">
        <f aca="false">YEAR(Q68)</f>
        <v>2017</v>
      </c>
      <c r="T68" s="0" t="n">
        <f aca="false">MONTH(Q68)</f>
        <v>7</v>
      </c>
    </row>
    <row r="69" customFormat="false" ht="14.25" hidden="true" customHeight="false" outlineLevel="0" collapsed="false">
      <c r="A69" s="0" t="n">
        <v>68</v>
      </c>
      <c r="B69" s="1" t="s">
        <v>239</v>
      </c>
      <c r="C69" s="1" t="s">
        <v>1479</v>
      </c>
      <c r="D69" s="1" t="s">
        <v>1487</v>
      </c>
      <c r="E69" s="0" t="s">
        <v>1488</v>
      </c>
      <c r="F69" s="0" t="s">
        <v>49</v>
      </c>
      <c r="G69" s="0" t="s">
        <v>3531</v>
      </c>
      <c r="I69" s="6" t="n">
        <v>0.649305555555556</v>
      </c>
      <c r="J69" s="6" t="n">
        <v>0.659722222222222</v>
      </c>
      <c r="K69" s="0" t="n">
        <v>0</v>
      </c>
      <c r="L69" s="0" t="n">
        <v>25</v>
      </c>
      <c r="M69" s="0" t="s">
        <v>3532</v>
      </c>
      <c r="N69" s="0" t="s">
        <v>3533</v>
      </c>
      <c r="P69" s="0" t="s">
        <v>3534</v>
      </c>
      <c r="Q69" s="2" t="n">
        <v>42929</v>
      </c>
      <c r="S69" s="0" t="n">
        <f aca="false">YEAR(Q69)</f>
        <v>2017</v>
      </c>
      <c r="T69" s="0" t="n">
        <f aca="false">MONTH(Q69)</f>
        <v>7</v>
      </c>
    </row>
    <row r="70" customFormat="false" ht="14.25" hidden="true" customHeight="false" outlineLevel="0" collapsed="false">
      <c r="A70" s="0" t="n">
        <v>69</v>
      </c>
      <c r="B70" s="1" t="s">
        <v>239</v>
      </c>
      <c r="C70" s="1" t="s">
        <v>1479</v>
      </c>
      <c r="D70" s="1" t="s">
        <v>1487</v>
      </c>
      <c r="E70" s="4" t="s">
        <v>1488</v>
      </c>
      <c r="F70" s="0" t="s">
        <v>49</v>
      </c>
      <c r="G70" s="0" t="s">
        <v>3535</v>
      </c>
      <c r="I70" s="6" t="n">
        <v>0.875</v>
      </c>
      <c r="J70" s="6" t="n">
        <v>0.885416666666667</v>
      </c>
      <c r="K70" s="0" t="n">
        <v>5</v>
      </c>
      <c r="L70" s="0" t="n">
        <v>28</v>
      </c>
      <c r="M70" s="0" t="s">
        <v>3536</v>
      </c>
      <c r="N70" s="0" t="s">
        <v>3537</v>
      </c>
      <c r="P70" s="0" t="s">
        <v>3538</v>
      </c>
      <c r="Q70" s="2" t="n">
        <v>42929</v>
      </c>
      <c r="S70" s="0" t="n">
        <f aca="false">YEAR(Q70)</f>
        <v>2017</v>
      </c>
      <c r="T70" s="0" t="n">
        <f aca="false">MONTH(Q70)</f>
        <v>7</v>
      </c>
    </row>
    <row r="71" customFormat="false" ht="14.25" hidden="true" customHeight="false" outlineLevel="0" collapsed="false">
      <c r="A71" s="0" t="n">
        <v>70</v>
      </c>
      <c r="B71" s="1" t="s">
        <v>245</v>
      </c>
      <c r="C71" s="1" t="s">
        <v>1479</v>
      </c>
      <c r="D71" s="1" t="s">
        <v>1487</v>
      </c>
      <c r="E71" s="0" t="s">
        <v>1488</v>
      </c>
      <c r="F71" s="0" t="s">
        <v>48</v>
      </c>
      <c r="G71" s="0" t="s">
        <v>3539</v>
      </c>
      <c r="I71" s="6" t="n">
        <v>0.295138888888889</v>
      </c>
      <c r="J71" s="6" t="n">
        <v>0.302083333333333</v>
      </c>
      <c r="L71" s="0" t="n">
        <v>17</v>
      </c>
      <c r="M71" s="0" t="s">
        <v>3540</v>
      </c>
      <c r="N71" s="0" t="s">
        <v>3541</v>
      </c>
      <c r="P71" s="0" t="s">
        <v>3542</v>
      </c>
      <c r="Q71" s="2" t="n">
        <v>42930</v>
      </c>
      <c r="S71" s="0" t="n">
        <f aca="false">YEAR(Q71)</f>
        <v>2017</v>
      </c>
      <c r="T71" s="0" t="n">
        <f aca="false">MONTH(Q71)</f>
        <v>7</v>
      </c>
    </row>
    <row r="72" customFormat="false" ht="14.25" hidden="true" customHeight="false" outlineLevel="0" collapsed="false">
      <c r="A72" s="0" t="n">
        <v>71</v>
      </c>
      <c r="B72" s="1" t="s">
        <v>249</v>
      </c>
      <c r="C72" s="1" t="s">
        <v>1479</v>
      </c>
      <c r="D72" s="1" t="s">
        <v>1487</v>
      </c>
      <c r="E72" s="4" t="s">
        <v>1488</v>
      </c>
      <c r="F72" s="0" t="s">
        <v>48</v>
      </c>
      <c r="G72" s="0" t="s">
        <v>3543</v>
      </c>
      <c r="I72" s="6" t="n">
        <v>0.357638888888889</v>
      </c>
      <c r="J72" s="6" t="n">
        <v>0.378472222222222</v>
      </c>
      <c r="K72" s="0" t="n">
        <v>20</v>
      </c>
      <c r="L72" s="0" t="n">
        <v>65</v>
      </c>
      <c r="M72" s="0" t="s">
        <v>3544</v>
      </c>
      <c r="N72" s="0" t="s">
        <v>3545</v>
      </c>
      <c r="P72" s="0" t="s">
        <v>3546</v>
      </c>
      <c r="Q72" s="2" t="n">
        <v>42933</v>
      </c>
      <c r="S72" s="0" t="n">
        <f aca="false">YEAR(Q72)</f>
        <v>2017</v>
      </c>
      <c r="T72" s="0" t="n">
        <f aca="false">MONTH(Q72)</f>
        <v>7</v>
      </c>
    </row>
    <row r="73" customFormat="false" ht="14.25" hidden="true" customHeight="false" outlineLevel="0" collapsed="false">
      <c r="A73" s="0" t="n">
        <v>72</v>
      </c>
      <c r="B73" s="1" t="s">
        <v>249</v>
      </c>
      <c r="C73" s="1" t="s">
        <v>1503</v>
      </c>
      <c r="D73" s="1" t="s">
        <v>1535</v>
      </c>
      <c r="E73" s="0" t="s">
        <v>44</v>
      </c>
      <c r="G73" s="0" t="s">
        <v>3547</v>
      </c>
      <c r="J73" s="6" t="n">
        <v>0.534722222222222</v>
      </c>
      <c r="K73" s="0" t="n">
        <v>0</v>
      </c>
      <c r="M73" s="0" t="s">
        <v>3548</v>
      </c>
      <c r="N73" s="0" t="s">
        <v>3549</v>
      </c>
      <c r="P73" s="0" t="s">
        <v>3550</v>
      </c>
      <c r="Q73" s="2" t="n">
        <v>42933</v>
      </c>
      <c r="S73" s="0" t="n">
        <f aca="false">YEAR(Q73)</f>
        <v>2017</v>
      </c>
      <c r="T73" s="0" t="n">
        <f aca="false">MONTH(Q73)</f>
        <v>7</v>
      </c>
    </row>
    <row r="74" customFormat="false" ht="14.25" hidden="true" customHeight="false" outlineLevel="0" collapsed="false">
      <c r="A74" s="0" t="n">
        <v>73</v>
      </c>
      <c r="B74" s="1" t="s">
        <v>249</v>
      </c>
      <c r="C74" s="1" t="s">
        <v>1479</v>
      </c>
      <c r="D74" s="1" t="s">
        <v>1487</v>
      </c>
      <c r="E74" s="4" t="s">
        <v>1488</v>
      </c>
      <c r="F74" s="0" t="s">
        <v>49</v>
      </c>
      <c r="G74" s="0" t="s">
        <v>3551</v>
      </c>
      <c r="I74" s="6" t="n">
        <v>0.792361111111111</v>
      </c>
      <c r="J74" s="6" t="n">
        <v>0.8125</v>
      </c>
      <c r="K74" s="0" t="n">
        <v>20</v>
      </c>
      <c r="L74" s="0" t="n">
        <v>60</v>
      </c>
      <c r="M74" s="0" t="s">
        <v>3552</v>
      </c>
      <c r="N74" s="0" t="s">
        <v>3553</v>
      </c>
      <c r="P74" s="0" t="s">
        <v>3554</v>
      </c>
      <c r="Q74" s="2" t="n">
        <v>42933</v>
      </c>
      <c r="S74" s="0" t="n">
        <f aca="false">YEAR(Q74)</f>
        <v>2017</v>
      </c>
      <c r="T74" s="0" t="n">
        <f aca="false">MONTH(Q74)</f>
        <v>7</v>
      </c>
    </row>
    <row r="75" customFormat="false" ht="14.25" hidden="true" customHeight="false" outlineLevel="0" collapsed="false">
      <c r="A75" s="0" t="n">
        <v>74</v>
      </c>
      <c r="B75" s="1" t="s">
        <v>249</v>
      </c>
      <c r="C75" s="1" t="s">
        <v>1503</v>
      </c>
      <c r="D75" s="1" t="s">
        <v>1535</v>
      </c>
      <c r="E75" s="0" t="s">
        <v>44</v>
      </c>
      <c r="F75" s="0" t="s">
        <v>49</v>
      </c>
      <c r="G75" s="0" t="s">
        <v>3555</v>
      </c>
      <c r="I75" s="6" t="n">
        <v>0.895833333333333</v>
      </c>
      <c r="J75" s="6" t="n">
        <v>0.913194444444444</v>
      </c>
      <c r="L75" s="0" t="n">
        <v>50</v>
      </c>
      <c r="M75" s="0" t="s">
        <v>3556</v>
      </c>
      <c r="N75" s="0" t="s">
        <v>3557</v>
      </c>
      <c r="P75" s="0" t="s">
        <v>3558</v>
      </c>
      <c r="Q75" s="2" t="n">
        <v>42933</v>
      </c>
      <c r="S75" s="0" t="n">
        <f aca="false">YEAR(Q75)</f>
        <v>2017</v>
      </c>
      <c r="T75" s="0" t="n">
        <f aca="false">MONTH(Q75)</f>
        <v>7</v>
      </c>
    </row>
    <row r="76" customFormat="false" ht="14.25" hidden="true" customHeight="false" outlineLevel="0" collapsed="false">
      <c r="A76" s="0" t="n">
        <v>75</v>
      </c>
      <c r="B76" s="1" t="s">
        <v>255</v>
      </c>
      <c r="C76" s="1" t="s">
        <v>1479</v>
      </c>
      <c r="D76" s="1" t="s">
        <v>1480</v>
      </c>
      <c r="E76" s="0" t="s">
        <v>43</v>
      </c>
      <c r="F76" s="0" t="s">
        <v>49</v>
      </c>
      <c r="G76" s="0" t="s">
        <v>3559</v>
      </c>
      <c r="K76" s="0" t="n">
        <v>0</v>
      </c>
      <c r="M76" s="0" t="s">
        <v>3560</v>
      </c>
      <c r="N76" s="0" t="s">
        <v>3561</v>
      </c>
      <c r="P76" s="0" t="s">
        <v>3562</v>
      </c>
      <c r="Q76" s="2" t="n">
        <v>42934</v>
      </c>
      <c r="S76" s="0" t="n">
        <f aca="false">YEAR(Q76)</f>
        <v>2017</v>
      </c>
      <c r="T76" s="0" t="n">
        <f aca="false">MONTH(Q76)</f>
        <v>7</v>
      </c>
    </row>
    <row r="77" customFormat="false" ht="14.25" hidden="true" customHeight="false" outlineLevel="0" collapsed="false">
      <c r="A77" s="0" t="n">
        <v>76</v>
      </c>
      <c r="B77" s="1" t="s">
        <v>255</v>
      </c>
      <c r="C77" s="1" t="s">
        <v>1479</v>
      </c>
      <c r="D77" s="1" t="s">
        <v>1487</v>
      </c>
      <c r="E77" s="4" t="s">
        <v>1488</v>
      </c>
      <c r="F77" s="0" t="s">
        <v>49</v>
      </c>
      <c r="G77" s="0" t="s">
        <v>3563</v>
      </c>
      <c r="I77" s="6" t="n">
        <v>0.90625</v>
      </c>
      <c r="J77" s="6" t="n">
        <v>0.909722222222222</v>
      </c>
      <c r="K77" s="0" t="n">
        <v>10</v>
      </c>
      <c r="L77" s="0" t="n">
        <v>20</v>
      </c>
      <c r="M77" s="0" t="s">
        <v>3564</v>
      </c>
      <c r="N77" s="0" t="s">
        <v>3565</v>
      </c>
      <c r="P77" s="0" t="s">
        <v>3566</v>
      </c>
      <c r="Q77" s="2" t="n">
        <v>42934</v>
      </c>
      <c r="S77" s="0" t="n">
        <f aca="false">YEAR(Q77)</f>
        <v>2017</v>
      </c>
      <c r="T77" s="0" t="n">
        <f aca="false">MONTH(Q77)</f>
        <v>7</v>
      </c>
    </row>
    <row r="78" customFormat="false" ht="14.25" hidden="true" customHeight="false" outlineLevel="0" collapsed="false">
      <c r="A78" s="0" t="n">
        <v>77</v>
      </c>
      <c r="B78" s="1" t="s">
        <v>255</v>
      </c>
      <c r="C78" s="1" t="s">
        <v>1479</v>
      </c>
      <c r="D78" s="1" t="s">
        <v>1487</v>
      </c>
      <c r="E78" s="4" t="s">
        <v>1488</v>
      </c>
      <c r="F78" s="0" t="s">
        <v>49</v>
      </c>
      <c r="G78" s="0" t="s">
        <v>3567</v>
      </c>
      <c r="I78" s="6" t="n">
        <v>0.909722222222222</v>
      </c>
      <c r="J78" s="6" t="n">
        <v>0.923611111111111</v>
      </c>
      <c r="K78" s="0" t="n">
        <v>5</v>
      </c>
      <c r="L78" s="0" t="n">
        <v>25</v>
      </c>
      <c r="M78" s="0" t="s">
        <v>3568</v>
      </c>
      <c r="N78" s="0" t="s">
        <v>3569</v>
      </c>
      <c r="P78" s="0" t="s">
        <v>3570</v>
      </c>
      <c r="Q78" s="2" t="n">
        <v>42934</v>
      </c>
      <c r="S78" s="0" t="n">
        <f aca="false">YEAR(Q78)</f>
        <v>2017</v>
      </c>
      <c r="T78" s="0" t="n">
        <f aca="false">MONTH(Q78)</f>
        <v>7</v>
      </c>
    </row>
    <row r="79" customFormat="false" ht="14.25" hidden="true" customHeight="false" outlineLevel="0" collapsed="false">
      <c r="A79" s="0" t="n">
        <v>78</v>
      </c>
      <c r="B79" s="1" t="s">
        <v>260</v>
      </c>
      <c r="C79" s="1" t="s">
        <v>1479</v>
      </c>
      <c r="D79" s="1" t="s">
        <v>1487</v>
      </c>
      <c r="E79" s="0" t="s">
        <v>1488</v>
      </c>
      <c r="F79" s="0" t="s">
        <v>48</v>
      </c>
      <c r="G79" s="0" t="s">
        <v>3571</v>
      </c>
      <c r="I79" s="6" t="n">
        <v>0.236111111111111</v>
      </c>
      <c r="J79" s="6" t="n">
        <v>0.28125</v>
      </c>
      <c r="K79" s="0" t="n">
        <v>120</v>
      </c>
      <c r="M79" s="0" t="s">
        <v>3572</v>
      </c>
      <c r="N79" s="0" t="s">
        <v>3573</v>
      </c>
      <c r="P79" s="0" t="s">
        <v>3574</v>
      </c>
      <c r="Q79" s="2" t="n">
        <v>42935</v>
      </c>
      <c r="S79" s="0" t="n">
        <f aca="false">YEAR(Q79)</f>
        <v>2017</v>
      </c>
      <c r="T79" s="0" t="n">
        <f aca="false">MONTH(Q79)</f>
        <v>7</v>
      </c>
    </row>
    <row r="80" customFormat="false" ht="14.25" hidden="true" customHeight="false" outlineLevel="0" collapsed="false">
      <c r="A80" s="0" t="n">
        <v>79</v>
      </c>
      <c r="B80" s="1" t="s">
        <v>260</v>
      </c>
      <c r="C80" s="1" t="s">
        <v>1479</v>
      </c>
      <c r="D80" s="1" t="s">
        <v>1487</v>
      </c>
      <c r="E80" s="0" t="s">
        <v>1488</v>
      </c>
      <c r="F80" s="0" t="s">
        <v>48</v>
      </c>
      <c r="G80" s="0" t="s">
        <v>3575</v>
      </c>
      <c r="J80" s="6" t="n">
        <v>0.520833333333333</v>
      </c>
      <c r="M80" s="0" t="s">
        <v>3576</v>
      </c>
      <c r="N80" s="0" t="s">
        <v>3545</v>
      </c>
      <c r="Q80" s="2" t="n">
        <v>42935</v>
      </c>
      <c r="S80" s="0" t="n">
        <f aca="false">YEAR(Q80)</f>
        <v>2017</v>
      </c>
      <c r="T80" s="0" t="n">
        <f aca="false">MONTH(Q80)</f>
        <v>7</v>
      </c>
    </row>
    <row r="81" customFormat="false" ht="14.25" hidden="true" customHeight="false" outlineLevel="0" collapsed="false">
      <c r="A81" s="0" t="n">
        <v>80</v>
      </c>
      <c r="B81" s="1" t="s">
        <v>265</v>
      </c>
      <c r="C81" s="1" t="s">
        <v>1479</v>
      </c>
      <c r="D81" s="1" t="s">
        <v>1496</v>
      </c>
      <c r="E81" s="0" t="s">
        <v>38</v>
      </c>
      <c r="F81" s="0" t="s">
        <v>48</v>
      </c>
      <c r="G81" s="0" t="s">
        <v>3577</v>
      </c>
      <c r="I81" s="6" t="n">
        <v>0.305555555555555</v>
      </c>
      <c r="J81" s="6" t="n">
        <v>0.3125</v>
      </c>
      <c r="L81" s="0" t="n">
        <v>20</v>
      </c>
      <c r="M81" s="0" t="s">
        <v>3578</v>
      </c>
      <c r="N81" s="0" t="s">
        <v>3579</v>
      </c>
      <c r="P81" s="0" t="s">
        <v>3580</v>
      </c>
      <c r="Q81" s="2" t="n">
        <v>42936</v>
      </c>
      <c r="S81" s="0" t="n">
        <f aca="false">YEAR(Q81)</f>
        <v>2017</v>
      </c>
      <c r="T81" s="0" t="n">
        <f aca="false">MONTH(Q81)</f>
        <v>7</v>
      </c>
    </row>
    <row r="82" customFormat="false" ht="14.25" hidden="true" customHeight="false" outlineLevel="0" collapsed="false">
      <c r="A82" s="0" t="n">
        <v>81</v>
      </c>
      <c r="B82" s="1" t="s">
        <v>270</v>
      </c>
      <c r="C82" s="1" t="s">
        <v>1479</v>
      </c>
      <c r="D82" s="1" t="s">
        <v>1487</v>
      </c>
      <c r="E82" s="0" t="s">
        <v>1488</v>
      </c>
      <c r="F82" s="0" t="s">
        <v>48</v>
      </c>
      <c r="G82" s="0" t="s">
        <v>3575</v>
      </c>
      <c r="J82" s="6" t="n">
        <v>0.520833333333333</v>
      </c>
      <c r="M82" s="0" t="s">
        <v>3576</v>
      </c>
      <c r="N82" s="0" t="s">
        <v>3581</v>
      </c>
      <c r="P82" s="0" t="s">
        <v>3582</v>
      </c>
      <c r="Q82" s="2" t="n">
        <v>42937</v>
      </c>
      <c r="S82" s="0" t="n">
        <f aca="false">YEAR(Q82)</f>
        <v>2017</v>
      </c>
      <c r="T82" s="0" t="n">
        <f aca="false">MONTH(Q82)</f>
        <v>7</v>
      </c>
    </row>
    <row r="83" customFormat="false" ht="57" hidden="true" customHeight="false" outlineLevel="0" collapsed="false">
      <c r="A83" s="0" t="n">
        <v>82</v>
      </c>
      <c r="B83" s="1" t="s">
        <v>270</v>
      </c>
      <c r="C83" s="1" t="s">
        <v>1479</v>
      </c>
      <c r="D83" s="1" t="s">
        <v>1535</v>
      </c>
      <c r="E83" s="0" t="s">
        <v>39</v>
      </c>
      <c r="F83" s="0" t="s">
        <v>49</v>
      </c>
      <c r="G83" s="0" t="s">
        <v>3583</v>
      </c>
      <c r="K83" s="0" t="n">
        <v>0</v>
      </c>
      <c r="L83" s="0" t="n">
        <v>200</v>
      </c>
      <c r="M83" s="0" t="s">
        <v>3584</v>
      </c>
      <c r="N83" s="7" t="s">
        <v>3585</v>
      </c>
      <c r="O83" s="7"/>
      <c r="P83" s="7" t="s">
        <v>3586</v>
      </c>
      <c r="Q83" s="2" t="n">
        <v>42937</v>
      </c>
      <c r="S83" s="0" t="n">
        <f aca="false">YEAR(Q83)</f>
        <v>2017</v>
      </c>
      <c r="T83" s="0" t="n">
        <f aca="false">MONTH(Q83)</f>
        <v>7</v>
      </c>
    </row>
    <row r="84" customFormat="false" ht="14.25" hidden="true" customHeight="false" outlineLevel="0" collapsed="false">
      <c r="A84" s="0" t="n">
        <v>83</v>
      </c>
      <c r="B84" s="1" t="s">
        <v>270</v>
      </c>
      <c r="C84" s="1" t="s">
        <v>1479</v>
      </c>
      <c r="D84" s="1" t="s">
        <v>1487</v>
      </c>
      <c r="E84" s="0" t="s">
        <v>1488</v>
      </c>
      <c r="F84" s="0" t="s">
        <v>49</v>
      </c>
      <c r="G84" s="0" t="s">
        <v>3587</v>
      </c>
      <c r="K84" s="0" t="n">
        <v>0</v>
      </c>
      <c r="L84" s="0" t="n">
        <v>30</v>
      </c>
      <c r="M84" s="0" t="s">
        <v>3588</v>
      </c>
      <c r="N84" s="0" t="s">
        <v>3589</v>
      </c>
      <c r="P84" s="0" t="s">
        <v>3590</v>
      </c>
      <c r="Q84" s="2" t="n">
        <v>42937</v>
      </c>
      <c r="S84" s="0" t="n">
        <f aca="false">YEAR(Q84)</f>
        <v>2017</v>
      </c>
      <c r="T84" s="0" t="n">
        <f aca="false">MONTH(Q84)</f>
        <v>7</v>
      </c>
    </row>
    <row r="85" customFormat="false" ht="14.25" hidden="true" customHeight="false" outlineLevel="0" collapsed="false">
      <c r="A85" s="0" t="n">
        <v>84</v>
      </c>
      <c r="B85" s="1" t="s">
        <v>270</v>
      </c>
      <c r="C85" s="1" t="s">
        <v>1479</v>
      </c>
      <c r="D85" s="1" t="s">
        <v>1487</v>
      </c>
      <c r="E85" s="4" t="s">
        <v>1488</v>
      </c>
      <c r="F85" s="0" t="s">
        <v>49</v>
      </c>
      <c r="G85" s="0" t="s">
        <v>3591</v>
      </c>
      <c r="K85" s="0" t="n">
        <v>15</v>
      </c>
      <c r="L85" s="0" t="n">
        <v>40</v>
      </c>
      <c r="M85" s="0" t="s">
        <v>3592</v>
      </c>
      <c r="N85" s="0" t="s">
        <v>3593</v>
      </c>
      <c r="P85" s="0" t="s">
        <v>3594</v>
      </c>
      <c r="Q85" s="2" t="n">
        <v>42937</v>
      </c>
      <c r="S85" s="0" t="n">
        <f aca="false">YEAR(Q85)</f>
        <v>2017</v>
      </c>
      <c r="T85" s="0" t="n">
        <f aca="false">MONTH(Q85)</f>
        <v>7</v>
      </c>
    </row>
    <row r="86" customFormat="false" ht="14.25" hidden="true" customHeight="false" outlineLevel="0" collapsed="false">
      <c r="A86" s="0" t="n">
        <v>85</v>
      </c>
      <c r="B86" s="1" t="s">
        <v>276</v>
      </c>
      <c r="C86" s="1" t="s">
        <v>1479</v>
      </c>
      <c r="D86" s="1" t="s">
        <v>1535</v>
      </c>
      <c r="E86" s="0" t="s">
        <v>39</v>
      </c>
      <c r="F86" s="0" t="s">
        <v>48</v>
      </c>
      <c r="G86" s="0" t="s">
        <v>3595</v>
      </c>
      <c r="I86" s="6" t="n">
        <v>0.302083333333333</v>
      </c>
      <c r="J86" s="6" t="n">
        <v>0.305555555555555</v>
      </c>
      <c r="M86" s="0" t="s">
        <v>3596</v>
      </c>
      <c r="N86" s="0" t="s">
        <v>3597</v>
      </c>
      <c r="P86" s="0" t="s">
        <v>3598</v>
      </c>
      <c r="Q86" s="2" t="n">
        <v>42938</v>
      </c>
      <c r="S86" s="0" t="n">
        <f aca="false">YEAR(Q86)</f>
        <v>2017</v>
      </c>
      <c r="T86" s="0" t="n">
        <f aca="false">MONTH(Q86)</f>
        <v>7</v>
      </c>
    </row>
    <row r="87" customFormat="false" ht="14.25" hidden="true" customHeight="false" outlineLevel="0" collapsed="false">
      <c r="A87" s="0" t="n">
        <v>86</v>
      </c>
      <c r="B87" s="1" t="s">
        <v>276</v>
      </c>
      <c r="C87" s="1" t="s">
        <v>1503</v>
      </c>
      <c r="D87" s="1" t="s">
        <v>1504</v>
      </c>
      <c r="E87" s="0" t="s">
        <v>45</v>
      </c>
      <c r="F87" s="0" t="s">
        <v>48</v>
      </c>
      <c r="G87" s="0" t="s">
        <v>3599</v>
      </c>
      <c r="J87" s="6" t="n">
        <v>0.375</v>
      </c>
      <c r="M87" s="0" t="s">
        <v>3600</v>
      </c>
      <c r="Q87" s="2" t="n">
        <v>42938</v>
      </c>
      <c r="S87" s="0" t="n">
        <f aca="false">YEAR(Q87)</f>
        <v>2017</v>
      </c>
      <c r="T87" s="0" t="n">
        <f aca="false">MONTH(Q87)</f>
        <v>7</v>
      </c>
    </row>
    <row r="88" customFormat="false" ht="14.25" hidden="true" customHeight="false" outlineLevel="0" collapsed="false">
      <c r="A88" s="0" t="n">
        <v>87</v>
      </c>
      <c r="B88" s="1" t="s">
        <v>276</v>
      </c>
      <c r="C88" s="1" t="s">
        <v>1479</v>
      </c>
      <c r="D88" s="1" t="s">
        <v>1487</v>
      </c>
      <c r="E88" s="0" t="s">
        <v>1488</v>
      </c>
      <c r="F88" s="0" t="s">
        <v>49</v>
      </c>
      <c r="G88" s="0" t="s">
        <v>3601</v>
      </c>
      <c r="J88" s="6" t="n">
        <v>0.600694444444444</v>
      </c>
      <c r="L88" s="0" t="n">
        <v>60</v>
      </c>
      <c r="M88" s="0" t="s">
        <v>3602</v>
      </c>
      <c r="N88" s="0" t="s">
        <v>3603</v>
      </c>
      <c r="P88" s="0" t="s">
        <v>3604</v>
      </c>
      <c r="Q88" s="2" t="n">
        <v>42938</v>
      </c>
      <c r="S88" s="0" t="n">
        <f aca="false">YEAR(Q88)</f>
        <v>2017</v>
      </c>
      <c r="T88" s="0" t="n">
        <f aca="false">MONTH(Q88)</f>
        <v>7</v>
      </c>
    </row>
    <row r="89" customFormat="false" ht="57" hidden="true" customHeight="false" outlineLevel="0" collapsed="false">
      <c r="A89" s="0" t="n">
        <v>88</v>
      </c>
      <c r="B89" s="1" t="s">
        <v>276</v>
      </c>
      <c r="C89" s="1" t="s">
        <v>1479</v>
      </c>
      <c r="D89" s="1" t="s">
        <v>1535</v>
      </c>
      <c r="E89" s="0" t="s">
        <v>39</v>
      </c>
      <c r="F89" s="0" t="s">
        <v>49</v>
      </c>
      <c r="G89" s="0" t="s">
        <v>3605</v>
      </c>
      <c r="L89" s="0" t="n">
        <v>30</v>
      </c>
      <c r="M89" s="0" t="s">
        <v>3606</v>
      </c>
      <c r="N89" s="0" t="s">
        <v>3607</v>
      </c>
      <c r="P89" s="7" t="s">
        <v>3608</v>
      </c>
      <c r="Q89" s="2" t="n">
        <v>42938</v>
      </c>
      <c r="S89" s="0" t="n">
        <f aca="false">YEAR(Q89)</f>
        <v>2017</v>
      </c>
      <c r="T89" s="0" t="n">
        <f aca="false">MONTH(Q89)</f>
        <v>7</v>
      </c>
    </row>
    <row r="90" customFormat="false" ht="42.75" hidden="true" customHeight="false" outlineLevel="0" collapsed="false">
      <c r="A90" s="0" t="n">
        <v>89</v>
      </c>
      <c r="B90" s="1" t="s">
        <v>276</v>
      </c>
      <c r="C90" s="1" t="s">
        <v>1503</v>
      </c>
      <c r="D90" s="1" t="s">
        <v>1504</v>
      </c>
      <c r="E90" s="0" t="s">
        <v>45</v>
      </c>
      <c r="F90" s="0" t="s">
        <v>49</v>
      </c>
      <c r="G90" s="0" t="s">
        <v>3609</v>
      </c>
      <c r="M90" s="0" t="s">
        <v>3610</v>
      </c>
      <c r="N90" s="0" t="s">
        <v>3611</v>
      </c>
      <c r="P90" s="7" t="s">
        <v>3612</v>
      </c>
      <c r="Q90" s="2" t="n">
        <v>42938</v>
      </c>
      <c r="S90" s="0" t="n">
        <f aca="false">YEAR(Q90)</f>
        <v>2017</v>
      </c>
      <c r="T90" s="0" t="n">
        <f aca="false">MONTH(Q90)</f>
        <v>7</v>
      </c>
    </row>
    <row r="91" customFormat="false" ht="14.25" hidden="true" customHeight="false" outlineLevel="0" collapsed="false">
      <c r="A91" s="0" t="n">
        <v>90</v>
      </c>
      <c r="B91" s="1" t="s">
        <v>282</v>
      </c>
      <c r="C91" s="1" t="s">
        <v>1503</v>
      </c>
      <c r="D91" s="1" t="s">
        <v>1535</v>
      </c>
      <c r="E91" s="0" t="s">
        <v>44</v>
      </c>
      <c r="F91" s="0" t="s">
        <v>48</v>
      </c>
      <c r="G91" s="0" t="s">
        <v>3613</v>
      </c>
      <c r="I91" s="6" t="n">
        <v>0.243055555555556</v>
      </c>
      <c r="J91" s="6" t="n">
        <v>0.284722222222222</v>
      </c>
      <c r="L91" s="0" t="n">
        <v>70</v>
      </c>
      <c r="M91" s="0" t="s">
        <v>3614</v>
      </c>
      <c r="N91" s="0" t="s">
        <v>3615</v>
      </c>
      <c r="P91" s="0" t="s">
        <v>3616</v>
      </c>
      <c r="Q91" s="2" t="n">
        <v>42940</v>
      </c>
      <c r="S91" s="0" t="n">
        <f aca="false">YEAR(Q91)</f>
        <v>2017</v>
      </c>
      <c r="T91" s="0" t="n">
        <f aca="false">MONTH(Q91)</f>
        <v>7</v>
      </c>
    </row>
    <row r="92" customFormat="false" ht="14.25" hidden="true" customHeight="false" outlineLevel="0" collapsed="false">
      <c r="A92" s="0" t="n">
        <v>91</v>
      </c>
      <c r="B92" s="1" t="s">
        <v>282</v>
      </c>
      <c r="C92" s="1" t="s">
        <v>1479</v>
      </c>
      <c r="D92" s="1" t="s">
        <v>1487</v>
      </c>
      <c r="E92" s="4" t="s">
        <v>1488</v>
      </c>
      <c r="F92" s="0" t="s">
        <v>49</v>
      </c>
      <c r="G92" s="0" t="s">
        <v>3617</v>
      </c>
      <c r="I92" s="6" t="n">
        <v>0.611111111111111</v>
      </c>
      <c r="J92" s="6" t="n">
        <v>0.625</v>
      </c>
      <c r="K92" s="0" t="n">
        <v>30</v>
      </c>
      <c r="L92" s="0" t="n">
        <v>60</v>
      </c>
      <c r="M92" s="0" t="s">
        <v>3618</v>
      </c>
      <c r="N92" s="0" t="s">
        <v>3619</v>
      </c>
      <c r="P92" s="0" t="s">
        <v>3620</v>
      </c>
      <c r="Q92" s="2" t="n">
        <v>42940</v>
      </c>
      <c r="S92" s="0" t="n">
        <f aca="false">YEAR(Q92)</f>
        <v>2017</v>
      </c>
      <c r="T92" s="0" t="n">
        <f aca="false">MONTH(Q92)</f>
        <v>7</v>
      </c>
    </row>
    <row r="93" customFormat="false" ht="14.25" hidden="true" customHeight="false" outlineLevel="0" collapsed="false">
      <c r="A93" s="0" t="n">
        <v>92</v>
      </c>
      <c r="B93" s="1" t="s">
        <v>282</v>
      </c>
      <c r="C93" s="1" t="s">
        <v>1479</v>
      </c>
      <c r="D93" s="1" t="s">
        <v>1496</v>
      </c>
      <c r="E93" s="0" t="s">
        <v>38</v>
      </c>
      <c r="F93" s="0" t="s">
        <v>49</v>
      </c>
      <c r="G93" s="0" t="s">
        <v>3621</v>
      </c>
      <c r="I93" s="6" t="n">
        <v>0.8125</v>
      </c>
      <c r="J93" s="6" t="n">
        <v>0.833333333333333</v>
      </c>
      <c r="K93" s="0" t="n">
        <v>0</v>
      </c>
      <c r="L93" s="0" t="n">
        <v>45</v>
      </c>
      <c r="M93" s="0" t="s">
        <v>3622</v>
      </c>
      <c r="N93" s="0" t="s">
        <v>3623</v>
      </c>
      <c r="P93" s="0" t="s">
        <v>3624</v>
      </c>
      <c r="Q93" s="2" t="n">
        <v>42940</v>
      </c>
      <c r="S93" s="0" t="n">
        <f aca="false">YEAR(Q93)</f>
        <v>2017</v>
      </c>
      <c r="T93" s="0" t="n">
        <f aca="false">MONTH(Q93)</f>
        <v>7</v>
      </c>
    </row>
    <row r="94" customFormat="false" ht="14.25" hidden="true" customHeight="false" outlineLevel="0" collapsed="false">
      <c r="A94" s="0" t="n">
        <v>93</v>
      </c>
      <c r="B94" s="1" t="s">
        <v>300</v>
      </c>
      <c r="C94" s="1" t="s">
        <v>1479</v>
      </c>
      <c r="D94" s="1" t="s">
        <v>1535</v>
      </c>
      <c r="E94" s="0" t="s">
        <v>39</v>
      </c>
      <c r="F94" s="0" t="s">
        <v>48</v>
      </c>
      <c r="G94" s="0" t="s">
        <v>3625</v>
      </c>
      <c r="I94" s="6" t="n">
        <v>0.350694444444444</v>
      </c>
      <c r="J94" s="6" t="n">
        <v>0.361111111111111</v>
      </c>
      <c r="L94" s="0" t="n">
        <v>20</v>
      </c>
      <c r="M94" s="0" t="s">
        <v>3626</v>
      </c>
      <c r="N94" s="0" t="s">
        <v>3627</v>
      </c>
      <c r="P94" s="0" t="s">
        <v>3628</v>
      </c>
      <c r="Q94" s="2" t="n">
        <v>42943</v>
      </c>
      <c r="S94" s="0" t="n">
        <f aca="false">YEAR(Q94)</f>
        <v>2017</v>
      </c>
      <c r="T94" s="0" t="n">
        <f aca="false">MONTH(Q94)</f>
        <v>7</v>
      </c>
    </row>
    <row r="95" customFormat="false" ht="14.25" hidden="true" customHeight="false" outlineLevel="0" collapsed="false">
      <c r="A95" s="0" t="n">
        <v>94</v>
      </c>
      <c r="B95" s="1" t="s">
        <v>300</v>
      </c>
      <c r="C95" s="1" t="s">
        <v>1479</v>
      </c>
      <c r="D95" s="1" t="s">
        <v>1487</v>
      </c>
      <c r="E95" s="4" t="s">
        <v>1488</v>
      </c>
      <c r="F95" s="0" t="s">
        <v>49</v>
      </c>
      <c r="G95" s="0" t="s">
        <v>3629</v>
      </c>
      <c r="I95" s="6" t="n">
        <v>0.763888888888889</v>
      </c>
      <c r="J95" s="6" t="n">
        <v>0.774305555555555</v>
      </c>
      <c r="K95" s="0" t="n">
        <v>20</v>
      </c>
      <c r="L95" s="0" t="n">
        <v>28</v>
      </c>
      <c r="M95" s="0" t="s">
        <v>3630</v>
      </c>
      <c r="N95" s="0" t="s">
        <v>3631</v>
      </c>
      <c r="P95" s="0" t="s">
        <v>3632</v>
      </c>
      <c r="Q95" s="2" t="n">
        <v>42943</v>
      </c>
      <c r="S95" s="0" t="n">
        <f aca="false">YEAR(Q95)</f>
        <v>2017</v>
      </c>
      <c r="T95" s="0" t="n">
        <f aca="false">MONTH(Q95)</f>
        <v>7</v>
      </c>
    </row>
    <row r="96" customFormat="false" ht="14.25" hidden="true" customHeight="false" outlineLevel="0" collapsed="false">
      <c r="A96" s="0" t="n">
        <v>95</v>
      </c>
      <c r="B96" s="1" t="s">
        <v>300</v>
      </c>
      <c r="C96" s="1" t="s">
        <v>1479</v>
      </c>
      <c r="D96" s="1" t="s">
        <v>1487</v>
      </c>
      <c r="E96" s="4" t="s">
        <v>1488</v>
      </c>
      <c r="F96" s="0" t="s">
        <v>49</v>
      </c>
      <c r="G96" s="0" t="s">
        <v>3633</v>
      </c>
      <c r="I96" s="6" t="n">
        <v>0.80625</v>
      </c>
      <c r="J96" s="6" t="n">
        <v>0.819444444444444</v>
      </c>
      <c r="K96" s="0" t="n">
        <v>10</v>
      </c>
      <c r="L96" s="0" t="n">
        <v>42</v>
      </c>
      <c r="M96" s="0" t="s">
        <v>3634</v>
      </c>
      <c r="N96" s="0" t="s">
        <v>3635</v>
      </c>
      <c r="P96" s="0" t="s">
        <v>3636</v>
      </c>
      <c r="Q96" s="2" t="n">
        <v>42943</v>
      </c>
      <c r="S96" s="0" t="n">
        <f aca="false">YEAR(Q96)</f>
        <v>2017</v>
      </c>
      <c r="T96" s="0" t="n">
        <f aca="false">MONTH(Q96)</f>
        <v>7</v>
      </c>
    </row>
    <row r="97" customFormat="false" ht="42.75" hidden="true" customHeight="false" outlineLevel="0" collapsed="false">
      <c r="A97" s="0" t="n">
        <v>96</v>
      </c>
      <c r="B97" s="1" t="s">
        <v>300</v>
      </c>
      <c r="C97" s="1" t="s">
        <v>1503</v>
      </c>
      <c r="D97" s="1" t="s">
        <v>1535</v>
      </c>
      <c r="E97" s="0" t="s">
        <v>44</v>
      </c>
      <c r="F97" s="0" t="s">
        <v>49</v>
      </c>
      <c r="G97" s="0" t="s">
        <v>3637</v>
      </c>
      <c r="I97" s="6" t="n">
        <v>0.909722222222222</v>
      </c>
      <c r="J97" s="6" t="n">
        <v>0.923611111111111</v>
      </c>
      <c r="L97" s="0" t="n">
        <v>52</v>
      </c>
      <c r="M97" s="0" t="s">
        <v>3638</v>
      </c>
      <c r="N97" s="0" t="s">
        <v>3639</v>
      </c>
      <c r="P97" s="7" t="s">
        <v>3640</v>
      </c>
      <c r="Q97" s="2" t="n">
        <v>42943</v>
      </c>
      <c r="S97" s="0" t="n">
        <f aca="false">YEAR(Q97)</f>
        <v>2017</v>
      </c>
      <c r="T97" s="0" t="n">
        <f aca="false">MONTH(Q97)</f>
        <v>7</v>
      </c>
    </row>
    <row r="98" customFormat="false" ht="14.25" hidden="true" customHeight="false" outlineLevel="0" collapsed="false">
      <c r="A98" s="0" t="n">
        <v>97</v>
      </c>
      <c r="B98" s="1" t="s">
        <v>304</v>
      </c>
      <c r="C98" s="1" t="s">
        <v>1479</v>
      </c>
      <c r="D98" s="1" t="s">
        <v>1487</v>
      </c>
      <c r="E98" s="0" t="s">
        <v>1488</v>
      </c>
      <c r="F98" s="0" t="s">
        <v>48</v>
      </c>
      <c r="G98" s="0" t="s">
        <v>3641</v>
      </c>
      <c r="I98" s="6" t="n">
        <v>0.422222222222222</v>
      </c>
      <c r="J98" s="6" t="n">
        <v>0.520833333333333</v>
      </c>
      <c r="L98" s="0" t="n">
        <v>16</v>
      </c>
      <c r="M98" s="0" t="s">
        <v>3642</v>
      </c>
      <c r="N98" s="0" t="s">
        <v>3545</v>
      </c>
      <c r="P98" s="0" t="s">
        <v>3643</v>
      </c>
      <c r="Q98" s="2" t="n">
        <v>42944</v>
      </c>
      <c r="S98" s="0" t="n">
        <f aca="false">YEAR(Q98)</f>
        <v>2017</v>
      </c>
      <c r="T98" s="0" t="n">
        <f aca="false">MONTH(Q98)</f>
        <v>7</v>
      </c>
    </row>
    <row r="99" customFormat="false" ht="14.25" hidden="true" customHeight="false" outlineLevel="0" collapsed="false">
      <c r="A99" s="0" t="n">
        <v>98</v>
      </c>
      <c r="B99" s="1" t="s">
        <v>308</v>
      </c>
      <c r="C99" s="1" t="s">
        <v>1479</v>
      </c>
      <c r="D99" s="1" t="s">
        <v>1487</v>
      </c>
      <c r="E99" s="0" t="s">
        <v>1488</v>
      </c>
      <c r="F99" s="0" t="s">
        <v>48</v>
      </c>
      <c r="G99" s="0" t="s">
        <v>3644</v>
      </c>
      <c r="I99" s="6" t="n">
        <v>0.35</v>
      </c>
      <c r="J99" s="6" t="n">
        <v>0.354166666666667</v>
      </c>
      <c r="L99" s="0" t="n">
        <v>16</v>
      </c>
      <c r="M99" s="0" t="s">
        <v>3645</v>
      </c>
      <c r="N99" s="0" t="s">
        <v>3646</v>
      </c>
      <c r="P99" s="0" t="s">
        <v>3647</v>
      </c>
      <c r="Q99" s="2" t="n">
        <v>42947</v>
      </c>
      <c r="S99" s="0" t="n">
        <f aca="false">YEAR(Q99)</f>
        <v>2017</v>
      </c>
      <c r="T99" s="0" t="n">
        <f aca="false">MONTH(Q99)</f>
        <v>7</v>
      </c>
    </row>
    <row r="100" customFormat="false" ht="14.25" hidden="true" customHeight="false" outlineLevel="0" collapsed="false">
      <c r="A100" s="0" t="n">
        <v>99</v>
      </c>
      <c r="B100" s="1" t="s">
        <v>308</v>
      </c>
      <c r="C100" s="1" t="s">
        <v>1503</v>
      </c>
      <c r="D100" s="1" t="s">
        <v>1535</v>
      </c>
      <c r="E100" s="0" t="s">
        <v>44</v>
      </c>
      <c r="F100" s="0" t="s">
        <v>49</v>
      </c>
      <c r="G100" s="0" t="s">
        <v>3648</v>
      </c>
      <c r="J100" s="6" t="n">
        <v>0.729166666666667</v>
      </c>
      <c r="M100" s="0" t="s">
        <v>3649</v>
      </c>
      <c r="N100" s="0" t="s">
        <v>3650</v>
      </c>
      <c r="P100" s="0" t="s">
        <v>3651</v>
      </c>
      <c r="Q100" s="2" t="n">
        <v>42947</v>
      </c>
      <c r="S100" s="0" t="n">
        <f aca="false">YEAR(Q100)</f>
        <v>2017</v>
      </c>
      <c r="T100" s="0" t="n">
        <f aca="false">MONTH(Q100)</f>
        <v>7</v>
      </c>
    </row>
    <row r="101" customFormat="false" ht="14.25" hidden="true" customHeight="false" outlineLevel="0" collapsed="false">
      <c r="A101" s="0" t="n">
        <v>100</v>
      </c>
      <c r="B101" s="1" t="s">
        <v>315</v>
      </c>
      <c r="C101" s="1" t="s">
        <v>1503</v>
      </c>
      <c r="D101" s="1" t="s">
        <v>1504</v>
      </c>
      <c r="E101" s="0" t="s">
        <v>45</v>
      </c>
      <c r="F101" s="0" t="s">
        <v>48</v>
      </c>
      <c r="G101" s="0" t="s">
        <v>3652</v>
      </c>
      <c r="I101" s="6" t="n">
        <v>0.236111111111111</v>
      </c>
      <c r="J101" s="6" t="n">
        <v>0.395833333333333</v>
      </c>
      <c r="M101" s="0" t="s">
        <v>3653</v>
      </c>
      <c r="N101" s="0" t="s">
        <v>3654</v>
      </c>
      <c r="P101" s="0" t="s">
        <v>3655</v>
      </c>
      <c r="Q101" s="2" t="n">
        <v>42948</v>
      </c>
      <c r="S101" s="0" t="n">
        <f aca="false">YEAR(Q101)</f>
        <v>2017</v>
      </c>
      <c r="T101" s="0" t="n">
        <f aca="false">MONTH(Q101)</f>
        <v>8</v>
      </c>
    </row>
    <row r="102" customFormat="false" ht="14.25" hidden="true" customHeight="false" outlineLevel="0" collapsed="false">
      <c r="A102" s="0" t="n">
        <v>101</v>
      </c>
      <c r="B102" s="1" t="s">
        <v>324</v>
      </c>
      <c r="C102" s="1" t="s">
        <v>1479</v>
      </c>
      <c r="D102" s="1" t="s">
        <v>1487</v>
      </c>
      <c r="E102" s="0" t="s">
        <v>1488</v>
      </c>
      <c r="F102" s="0" t="s">
        <v>48</v>
      </c>
      <c r="G102" s="0" t="s">
        <v>3656</v>
      </c>
      <c r="I102" s="6" t="n">
        <v>0.364583333333333</v>
      </c>
      <c r="J102" s="6" t="n">
        <v>0.364583333333333</v>
      </c>
      <c r="L102" s="0" t="n">
        <v>28</v>
      </c>
      <c r="M102" s="0" t="s">
        <v>3657</v>
      </c>
      <c r="N102" s="0" t="s">
        <v>3658</v>
      </c>
      <c r="P102" s="0" t="s">
        <v>3659</v>
      </c>
      <c r="Q102" s="2" t="n">
        <v>42950</v>
      </c>
      <c r="S102" s="0" t="n">
        <f aca="false">YEAR(Q102)</f>
        <v>2017</v>
      </c>
      <c r="T102" s="0" t="n">
        <f aca="false">MONTH(Q102)</f>
        <v>8</v>
      </c>
    </row>
    <row r="103" customFormat="false" ht="14.25" hidden="true" customHeight="false" outlineLevel="0" collapsed="false">
      <c r="A103" s="0" t="n">
        <v>102</v>
      </c>
      <c r="B103" s="1" t="s">
        <v>324</v>
      </c>
      <c r="C103" s="1" t="s">
        <v>1479</v>
      </c>
      <c r="D103" s="1" t="s">
        <v>1487</v>
      </c>
      <c r="E103" s="0" t="s">
        <v>1488</v>
      </c>
      <c r="F103" s="0" t="s">
        <v>48</v>
      </c>
      <c r="G103" s="0" t="s">
        <v>3660</v>
      </c>
      <c r="I103" s="6" t="n">
        <v>0.402777777777778</v>
      </c>
      <c r="J103" s="6" t="n">
        <v>0.413194444444444</v>
      </c>
      <c r="L103" s="0" t="n">
        <v>18</v>
      </c>
      <c r="M103" s="0" t="s">
        <v>3661</v>
      </c>
      <c r="N103" s="0" t="s">
        <v>3662</v>
      </c>
      <c r="P103" s="0" t="s">
        <v>3663</v>
      </c>
      <c r="Q103" s="2" t="n">
        <v>42950</v>
      </c>
      <c r="S103" s="0" t="n">
        <f aca="false">YEAR(Q103)</f>
        <v>2017</v>
      </c>
      <c r="T103" s="0" t="n">
        <f aca="false">MONTH(Q103)</f>
        <v>8</v>
      </c>
    </row>
    <row r="104" customFormat="false" ht="14.25" hidden="true" customHeight="false" outlineLevel="0" collapsed="false">
      <c r="A104" s="0" t="n">
        <v>103</v>
      </c>
      <c r="B104" s="1" t="s">
        <v>324</v>
      </c>
      <c r="C104" s="1" t="s">
        <v>1503</v>
      </c>
      <c r="D104" s="1" t="s">
        <v>1535</v>
      </c>
      <c r="E104" s="0" t="s">
        <v>44</v>
      </c>
      <c r="F104" s="0" t="s">
        <v>48</v>
      </c>
      <c r="G104" s="0" t="s">
        <v>3664</v>
      </c>
      <c r="I104" s="6" t="n">
        <v>0.5</v>
      </c>
      <c r="J104" s="6" t="n">
        <v>0.53125</v>
      </c>
      <c r="L104" s="0" t="n">
        <v>12</v>
      </c>
      <c r="M104" s="0" t="s">
        <v>3665</v>
      </c>
      <c r="N104" s="0" t="s">
        <v>3666</v>
      </c>
      <c r="P104" s="0" t="s">
        <v>3667</v>
      </c>
      <c r="Q104" s="2" t="n">
        <v>42950</v>
      </c>
      <c r="S104" s="0" t="n">
        <f aca="false">YEAR(Q104)</f>
        <v>2017</v>
      </c>
      <c r="T104" s="0" t="n">
        <f aca="false">MONTH(Q104)</f>
        <v>8</v>
      </c>
    </row>
    <row r="105" customFormat="false" ht="14.25" hidden="true" customHeight="false" outlineLevel="0" collapsed="false">
      <c r="A105" s="0" t="n">
        <v>104</v>
      </c>
      <c r="B105" s="1" t="s">
        <v>324</v>
      </c>
      <c r="C105" s="1" t="s">
        <v>1479</v>
      </c>
      <c r="D105" s="1" t="s">
        <v>1535</v>
      </c>
      <c r="E105" s="0" t="s">
        <v>39</v>
      </c>
      <c r="F105" s="0" t="s">
        <v>49</v>
      </c>
      <c r="G105" s="0" t="s">
        <v>3668</v>
      </c>
      <c r="I105" s="6" t="n">
        <v>0.611805555555556</v>
      </c>
      <c r="J105" s="6" t="n">
        <v>0.614583333333333</v>
      </c>
      <c r="K105" s="0" t="n">
        <v>10</v>
      </c>
      <c r="L105" s="0" t="n">
        <v>15</v>
      </c>
      <c r="M105" s="0" t="s">
        <v>3669</v>
      </c>
      <c r="N105" s="0" t="s">
        <v>3670</v>
      </c>
      <c r="P105" s="0" t="s">
        <v>3671</v>
      </c>
      <c r="Q105" s="2" t="n">
        <v>42950</v>
      </c>
      <c r="S105" s="0" t="n">
        <f aca="false">YEAR(Q105)</f>
        <v>2017</v>
      </c>
      <c r="T105" s="0" t="n">
        <f aca="false">MONTH(Q105)</f>
        <v>8</v>
      </c>
    </row>
    <row r="106" customFormat="false" ht="14.25" hidden="true" customHeight="false" outlineLevel="0" collapsed="false">
      <c r="A106" s="0" t="n">
        <v>105</v>
      </c>
      <c r="B106" s="1" t="s">
        <v>324</v>
      </c>
      <c r="C106" s="1" t="s">
        <v>1479</v>
      </c>
      <c r="D106" s="1" t="s">
        <v>1487</v>
      </c>
      <c r="E106" s="4" t="s">
        <v>1488</v>
      </c>
      <c r="F106" s="0" t="s">
        <v>49</v>
      </c>
      <c r="G106" s="0" t="s">
        <v>3672</v>
      </c>
      <c r="I106" s="6" t="n">
        <v>0.730555555555556</v>
      </c>
      <c r="J106" s="6" t="n">
        <v>0.739583333333333</v>
      </c>
      <c r="K106" s="0" t="n">
        <v>25</v>
      </c>
      <c r="L106" s="0" t="n">
        <v>34</v>
      </c>
      <c r="M106" s="0" t="s">
        <v>3673</v>
      </c>
      <c r="N106" s="0" t="s">
        <v>3674</v>
      </c>
      <c r="P106" s="0" t="s">
        <v>3675</v>
      </c>
      <c r="Q106" s="2" t="n">
        <v>42950</v>
      </c>
      <c r="S106" s="0" t="n">
        <f aca="false">YEAR(Q106)</f>
        <v>2017</v>
      </c>
      <c r="T106" s="0" t="n">
        <f aca="false">MONTH(Q106)</f>
        <v>8</v>
      </c>
    </row>
    <row r="107" customFormat="false" ht="14.25" hidden="true" customHeight="false" outlineLevel="0" collapsed="false">
      <c r="A107" s="0" t="n">
        <v>106</v>
      </c>
      <c r="B107" s="1" t="s">
        <v>324</v>
      </c>
      <c r="C107" s="1" t="s">
        <v>1479</v>
      </c>
      <c r="D107" s="1" t="s">
        <v>1496</v>
      </c>
      <c r="E107" s="0" t="s">
        <v>38</v>
      </c>
      <c r="F107" s="0" t="s">
        <v>49</v>
      </c>
      <c r="G107" s="0" t="s">
        <v>3676</v>
      </c>
      <c r="J107" s="6" t="n">
        <v>0.75</v>
      </c>
      <c r="K107" s="0" t="n">
        <v>0</v>
      </c>
      <c r="L107" s="0" t="n">
        <v>0</v>
      </c>
      <c r="M107" s="0" t="s">
        <v>3677</v>
      </c>
      <c r="N107" s="0" t="s">
        <v>3678</v>
      </c>
      <c r="P107" s="0" t="s">
        <v>3679</v>
      </c>
      <c r="Q107" s="2" t="n">
        <v>42950</v>
      </c>
      <c r="S107" s="0" t="n">
        <f aca="false">YEAR(Q107)</f>
        <v>2017</v>
      </c>
      <c r="T107" s="0" t="n">
        <f aca="false">MONTH(Q107)</f>
        <v>8</v>
      </c>
    </row>
    <row r="108" customFormat="false" ht="14.25" hidden="true" customHeight="false" outlineLevel="0" collapsed="false">
      <c r="A108" s="0" t="n">
        <v>107</v>
      </c>
      <c r="B108" s="1" t="s">
        <v>324</v>
      </c>
      <c r="C108" s="1" t="s">
        <v>1479</v>
      </c>
      <c r="D108" s="1" t="s">
        <v>1487</v>
      </c>
      <c r="E108" s="4" t="s">
        <v>1488</v>
      </c>
      <c r="F108" s="0" t="s">
        <v>49</v>
      </c>
      <c r="G108" s="0" t="s">
        <v>3680</v>
      </c>
      <c r="I108" s="6" t="n">
        <v>0.819444444444444</v>
      </c>
      <c r="J108" s="6" t="n">
        <v>0.822916666666667</v>
      </c>
      <c r="K108" s="0" t="n">
        <v>20</v>
      </c>
      <c r="L108" s="0" t="n">
        <v>33</v>
      </c>
      <c r="M108" s="0" t="s">
        <v>3681</v>
      </c>
      <c r="N108" s="0" t="s">
        <v>3682</v>
      </c>
      <c r="P108" s="0" t="s">
        <v>3683</v>
      </c>
      <c r="Q108" s="2" t="n">
        <v>42950</v>
      </c>
      <c r="S108" s="0" t="n">
        <f aca="false">YEAR(Q108)</f>
        <v>2017</v>
      </c>
      <c r="T108" s="0" t="n">
        <f aca="false">MONTH(Q108)</f>
        <v>8</v>
      </c>
    </row>
    <row r="109" customFormat="false" ht="14.25" hidden="true" customHeight="false" outlineLevel="0" collapsed="false">
      <c r="A109" s="0" t="n">
        <v>108</v>
      </c>
      <c r="B109" s="1" t="s">
        <v>324</v>
      </c>
      <c r="C109" s="1" t="s">
        <v>1479</v>
      </c>
      <c r="D109" s="1" t="s">
        <v>1487</v>
      </c>
      <c r="E109" s="4" t="s">
        <v>1488</v>
      </c>
      <c r="F109" s="0" t="s">
        <v>49</v>
      </c>
      <c r="G109" s="0" t="s">
        <v>3684</v>
      </c>
      <c r="I109" s="6" t="n">
        <v>0.951388888888889</v>
      </c>
      <c r="J109" s="6" t="n">
        <v>0.954861111111111</v>
      </c>
      <c r="K109" s="0" t="n">
        <v>8</v>
      </c>
      <c r="L109" s="0" t="n">
        <v>12</v>
      </c>
      <c r="M109" s="0" t="s">
        <v>3685</v>
      </c>
      <c r="N109" s="0" t="s">
        <v>3686</v>
      </c>
      <c r="P109" s="0" t="s">
        <v>3687</v>
      </c>
      <c r="Q109" s="2" t="n">
        <v>42950</v>
      </c>
      <c r="S109" s="0" t="n">
        <f aca="false">YEAR(Q109)</f>
        <v>2017</v>
      </c>
      <c r="T109" s="0" t="n">
        <f aca="false">MONTH(Q109)</f>
        <v>8</v>
      </c>
    </row>
    <row r="110" customFormat="false" ht="14.25" hidden="true" customHeight="false" outlineLevel="0" collapsed="false">
      <c r="A110" s="0" t="n">
        <v>109</v>
      </c>
      <c r="B110" s="1" t="s">
        <v>329</v>
      </c>
      <c r="C110" s="1" t="s">
        <v>1479</v>
      </c>
      <c r="D110" s="1" t="s">
        <v>1487</v>
      </c>
      <c r="E110" s="0" t="s">
        <v>1488</v>
      </c>
      <c r="F110" s="0" t="s">
        <v>48</v>
      </c>
      <c r="G110" s="0" t="s">
        <v>3688</v>
      </c>
      <c r="I110" s="6" t="n">
        <v>0.270833333333333</v>
      </c>
      <c r="J110" s="6" t="n">
        <v>0.28125</v>
      </c>
      <c r="L110" s="0" t="n">
        <v>33</v>
      </c>
      <c r="M110" s="0" t="s">
        <v>3689</v>
      </c>
      <c r="N110" s="0" t="s">
        <v>3690</v>
      </c>
      <c r="P110" s="0" t="s">
        <v>3691</v>
      </c>
      <c r="Q110" s="2" t="n">
        <v>42951</v>
      </c>
      <c r="S110" s="0" t="n">
        <f aca="false">YEAR(Q110)</f>
        <v>2017</v>
      </c>
      <c r="T110" s="0" t="n">
        <f aca="false">MONTH(Q110)</f>
        <v>8</v>
      </c>
    </row>
    <row r="111" customFormat="false" ht="14.25" hidden="true" customHeight="false" outlineLevel="0" collapsed="false">
      <c r="A111" s="0" t="n">
        <v>110</v>
      </c>
      <c r="B111" s="1" t="s">
        <v>329</v>
      </c>
      <c r="C111" s="1" t="s">
        <v>1479</v>
      </c>
      <c r="D111" s="1" t="s">
        <v>1487</v>
      </c>
      <c r="E111" s="0" t="s">
        <v>1488</v>
      </c>
      <c r="F111" s="0" t="s">
        <v>48</v>
      </c>
      <c r="G111" s="0" t="s">
        <v>3692</v>
      </c>
      <c r="I111" s="6" t="n">
        <v>0.354166666666667</v>
      </c>
      <c r="J111" s="6" t="n">
        <v>0.361111111111111</v>
      </c>
      <c r="L111" s="0" t="n">
        <v>22</v>
      </c>
      <c r="M111" s="0" t="s">
        <v>3693</v>
      </c>
      <c r="N111" s="0" t="s">
        <v>3694</v>
      </c>
      <c r="P111" s="0" t="s">
        <v>3695</v>
      </c>
      <c r="Q111" s="2" t="n">
        <v>42951</v>
      </c>
      <c r="S111" s="0" t="n">
        <f aca="false">YEAR(Q111)</f>
        <v>2017</v>
      </c>
      <c r="T111" s="0" t="n">
        <f aca="false">MONTH(Q111)</f>
        <v>8</v>
      </c>
    </row>
    <row r="112" customFormat="false" ht="14.25" hidden="true" customHeight="false" outlineLevel="0" collapsed="false">
      <c r="A112" s="0" t="n">
        <v>111</v>
      </c>
      <c r="B112" s="1" t="s">
        <v>329</v>
      </c>
      <c r="C112" s="1" t="s">
        <v>1495</v>
      </c>
      <c r="D112" s="1" t="s">
        <v>1535</v>
      </c>
      <c r="E112" s="0" t="s">
        <v>42</v>
      </c>
      <c r="F112" s="0" t="s">
        <v>48</v>
      </c>
      <c r="G112" s="0" t="s">
        <v>3696</v>
      </c>
      <c r="I112" s="6" t="n">
        <v>0.395833333333333</v>
      </c>
      <c r="J112" s="6" t="n">
        <v>0.4375</v>
      </c>
      <c r="L112" s="0" t="n">
        <v>120</v>
      </c>
      <c r="M112" s="0" t="s">
        <v>3697</v>
      </c>
      <c r="N112" s="0" t="s">
        <v>3698</v>
      </c>
      <c r="P112" s="0" t="s">
        <v>3699</v>
      </c>
      <c r="Q112" s="2" t="n">
        <v>42951</v>
      </c>
      <c r="S112" s="0" t="n">
        <f aca="false">YEAR(Q112)</f>
        <v>2017</v>
      </c>
      <c r="T112" s="0" t="n">
        <f aca="false">MONTH(Q112)</f>
        <v>8</v>
      </c>
    </row>
    <row r="113" customFormat="false" ht="14.25" hidden="true" customHeight="false" outlineLevel="0" collapsed="false">
      <c r="A113" s="0" t="n">
        <v>112</v>
      </c>
      <c r="B113" s="1" t="s">
        <v>329</v>
      </c>
      <c r="C113" s="1" t="s">
        <v>1479</v>
      </c>
      <c r="D113" s="1" t="s">
        <v>1496</v>
      </c>
      <c r="E113" s="0" t="s">
        <v>38</v>
      </c>
      <c r="F113" s="0" t="s">
        <v>48</v>
      </c>
      <c r="I113" s="6" t="n">
        <v>0.493055555555556</v>
      </c>
      <c r="J113" s="6" t="n">
        <v>0.493055555555556</v>
      </c>
      <c r="L113" s="0" t="n">
        <v>50</v>
      </c>
      <c r="M113" s="0" t="s">
        <v>3700</v>
      </c>
      <c r="N113" s="0" t="s">
        <v>3701</v>
      </c>
      <c r="P113" s="0" t="s">
        <v>3702</v>
      </c>
      <c r="Q113" s="2" t="n">
        <v>42951</v>
      </c>
      <c r="S113" s="0" t="n">
        <f aca="false">YEAR(Q113)</f>
        <v>2017</v>
      </c>
      <c r="T113" s="0" t="n">
        <f aca="false">MONTH(Q113)</f>
        <v>8</v>
      </c>
    </row>
    <row r="114" customFormat="false" ht="42.75" hidden="true" customHeight="false" outlineLevel="0" collapsed="false">
      <c r="A114" s="0" t="n">
        <v>113</v>
      </c>
      <c r="B114" s="1" t="s">
        <v>329</v>
      </c>
      <c r="C114" s="1" t="s">
        <v>1479</v>
      </c>
      <c r="D114" s="1" t="s">
        <v>1496</v>
      </c>
      <c r="E114" s="0" t="s">
        <v>38</v>
      </c>
      <c r="F114" s="0" t="s">
        <v>49</v>
      </c>
      <c r="G114" s="0" t="s">
        <v>3703</v>
      </c>
      <c r="I114" s="6" t="n">
        <v>0.75</v>
      </c>
      <c r="J114" s="6" t="n">
        <v>0.75</v>
      </c>
      <c r="K114" s="0" t="n">
        <v>0</v>
      </c>
      <c r="M114" s="0" t="s">
        <v>3704</v>
      </c>
      <c r="N114" s="0" t="s">
        <v>3705</v>
      </c>
      <c r="P114" s="7" t="s">
        <v>3706</v>
      </c>
      <c r="Q114" s="2" t="n">
        <v>42951</v>
      </c>
      <c r="S114" s="0" t="n">
        <f aca="false">YEAR(Q114)</f>
        <v>2017</v>
      </c>
      <c r="T114" s="0" t="n">
        <f aca="false">MONTH(Q114)</f>
        <v>8</v>
      </c>
    </row>
    <row r="115" customFormat="false" ht="14.25" hidden="true" customHeight="false" outlineLevel="0" collapsed="false">
      <c r="A115" s="0" t="n">
        <v>114</v>
      </c>
      <c r="B115" s="1" t="s">
        <v>329</v>
      </c>
      <c r="C115" s="1" t="s">
        <v>1479</v>
      </c>
      <c r="D115" s="1" t="s">
        <v>1487</v>
      </c>
      <c r="E115" s="0" t="s">
        <v>1488</v>
      </c>
      <c r="F115" s="0" t="s">
        <v>49</v>
      </c>
      <c r="G115" s="0" t="s">
        <v>3707</v>
      </c>
      <c r="I115" s="6" t="n">
        <v>0.878472222222222</v>
      </c>
      <c r="J115" s="6" t="n">
        <v>0.883333333333333</v>
      </c>
      <c r="M115" s="0" t="s">
        <v>3708</v>
      </c>
      <c r="N115" s="0" t="s">
        <v>3709</v>
      </c>
      <c r="P115" s="0" t="s">
        <v>3710</v>
      </c>
      <c r="Q115" s="2" t="n">
        <v>42951</v>
      </c>
      <c r="S115" s="0" t="n">
        <f aca="false">YEAR(Q115)</f>
        <v>2017</v>
      </c>
      <c r="T115" s="0" t="n">
        <f aca="false">MONTH(Q115)</f>
        <v>8</v>
      </c>
    </row>
    <row r="116" customFormat="false" ht="14.25" hidden="true" customHeight="false" outlineLevel="0" collapsed="false">
      <c r="A116" s="0" t="n">
        <v>115</v>
      </c>
      <c r="B116" s="1" t="s">
        <v>334</v>
      </c>
      <c r="C116" s="1" t="s">
        <v>1479</v>
      </c>
      <c r="D116" s="1" t="s">
        <v>1535</v>
      </c>
      <c r="E116" s="0" t="s">
        <v>39</v>
      </c>
      <c r="F116" s="0" t="s">
        <v>49</v>
      </c>
      <c r="G116" s="0" t="s">
        <v>3711</v>
      </c>
      <c r="I116" s="6" t="n">
        <v>0.550694444444444</v>
      </c>
      <c r="J116" s="6" t="n">
        <v>0.583333333333333</v>
      </c>
      <c r="K116" s="0" t="n">
        <v>0</v>
      </c>
      <c r="M116" s="0" t="s">
        <v>3712</v>
      </c>
      <c r="N116" s="0" t="s">
        <v>3713</v>
      </c>
      <c r="P116" s="0" t="s">
        <v>3714</v>
      </c>
      <c r="Q116" s="2" t="n">
        <v>42952</v>
      </c>
      <c r="S116" s="0" t="n">
        <f aca="false">YEAR(Q116)</f>
        <v>2017</v>
      </c>
      <c r="T116" s="0" t="n">
        <f aca="false">MONTH(Q116)</f>
        <v>8</v>
      </c>
    </row>
    <row r="117" customFormat="false" ht="14.25" hidden="true" customHeight="false" outlineLevel="0" collapsed="false">
      <c r="A117" s="0" t="n">
        <v>116</v>
      </c>
      <c r="B117" s="1" t="s">
        <v>338</v>
      </c>
      <c r="C117" s="1" t="s">
        <v>1503</v>
      </c>
      <c r="D117" s="1" t="s">
        <v>1535</v>
      </c>
      <c r="E117" s="0" t="s">
        <v>44</v>
      </c>
      <c r="F117" s="0" t="s">
        <v>48</v>
      </c>
      <c r="G117" s="0" t="s">
        <v>3715</v>
      </c>
      <c r="J117" s="6" t="n">
        <v>0.395833333333333</v>
      </c>
      <c r="L117" s="0" t="n">
        <v>50</v>
      </c>
      <c r="M117" s="0" t="s">
        <v>3716</v>
      </c>
      <c r="N117" s="0" t="s">
        <v>3717</v>
      </c>
      <c r="P117" s="0" t="s">
        <v>3718</v>
      </c>
      <c r="Q117" s="2" t="n">
        <v>42954</v>
      </c>
      <c r="S117" s="0" t="n">
        <f aca="false">YEAR(Q117)</f>
        <v>2017</v>
      </c>
      <c r="T117" s="0" t="n">
        <f aca="false">MONTH(Q117)</f>
        <v>8</v>
      </c>
    </row>
    <row r="118" customFormat="false" ht="14.25" hidden="true" customHeight="false" outlineLevel="0" collapsed="false">
      <c r="A118" s="0" t="n">
        <v>117</v>
      </c>
      <c r="B118" s="1" t="s">
        <v>343</v>
      </c>
      <c r="C118" s="1" t="s">
        <v>1503</v>
      </c>
      <c r="D118" s="1" t="s">
        <v>1504</v>
      </c>
      <c r="E118" s="0" t="s">
        <v>45</v>
      </c>
      <c r="F118" s="0" t="s">
        <v>48</v>
      </c>
      <c r="G118" s="0" t="s">
        <v>3719</v>
      </c>
      <c r="I118" s="6" t="n">
        <v>0.458333333333333</v>
      </c>
      <c r="J118" s="6" t="n">
        <v>0.489583333333333</v>
      </c>
      <c r="K118" s="0" t="n">
        <v>0</v>
      </c>
      <c r="M118" s="0" t="s">
        <v>3720</v>
      </c>
      <c r="N118" s="0" t="s">
        <v>3721</v>
      </c>
      <c r="P118" s="0" t="s">
        <v>3722</v>
      </c>
      <c r="Q118" s="2" t="n">
        <v>42955</v>
      </c>
      <c r="S118" s="0" t="n">
        <f aca="false">YEAR(Q118)</f>
        <v>2017</v>
      </c>
      <c r="T118" s="0" t="n">
        <f aca="false">MONTH(Q118)</f>
        <v>8</v>
      </c>
    </row>
    <row r="119" customFormat="false" ht="14.25" hidden="true" customHeight="false" outlineLevel="0" collapsed="false">
      <c r="A119" s="0" t="n">
        <v>118</v>
      </c>
      <c r="B119" s="1" t="s">
        <v>343</v>
      </c>
      <c r="C119" s="1" t="s">
        <v>1503</v>
      </c>
      <c r="D119" s="1" t="s">
        <v>1504</v>
      </c>
      <c r="E119" s="0" t="s">
        <v>45</v>
      </c>
      <c r="F119" s="0" t="s">
        <v>48</v>
      </c>
      <c r="G119" s="0" t="s">
        <v>3719</v>
      </c>
      <c r="I119" s="6" t="n">
        <v>0.524305555555556</v>
      </c>
      <c r="J119" s="6" t="n">
        <v>0.524305555555556</v>
      </c>
      <c r="L119" s="0" t="n">
        <v>180</v>
      </c>
      <c r="M119" s="0" t="s">
        <v>3723</v>
      </c>
      <c r="N119" s="0" t="s">
        <v>3724</v>
      </c>
      <c r="P119" s="0" t="s">
        <v>3725</v>
      </c>
      <c r="Q119" s="2" t="n">
        <v>42955</v>
      </c>
      <c r="S119" s="0" t="n">
        <f aca="false">YEAR(Q119)</f>
        <v>2017</v>
      </c>
      <c r="T119" s="0" t="n">
        <f aca="false">MONTH(Q119)</f>
        <v>8</v>
      </c>
    </row>
    <row r="120" customFormat="false" ht="14.25" hidden="true" customHeight="false" outlineLevel="0" collapsed="false">
      <c r="A120" s="0" t="n">
        <v>119</v>
      </c>
      <c r="B120" s="1" t="s">
        <v>343</v>
      </c>
      <c r="C120" s="1" t="s">
        <v>1479</v>
      </c>
      <c r="D120" s="1" t="s">
        <v>1487</v>
      </c>
      <c r="E120" s="0" t="s">
        <v>1488</v>
      </c>
      <c r="F120" s="0" t="s">
        <v>48</v>
      </c>
      <c r="G120" s="0" t="s">
        <v>3726</v>
      </c>
      <c r="I120" s="6" t="n">
        <v>0.5375</v>
      </c>
      <c r="J120" s="6" t="n">
        <v>0.555555555555556</v>
      </c>
      <c r="L120" s="0" t="n">
        <v>66</v>
      </c>
      <c r="M120" s="0" t="s">
        <v>3727</v>
      </c>
      <c r="N120" s="0" t="s">
        <v>3728</v>
      </c>
      <c r="P120" s="0" t="s">
        <v>3729</v>
      </c>
      <c r="Q120" s="2" t="n">
        <v>42955</v>
      </c>
      <c r="S120" s="0" t="n">
        <f aca="false">YEAR(Q120)</f>
        <v>2017</v>
      </c>
      <c r="T120" s="0" t="n">
        <f aca="false">MONTH(Q120)</f>
        <v>8</v>
      </c>
    </row>
    <row r="121" customFormat="false" ht="42.75" hidden="true" customHeight="false" outlineLevel="0" collapsed="false">
      <c r="A121" s="0" t="n">
        <v>120</v>
      </c>
      <c r="B121" s="1" t="s">
        <v>343</v>
      </c>
      <c r="C121" s="1" t="s">
        <v>1503</v>
      </c>
      <c r="D121" s="1" t="s">
        <v>2651</v>
      </c>
      <c r="E121" s="0" t="s">
        <v>3730</v>
      </c>
      <c r="F121" s="0" t="s">
        <v>49</v>
      </c>
      <c r="G121" s="0" t="s">
        <v>3731</v>
      </c>
      <c r="I121" s="6" t="n">
        <v>0.8125</v>
      </c>
      <c r="J121" s="6" t="n">
        <v>0.815972222222222</v>
      </c>
      <c r="K121" s="0" t="n">
        <v>0</v>
      </c>
      <c r="M121" s="0" t="s">
        <v>3732</v>
      </c>
      <c r="N121" s="0" t="s">
        <v>3733</v>
      </c>
      <c r="P121" s="7" t="s">
        <v>3734</v>
      </c>
      <c r="Q121" s="2" t="n">
        <v>42955</v>
      </c>
      <c r="S121" s="0" t="n">
        <f aca="false">YEAR(Q121)</f>
        <v>2017</v>
      </c>
      <c r="T121" s="0" t="n">
        <f aca="false">MONTH(Q121)</f>
        <v>8</v>
      </c>
    </row>
    <row r="122" customFormat="false" ht="14.25" hidden="true" customHeight="false" outlineLevel="0" collapsed="false">
      <c r="A122" s="0" t="n">
        <v>121</v>
      </c>
      <c r="B122" s="1" t="s">
        <v>345</v>
      </c>
      <c r="C122" s="1" t="s">
        <v>1495</v>
      </c>
      <c r="D122" s="1" t="s">
        <v>1535</v>
      </c>
      <c r="E122" s="0" t="s">
        <v>42</v>
      </c>
      <c r="F122" s="0" t="s">
        <v>48</v>
      </c>
      <c r="G122" s="0" t="s">
        <v>3735</v>
      </c>
      <c r="I122" s="6" t="n">
        <v>0.319444444444444</v>
      </c>
      <c r="J122" s="6" t="n">
        <v>0.333333333333333</v>
      </c>
      <c r="L122" s="0" t="n">
        <v>30</v>
      </c>
      <c r="M122" s="0" t="s">
        <v>3736</v>
      </c>
      <c r="N122" s="0" t="s">
        <v>3737</v>
      </c>
      <c r="P122" s="0" t="s">
        <v>3738</v>
      </c>
      <c r="Q122" s="2" t="n">
        <v>42956</v>
      </c>
      <c r="S122" s="0" t="n">
        <f aca="false">YEAR(Q122)</f>
        <v>2017</v>
      </c>
      <c r="T122" s="0" t="n">
        <f aca="false">MONTH(Q122)</f>
        <v>8</v>
      </c>
    </row>
    <row r="123" customFormat="false" ht="14.25" hidden="true" customHeight="false" outlineLevel="0" collapsed="false">
      <c r="A123" s="0" t="n">
        <v>122</v>
      </c>
      <c r="B123" s="1" t="s">
        <v>345</v>
      </c>
      <c r="C123" s="1" t="s">
        <v>1503</v>
      </c>
      <c r="D123" s="1" t="s">
        <v>1535</v>
      </c>
      <c r="E123" s="0" t="s">
        <v>44</v>
      </c>
      <c r="F123" s="0" t="s">
        <v>48</v>
      </c>
      <c r="G123" s="0" t="s">
        <v>3739</v>
      </c>
      <c r="I123" s="6" t="n">
        <v>0.291666666666667</v>
      </c>
      <c r="J123" s="6" t="n">
        <v>0.354166666666667</v>
      </c>
      <c r="L123" s="0" t="n">
        <v>60</v>
      </c>
      <c r="M123" s="0" t="s">
        <v>3740</v>
      </c>
      <c r="N123" s="0" t="s">
        <v>3741</v>
      </c>
      <c r="P123" s="0" t="s">
        <v>3742</v>
      </c>
      <c r="Q123" s="2" t="n">
        <v>42956</v>
      </c>
      <c r="S123" s="0" t="n">
        <f aca="false">YEAR(Q123)</f>
        <v>2017</v>
      </c>
      <c r="T123" s="0" t="n">
        <f aca="false">MONTH(Q123)</f>
        <v>8</v>
      </c>
    </row>
    <row r="124" customFormat="false" ht="42.75" hidden="true" customHeight="false" outlineLevel="0" collapsed="false">
      <c r="A124" s="0" t="n">
        <v>123</v>
      </c>
      <c r="B124" s="1" t="s">
        <v>351</v>
      </c>
      <c r="C124" s="1" t="s">
        <v>1479</v>
      </c>
      <c r="D124" s="1" t="s">
        <v>1487</v>
      </c>
      <c r="E124" s="0" t="s">
        <v>1488</v>
      </c>
      <c r="F124" s="0" t="s">
        <v>49</v>
      </c>
      <c r="G124" s="0" t="s">
        <v>3743</v>
      </c>
      <c r="J124" s="6" t="n">
        <v>0.621527777777778</v>
      </c>
      <c r="K124" s="0" t="n">
        <v>0</v>
      </c>
      <c r="L124" s="0" t="n">
        <v>20</v>
      </c>
      <c r="M124" s="0" t="s">
        <v>3744</v>
      </c>
      <c r="N124" s="0" t="s">
        <v>3745</v>
      </c>
      <c r="P124" s="7" t="s">
        <v>3746</v>
      </c>
      <c r="Q124" s="2" t="n">
        <v>42957</v>
      </c>
      <c r="S124" s="0" t="n">
        <f aca="false">YEAR(Q124)</f>
        <v>2017</v>
      </c>
      <c r="T124" s="0" t="n">
        <f aca="false">MONTH(Q124)</f>
        <v>8</v>
      </c>
    </row>
    <row r="125" customFormat="false" ht="42.75" hidden="true" customHeight="false" outlineLevel="0" collapsed="false">
      <c r="A125" s="0" t="n">
        <v>124</v>
      </c>
      <c r="B125" s="1" t="s">
        <v>351</v>
      </c>
      <c r="C125" s="1" t="s">
        <v>1479</v>
      </c>
      <c r="D125" s="1" t="s">
        <v>1487</v>
      </c>
      <c r="E125" s="4" t="s">
        <v>1488</v>
      </c>
      <c r="F125" s="0" t="s">
        <v>49</v>
      </c>
      <c r="G125" s="0" t="s">
        <v>3747</v>
      </c>
      <c r="I125" s="6" t="n">
        <v>0.676388888888889</v>
      </c>
      <c r="J125" s="6" t="n">
        <v>0.690972222222222</v>
      </c>
      <c r="K125" s="0" t="n">
        <v>30</v>
      </c>
      <c r="M125" s="7" t="s">
        <v>3748</v>
      </c>
      <c r="N125" s="7" t="s">
        <v>3749</v>
      </c>
      <c r="O125" s="7"/>
      <c r="P125" s="7" t="s">
        <v>3750</v>
      </c>
      <c r="Q125" s="2" t="n">
        <v>42957</v>
      </c>
      <c r="S125" s="0" t="n">
        <f aca="false">YEAR(Q125)</f>
        <v>2017</v>
      </c>
      <c r="T125" s="0" t="n">
        <f aca="false">MONTH(Q125)</f>
        <v>8</v>
      </c>
    </row>
    <row r="126" customFormat="false" ht="42.75" hidden="true" customHeight="false" outlineLevel="0" collapsed="false">
      <c r="A126" s="0" t="n">
        <v>125</v>
      </c>
      <c r="B126" s="1" t="s">
        <v>351</v>
      </c>
      <c r="C126" s="1" t="s">
        <v>1479</v>
      </c>
      <c r="D126" s="1" t="s">
        <v>1535</v>
      </c>
      <c r="E126" s="0" t="s">
        <v>39</v>
      </c>
      <c r="F126" s="0" t="s">
        <v>49</v>
      </c>
      <c r="G126" s="0" t="s">
        <v>3751</v>
      </c>
      <c r="J126" s="6" t="n">
        <v>0.791666666666667</v>
      </c>
      <c r="M126" s="0" t="s">
        <v>3752</v>
      </c>
      <c r="N126" s="7" t="s">
        <v>3753</v>
      </c>
      <c r="O126" s="7"/>
      <c r="P126" s="7" t="s">
        <v>3754</v>
      </c>
      <c r="Q126" s="2" t="n">
        <v>42957</v>
      </c>
      <c r="S126" s="0" t="n">
        <f aca="false">YEAR(Q126)</f>
        <v>2017</v>
      </c>
      <c r="T126" s="0" t="n">
        <f aca="false">MONTH(Q126)</f>
        <v>8</v>
      </c>
    </row>
    <row r="127" customFormat="false" ht="14.25" hidden="true" customHeight="false" outlineLevel="0" collapsed="false">
      <c r="A127" s="0" t="n">
        <v>126</v>
      </c>
      <c r="B127" s="1" t="s">
        <v>355</v>
      </c>
      <c r="C127" s="1" t="s">
        <v>1503</v>
      </c>
      <c r="D127" s="1" t="s">
        <v>1535</v>
      </c>
      <c r="E127" s="0" t="s">
        <v>44</v>
      </c>
      <c r="F127" s="0" t="s">
        <v>48</v>
      </c>
      <c r="G127" s="0" t="s">
        <v>3755</v>
      </c>
      <c r="J127" s="6" t="n">
        <v>0.416666666666667</v>
      </c>
      <c r="M127" s="0" t="s">
        <v>3756</v>
      </c>
      <c r="N127" s="0" t="s">
        <v>3757</v>
      </c>
      <c r="P127" s="0" t="s">
        <v>3758</v>
      </c>
      <c r="Q127" s="2" t="n">
        <v>42958</v>
      </c>
      <c r="S127" s="0" t="n">
        <f aca="false">YEAR(Q127)</f>
        <v>2017</v>
      </c>
      <c r="T127" s="0" t="n">
        <f aca="false">MONTH(Q127)</f>
        <v>8</v>
      </c>
    </row>
    <row r="128" customFormat="false" ht="14.25" hidden="true" customHeight="false" outlineLevel="0" collapsed="false">
      <c r="A128" s="0" t="n">
        <v>127</v>
      </c>
      <c r="B128" s="1" t="s">
        <v>357</v>
      </c>
      <c r="C128" s="1" t="s">
        <v>1479</v>
      </c>
      <c r="D128" s="1" t="s">
        <v>1487</v>
      </c>
      <c r="E128" s="0" t="s">
        <v>1488</v>
      </c>
      <c r="F128" s="0" t="s">
        <v>48</v>
      </c>
      <c r="G128" s="0" t="s">
        <v>3759</v>
      </c>
      <c r="I128" s="6" t="n">
        <v>0.388888888888889</v>
      </c>
      <c r="J128" s="6" t="n">
        <v>0.399305555555556</v>
      </c>
      <c r="L128" s="0" t="n">
        <v>72</v>
      </c>
      <c r="M128" s="0" t="s">
        <v>3760</v>
      </c>
      <c r="N128" s="0" t="s">
        <v>3761</v>
      </c>
      <c r="P128" s="0" t="s">
        <v>3762</v>
      </c>
      <c r="Q128" s="2" t="n">
        <v>42962</v>
      </c>
      <c r="S128" s="0" t="n">
        <f aca="false">YEAR(Q128)</f>
        <v>2017</v>
      </c>
      <c r="T128" s="0" t="n">
        <f aca="false">MONTH(Q128)</f>
        <v>8</v>
      </c>
    </row>
    <row r="129" customFormat="false" ht="14.25" hidden="true" customHeight="false" outlineLevel="0" collapsed="false">
      <c r="A129" s="0" t="n">
        <v>128</v>
      </c>
      <c r="B129" s="1" t="s">
        <v>357</v>
      </c>
      <c r="C129" s="1" t="s">
        <v>1479</v>
      </c>
      <c r="D129" s="1" t="s">
        <v>1535</v>
      </c>
      <c r="E129" s="0" t="s">
        <v>39</v>
      </c>
      <c r="F129" s="0" t="s">
        <v>49</v>
      </c>
      <c r="G129" s="0" t="s">
        <v>3763</v>
      </c>
      <c r="I129" s="6" t="n">
        <v>0.795138888888889</v>
      </c>
      <c r="J129" s="6" t="n">
        <v>0.800694444444444</v>
      </c>
      <c r="K129" s="0" t="n">
        <v>8</v>
      </c>
      <c r="L129" s="0" t="n">
        <v>13</v>
      </c>
      <c r="M129" s="0" t="s">
        <v>3764</v>
      </c>
      <c r="N129" s="0" t="s">
        <v>3765</v>
      </c>
      <c r="P129" s="0" t="s">
        <v>3766</v>
      </c>
      <c r="Q129" s="2" t="n">
        <v>42962</v>
      </c>
      <c r="S129" s="0" t="n">
        <f aca="false">YEAR(Q129)</f>
        <v>2017</v>
      </c>
      <c r="T129" s="0" t="n">
        <f aca="false">MONTH(Q129)</f>
        <v>8</v>
      </c>
    </row>
    <row r="130" customFormat="false" ht="42.75" hidden="true" customHeight="false" outlineLevel="0" collapsed="false">
      <c r="A130" s="0" t="n">
        <v>129</v>
      </c>
      <c r="B130" s="1" t="s">
        <v>357</v>
      </c>
      <c r="C130" s="1" t="s">
        <v>1479</v>
      </c>
      <c r="D130" s="1" t="s">
        <v>1496</v>
      </c>
      <c r="E130" s="0" t="s">
        <v>38</v>
      </c>
      <c r="F130" s="0" t="s">
        <v>49</v>
      </c>
      <c r="G130" s="0" t="s">
        <v>3767</v>
      </c>
      <c r="I130" s="6" t="n">
        <v>0.722222222222222</v>
      </c>
      <c r="J130" s="6" t="n">
        <v>0.8125</v>
      </c>
      <c r="M130" s="7" t="s">
        <v>3768</v>
      </c>
      <c r="N130" s="7" t="s">
        <v>3769</v>
      </c>
      <c r="O130" s="7"/>
      <c r="P130" s="7" t="s">
        <v>3770</v>
      </c>
      <c r="Q130" s="2" t="n">
        <v>42962</v>
      </c>
      <c r="S130" s="0" t="n">
        <f aca="false">YEAR(Q130)</f>
        <v>2017</v>
      </c>
      <c r="T130" s="0" t="n">
        <f aca="false">MONTH(Q130)</f>
        <v>8</v>
      </c>
    </row>
    <row r="131" customFormat="false" ht="14.25" hidden="true" customHeight="false" outlineLevel="0" collapsed="false">
      <c r="A131" s="0" t="n">
        <v>130</v>
      </c>
      <c r="B131" s="1" t="s">
        <v>357</v>
      </c>
      <c r="C131" s="1" t="s">
        <v>1479</v>
      </c>
      <c r="D131" s="1" t="s">
        <v>1487</v>
      </c>
      <c r="E131" s="0" t="s">
        <v>1488</v>
      </c>
      <c r="F131" s="0" t="s">
        <v>50</v>
      </c>
      <c r="G131" s="0" t="s">
        <v>3771</v>
      </c>
      <c r="I131" s="6" t="n">
        <v>0.986111111111111</v>
      </c>
      <c r="L131" s="0" t="n">
        <v>34</v>
      </c>
      <c r="M131" s="0" t="s">
        <v>3772</v>
      </c>
      <c r="N131" s="0" t="s">
        <v>3773</v>
      </c>
      <c r="P131" s="0" t="s">
        <v>3774</v>
      </c>
      <c r="Q131" s="2" t="n">
        <v>42962</v>
      </c>
      <c r="S131" s="0" t="n">
        <f aca="false">YEAR(Q131)</f>
        <v>2017</v>
      </c>
      <c r="T131" s="0" t="n">
        <f aca="false">MONTH(Q131)</f>
        <v>8</v>
      </c>
    </row>
    <row r="132" customFormat="false" ht="14.25" hidden="true" customHeight="false" outlineLevel="0" collapsed="false">
      <c r="A132" s="0" t="n">
        <v>131</v>
      </c>
      <c r="B132" s="1" t="s">
        <v>361</v>
      </c>
      <c r="C132" s="1" t="s">
        <v>1479</v>
      </c>
      <c r="D132" s="1" t="s">
        <v>1487</v>
      </c>
      <c r="E132" s="0" t="s">
        <v>1488</v>
      </c>
      <c r="F132" s="0" t="s">
        <v>48</v>
      </c>
      <c r="G132" s="0" t="s">
        <v>3775</v>
      </c>
      <c r="I132" s="6" t="n">
        <v>0.104166666666667</v>
      </c>
      <c r="J132" s="6" t="n">
        <v>0.232638888888889</v>
      </c>
      <c r="L132" s="0" t="n">
        <v>50</v>
      </c>
      <c r="M132" s="0" t="s">
        <v>3776</v>
      </c>
      <c r="N132" s="0" t="s">
        <v>3777</v>
      </c>
      <c r="P132" s="0" t="s">
        <v>3778</v>
      </c>
      <c r="Q132" s="2" t="n">
        <v>42961</v>
      </c>
      <c r="S132" s="0" t="n">
        <f aca="false">YEAR(Q132)</f>
        <v>2017</v>
      </c>
      <c r="T132" s="0" t="n">
        <f aca="false">MONTH(Q132)</f>
        <v>8</v>
      </c>
    </row>
    <row r="133" customFormat="false" ht="14.25" hidden="true" customHeight="false" outlineLevel="0" collapsed="false">
      <c r="A133" s="0" t="n">
        <v>132</v>
      </c>
      <c r="B133" s="1" t="s">
        <v>361</v>
      </c>
      <c r="C133" s="1" t="s">
        <v>1479</v>
      </c>
      <c r="D133" s="1" t="s">
        <v>1487</v>
      </c>
      <c r="E133" s="0" t="s">
        <v>1488</v>
      </c>
      <c r="F133" s="0" t="s">
        <v>48</v>
      </c>
      <c r="G133" s="0" t="s">
        <v>3779</v>
      </c>
      <c r="I133" s="6" t="n">
        <v>0.0972222222222222</v>
      </c>
      <c r="J133" s="6" t="n">
        <v>0.232638888888889</v>
      </c>
      <c r="L133" s="0" t="n">
        <v>150</v>
      </c>
      <c r="M133" s="0" t="s">
        <v>3780</v>
      </c>
      <c r="N133" s="0" t="s">
        <v>3781</v>
      </c>
      <c r="P133" s="0" t="s">
        <v>3782</v>
      </c>
      <c r="Q133" s="2" t="n">
        <v>42961</v>
      </c>
      <c r="S133" s="0" t="n">
        <f aca="false">YEAR(Q133)</f>
        <v>2017</v>
      </c>
      <c r="T133" s="0" t="n">
        <f aca="false">MONTH(Q133)</f>
        <v>8</v>
      </c>
    </row>
    <row r="134" customFormat="false" ht="14.25" hidden="true" customHeight="false" outlineLevel="0" collapsed="false">
      <c r="A134" s="0" t="n">
        <v>133</v>
      </c>
      <c r="B134" s="1" t="s">
        <v>361</v>
      </c>
      <c r="C134" s="1" t="s">
        <v>1479</v>
      </c>
      <c r="D134" s="1" t="s">
        <v>1487</v>
      </c>
      <c r="E134" s="0" t="s">
        <v>1488</v>
      </c>
      <c r="F134" s="0" t="s">
        <v>48</v>
      </c>
      <c r="G134" s="0" t="s">
        <v>3783</v>
      </c>
      <c r="I134" s="6" t="n">
        <v>0.291666666666667</v>
      </c>
      <c r="J134" s="6" t="n">
        <v>0.305555555555555</v>
      </c>
      <c r="L134" s="0" t="n">
        <v>85</v>
      </c>
      <c r="M134" s="0" t="s">
        <v>3784</v>
      </c>
      <c r="N134" s="0" t="s">
        <v>3785</v>
      </c>
      <c r="P134" s="0" t="s">
        <v>3786</v>
      </c>
      <c r="Q134" s="2" t="n">
        <v>42961</v>
      </c>
      <c r="S134" s="0" t="n">
        <f aca="false">YEAR(Q134)</f>
        <v>2017</v>
      </c>
      <c r="T134" s="0" t="n">
        <f aca="false">MONTH(Q134)</f>
        <v>8</v>
      </c>
    </row>
    <row r="135" customFormat="false" ht="14.25" hidden="true" customHeight="false" outlineLevel="0" collapsed="false">
      <c r="A135" s="0" t="n">
        <v>134</v>
      </c>
      <c r="B135" s="1" t="s">
        <v>361</v>
      </c>
      <c r="C135" s="1" t="s">
        <v>1503</v>
      </c>
      <c r="D135" s="1" t="s">
        <v>1504</v>
      </c>
      <c r="E135" s="0" t="s">
        <v>45</v>
      </c>
      <c r="F135" s="0" t="s">
        <v>48</v>
      </c>
      <c r="G135" s="0" t="s">
        <v>3787</v>
      </c>
      <c r="I135" s="6" t="n">
        <v>0.277777777777778</v>
      </c>
      <c r="J135" s="6" t="n">
        <v>0.284722222222222</v>
      </c>
      <c r="L135" s="0" t="n">
        <v>40</v>
      </c>
      <c r="M135" s="0" t="s">
        <v>3788</v>
      </c>
      <c r="N135" s="0" t="s">
        <v>3789</v>
      </c>
      <c r="P135" s="0" t="s">
        <v>3790</v>
      </c>
      <c r="Q135" s="2" t="n">
        <v>42961</v>
      </c>
      <c r="S135" s="0" t="n">
        <f aca="false">YEAR(Q135)</f>
        <v>2017</v>
      </c>
      <c r="T135" s="0" t="n">
        <f aca="false">MONTH(Q135)</f>
        <v>8</v>
      </c>
    </row>
    <row r="136" customFormat="false" ht="14.25" hidden="true" customHeight="false" outlineLevel="0" collapsed="false">
      <c r="A136" s="0" t="n">
        <v>135</v>
      </c>
      <c r="B136" s="1" t="s">
        <v>361</v>
      </c>
      <c r="C136" s="1" t="s">
        <v>1479</v>
      </c>
      <c r="D136" s="1" t="s">
        <v>1487</v>
      </c>
      <c r="E136" s="0" t="s">
        <v>1488</v>
      </c>
      <c r="F136" s="0" t="s">
        <v>49</v>
      </c>
      <c r="G136" s="0" t="s">
        <v>3791</v>
      </c>
      <c r="I136" s="6" t="n">
        <v>0.736111111111111</v>
      </c>
      <c r="J136" s="6" t="n">
        <v>0.739583333333333</v>
      </c>
      <c r="K136" s="0" t="n">
        <v>0</v>
      </c>
      <c r="L136" s="0" t="n">
        <v>9</v>
      </c>
      <c r="M136" s="0" t="s">
        <v>3792</v>
      </c>
      <c r="N136" s="0" t="s">
        <v>3793</v>
      </c>
      <c r="P136" s="0" t="s">
        <v>3794</v>
      </c>
      <c r="Q136" s="2" t="n">
        <v>42961</v>
      </c>
      <c r="S136" s="0" t="n">
        <f aca="false">YEAR(Q136)</f>
        <v>2017</v>
      </c>
      <c r="T136" s="0" t="n">
        <f aca="false">MONTH(Q136)</f>
        <v>8</v>
      </c>
    </row>
    <row r="137" customFormat="false" ht="14.25" hidden="true" customHeight="false" outlineLevel="0" collapsed="false">
      <c r="A137" s="0" t="n">
        <v>136</v>
      </c>
      <c r="B137" s="1" t="s">
        <v>361</v>
      </c>
      <c r="C137" s="1" t="s">
        <v>1479</v>
      </c>
      <c r="D137" s="1" t="s">
        <v>1487</v>
      </c>
      <c r="E137" s="4" t="s">
        <v>1488</v>
      </c>
      <c r="F137" s="0" t="s">
        <v>49</v>
      </c>
      <c r="G137" s="0" t="s">
        <v>3795</v>
      </c>
      <c r="I137" s="6" t="n">
        <v>0.864583333333333</v>
      </c>
      <c r="J137" s="6" t="n">
        <v>0.868055555555555</v>
      </c>
      <c r="K137" s="0" t="n">
        <v>20</v>
      </c>
      <c r="L137" s="0" t="n">
        <v>25</v>
      </c>
      <c r="M137" s="0" t="s">
        <v>3796</v>
      </c>
      <c r="N137" s="0" t="s">
        <v>3797</v>
      </c>
      <c r="P137" s="0" t="s">
        <v>3798</v>
      </c>
      <c r="Q137" s="2" t="n">
        <v>42961</v>
      </c>
      <c r="S137" s="0" t="n">
        <f aca="false">YEAR(Q137)</f>
        <v>2017</v>
      </c>
      <c r="T137" s="0" t="n">
        <f aca="false">MONTH(Q137)</f>
        <v>8</v>
      </c>
    </row>
    <row r="138" customFormat="false" ht="14.25" hidden="true" customHeight="false" outlineLevel="0" collapsed="false">
      <c r="A138" s="0" t="n">
        <v>137</v>
      </c>
      <c r="B138" s="1" t="s">
        <v>367</v>
      </c>
      <c r="C138" s="1" t="s">
        <v>1479</v>
      </c>
      <c r="D138" s="1" t="s">
        <v>1863</v>
      </c>
      <c r="E138" s="0" t="s">
        <v>3799</v>
      </c>
      <c r="F138" s="0" t="s">
        <v>48</v>
      </c>
      <c r="G138" s="0" t="s">
        <v>3800</v>
      </c>
      <c r="J138" s="6" t="n">
        <v>0.545138888888889</v>
      </c>
      <c r="L138" s="0" t="n">
        <v>70</v>
      </c>
      <c r="M138" s="0" t="s">
        <v>3801</v>
      </c>
      <c r="N138" s="0" t="s">
        <v>3802</v>
      </c>
      <c r="P138" s="0" t="s">
        <v>3803</v>
      </c>
      <c r="Q138" s="2" t="n">
        <v>42963</v>
      </c>
      <c r="S138" s="0" t="n">
        <f aca="false">YEAR(Q138)</f>
        <v>2017</v>
      </c>
      <c r="T138" s="0" t="n">
        <f aca="false">MONTH(Q138)</f>
        <v>8</v>
      </c>
    </row>
    <row r="139" customFormat="false" ht="14.25" hidden="true" customHeight="false" outlineLevel="0" collapsed="false">
      <c r="A139" s="0" t="n">
        <v>138</v>
      </c>
      <c r="B139" s="1" t="s">
        <v>367</v>
      </c>
      <c r="C139" s="1" t="s">
        <v>1479</v>
      </c>
      <c r="D139" s="1" t="s">
        <v>1496</v>
      </c>
      <c r="E139" s="0" t="s">
        <v>38</v>
      </c>
      <c r="F139" s="0" t="s">
        <v>48</v>
      </c>
      <c r="G139" s="0" t="s">
        <v>3804</v>
      </c>
      <c r="I139" s="6" t="n">
        <v>0.303472222222222</v>
      </c>
      <c r="K139" s="0" t="n">
        <v>17</v>
      </c>
      <c r="L139" s="0" t="n">
        <v>48</v>
      </c>
      <c r="M139" s="0" t="s">
        <v>3805</v>
      </c>
      <c r="Q139" s="2" t="n">
        <v>42963</v>
      </c>
      <c r="S139" s="0" t="n">
        <f aca="false">YEAR(Q139)</f>
        <v>2017</v>
      </c>
      <c r="T139" s="0" t="n">
        <f aca="false">MONTH(Q139)</f>
        <v>8</v>
      </c>
    </row>
    <row r="140" customFormat="false" ht="14.25" hidden="true" customHeight="false" outlineLevel="0" collapsed="false">
      <c r="A140" s="0" t="n">
        <v>139</v>
      </c>
      <c r="B140" s="1" t="s">
        <v>367</v>
      </c>
      <c r="C140" s="1" t="s">
        <v>1479</v>
      </c>
      <c r="D140" s="1" t="s">
        <v>1487</v>
      </c>
      <c r="E140" s="4" t="s">
        <v>1488</v>
      </c>
      <c r="F140" s="0" t="s">
        <v>49</v>
      </c>
      <c r="G140" s="0" t="s">
        <v>3806</v>
      </c>
      <c r="I140" s="6" t="n">
        <v>0.805555555555555</v>
      </c>
      <c r="J140" s="6" t="n">
        <v>0.806944444444444</v>
      </c>
      <c r="K140" s="0" t="n">
        <v>20</v>
      </c>
      <c r="L140" s="0" t="n">
        <v>31</v>
      </c>
      <c r="M140" s="0" t="s">
        <v>3807</v>
      </c>
      <c r="N140" s="0" t="s">
        <v>3808</v>
      </c>
      <c r="P140" s="0" t="s">
        <v>3809</v>
      </c>
      <c r="Q140" s="2" t="n">
        <v>42963</v>
      </c>
      <c r="S140" s="0" t="n">
        <f aca="false">YEAR(Q140)</f>
        <v>2017</v>
      </c>
      <c r="T140" s="0" t="n">
        <f aca="false">MONTH(Q140)</f>
        <v>8</v>
      </c>
    </row>
    <row r="141" customFormat="false" ht="14.25" hidden="true" customHeight="false" outlineLevel="0" collapsed="false">
      <c r="A141" s="0" t="n">
        <v>140</v>
      </c>
      <c r="B141" s="1" t="s">
        <v>367</v>
      </c>
      <c r="C141" s="1" t="s">
        <v>1479</v>
      </c>
      <c r="D141" s="1" t="s">
        <v>1496</v>
      </c>
      <c r="E141" s="0" t="s">
        <v>38</v>
      </c>
      <c r="F141" s="0" t="s">
        <v>49</v>
      </c>
      <c r="G141" s="0" t="s">
        <v>3810</v>
      </c>
      <c r="I141" s="6" t="n">
        <v>0.909722222222222</v>
      </c>
      <c r="J141" s="6" t="n">
        <v>0.923611111111111</v>
      </c>
      <c r="K141" s="0" t="n">
        <v>4</v>
      </c>
      <c r="M141" s="0" t="s">
        <v>3811</v>
      </c>
      <c r="N141" s="0" t="s">
        <v>3812</v>
      </c>
      <c r="P141" s="0" t="s">
        <v>3813</v>
      </c>
      <c r="Q141" s="2" t="n">
        <v>42963</v>
      </c>
      <c r="S141" s="0" t="n">
        <f aca="false">YEAR(Q141)</f>
        <v>2017</v>
      </c>
      <c r="T141" s="0" t="n">
        <f aca="false">MONTH(Q141)</f>
        <v>8</v>
      </c>
    </row>
    <row r="142" customFormat="false" ht="14.25" hidden="true" customHeight="false" outlineLevel="0" collapsed="false">
      <c r="A142" s="0" t="n">
        <v>141</v>
      </c>
      <c r="B142" s="1" t="s">
        <v>367</v>
      </c>
      <c r="C142" s="1" t="s">
        <v>1479</v>
      </c>
      <c r="D142" s="1" t="s">
        <v>1496</v>
      </c>
      <c r="E142" s="0" t="s">
        <v>38</v>
      </c>
      <c r="F142" s="0" t="s">
        <v>50</v>
      </c>
      <c r="G142" s="0" t="s">
        <v>3810</v>
      </c>
      <c r="I142" s="6" t="n">
        <v>0.184027777777778</v>
      </c>
      <c r="J142" s="6" t="n">
        <v>0.194444444444444</v>
      </c>
      <c r="L142" s="0" t="n">
        <v>20</v>
      </c>
      <c r="M142" s="0" t="s">
        <v>3811</v>
      </c>
      <c r="N142" s="0" t="s">
        <v>3814</v>
      </c>
      <c r="P142" s="0" t="s">
        <v>3815</v>
      </c>
      <c r="Q142" s="2" t="n">
        <v>42963</v>
      </c>
      <c r="S142" s="0" t="n">
        <f aca="false">YEAR(Q142)</f>
        <v>2017</v>
      </c>
      <c r="T142" s="0" t="n">
        <f aca="false">MONTH(Q142)</f>
        <v>8</v>
      </c>
    </row>
    <row r="143" customFormat="false" ht="14.25" hidden="true" customHeight="false" outlineLevel="0" collapsed="false">
      <c r="A143" s="0" t="n">
        <v>142</v>
      </c>
      <c r="B143" s="1" t="s">
        <v>372</v>
      </c>
      <c r="C143" s="1" t="s">
        <v>1479</v>
      </c>
      <c r="D143" s="1" t="s">
        <v>1480</v>
      </c>
      <c r="E143" s="0" t="s">
        <v>43</v>
      </c>
      <c r="F143" s="0" t="s">
        <v>48</v>
      </c>
      <c r="G143" s="0" t="s">
        <v>3816</v>
      </c>
      <c r="I143" s="6" t="n">
        <v>0.916666666666667</v>
      </c>
      <c r="M143" s="0" t="s">
        <v>3817</v>
      </c>
      <c r="N143" s="0" t="s">
        <v>3818</v>
      </c>
      <c r="P143" s="0" t="s">
        <v>3819</v>
      </c>
      <c r="Q143" s="2" t="n">
        <v>42965</v>
      </c>
      <c r="S143" s="0" t="n">
        <f aca="false">YEAR(Q143)</f>
        <v>2017</v>
      </c>
      <c r="T143" s="0" t="n">
        <f aca="false">MONTH(Q143)</f>
        <v>8</v>
      </c>
    </row>
    <row r="144" customFormat="false" ht="14.25" hidden="true" customHeight="false" outlineLevel="0" collapsed="false">
      <c r="A144" s="0" t="n">
        <v>143</v>
      </c>
      <c r="B144" s="1" t="s">
        <v>372</v>
      </c>
      <c r="C144" s="1" t="s">
        <v>1479</v>
      </c>
      <c r="D144" s="1" t="s">
        <v>1480</v>
      </c>
      <c r="E144" s="0" t="s">
        <v>43</v>
      </c>
      <c r="F144" s="0" t="s">
        <v>48</v>
      </c>
      <c r="G144" s="0" t="s">
        <v>3816</v>
      </c>
      <c r="I144" s="6" t="n">
        <v>0.375</v>
      </c>
      <c r="M144" s="0" t="s">
        <v>3820</v>
      </c>
      <c r="N144" s="0" t="s">
        <v>3821</v>
      </c>
      <c r="P144" s="0" t="s">
        <v>3822</v>
      </c>
      <c r="Q144" s="2" t="n">
        <v>42965</v>
      </c>
      <c r="S144" s="0" t="n">
        <f aca="false">YEAR(Q144)</f>
        <v>2017</v>
      </c>
      <c r="T144" s="0" t="n">
        <f aca="false">MONTH(Q144)</f>
        <v>8</v>
      </c>
    </row>
    <row r="145" customFormat="false" ht="42.75" hidden="true" customHeight="false" outlineLevel="0" collapsed="false">
      <c r="A145" s="0" t="n">
        <v>144</v>
      </c>
      <c r="B145" s="1" t="s">
        <v>372</v>
      </c>
      <c r="C145" s="1" t="s">
        <v>1479</v>
      </c>
      <c r="D145" s="1" t="s">
        <v>1487</v>
      </c>
      <c r="E145" s="0" t="s">
        <v>1488</v>
      </c>
      <c r="F145" s="0" t="s">
        <v>49</v>
      </c>
      <c r="G145" s="0" t="s">
        <v>3823</v>
      </c>
      <c r="I145" s="6" t="n">
        <v>0.625</v>
      </c>
      <c r="J145" s="6" t="n">
        <v>0.628472222222222</v>
      </c>
      <c r="L145" s="0" t="n">
        <v>10</v>
      </c>
      <c r="M145" s="0" t="s">
        <v>3824</v>
      </c>
      <c r="N145" s="0" t="s">
        <v>3825</v>
      </c>
      <c r="P145" s="7" t="s">
        <v>3826</v>
      </c>
      <c r="Q145" s="2" t="n">
        <v>42965</v>
      </c>
      <c r="S145" s="0" t="n">
        <f aca="false">YEAR(Q145)</f>
        <v>2017</v>
      </c>
      <c r="T145" s="0" t="n">
        <f aca="false">MONTH(Q145)</f>
        <v>8</v>
      </c>
    </row>
    <row r="146" customFormat="false" ht="14.25" hidden="true" customHeight="false" outlineLevel="0" collapsed="false">
      <c r="A146" s="0" t="n">
        <v>145</v>
      </c>
      <c r="B146" s="1" t="s">
        <v>372</v>
      </c>
      <c r="C146" s="1" t="s">
        <v>1479</v>
      </c>
      <c r="D146" s="1" t="s">
        <v>1496</v>
      </c>
      <c r="E146" s="0" t="s">
        <v>38</v>
      </c>
      <c r="F146" s="0" t="s">
        <v>49</v>
      </c>
      <c r="G146" s="0" t="s">
        <v>3827</v>
      </c>
      <c r="I146" s="6" t="n">
        <v>0.739583333333333</v>
      </c>
      <c r="J146" s="6" t="n">
        <v>0.741666666666667</v>
      </c>
      <c r="K146" s="0" t="n">
        <v>0</v>
      </c>
      <c r="L146" s="0" t="n">
        <v>12</v>
      </c>
      <c r="M146" s="0" t="s">
        <v>3828</v>
      </c>
      <c r="N146" s="0" t="s">
        <v>3829</v>
      </c>
      <c r="P146" s="0" t="s">
        <v>3830</v>
      </c>
      <c r="Q146" s="2" t="n">
        <v>42965</v>
      </c>
      <c r="S146" s="0" t="n">
        <f aca="false">YEAR(Q146)</f>
        <v>2017</v>
      </c>
      <c r="T146" s="0" t="n">
        <f aca="false">MONTH(Q146)</f>
        <v>8</v>
      </c>
    </row>
    <row r="147" customFormat="false" ht="14.25" hidden="true" customHeight="false" outlineLevel="0" collapsed="false">
      <c r="A147" s="0" t="n">
        <v>146</v>
      </c>
      <c r="B147" s="1" t="s">
        <v>372</v>
      </c>
      <c r="C147" s="1" t="s">
        <v>1479</v>
      </c>
      <c r="D147" s="1" t="s">
        <v>1480</v>
      </c>
      <c r="E147" s="0" t="s">
        <v>43</v>
      </c>
      <c r="F147" s="0" t="s">
        <v>49</v>
      </c>
      <c r="G147" s="0" t="s">
        <v>3831</v>
      </c>
      <c r="I147" s="6" t="n">
        <v>0.743055555555555</v>
      </c>
      <c r="J147" s="6" t="n">
        <v>0.75</v>
      </c>
      <c r="L147" s="0" t="n">
        <v>65</v>
      </c>
      <c r="M147" s="0" t="s">
        <v>3832</v>
      </c>
      <c r="N147" s="0" t="s">
        <v>3833</v>
      </c>
      <c r="P147" s="0" t="s">
        <v>3834</v>
      </c>
      <c r="Q147" s="2" t="n">
        <v>42965</v>
      </c>
      <c r="S147" s="0" t="n">
        <f aca="false">YEAR(Q147)</f>
        <v>2017</v>
      </c>
      <c r="T147" s="0" t="n">
        <f aca="false">MONTH(Q147)</f>
        <v>8</v>
      </c>
    </row>
    <row r="148" customFormat="false" ht="14.25" hidden="true" customHeight="false" outlineLevel="0" collapsed="false">
      <c r="A148" s="0" t="n">
        <v>147</v>
      </c>
      <c r="B148" s="1" t="s">
        <v>372</v>
      </c>
      <c r="C148" s="1" t="s">
        <v>1479</v>
      </c>
      <c r="D148" s="1" t="s">
        <v>1487</v>
      </c>
      <c r="E148" s="4" t="s">
        <v>1488</v>
      </c>
      <c r="F148" s="0" t="s">
        <v>49</v>
      </c>
      <c r="G148" s="0" t="s">
        <v>3835</v>
      </c>
      <c r="I148" s="6" t="n">
        <v>0.797222222222222</v>
      </c>
      <c r="J148" s="6" t="n">
        <v>0.798611111111111</v>
      </c>
      <c r="K148" s="0" t="n">
        <v>4</v>
      </c>
      <c r="L148" s="0" t="n">
        <v>14</v>
      </c>
      <c r="M148" s="0" t="s">
        <v>3836</v>
      </c>
      <c r="N148" s="0" t="s">
        <v>3837</v>
      </c>
      <c r="P148" s="0" t="s">
        <v>3838</v>
      </c>
      <c r="Q148" s="2" t="n">
        <v>42965</v>
      </c>
      <c r="S148" s="0" t="n">
        <f aca="false">YEAR(Q148)</f>
        <v>2017</v>
      </c>
      <c r="T148" s="0" t="n">
        <f aca="false">MONTH(Q148)</f>
        <v>8</v>
      </c>
    </row>
    <row r="149" customFormat="false" ht="14.25" hidden="true" customHeight="false" outlineLevel="0" collapsed="false">
      <c r="A149" s="0" t="n">
        <v>148</v>
      </c>
      <c r="B149" s="1" t="s">
        <v>372</v>
      </c>
      <c r="C149" s="1" t="s">
        <v>1503</v>
      </c>
      <c r="D149" s="1" t="s">
        <v>1535</v>
      </c>
      <c r="E149" s="0" t="s">
        <v>44</v>
      </c>
      <c r="F149" s="0" t="s">
        <v>49</v>
      </c>
      <c r="G149" s="0" t="s">
        <v>3839</v>
      </c>
      <c r="I149" s="6" t="n">
        <v>0.791666666666667</v>
      </c>
      <c r="J149" s="6" t="n">
        <v>0.833333333333333</v>
      </c>
      <c r="L149" s="0" t="n">
        <v>180</v>
      </c>
      <c r="M149" s="0" t="s">
        <v>3840</v>
      </c>
      <c r="N149" s="0" t="s">
        <v>3841</v>
      </c>
      <c r="P149" s="0" t="s">
        <v>3842</v>
      </c>
      <c r="Q149" s="2" t="n">
        <v>42965</v>
      </c>
      <c r="S149" s="0" t="n">
        <f aca="false">YEAR(Q149)</f>
        <v>2017</v>
      </c>
      <c r="T149" s="0" t="n">
        <f aca="false">MONTH(Q149)</f>
        <v>8</v>
      </c>
    </row>
    <row r="150" customFormat="false" ht="14.25" hidden="true" customHeight="false" outlineLevel="0" collapsed="false">
      <c r="A150" s="0" t="n">
        <v>149</v>
      </c>
      <c r="B150" s="1" t="s">
        <v>376</v>
      </c>
      <c r="C150" s="1" t="s">
        <v>1479</v>
      </c>
      <c r="D150" s="1" t="s">
        <v>1487</v>
      </c>
      <c r="E150" s="0" t="s">
        <v>1488</v>
      </c>
      <c r="F150" s="0" t="s">
        <v>48</v>
      </c>
      <c r="I150" s="6" t="n">
        <v>0.472222222222222</v>
      </c>
      <c r="J150" s="6" t="n">
        <v>0.482638888888889</v>
      </c>
      <c r="L150" s="0" t="n">
        <v>35</v>
      </c>
      <c r="M150" s="0" t="s">
        <v>3843</v>
      </c>
      <c r="N150" s="0" t="s">
        <v>3844</v>
      </c>
      <c r="P150" s="0" t="s">
        <v>3845</v>
      </c>
      <c r="Q150" s="2" t="n">
        <v>42966</v>
      </c>
      <c r="S150" s="0" t="n">
        <f aca="false">YEAR(Q150)</f>
        <v>2017</v>
      </c>
      <c r="T150" s="0" t="n">
        <f aca="false">MONTH(Q150)</f>
        <v>8</v>
      </c>
    </row>
    <row r="151" customFormat="false" ht="14.25" hidden="true" customHeight="false" outlineLevel="0" collapsed="false">
      <c r="A151" s="0" t="n">
        <v>150</v>
      </c>
      <c r="B151" s="1" t="s">
        <v>376</v>
      </c>
      <c r="C151" s="1" t="s">
        <v>1479</v>
      </c>
      <c r="D151" s="1" t="s">
        <v>1487</v>
      </c>
      <c r="E151" s="0" t="s">
        <v>1488</v>
      </c>
      <c r="F151" s="0" t="s">
        <v>49</v>
      </c>
      <c r="G151" s="0" t="s">
        <v>3846</v>
      </c>
      <c r="I151" s="6" t="n">
        <v>0.71875</v>
      </c>
      <c r="J151" s="6" t="n">
        <v>0.729166666666667</v>
      </c>
      <c r="K151" s="0" t="n">
        <v>0</v>
      </c>
      <c r="L151" s="0" t="n">
        <v>25</v>
      </c>
      <c r="M151" s="0" t="s">
        <v>3847</v>
      </c>
      <c r="N151" s="0" t="s">
        <v>3848</v>
      </c>
      <c r="P151" s="0" t="s">
        <v>3849</v>
      </c>
      <c r="Q151" s="2" t="n">
        <v>42966</v>
      </c>
      <c r="S151" s="0" t="n">
        <f aca="false">YEAR(Q151)</f>
        <v>2017</v>
      </c>
      <c r="T151" s="0" t="n">
        <f aca="false">MONTH(Q151)</f>
        <v>8</v>
      </c>
    </row>
    <row r="152" customFormat="false" ht="42.75" hidden="true" customHeight="false" outlineLevel="0" collapsed="false">
      <c r="A152" s="0" t="n">
        <v>151</v>
      </c>
      <c r="B152" s="1" t="s">
        <v>376</v>
      </c>
      <c r="C152" s="1" t="s">
        <v>1479</v>
      </c>
      <c r="D152" s="1" t="s">
        <v>1487</v>
      </c>
      <c r="E152" s="0" t="s">
        <v>1488</v>
      </c>
      <c r="F152" s="0" t="s">
        <v>49</v>
      </c>
      <c r="G152" s="0" t="s">
        <v>3743</v>
      </c>
      <c r="J152" s="6" t="n">
        <v>0.621527777777778</v>
      </c>
      <c r="K152" s="0" t="n">
        <v>0</v>
      </c>
      <c r="L152" s="0" t="n">
        <v>20</v>
      </c>
      <c r="M152" s="0" t="s">
        <v>3744</v>
      </c>
      <c r="N152" s="0" t="s">
        <v>3745</v>
      </c>
      <c r="P152" s="7" t="s">
        <v>3746</v>
      </c>
      <c r="Q152" s="2" t="n">
        <v>42966</v>
      </c>
      <c r="S152" s="0" t="n">
        <f aca="false">YEAR(Q152)</f>
        <v>2017</v>
      </c>
      <c r="T152" s="0" t="n">
        <f aca="false">MONTH(Q152)</f>
        <v>8</v>
      </c>
    </row>
    <row r="153" customFormat="false" ht="14.25" hidden="true" customHeight="false" outlineLevel="0" collapsed="false">
      <c r="A153" s="0" t="n">
        <v>152</v>
      </c>
      <c r="B153" s="1" t="s">
        <v>178</v>
      </c>
      <c r="C153" s="1" t="s">
        <v>1479</v>
      </c>
      <c r="D153" s="1" t="s">
        <v>1487</v>
      </c>
      <c r="E153" s="0" t="s">
        <v>1488</v>
      </c>
      <c r="F153" s="0" t="s">
        <v>49</v>
      </c>
      <c r="G153" s="0" t="s">
        <v>3850</v>
      </c>
      <c r="I153" s="6" t="n">
        <v>0.947916666666667</v>
      </c>
      <c r="J153" s="6" t="n">
        <v>0.951388888888889</v>
      </c>
      <c r="K153" s="0" t="n">
        <v>0</v>
      </c>
      <c r="L153" s="0" t="n">
        <v>20</v>
      </c>
      <c r="M153" s="0" t="s">
        <v>3851</v>
      </c>
      <c r="N153" s="0" t="s">
        <v>3852</v>
      </c>
      <c r="P153" s="7" t="s">
        <v>3853</v>
      </c>
      <c r="Q153" s="2" t="n">
        <v>42906</v>
      </c>
      <c r="S153" s="0" t="n">
        <f aca="false">YEAR(Q153)</f>
        <v>2017</v>
      </c>
      <c r="T153" s="0" t="n">
        <f aca="false">MONTH(Q153)</f>
        <v>6</v>
      </c>
    </row>
    <row r="154" customFormat="false" ht="57" hidden="true" customHeight="false" outlineLevel="0" collapsed="false">
      <c r="A154" s="0" t="n">
        <v>153</v>
      </c>
      <c r="B154" s="1" t="s">
        <v>178</v>
      </c>
      <c r="C154" s="1" t="s">
        <v>1479</v>
      </c>
      <c r="D154" s="1" t="s">
        <v>1487</v>
      </c>
      <c r="E154" s="4" t="s">
        <v>1488</v>
      </c>
      <c r="F154" s="0" t="s">
        <v>49</v>
      </c>
      <c r="G154" s="0" t="s">
        <v>3850</v>
      </c>
      <c r="I154" s="6" t="n">
        <v>0.798611111111111</v>
      </c>
      <c r="J154" s="6" t="n">
        <v>0.8125</v>
      </c>
      <c r="K154" s="0" t="n">
        <v>8</v>
      </c>
      <c r="L154" s="0" t="n">
        <v>80</v>
      </c>
      <c r="M154" s="0" t="s">
        <v>3854</v>
      </c>
      <c r="N154" s="0" t="s">
        <v>3855</v>
      </c>
      <c r="P154" s="7" t="s">
        <v>3856</v>
      </c>
      <c r="Q154" s="2" t="n">
        <v>42906</v>
      </c>
      <c r="S154" s="0" t="n">
        <f aca="false">YEAR(Q154)</f>
        <v>2017</v>
      </c>
      <c r="T154" s="0" t="n">
        <f aca="false">MONTH(Q154)</f>
        <v>6</v>
      </c>
    </row>
    <row r="155" customFormat="false" ht="14.25" hidden="true" customHeight="false" outlineLevel="0" collapsed="false">
      <c r="A155" s="0" t="n">
        <v>154</v>
      </c>
      <c r="B155" s="1" t="s">
        <v>178</v>
      </c>
      <c r="C155" s="1" t="s">
        <v>1495</v>
      </c>
      <c r="D155" s="1" t="s">
        <v>1496</v>
      </c>
      <c r="E155" s="0" t="s">
        <v>41</v>
      </c>
      <c r="F155" s="0" t="s">
        <v>48</v>
      </c>
      <c r="G155" s="0" t="s">
        <v>3857</v>
      </c>
      <c r="J155" s="6" t="n">
        <v>0.333333333333333</v>
      </c>
      <c r="K155" s="0" t="n">
        <v>0</v>
      </c>
      <c r="M155" s="0" t="s">
        <v>3858</v>
      </c>
      <c r="N155" s="0" t="s">
        <v>3859</v>
      </c>
      <c r="P155" s="0" t="s">
        <v>3860</v>
      </c>
      <c r="Q155" s="2" t="n">
        <v>42906</v>
      </c>
      <c r="S155" s="0" t="n">
        <f aca="false">YEAR(Q155)</f>
        <v>2017</v>
      </c>
      <c r="T155" s="0" t="n">
        <f aca="false">MONTH(Q155)</f>
        <v>6</v>
      </c>
    </row>
    <row r="156" customFormat="false" ht="14.25" hidden="true" customHeight="false" outlineLevel="0" collapsed="false">
      <c r="A156" s="0" t="n">
        <v>155</v>
      </c>
      <c r="B156" s="1" t="s">
        <v>380</v>
      </c>
      <c r="C156" s="1" t="s">
        <v>1495</v>
      </c>
      <c r="D156" s="1" t="s">
        <v>1487</v>
      </c>
      <c r="E156" s="0" t="s">
        <v>40</v>
      </c>
      <c r="F156" s="0" t="s">
        <v>48</v>
      </c>
      <c r="G156" s="0" t="s">
        <v>3861</v>
      </c>
      <c r="I156" s="6" t="n">
        <v>0.243055555555556</v>
      </c>
      <c r="J156" s="6" t="n">
        <v>0.270833333333333</v>
      </c>
      <c r="L156" s="0" t="n">
        <v>40</v>
      </c>
      <c r="M156" s="0" t="s">
        <v>3862</v>
      </c>
      <c r="N156" s="0" t="s">
        <v>3863</v>
      </c>
      <c r="P156" s="0" t="s">
        <v>3864</v>
      </c>
      <c r="Q156" s="2" t="n">
        <v>42968</v>
      </c>
      <c r="S156" s="0" t="n">
        <f aca="false">YEAR(Q156)</f>
        <v>2017</v>
      </c>
      <c r="T156" s="0" t="n">
        <f aca="false">MONTH(Q156)</f>
        <v>8</v>
      </c>
    </row>
    <row r="157" customFormat="false" ht="14.25" hidden="true" customHeight="false" outlineLevel="0" collapsed="false">
      <c r="A157" s="0" t="n">
        <v>156</v>
      </c>
      <c r="B157" s="1" t="s">
        <v>380</v>
      </c>
      <c r="C157" s="1" t="s">
        <v>1503</v>
      </c>
      <c r="D157" s="1" t="s">
        <v>1535</v>
      </c>
      <c r="E157" s="0" t="s">
        <v>44</v>
      </c>
      <c r="F157" s="0" t="s">
        <v>48</v>
      </c>
      <c r="G157" s="0" t="s">
        <v>3865</v>
      </c>
      <c r="J157" s="6" t="n">
        <v>0.357638888888889</v>
      </c>
      <c r="M157" s="0" t="s">
        <v>3866</v>
      </c>
      <c r="N157" s="0" t="s">
        <v>3867</v>
      </c>
      <c r="P157" s="0" t="s">
        <v>3868</v>
      </c>
      <c r="Q157" s="2" t="n">
        <v>42968</v>
      </c>
      <c r="S157" s="0" t="n">
        <f aca="false">YEAR(Q157)</f>
        <v>2017</v>
      </c>
      <c r="T157" s="0" t="n">
        <f aca="false">MONTH(Q157)</f>
        <v>8</v>
      </c>
    </row>
    <row r="158" customFormat="false" ht="14.25" hidden="true" customHeight="false" outlineLevel="0" collapsed="false">
      <c r="A158" s="0" t="n">
        <v>157</v>
      </c>
      <c r="B158" s="1" t="s">
        <v>380</v>
      </c>
      <c r="C158" s="1" t="s">
        <v>1503</v>
      </c>
      <c r="D158" s="1" t="s">
        <v>1535</v>
      </c>
      <c r="E158" s="0" t="s">
        <v>44</v>
      </c>
      <c r="F158" s="0" t="s">
        <v>48</v>
      </c>
      <c r="G158" s="0" t="s">
        <v>3869</v>
      </c>
      <c r="J158" s="6" t="n">
        <v>0.357638888888889</v>
      </c>
      <c r="M158" s="0" t="s">
        <v>3870</v>
      </c>
      <c r="N158" s="0" t="s">
        <v>3871</v>
      </c>
      <c r="P158" s="0" t="s">
        <v>3872</v>
      </c>
      <c r="Q158" s="2" t="n">
        <v>42968</v>
      </c>
      <c r="S158" s="0" t="n">
        <f aca="false">YEAR(Q158)</f>
        <v>2017</v>
      </c>
      <c r="T158" s="0" t="n">
        <f aca="false">MONTH(Q158)</f>
        <v>8</v>
      </c>
    </row>
    <row r="159" customFormat="false" ht="42.75" hidden="true" customHeight="false" outlineLevel="0" collapsed="false">
      <c r="A159" s="0" t="n">
        <v>158</v>
      </c>
      <c r="B159" s="1" t="s">
        <v>380</v>
      </c>
      <c r="C159" s="1" t="s">
        <v>1479</v>
      </c>
      <c r="D159" s="1" t="s">
        <v>1487</v>
      </c>
      <c r="E159" s="4" t="s">
        <v>1488</v>
      </c>
      <c r="F159" s="0" t="s">
        <v>49</v>
      </c>
      <c r="G159" s="0" t="s">
        <v>3873</v>
      </c>
      <c r="I159" s="6" t="n">
        <v>0.663194444444444</v>
      </c>
      <c r="J159" s="6" t="n">
        <v>0.680555555555555</v>
      </c>
      <c r="K159" s="0" t="n">
        <v>20</v>
      </c>
      <c r="L159" s="0" t="n">
        <v>40</v>
      </c>
      <c r="M159" s="0" t="s">
        <v>3874</v>
      </c>
      <c r="N159" s="0" t="s">
        <v>3875</v>
      </c>
      <c r="P159" s="7" t="s">
        <v>3876</v>
      </c>
      <c r="Q159" s="2" t="n">
        <v>42968</v>
      </c>
      <c r="S159" s="0" t="n">
        <f aca="false">YEAR(Q159)</f>
        <v>2017</v>
      </c>
      <c r="T159" s="0" t="n">
        <f aca="false">MONTH(Q159)</f>
        <v>8</v>
      </c>
    </row>
    <row r="160" customFormat="false" ht="14.25" hidden="true" customHeight="false" outlineLevel="0" collapsed="false">
      <c r="A160" s="0" t="n">
        <v>159</v>
      </c>
      <c r="B160" s="1" t="s">
        <v>380</v>
      </c>
      <c r="C160" s="1" t="s">
        <v>1479</v>
      </c>
      <c r="D160" s="1" t="s">
        <v>1487</v>
      </c>
      <c r="E160" s="4" t="s">
        <v>1488</v>
      </c>
      <c r="F160" s="0" t="s">
        <v>49</v>
      </c>
      <c r="G160" s="0" t="s">
        <v>3877</v>
      </c>
      <c r="I160" s="6" t="n">
        <v>0.651388888888889</v>
      </c>
      <c r="J160" s="6" t="n">
        <v>0.6875</v>
      </c>
      <c r="K160" s="0" t="n">
        <v>2</v>
      </c>
      <c r="M160" s="0" t="s">
        <v>3556</v>
      </c>
      <c r="N160" s="0" t="s">
        <v>3878</v>
      </c>
      <c r="P160" s="0" t="s">
        <v>3879</v>
      </c>
      <c r="Q160" s="2" t="n">
        <v>42968</v>
      </c>
      <c r="S160" s="0" t="n">
        <f aca="false">YEAR(Q160)</f>
        <v>2017</v>
      </c>
      <c r="T160" s="0" t="n">
        <f aca="false">MONTH(Q160)</f>
        <v>8</v>
      </c>
    </row>
    <row r="161" customFormat="false" ht="14.25" hidden="true" customHeight="false" outlineLevel="0" collapsed="false">
      <c r="A161" s="0" t="n">
        <v>160</v>
      </c>
      <c r="B161" s="1" t="s">
        <v>380</v>
      </c>
      <c r="C161" s="1" t="s">
        <v>1479</v>
      </c>
      <c r="D161" s="1" t="s">
        <v>1487</v>
      </c>
      <c r="E161" s="0" t="s">
        <v>1488</v>
      </c>
      <c r="F161" s="0" t="s">
        <v>49</v>
      </c>
      <c r="G161" s="0" t="s">
        <v>3880</v>
      </c>
      <c r="I161" s="6" t="n">
        <v>0.722916666666667</v>
      </c>
      <c r="J161" s="6" t="n">
        <v>0.729166666666667</v>
      </c>
      <c r="L161" s="0" t="n">
        <v>38</v>
      </c>
      <c r="M161" s="0" t="s">
        <v>3881</v>
      </c>
      <c r="N161" s="0" t="s">
        <v>3882</v>
      </c>
      <c r="P161" s="0" t="s">
        <v>3883</v>
      </c>
      <c r="Q161" s="2" t="n">
        <v>42968</v>
      </c>
      <c r="S161" s="0" t="n">
        <f aca="false">YEAR(Q161)</f>
        <v>2017</v>
      </c>
      <c r="T161" s="0" t="n">
        <f aca="false">MONTH(Q161)</f>
        <v>8</v>
      </c>
    </row>
    <row r="162" customFormat="false" ht="42.75" hidden="true" customHeight="false" outlineLevel="0" collapsed="false">
      <c r="A162" s="0" t="n">
        <v>161</v>
      </c>
      <c r="B162" s="1" t="s">
        <v>380</v>
      </c>
      <c r="C162" s="1" t="s">
        <v>1479</v>
      </c>
      <c r="D162" s="1" t="s">
        <v>1487</v>
      </c>
      <c r="E162" s="0" t="s">
        <v>1488</v>
      </c>
      <c r="F162" s="0" t="s">
        <v>49</v>
      </c>
      <c r="G162" s="0" t="s">
        <v>3884</v>
      </c>
      <c r="I162" s="6" t="n">
        <v>0.75</v>
      </c>
      <c r="J162" s="6" t="n">
        <v>0.756944444444444</v>
      </c>
      <c r="K162" s="0" t="n">
        <v>0</v>
      </c>
      <c r="L162" s="0" t="n">
        <v>30</v>
      </c>
      <c r="M162" s="0" t="s">
        <v>3885</v>
      </c>
      <c r="N162" s="0" t="s">
        <v>3886</v>
      </c>
      <c r="P162" s="7" t="s">
        <v>3887</v>
      </c>
      <c r="Q162" s="2" t="n">
        <v>42968</v>
      </c>
      <c r="S162" s="0" t="n">
        <f aca="false">YEAR(Q162)</f>
        <v>2017</v>
      </c>
      <c r="T162" s="0" t="n">
        <f aca="false">MONTH(Q162)</f>
        <v>8</v>
      </c>
    </row>
    <row r="163" customFormat="false" ht="42.75" hidden="true" customHeight="false" outlineLevel="0" collapsed="false">
      <c r="A163" s="0" t="n">
        <v>162</v>
      </c>
      <c r="B163" s="1" t="s">
        <v>380</v>
      </c>
      <c r="C163" s="1" t="s">
        <v>1479</v>
      </c>
      <c r="D163" s="1" t="s">
        <v>1487</v>
      </c>
      <c r="E163" s="4" t="s">
        <v>1488</v>
      </c>
      <c r="F163" s="0" t="s">
        <v>49</v>
      </c>
      <c r="G163" s="0" t="s">
        <v>3888</v>
      </c>
      <c r="I163" s="6" t="n">
        <v>0.770833333333333</v>
      </c>
      <c r="K163" s="0" t="n">
        <v>10</v>
      </c>
      <c r="L163" s="0" t="n">
        <v>16</v>
      </c>
      <c r="M163" s="0" t="s">
        <v>3889</v>
      </c>
      <c r="N163" s="0" t="s">
        <v>3890</v>
      </c>
      <c r="P163" s="7" t="s">
        <v>3891</v>
      </c>
      <c r="Q163" s="2" t="n">
        <v>42968</v>
      </c>
      <c r="S163" s="0" t="n">
        <f aca="false">YEAR(Q163)</f>
        <v>2017</v>
      </c>
      <c r="T163" s="0" t="n">
        <f aca="false">MONTH(Q163)</f>
        <v>8</v>
      </c>
    </row>
    <row r="164" customFormat="false" ht="14.25" hidden="true" customHeight="false" outlineLevel="0" collapsed="false">
      <c r="A164" s="0" t="n">
        <v>163</v>
      </c>
      <c r="B164" s="1" t="s">
        <v>385</v>
      </c>
      <c r="C164" s="1" t="s">
        <v>1503</v>
      </c>
      <c r="D164" s="1" t="s">
        <v>1535</v>
      </c>
      <c r="E164" s="0" t="s">
        <v>44</v>
      </c>
      <c r="F164" s="0" t="s">
        <v>48</v>
      </c>
      <c r="G164" s="0" t="s">
        <v>3892</v>
      </c>
      <c r="J164" s="6" t="n">
        <v>0.263888888888889</v>
      </c>
      <c r="L164" s="0" t="n">
        <v>30</v>
      </c>
      <c r="M164" s="0" t="s">
        <v>3893</v>
      </c>
      <c r="N164" s="0" t="s">
        <v>3894</v>
      </c>
      <c r="P164" s="0" t="s">
        <v>3895</v>
      </c>
      <c r="Q164" s="2" t="n">
        <v>42969</v>
      </c>
      <c r="S164" s="0" t="n">
        <f aca="false">YEAR(Q164)</f>
        <v>2017</v>
      </c>
      <c r="T164" s="0" t="n">
        <f aca="false">MONTH(Q164)</f>
        <v>8</v>
      </c>
    </row>
    <row r="165" customFormat="false" ht="14.25" hidden="true" customHeight="false" outlineLevel="0" collapsed="false">
      <c r="A165" s="0" t="n">
        <v>164</v>
      </c>
      <c r="B165" s="1" t="s">
        <v>385</v>
      </c>
      <c r="C165" s="1" t="s">
        <v>1503</v>
      </c>
      <c r="D165" s="1" t="s">
        <v>1535</v>
      </c>
      <c r="E165" s="0" t="s">
        <v>44</v>
      </c>
      <c r="F165" s="0" t="s">
        <v>48</v>
      </c>
      <c r="G165" s="0" t="s">
        <v>3896</v>
      </c>
      <c r="J165" s="6" t="n">
        <v>0.361111111111111</v>
      </c>
      <c r="M165" s="0" t="s">
        <v>3897</v>
      </c>
      <c r="N165" s="0" t="s">
        <v>3898</v>
      </c>
      <c r="P165" s="0" t="s">
        <v>3899</v>
      </c>
      <c r="Q165" s="2" t="n">
        <v>42969</v>
      </c>
      <c r="S165" s="0" t="n">
        <f aca="false">YEAR(Q165)</f>
        <v>2017</v>
      </c>
      <c r="T165" s="0" t="n">
        <f aca="false">MONTH(Q165)</f>
        <v>8</v>
      </c>
    </row>
    <row r="166" customFormat="false" ht="14.25" hidden="true" customHeight="false" outlineLevel="0" collapsed="false">
      <c r="A166" s="0" t="n">
        <v>165</v>
      </c>
      <c r="B166" s="1" t="s">
        <v>385</v>
      </c>
      <c r="C166" s="1" t="s">
        <v>1479</v>
      </c>
      <c r="D166" s="1" t="s">
        <v>1496</v>
      </c>
      <c r="E166" s="0" t="s">
        <v>38</v>
      </c>
      <c r="F166" s="0" t="s">
        <v>48</v>
      </c>
      <c r="G166" s="0" t="s">
        <v>3900</v>
      </c>
      <c r="I166" s="6" t="n">
        <v>0.597222222222222</v>
      </c>
      <c r="J166" s="6" t="n">
        <v>0.609027777777778</v>
      </c>
      <c r="L166" s="0" t="n">
        <v>20</v>
      </c>
      <c r="M166" s="0" t="s">
        <v>3901</v>
      </c>
      <c r="N166" s="0" t="s">
        <v>3902</v>
      </c>
      <c r="P166" s="0" t="s">
        <v>3903</v>
      </c>
      <c r="Q166" s="2" t="n">
        <v>42969</v>
      </c>
      <c r="S166" s="0" t="n">
        <f aca="false">YEAR(Q166)</f>
        <v>2017</v>
      </c>
      <c r="T166" s="0" t="n">
        <f aca="false">MONTH(Q166)</f>
        <v>8</v>
      </c>
    </row>
    <row r="167" customFormat="false" ht="14.25" hidden="true" customHeight="false" outlineLevel="0" collapsed="false">
      <c r="A167" s="0" t="n">
        <v>166</v>
      </c>
      <c r="B167" s="1" t="s">
        <v>385</v>
      </c>
      <c r="C167" s="1" t="s">
        <v>1503</v>
      </c>
      <c r="D167" s="1" t="s">
        <v>1535</v>
      </c>
      <c r="E167" s="0" t="s">
        <v>44</v>
      </c>
      <c r="F167" s="0" t="s">
        <v>48</v>
      </c>
      <c r="G167" s="0" t="s">
        <v>3904</v>
      </c>
      <c r="J167" s="6" t="n">
        <v>0.648611111111111</v>
      </c>
      <c r="M167" s="0" t="s">
        <v>3905</v>
      </c>
      <c r="N167" s="0" t="s">
        <v>3906</v>
      </c>
      <c r="P167" s="0" t="s">
        <v>3907</v>
      </c>
      <c r="Q167" s="2" t="n">
        <v>42969</v>
      </c>
      <c r="S167" s="0" t="n">
        <f aca="false">YEAR(Q167)</f>
        <v>2017</v>
      </c>
      <c r="T167" s="0" t="n">
        <f aca="false">MONTH(Q167)</f>
        <v>8</v>
      </c>
    </row>
    <row r="168" customFormat="false" ht="14.25" hidden="true" customHeight="false" outlineLevel="0" collapsed="false">
      <c r="A168" s="0" t="n">
        <v>167</v>
      </c>
      <c r="B168" s="1" t="s">
        <v>385</v>
      </c>
      <c r="C168" s="1" t="s">
        <v>1479</v>
      </c>
      <c r="D168" s="1" t="s">
        <v>1535</v>
      </c>
      <c r="E168" s="0" t="s">
        <v>39</v>
      </c>
      <c r="F168" s="0" t="s">
        <v>49</v>
      </c>
      <c r="G168" s="0" t="s">
        <v>3908</v>
      </c>
      <c r="I168" s="6" t="n">
        <v>0.667361111111111</v>
      </c>
      <c r="J168" s="6" t="n">
        <v>0.680555555555555</v>
      </c>
      <c r="K168" s="0" t="n">
        <v>25</v>
      </c>
      <c r="L168" s="0" t="n">
        <v>36</v>
      </c>
      <c r="M168" s="0" t="s">
        <v>3909</v>
      </c>
      <c r="N168" s="0" t="s">
        <v>3910</v>
      </c>
      <c r="P168" s="0" t="s">
        <v>3911</v>
      </c>
      <c r="Q168" s="2" t="n">
        <v>42969</v>
      </c>
      <c r="S168" s="0" t="n">
        <f aca="false">YEAR(Q168)</f>
        <v>2017</v>
      </c>
      <c r="T168" s="0" t="n">
        <f aca="false">MONTH(Q168)</f>
        <v>8</v>
      </c>
    </row>
    <row r="169" customFormat="false" ht="42.75" hidden="true" customHeight="false" outlineLevel="0" collapsed="false">
      <c r="A169" s="0" t="n">
        <v>168</v>
      </c>
      <c r="B169" s="1" t="s">
        <v>389</v>
      </c>
      <c r="C169" s="1" t="s">
        <v>1479</v>
      </c>
      <c r="D169" s="1" t="s">
        <v>1487</v>
      </c>
      <c r="E169" s="4" t="s">
        <v>1488</v>
      </c>
      <c r="F169" s="0" t="s">
        <v>49</v>
      </c>
      <c r="G169" s="0" t="s">
        <v>3912</v>
      </c>
      <c r="I169" s="6" t="n">
        <v>0.708333333333333</v>
      </c>
      <c r="J169" s="6" t="n">
        <v>0.708333333333333</v>
      </c>
      <c r="K169" s="0" t="n">
        <v>10</v>
      </c>
      <c r="L169" s="0" t="n">
        <v>20</v>
      </c>
      <c r="M169" s="0" t="s">
        <v>3913</v>
      </c>
      <c r="N169" s="7" t="s">
        <v>3914</v>
      </c>
      <c r="O169" s="7"/>
      <c r="P169" s="0" t="s">
        <v>3915</v>
      </c>
      <c r="Q169" s="2" t="n">
        <v>42970</v>
      </c>
      <c r="S169" s="0" t="n">
        <f aca="false">YEAR(Q169)</f>
        <v>2017</v>
      </c>
      <c r="T169" s="0" t="n">
        <f aca="false">MONTH(Q169)</f>
        <v>8</v>
      </c>
    </row>
    <row r="170" customFormat="false" ht="14.25" hidden="true" customHeight="false" outlineLevel="0" collapsed="false">
      <c r="A170" s="0" t="n">
        <v>169</v>
      </c>
      <c r="B170" s="1" t="s">
        <v>392</v>
      </c>
      <c r="C170" s="1" t="s">
        <v>1479</v>
      </c>
      <c r="D170" s="1" t="s">
        <v>1487</v>
      </c>
      <c r="E170" s="0" t="s">
        <v>1488</v>
      </c>
      <c r="F170" s="0" t="s">
        <v>48</v>
      </c>
      <c r="G170" s="0" t="s">
        <v>3916</v>
      </c>
      <c r="I170" s="6" t="n">
        <v>0.376388888888889</v>
      </c>
      <c r="L170" s="0" t="n">
        <v>32</v>
      </c>
      <c r="M170" s="0" t="s">
        <v>3917</v>
      </c>
      <c r="N170" s="0" t="s">
        <v>3918</v>
      </c>
      <c r="P170" s="0" t="s">
        <v>3919</v>
      </c>
      <c r="Q170" s="2" t="n">
        <v>42971</v>
      </c>
      <c r="S170" s="0" t="n">
        <f aca="false">YEAR(Q170)</f>
        <v>2017</v>
      </c>
      <c r="T170" s="0" t="n">
        <f aca="false">MONTH(Q170)</f>
        <v>8</v>
      </c>
    </row>
    <row r="171" customFormat="false" ht="42.75" hidden="true" customHeight="false" outlineLevel="0" collapsed="false">
      <c r="A171" s="0" t="n">
        <v>170</v>
      </c>
      <c r="B171" s="1" t="s">
        <v>392</v>
      </c>
      <c r="C171" s="1" t="s">
        <v>1479</v>
      </c>
      <c r="D171" s="1" t="s">
        <v>1487</v>
      </c>
      <c r="E171" s="0" t="s">
        <v>1488</v>
      </c>
      <c r="F171" s="0" t="s">
        <v>49</v>
      </c>
      <c r="G171" s="0" t="s">
        <v>3920</v>
      </c>
      <c r="I171" s="6" t="n">
        <v>0.604166666666667</v>
      </c>
      <c r="L171" s="0" t="n">
        <v>40</v>
      </c>
      <c r="M171" s="0" t="s">
        <v>3921</v>
      </c>
      <c r="N171" s="0" t="s">
        <v>3922</v>
      </c>
      <c r="P171" s="7" t="s">
        <v>3923</v>
      </c>
      <c r="Q171" s="2" t="n">
        <v>42971</v>
      </c>
      <c r="S171" s="0" t="n">
        <f aca="false">YEAR(Q171)</f>
        <v>2017</v>
      </c>
      <c r="T171" s="0" t="n">
        <f aca="false">MONTH(Q171)</f>
        <v>8</v>
      </c>
    </row>
    <row r="172" customFormat="false" ht="14.25" hidden="true" customHeight="false" outlineLevel="0" collapsed="false">
      <c r="A172" s="0" t="n">
        <v>171</v>
      </c>
      <c r="B172" s="1" t="s">
        <v>392</v>
      </c>
      <c r="C172" s="1" t="s">
        <v>1503</v>
      </c>
      <c r="D172" s="1" t="s">
        <v>1504</v>
      </c>
      <c r="E172" s="0" t="s">
        <v>45</v>
      </c>
      <c r="F172" s="0" t="s">
        <v>49</v>
      </c>
      <c r="G172" s="0" t="s">
        <v>3924</v>
      </c>
      <c r="I172" s="6" t="n">
        <v>0.583333333333333</v>
      </c>
      <c r="J172" s="6" t="n">
        <v>0.645833333333333</v>
      </c>
      <c r="L172" s="0" t="n">
        <v>200</v>
      </c>
      <c r="M172" s="0" t="s">
        <v>3925</v>
      </c>
      <c r="N172" s="0" t="s">
        <v>3926</v>
      </c>
      <c r="P172" s="0" t="s">
        <v>3927</v>
      </c>
      <c r="Q172" s="2" t="n">
        <v>42971</v>
      </c>
      <c r="S172" s="0" t="n">
        <f aca="false">YEAR(Q172)</f>
        <v>2017</v>
      </c>
      <c r="T172" s="0" t="n">
        <f aca="false">MONTH(Q172)</f>
        <v>8</v>
      </c>
    </row>
    <row r="173" customFormat="false" ht="14.25" hidden="true" customHeight="false" outlineLevel="0" collapsed="false">
      <c r="A173" s="0" t="n">
        <v>172</v>
      </c>
      <c r="B173" s="1" t="s">
        <v>397</v>
      </c>
      <c r="C173" s="1" t="s">
        <v>1503</v>
      </c>
      <c r="D173" s="1" t="s">
        <v>1535</v>
      </c>
      <c r="E173" s="0" t="s">
        <v>44</v>
      </c>
      <c r="F173" s="0" t="s">
        <v>48</v>
      </c>
      <c r="G173" s="0" t="s">
        <v>3928</v>
      </c>
      <c r="J173" s="6" t="n">
        <v>0.5</v>
      </c>
      <c r="M173" s="0" t="s">
        <v>3929</v>
      </c>
      <c r="N173" s="0" t="s">
        <v>3930</v>
      </c>
      <c r="P173" s="0" t="s">
        <v>3931</v>
      </c>
      <c r="Q173" s="2" t="n">
        <v>42972</v>
      </c>
      <c r="S173" s="0" t="n">
        <f aca="false">YEAR(Q173)</f>
        <v>2017</v>
      </c>
      <c r="T173" s="0" t="n">
        <f aca="false">MONTH(Q173)</f>
        <v>8</v>
      </c>
    </row>
    <row r="174" customFormat="false" ht="14.25" hidden="true" customHeight="false" outlineLevel="0" collapsed="false">
      <c r="A174" s="0" t="n">
        <v>173</v>
      </c>
      <c r="B174" s="1" t="s">
        <v>397</v>
      </c>
      <c r="C174" s="1" t="s">
        <v>1479</v>
      </c>
      <c r="D174" s="1" t="s">
        <v>1487</v>
      </c>
      <c r="E174" s="4" t="s">
        <v>1488</v>
      </c>
      <c r="F174" s="0" t="s">
        <v>49</v>
      </c>
      <c r="G174" s="0" t="s">
        <v>3932</v>
      </c>
      <c r="I174" s="6" t="n">
        <v>0.653472222222222</v>
      </c>
      <c r="J174" s="6" t="n">
        <v>0.666666666666667</v>
      </c>
      <c r="K174" s="0" t="n">
        <v>20</v>
      </c>
      <c r="L174" s="0" t="n">
        <v>30</v>
      </c>
      <c r="M174" s="0" t="s">
        <v>3933</v>
      </c>
      <c r="N174" s="0" t="s">
        <v>3934</v>
      </c>
      <c r="P174" s="0" t="s">
        <v>3935</v>
      </c>
      <c r="Q174" s="2" t="n">
        <v>42972</v>
      </c>
      <c r="S174" s="0" t="n">
        <f aca="false">YEAR(Q174)</f>
        <v>2017</v>
      </c>
      <c r="T174" s="0" t="n">
        <f aca="false">MONTH(Q174)</f>
        <v>8</v>
      </c>
    </row>
    <row r="175" customFormat="false" ht="14.25" hidden="true" customHeight="false" outlineLevel="0" collapsed="false">
      <c r="A175" s="0" t="n">
        <v>174</v>
      </c>
      <c r="B175" s="1" t="s">
        <v>397</v>
      </c>
      <c r="C175" s="1" t="s">
        <v>1479</v>
      </c>
      <c r="D175" s="1" t="s">
        <v>1487</v>
      </c>
      <c r="E175" s="4" t="s">
        <v>1488</v>
      </c>
      <c r="F175" s="0" t="s">
        <v>49</v>
      </c>
      <c r="G175" s="0" t="s">
        <v>3936</v>
      </c>
      <c r="I175" s="6" t="n">
        <v>0.732638888888889</v>
      </c>
      <c r="J175" s="6" t="n">
        <v>0.736111111111111</v>
      </c>
      <c r="K175" s="0" t="n">
        <v>15</v>
      </c>
      <c r="L175" s="0" t="n">
        <v>32</v>
      </c>
      <c r="M175" s="0" t="s">
        <v>3937</v>
      </c>
      <c r="N175" s="0" t="s">
        <v>3938</v>
      </c>
      <c r="P175" s="0" t="s">
        <v>3939</v>
      </c>
      <c r="Q175" s="2" t="n">
        <v>42972</v>
      </c>
      <c r="S175" s="0" t="n">
        <f aca="false">YEAR(Q175)</f>
        <v>2017</v>
      </c>
      <c r="T175" s="0" t="n">
        <f aca="false">MONTH(Q175)</f>
        <v>8</v>
      </c>
    </row>
    <row r="176" customFormat="false" ht="14.25" hidden="true" customHeight="false" outlineLevel="0" collapsed="false">
      <c r="A176" s="0" t="n">
        <v>175</v>
      </c>
      <c r="B176" s="1" t="s">
        <v>397</v>
      </c>
      <c r="C176" s="1" t="s">
        <v>1479</v>
      </c>
      <c r="D176" s="1" t="s">
        <v>1487</v>
      </c>
      <c r="E176" s="4" t="s">
        <v>1488</v>
      </c>
      <c r="F176" s="0" t="s">
        <v>49</v>
      </c>
      <c r="G176" s="0" t="s">
        <v>3940</v>
      </c>
      <c r="I176" s="6" t="n">
        <v>0.783333333333333</v>
      </c>
      <c r="J176" s="6" t="n">
        <v>0.784722222222222</v>
      </c>
      <c r="K176" s="0" t="n">
        <v>10</v>
      </c>
      <c r="L176" s="0" t="n">
        <v>15</v>
      </c>
      <c r="M176" s="0" t="s">
        <v>3941</v>
      </c>
      <c r="N176" s="0" t="s">
        <v>3942</v>
      </c>
      <c r="P176" s="0" t="s">
        <v>3943</v>
      </c>
      <c r="Q176" s="2" t="n">
        <v>42972</v>
      </c>
      <c r="S176" s="0" t="n">
        <f aca="false">YEAR(Q176)</f>
        <v>2017</v>
      </c>
      <c r="T176" s="0" t="n">
        <f aca="false">MONTH(Q176)</f>
        <v>8</v>
      </c>
    </row>
    <row r="177" customFormat="false" ht="42.75" hidden="true" customHeight="false" outlineLevel="0" collapsed="false">
      <c r="A177" s="0" t="n">
        <v>176</v>
      </c>
      <c r="B177" s="1" t="s">
        <v>397</v>
      </c>
      <c r="C177" s="1" t="s">
        <v>1479</v>
      </c>
      <c r="D177" s="1" t="s">
        <v>1487</v>
      </c>
      <c r="E177" s="0" t="s">
        <v>1488</v>
      </c>
      <c r="F177" s="0" t="s">
        <v>49</v>
      </c>
      <c r="G177" s="0" t="s">
        <v>3944</v>
      </c>
      <c r="I177" s="6" t="n">
        <v>0.866666666666667</v>
      </c>
      <c r="L177" s="0" t="n">
        <v>28</v>
      </c>
      <c r="M177" s="7" t="s">
        <v>3945</v>
      </c>
      <c r="N177" s="0" t="s">
        <v>3946</v>
      </c>
      <c r="P177" s="0" t="s">
        <v>3947</v>
      </c>
      <c r="Q177" s="2" t="n">
        <v>42972</v>
      </c>
      <c r="S177" s="0" t="n">
        <f aca="false">YEAR(Q177)</f>
        <v>2017</v>
      </c>
      <c r="T177" s="0" t="n">
        <f aca="false">MONTH(Q177)</f>
        <v>8</v>
      </c>
    </row>
    <row r="178" customFormat="false" ht="14.25" hidden="true" customHeight="false" outlineLevel="0" collapsed="false">
      <c r="A178" s="0" t="n">
        <v>177</v>
      </c>
      <c r="B178" s="1" t="s">
        <v>402</v>
      </c>
      <c r="C178" s="1" t="s">
        <v>1479</v>
      </c>
      <c r="D178" s="1" t="s">
        <v>1535</v>
      </c>
      <c r="E178" s="0" t="s">
        <v>39</v>
      </c>
      <c r="F178" s="0" t="s">
        <v>48</v>
      </c>
      <c r="G178" s="0" t="s">
        <v>3948</v>
      </c>
      <c r="I178" s="6" t="n">
        <v>0.392361111111111</v>
      </c>
      <c r="K178" s="0" t="n">
        <v>15</v>
      </c>
      <c r="M178" s="0" t="s">
        <v>3949</v>
      </c>
      <c r="N178" s="0" t="s">
        <v>3950</v>
      </c>
      <c r="P178" s="0" t="s">
        <v>3951</v>
      </c>
      <c r="Q178" s="2" t="n">
        <v>42973</v>
      </c>
      <c r="S178" s="0" t="n">
        <f aca="false">YEAR(Q178)</f>
        <v>2017</v>
      </c>
      <c r="T178" s="0" t="n">
        <f aca="false">MONTH(Q178)</f>
        <v>8</v>
      </c>
    </row>
    <row r="179" customFormat="false" ht="14.25" hidden="true" customHeight="false" outlineLevel="0" collapsed="false">
      <c r="A179" s="0" t="n">
        <v>178</v>
      </c>
      <c r="B179" s="1" t="s">
        <v>402</v>
      </c>
      <c r="C179" s="1" t="s">
        <v>1479</v>
      </c>
      <c r="D179" s="1" t="s">
        <v>1487</v>
      </c>
      <c r="E179" s="0" t="s">
        <v>1488</v>
      </c>
      <c r="F179" s="0" t="s">
        <v>48</v>
      </c>
      <c r="G179" s="0" t="s">
        <v>3952</v>
      </c>
      <c r="J179" s="6" t="n">
        <v>0.274305555555555</v>
      </c>
      <c r="M179" s="0" t="s">
        <v>3953</v>
      </c>
      <c r="N179" s="0" t="s">
        <v>3954</v>
      </c>
      <c r="P179" s="0" t="s">
        <v>3955</v>
      </c>
      <c r="Q179" s="2" t="n">
        <v>42973</v>
      </c>
      <c r="S179" s="0" t="n">
        <f aca="false">YEAR(Q179)</f>
        <v>2017</v>
      </c>
      <c r="T179" s="0" t="n">
        <f aca="false">MONTH(Q179)</f>
        <v>8</v>
      </c>
    </row>
    <row r="180" customFormat="false" ht="14.25" hidden="true" customHeight="false" outlineLevel="0" collapsed="false">
      <c r="A180" s="0" t="n">
        <v>179</v>
      </c>
      <c r="B180" s="1" t="s">
        <v>402</v>
      </c>
      <c r="C180" s="1" t="s">
        <v>1479</v>
      </c>
      <c r="D180" s="1" t="s">
        <v>1487</v>
      </c>
      <c r="E180" s="4" t="s">
        <v>1488</v>
      </c>
      <c r="F180" s="0" t="s">
        <v>48</v>
      </c>
      <c r="G180" s="0" t="s">
        <v>3956</v>
      </c>
      <c r="K180" s="0" t="n">
        <v>33</v>
      </c>
      <c r="M180" s="0" t="s">
        <v>3957</v>
      </c>
      <c r="N180" s="0" t="s">
        <v>3958</v>
      </c>
      <c r="P180" s="0" t="s">
        <v>3959</v>
      </c>
      <c r="Q180" s="2" t="n">
        <v>42973</v>
      </c>
      <c r="S180" s="0" t="n">
        <f aca="false">YEAR(Q180)</f>
        <v>2017</v>
      </c>
      <c r="T180" s="0" t="n">
        <f aca="false">MONTH(Q180)</f>
        <v>8</v>
      </c>
    </row>
    <row r="181" customFormat="false" ht="42.75" hidden="true" customHeight="false" outlineLevel="0" collapsed="false">
      <c r="A181" s="0" t="n">
        <v>180</v>
      </c>
      <c r="B181" s="1" t="s">
        <v>402</v>
      </c>
      <c r="C181" s="1" t="s">
        <v>1479</v>
      </c>
      <c r="D181" s="1" t="s">
        <v>1496</v>
      </c>
      <c r="E181" s="0" t="s">
        <v>38</v>
      </c>
      <c r="F181" s="0" t="s">
        <v>49</v>
      </c>
      <c r="G181" s="0" t="s">
        <v>3960</v>
      </c>
      <c r="J181" s="6" t="n">
        <v>0.590277777777778</v>
      </c>
      <c r="K181" s="0" t="n">
        <v>0</v>
      </c>
      <c r="M181" s="0" t="s">
        <v>3961</v>
      </c>
      <c r="N181" s="0" t="s">
        <v>3962</v>
      </c>
      <c r="P181" s="7" t="s">
        <v>3963</v>
      </c>
      <c r="Q181" s="2" t="n">
        <v>42973</v>
      </c>
      <c r="S181" s="0" t="n">
        <f aca="false">YEAR(Q181)</f>
        <v>2017</v>
      </c>
      <c r="T181" s="0" t="n">
        <f aca="false">MONTH(Q181)</f>
        <v>8</v>
      </c>
    </row>
    <row r="182" customFormat="false" ht="14.25" hidden="true" customHeight="false" outlineLevel="0" collapsed="false">
      <c r="A182" s="0" t="n">
        <v>181</v>
      </c>
      <c r="B182" s="1" t="s">
        <v>402</v>
      </c>
      <c r="C182" s="1" t="s">
        <v>1479</v>
      </c>
      <c r="D182" s="1" t="s">
        <v>1487</v>
      </c>
      <c r="E182" s="0" t="s">
        <v>1488</v>
      </c>
      <c r="F182" s="0" t="s">
        <v>49</v>
      </c>
      <c r="G182" s="0" t="s">
        <v>3940</v>
      </c>
      <c r="I182" s="6" t="n">
        <v>0.618055555555556</v>
      </c>
      <c r="J182" s="6" t="n">
        <v>0.642361111111111</v>
      </c>
      <c r="L182" s="0" t="n">
        <v>41</v>
      </c>
      <c r="M182" s="0" t="s">
        <v>3964</v>
      </c>
      <c r="N182" s="0" t="s">
        <v>3965</v>
      </c>
      <c r="P182" s="0" t="s">
        <v>3966</v>
      </c>
      <c r="Q182" s="2" t="n">
        <v>42973</v>
      </c>
      <c r="S182" s="0" t="n">
        <f aca="false">YEAR(Q182)</f>
        <v>2017</v>
      </c>
      <c r="T182" s="0" t="n">
        <f aca="false">MONTH(Q182)</f>
        <v>8</v>
      </c>
    </row>
    <row r="183" customFormat="false" ht="42.75" hidden="true" customHeight="false" outlineLevel="0" collapsed="false">
      <c r="A183" s="0" t="n">
        <v>182</v>
      </c>
      <c r="B183" s="1" t="s">
        <v>402</v>
      </c>
      <c r="C183" s="1" t="s">
        <v>1479</v>
      </c>
      <c r="D183" s="1" t="s">
        <v>1487</v>
      </c>
      <c r="E183" s="0" t="s">
        <v>1488</v>
      </c>
      <c r="F183" s="0" t="s">
        <v>49</v>
      </c>
      <c r="G183" s="0" t="s">
        <v>3967</v>
      </c>
      <c r="I183" s="6" t="n">
        <v>0.645833333333333</v>
      </c>
      <c r="J183" s="6" t="n">
        <v>0.6875</v>
      </c>
      <c r="L183" s="0" t="n">
        <v>100</v>
      </c>
      <c r="M183" s="7" t="s">
        <v>3968</v>
      </c>
      <c r="N183" s="0" t="s">
        <v>3969</v>
      </c>
      <c r="P183" s="7" t="s">
        <v>3970</v>
      </c>
      <c r="Q183" s="2" t="n">
        <v>42973</v>
      </c>
      <c r="S183" s="0" t="n">
        <f aca="false">YEAR(Q183)</f>
        <v>2017</v>
      </c>
      <c r="T183" s="0" t="n">
        <f aca="false">MONTH(Q183)</f>
        <v>8</v>
      </c>
    </row>
    <row r="184" customFormat="false" ht="14.25" hidden="true" customHeight="false" outlineLevel="0" collapsed="false">
      <c r="A184" s="0" t="n">
        <v>183</v>
      </c>
      <c r="B184" s="1" t="s">
        <v>405</v>
      </c>
      <c r="C184" s="1" t="s">
        <v>1479</v>
      </c>
      <c r="D184" s="1" t="s">
        <v>1487</v>
      </c>
      <c r="E184" s="4" t="s">
        <v>1488</v>
      </c>
      <c r="F184" s="0" t="s">
        <v>48</v>
      </c>
      <c r="G184" s="0" t="s">
        <v>3952</v>
      </c>
      <c r="I184" s="6" t="n">
        <v>0.322222222222222</v>
      </c>
      <c r="J184" s="6" t="n">
        <v>0.326388888888889</v>
      </c>
      <c r="K184" s="0" t="n">
        <v>10</v>
      </c>
      <c r="L184" s="0" t="n">
        <v>15</v>
      </c>
      <c r="M184" s="0" t="s">
        <v>3971</v>
      </c>
      <c r="N184" s="0" t="s">
        <v>3972</v>
      </c>
      <c r="P184" s="0" t="s">
        <v>3973</v>
      </c>
      <c r="Q184" s="2" t="n">
        <v>42975</v>
      </c>
      <c r="S184" s="0" t="n">
        <f aca="false">YEAR(Q184)</f>
        <v>2017</v>
      </c>
      <c r="T184" s="0" t="n">
        <f aca="false">MONTH(Q184)</f>
        <v>8</v>
      </c>
    </row>
    <row r="185" customFormat="false" ht="14.25" hidden="true" customHeight="false" outlineLevel="0" collapsed="false">
      <c r="A185" s="0" t="n">
        <v>184</v>
      </c>
      <c r="B185" s="1" t="s">
        <v>405</v>
      </c>
      <c r="C185" s="1" t="s">
        <v>1479</v>
      </c>
      <c r="D185" s="1" t="s">
        <v>1487</v>
      </c>
      <c r="E185" s="4" t="s">
        <v>1488</v>
      </c>
      <c r="F185" s="0" t="s">
        <v>49</v>
      </c>
      <c r="G185" s="0" t="s">
        <v>3974</v>
      </c>
      <c r="I185" s="6" t="n">
        <v>0.625</v>
      </c>
      <c r="J185" s="6" t="n">
        <v>0.625</v>
      </c>
      <c r="K185" s="0" t="n">
        <v>17</v>
      </c>
      <c r="L185" s="0" t="n">
        <v>19</v>
      </c>
      <c r="M185" s="0" t="s">
        <v>3975</v>
      </c>
      <c r="N185" s="0" t="s">
        <v>3976</v>
      </c>
      <c r="P185" s="0" t="s">
        <v>3977</v>
      </c>
      <c r="Q185" s="2" t="n">
        <v>42975</v>
      </c>
      <c r="S185" s="0" t="n">
        <f aca="false">YEAR(Q185)</f>
        <v>2017</v>
      </c>
      <c r="T185" s="0" t="n">
        <f aca="false">MONTH(Q185)</f>
        <v>8</v>
      </c>
    </row>
    <row r="186" customFormat="false" ht="57" hidden="true" customHeight="false" outlineLevel="0" collapsed="false">
      <c r="A186" s="0" t="n">
        <v>185</v>
      </c>
      <c r="B186" s="1" t="s">
        <v>405</v>
      </c>
      <c r="C186" s="1" t="s">
        <v>1479</v>
      </c>
      <c r="D186" s="1" t="s">
        <v>1487</v>
      </c>
      <c r="E186" s="4" t="s">
        <v>1488</v>
      </c>
      <c r="F186" s="0" t="s">
        <v>49</v>
      </c>
      <c r="G186" s="0" t="s">
        <v>3978</v>
      </c>
      <c r="I186" s="6" t="n">
        <v>0.619444444444444</v>
      </c>
      <c r="J186" s="6" t="n">
        <v>0.629166666666667</v>
      </c>
      <c r="K186" s="0" t="n">
        <v>8</v>
      </c>
      <c r="L186" s="0" t="n">
        <v>23</v>
      </c>
      <c r="M186" s="0" t="s">
        <v>3979</v>
      </c>
      <c r="N186" s="0" t="s">
        <v>3980</v>
      </c>
      <c r="P186" s="7" t="s">
        <v>3981</v>
      </c>
      <c r="Q186" s="2" t="n">
        <v>42975</v>
      </c>
      <c r="S186" s="0" t="n">
        <f aca="false">YEAR(Q186)</f>
        <v>2017</v>
      </c>
      <c r="T186" s="0" t="n">
        <f aca="false">MONTH(Q186)</f>
        <v>8</v>
      </c>
    </row>
    <row r="187" customFormat="false" ht="14.25" hidden="true" customHeight="false" outlineLevel="0" collapsed="false">
      <c r="A187" s="0" t="n">
        <v>186</v>
      </c>
      <c r="B187" s="1" t="s">
        <v>405</v>
      </c>
      <c r="C187" s="1" t="s">
        <v>1479</v>
      </c>
      <c r="D187" s="1" t="s">
        <v>1496</v>
      </c>
      <c r="E187" s="0" t="s">
        <v>38</v>
      </c>
      <c r="F187" s="0" t="s">
        <v>49</v>
      </c>
      <c r="G187" s="0" t="s">
        <v>3982</v>
      </c>
      <c r="I187" s="6" t="n">
        <v>0.640972222222222</v>
      </c>
      <c r="J187" s="6" t="n">
        <v>0.652777777777778</v>
      </c>
      <c r="L187" s="0" t="n">
        <v>100</v>
      </c>
      <c r="M187" s="0" t="s">
        <v>3983</v>
      </c>
      <c r="N187" s="0" t="s">
        <v>3984</v>
      </c>
      <c r="P187" s="0" t="s">
        <v>3985</v>
      </c>
      <c r="Q187" s="2" t="n">
        <v>42975</v>
      </c>
      <c r="S187" s="0" t="n">
        <f aca="false">YEAR(Q187)</f>
        <v>2017</v>
      </c>
      <c r="T187" s="0" t="n">
        <f aca="false">MONTH(Q187)</f>
        <v>8</v>
      </c>
    </row>
    <row r="188" customFormat="false" ht="14.25" hidden="true" customHeight="false" outlineLevel="0" collapsed="false">
      <c r="A188" s="0" t="n">
        <v>187</v>
      </c>
      <c r="B188" s="1" t="s">
        <v>405</v>
      </c>
      <c r="C188" s="1" t="s">
        <v>1479</v>
      </c>
      <c r="D188" s="1" t="s">
        <v>1487</v>
      </c>
      <c r="E188" s="0" t="s">
        <v>1488</v>
      </c>
      <c r="F188" s="0" t="s">
        <v>49</v>
      </c>
      <c r="G188" s="0" t="s">
        <v>3986</v>
      </c>
      <c r="I188" s="6" t="n">
        <v>0.75</v>
      </c>
      <c r="J188" s="6" t="n">
        <v>0.753472222222222</v>
      </c>
      <c r="K188" s="0" t="n">
        <v>0</v>
      </c>
      <c r="L188" s="0" t="n">
        <v>15</v>
      </c>
      <c r="M188" s="0" t="s">
        <v>3987</v>
      </c>
      <c r="N188" s="0" t="s">
        <v>3988</v>
      </c>
      <c r="P188" s="0" t="s">
        <v>3989</v>
      </c>
      <c r="Q188" s="2" t="n">
        <v>42975</v>
      </c>
      <c r="S188" s="0" t="n">
        <f aca="false">YEAR(Q188)</f>
        <v>2017</v>
      </c>
      <c r="T188" s="0" t="n">
        <f aca="false">MONTH(Q188)</f>
        <v>8</v>
      </c>
    </row>
    <row r="189" customFormat="false" ht="42.75" hidden="true" customHeight="false" outlineLevel="0" collapsed="false">
      <c r="A189" s="0" t="n">
        <v>188</v>
      </c>
      <c r="B189" s="1" t="s">
        <v>405</v>
      </c>
      <c r="C189" s="1" t="s">
        <v>1479</v>
      </c>
      <c r="D189" s="1" t="s">
        <v>1487</v>
      </c>
      <c r="E189" s="4" t="s">
        <v>1488</v>
      </c>
      <c r="F189" s="0" t="s">
        <v>49</v>
      </c>
      <c r="G189" s="0" t="s">
        <v>3990</v>
      </c>
      <c r="I189" s="6" t="n">
        <v>0.763888888888889</v>
      </c>
      <c r="J189" s="6" t="n">
        <v>0.770833333333333</v>
      </c>
      <c r="K189" s="0" t="n">
        <v>10</v>
      </c>
      <c r="L189" s="0" t="n">
        <v>20</v>
      </c>
      <c r="M189" s="0" t="s">
        <v>3268</v>
      </c>
      <c r="N189" s="0" t="s">
        <v>3991</v>
      </c>
      <c r="P189" s="7" t="s">
        <v>3992</v>
      </c>
      <c r="Q189" s="2" t="n">
        <v>42975</v>
      </c>
      <c r="S189" s="0" t="n">
        <f aca="false">YEAR(Q189)</f>
        <v>2017</v>
      </c>
      <c r="T189" s="0" t="n">
        <f aca="false">MONTH(Q189)</f>
        <v>8</v>
      </c>
    </row>
    <row r="190" customFormat="false" ht="42.75" hidden="true" customHeight="false" outlineLevel="0" collapsed="false">
      <c r="A190" s="0" t="n">
        <v>189</v>
      </c>
      <c r="B190" s="1" t="s">
        <v>405</v>
      </c>
      <c r="C190" s="1" t="s">
        <v>1503</v>
      </c>
      <c r="D190" s="1" t="s">
        <v>1504</v>
      </c>
      <c r="E190" s="0" t="s">
        <v>45</v>
      </c>
      <c r="F190" s="0" t="s">
        <v>49</v>
      </c>
      <c r="G190" s="0" t="s">
        <v>3993</v>
      </c>
      <c r="J190" s="6" t="n">
        <v>0.895833333333333</v>
      </c>
      <c r="M190" s="0" t="s">
        <v>3994</v>
      </c>
      <c r="N190" s="0" t="s">
        <v>3995</v>
      </c>
      <c r="P190" s="7" t="s">
        <v>3996</v>
      </c>
      <c r="Q190" s="2" t="n">
        <v>42975</v>
      </c>
      <c r="S190" s="0" t="n">
        <f aca="false">YEAR(Q190)</f>
        <v>2017</v>
      </c>
      <c r="T190" s="0" t="n">
        <f aca="false">MONTH(Q190)</f>
        <v>8</v>
      </c>
    </row>
    <row r="191" customFormat="false" ht="14.25" hidden="true" customHeight="false" outlineLevel="0" collapsed="false">
      <c r="A191" s="0" t="n">
        <v>190</v>
      </c>
      <c r="B191" s="1" t="s">
        <v>408</v>
      </c>
      <c r="C191" s="1" t="s">
        <v>1495</v>
      </c>
      <c r="D191" s="1" t="s">
        <v>1535</v>
      </c>
      <c r="E191" s="0" t="s">
        <v>42</v>
      </c>
      <c r="F191" s="0" t="s">
        <v>48</v>
      </c>
      <c r="G191" s="0" t="s">
        <v>3997</v>
      </c>
      <c r="I191" s="6" t="n">
        <v>0.236111111111111</v>
      </c>
      <c r="J191" s="6" t="n">
        <v>0.25</v>
      </c>
      <c r="L191" s="0" t="n">
        <v>24</v>
      </c>
      <c r="M191" s="0" t="s">
        <v>3998</v>
      </c>
      <c r="N191" s="0" t="s">
        <v>3999</v>
      </c>
      <c r="P191" s="0" t="s">
        <v>4000</v>
      </c>
      <c r="Q191" s="2" t="n">
        <v>42976</v>
      </c>
      <c r="S191" s="0" t="n">
        <f aca="false">YEAR(Q191)</f>
        <v>2017</v>
      </c>
      <c r="T191" s="0" t="n">
        <f aca="false">MONTH(Q191)</f>
        <v>8</v>
      </c>
    </row>
    <row r="192" customFormat="false" ht="42.75" hidden="true" customHeight="false" outlineLevel="0" collapsed="false">
      <c r="A192" s="0" t="n">
        <v>191</v>
      </c>
      <c r="B192" s="1" t="s">
        <v>408</v>
      </c>
      <c r="C192" s="1" t="s">
        <v>1479</v>
      </c>
      <c r="D192" s="1" t="s">
        <v>1487</v>
      </c>
      <c r="E192" s="4" t="s">
        <v>1488</v>
      </c>
      <c r="F192" s="0" t="s">
        <v>49</v>
      </c>
      <c r="G192" s="0" t="s">
        <v>4001</v>
      </c>
      <c r="I192" s="6" t="n">
        <v>0.777777777777778</v>
      </c>
      <c r="J192" s="6" t="n">
        <v>0.782638888888889</v>
      </c>
      <c r="K192" s="0" t="n">
        <v>15</v>
      </c>
      <c r="L192" s="0" t="n">
        <v>22</v>
      </c>
      <c r="M192" s="0" t="s">
        <v>4002</v>
      </c>
      <c r="N192" s="0" t="s">
        <v>4003</v>
      </c>
      <c r="P192" s="7" t="s">
        <v>4004</v>
      </c>
      <c r="Q192" s="2" t="n">
        <v>42976</v>
      </c>
      <c r="S192" s="0" t="n">
        <f aca="false">YEAR(Q192)</f>
        <v>2017</v>
      </c>
      <c r="T192" s="0" t="n">
        <f aca="false">MONTH(Q192)</f>
        <v>8</v>
      </c>
    </row>
    <row r="193" customFormat="false" ht="14.25" hidden="true" customHeight="false" outlineLevel="0" collapsed="false">
      <c r="A193" s="0" t="n">
        <v>192</v>
      </c>
      <c r="B193" s="1" t="s">
        <v>408</v>
      </c>
      <c r="C193" s="1" t="s">
        <v>1479</v>
      </c>
      <c r="D193" s="1" t="s">
        <v>1487</v>
      </c>
      <c r="E193" s="0" t="s">
        <v>1488</v>
      </c>
      <c r="F193" s="0" t="s">
        <v>49</v>
      </c>
      <c r="G193" s="0" t="s">
        <v>4005</v>
      </c>
      <c r="I193" s="6" t="n">
        <v>0.96875</v>
      </c>
      <c r="J193" s="6" t="n">
        <v>0.975694444444444</v>
      </c>
      <c r="M193" s="0" t="s">
        <v>4006</v>
      </c>
      <c r="N193" s="0" t="s">
        <v>4007</v>
      </c>
      <c r="P193" s="0" t="s">
        <v>4008</v>
      </c>
      <c r="Q193" s="2" t="n">
        <v>42976</v>
      </c>
      <c r="S193" s="0" t="n">
        <f aca="false">YEAR(Q193)</f>
        <v>2017</v>
      </c>
      <c r="T193" s="0" t="n">
        <f aca="false">MONTH(Q193)</f>
        <v>8</v>
      </c>
    </row>
    <row r="194" customFormat="false" ht="14.25" hidden="true" customHeight="false" outlineLevel="0" collapsed="false">
      <c r="A194" s="0" t="n">
        <v>193</v>
      </c>
      <c r="B194" s="1" t="s">
        <v>413</v>
      </c>
      <c r="C194" s="1" t="s">
        <v>1479</v>
      </c>
      <c r="D194" s="1" t="s">
        <v>1535</v>
      </c>
      <c r="E194" s="0" t="s">
        <v>39</v>
      </c>
      <c r="F194" s="0" t="s">
        <v>48</v>
      </c>
      <c r="G194" s="0" t="s">
        <v>4009</v>
      </c>
      <c r="I194" s="6" t="n">
        <v>0.402777777777778</v>
      </c>
      <c r="J194" s="6" t="n">
        <v>0.423611111111111</v>
      </c>
      <c r="L194" s="0" t="n">
        <v>4</v>
      </c>
      <c r="M194" s="0" t="s">
        <v>4010</v>
      </c>
      <c r="N194" s="0" t="s">
        <v>4011</v>
      </c>
      <c r="P194" s="0" t="s">
        <v>4012</v>
      </c>
      <c r="Q194" s="2" t="n">
        <v>42977</v>
      </c>
      <c r="S194" s="0" t="n">
        <f aca="false">YEAR(Q194)</f>
        <v>2017</v>
      </c>
      <c r="T194" s="0" t="n">
        <f aca="false">MONTH(Q194)</f>
        <v>8</v>
      </c>
    </row>
    <row r="195" customFormat="false" ht="14.25" hidden="true" customHeight="false" outlineLevel="0" collapsed="false">
      <c r="A195" s="0" t="n">
        <v>194</v>
      </c>
      <c r="B195" s="1" t="s">
        <v>413</v>
      </c>
      <c r="C195" s="1" t="s">
        <v>1479</v>
      </c>
      <c r="D195" s="1" t="s">
        <v>1535</v>
      </c>
      <c r="E195" s="0" t="s">
        <v>39</v>
      </c>
      <c r="F195" s="0" t="s">
        <v>49</v>
      </c>
      <c r="G195" s="0" t="s">
        <v>4013</v>
      </c>
      <c r="I195" s="6" t="n">
        <v>0.6875</v>
      </c>
      <c r="J195" s="6" t="n">
        <v>0.690972222222222</v>
      </c>
      <c r="K195" s="0" t="n">
        <v>0</v>
      </c>
      <c r="M195" s="0" t="s">
        <v>4014</v>
      </c>
      <c r="N195" s="0" t="s">
        <v>4015</v>
      </c>
      <c r="P195" s="0" t="s">
        <v>4016</v>
      </c>
      <c r="Q195" s="2" t="n">
        <v>42977</v>
      </c>
      <c r="S195" s="0" t="n">
        <f aca="false">YEAR(Q195)</f>
        <v>2017</v>
      </c>
      <c r="T195" s="0" t="n">
        <f aca="false">MONTH(Q195)</f>
        <v>8</v>
      </c>
    </row>
    <row r="196" customFormat="false" ht="14.25" hidden="true" customHeight="false" outlineLevel="0" collapsed="false">
      <c r="A196" s="0" t="n">
        <v>195</v>
      </c>
      <c r="B196" s="1" t="s">
        <v>413</v>
      </c>
      <c r="C196" s="1" t="s">
        <v>1503</v>
      </c>
      <c r="D196" s="1" t="s">
        <v>1504</v>
      </c>
      <c r="E196" s="0" t="s">
        <v>45</v>
      </c>
      <c r="F196" s="0" t="s">
        <v>49</v>
      </c>
      <c r="G196" s="0" t="s">
        <v>4017</v>
      </c>
      <c r="I196" s="6" t="n">
        <v>0.701388888888889</v>
      </c>
      <c r="J196" s="6" t="n">
        <v>0.708333333333333</v>
      </c>
      <c r="K196" s="0" t="n">
        <v>0</v>
      </c>
      <c r="L196" s="0" t="n">
        <v>20</v>
      </c>
      <c r="M196" s="0" t="s">
        <v>4018</v>
      </c>
      <c r="N196" s="0" t="s">
        <v>4019</v>
      </c>
      <c r="P196" s="0" t="s">
        <v>4020</v>
      </c>
      <c r="Q196" s="2" t="n">
        <v>42977</v>
      </c>
      <c r="S196" s="0" t="n">
        <f aca="false">YEAR(Q196)</f>
        <v>2017</v>
      </c>
      <c r="T196" s="0" t="n">
        <f aca="false">MONTH(Q196)</f>
        <v>8</v>
      </c>
    </row>
    <row r="197" customFormat="false" ht="14.25" hidden="true" customHeight="false" outlineLevel="0" collapsed="false">
      <c r="A197" s="0" t="n">
        <v>196</v>
      </c>
      <c r="B197" s="1" t="s">
        <v>413</v>
      </c>
      <c r="C197" s="1" t="s">
        <v>1479</v>
      </c>
      <c r="D197" s="1" t="s">
        <v>1487</v>
      </c>
      <c r="E197" s="4" t="s">
        <v>1488</v>
      </c>
      <c r="F197" s="0" t="s">
        <v>49</v>
      </c>
      <c r="G197" s="0" t="s">
        <v>3940</v>
      </c>
      <c r="I197" s="6" t="n">
        <v>0.708333333333333</v>
      </c>
      <c r="J197" s="6" t="n">
        <v>0.708333333333333</v>
      </c>
      <c r="K197" s="0" t="n">
        <v>20</v>
      </c>
      <c r="L197" s="0" t="n">
        <v>30</v>
      </c>
      <c r="M197" s="0" t="s">
        <v>4021</v>
      </c>
      <c r="N197" s="0" t="s">
        <v>4022</v>
      </c>
      <c r="P197" s="0" t="s">
        <v>4023</v>
      </c>
      <c r="Q197" s="2" t="n">
        <v>42977</v>
      </c>
      <c r="S197" s="0" t="n">
        <f aca="false">YEAR(Q197)</f>
        <v>2017</v>
      </c>
      <c r="T197" s="0" t="n">
        <f aca="false">MONTH(Q197)</f>
        <v>8</v>
      </c>
    </row>
    <row r="198" customFormat="false" ht="14.25" hidden="true" customHeight="false" outlineLevel="0" collapsed="false">
      <c r="A198" s="0" t="n">
        <v>197</v>
      </c>
      <c r="B198" s="1" t="s">
        <v>413</v>
      </c>
      <c r="C198" s="1" t="s">
        <v>1479</v>
      </c>
      <c r="D198" s="1" t="s">
        <v>1535</v>
      </c>
      <c r="E198" s="0" t="s">
        <v>39</v>
      </c>
      <c r="F198" s="0" t="s">
        <v>49</v>
      </c>
      <c r="G198" s="0" t="s">
        <v>3583</v>
      </c>
      <c r="I198" s="6" t="n">
        <v>0.8125</v>
      </c>
      <c r="J198" s="6" t="n">
        <v>0.815972222222222</v>
      </c>
      <c r="L198" s="0" t="n">
        <v>10</v>
      </c>
      <c r="M198" s="0" t="s">
        <v>4024</v>
      </c>
      <c r="N198" s="0" t="s">
        <v>4025</v>
      </c>
      <c r="P198" s="0" t="s">
        <v>4026</v>
      </c>
      <c r="Q198" s="2" t="n">
        <v>42977</v>
      </c>
      <c r="S198" s="0" t="n">
        <f aca="false">YEAR(Q198)</f>
        <v>2017</v>
      </c>
      <c r="T198" s="0" t="n">
        <f aca="false">MONTH(Q198)</f>
        <v>8</v>
      </c>
    </row>
    <row r="199" customFormat="false" ht="57" hidden="true" customHeight="false" outlineLevel="0" collapsed="false">
      <c r="A199" s="0" t="n">
        <v>198</v>
      </c>
      <c r="B199" s="1" t="s">
        <v>413</v>
      </c>
      <c r="C199" s="1" t="s">
        <v>1503</v>
      </c>
      <c r="D199" s="1" t="s">
        <v>1504</v>
      </c>
      <c r="E199" s="0" t="s">
        <v>45</v>
      </c>
      <c r="F199" s="0" t="s">
        <v>49</v>
      </c>
      <c r="G199" s="0" t="s">
        <v>4027</v>
      </c>
      <c r="I199" s="6" t="n">
        <v>0.895833333333333</v>
      </c>
      <c r="J199" s="6" t="n">
        <v>0.895833333333333</v>
      </c>
      <c r="L199" s="0" t="n">
        <v>60</v>
      </c>
      <c r="M199" s="0" t="s">
        <v>4028</v>
      </c>
      <c r="N199" s="0" t="s">
        <v>4029</v>
      </c>
      <c r="P199" s="7" t="s">
        <v>4030</v>
      </c>
      <c r="Q199" s="2" t="n">
        <v>42977</v>
      </c>
      <c r="S199" s="0" t="n">
        <f aca="false">YEAR(Q199)</f>
        <v>2017</v>
      </c>
      <c r="T199" s="0" t="n">
        <f aca="false">MONTH(Q199)</f>
        <v>8</v>
      </c>
    </row>
    <row r="200" customFormat="false" ht="14.25" hidden="true" customHeight="false" outlineLevel="0" collapsed="false">
      <c r="A200" s="0" t="n">
        <v>199</v>
      </c>
      <c r="B200" s="1" t="s">
        <v>417</v>
      </c>
      <c r="C200" s="1" t="s">
        <v>1479</v>
      </c>
      <c r="D200" s="1" t="s">
        <v>1480</v>
      </c>
      <c r="E200" s="0" t="s">
        <v>43</v>
      </c>
      <c r="F200" s="0" t="s">
        <v>48</v>
      </c>
      <c r="G200" s="0" t="s">
        <v>4031</v>
      </c>
      <c r="J200" s="6" t="n">
        <v>0.416666666666667</v>
      </c>
      <c r="K200" s="0" t="n">
        <v>0</v>
      </c>
      <c r="M200" s="0" t="s">
        <v>4032</v>
      </c>
      <c r="N200" s="0" t="s">
        <v>4033</v>
      </c>
      <c r="P200" s="0" t="s">
        <v>4034</v>
      </c>
      <c r="Q200" s="2" t="n">
        <v>42979</v>
      </c>
      <c r="S200" s="0" t="n">
        <f aca="false">YEAR(Q200)</f>
        <v>2017</v>
      </c>
      <c r="T200" s="0" t="n">
        <f aca="false">MONTH(Q200)</f>
        <v>9</v>
      </c>
    </row>
    <row r="201" customFormat="false" ht="14.25" hidden="true" customHeight="false" outlineLevel="0" collapsed="false">
      <c r="A201" s="0" t="n">
        <v>200</v>
      </c>
      <c r="B201" s="1" t="s">
        <v>420</v>
      </c>
      <c r="C201" s="1" t="s">
        <v>1479</v>
      </c>
      <c r="D201" s="1" t="s">
        <v>1535</v>
      </c>
      <c r="E201" s="0" t="s">
        <v>39</v>
      </c>
      <c r="F201" s="0" t="s">
        <v>48</v>
      </c>
      <c r="G201" s="0" t="s">
        <v>4035</v>
      </c>
      <c r="I201" s="6" t="n">
        <v>0.236111111111111</v>
      </c>
      <c r="J201" s="6" t="n">
        <v>0.333333333333333</v>
      </c>
      <c r="L201" s="0" t="n">
        <v>100</v>
      </c>
      <c r="M201" s="0" t="s">
        <v>4036</v>
      </c>
      <c r="N201" s="0" t="s">
        <v>4037</v>
      </c>
      <c r="P201" s="0" t="s">
        <v>4038</v>
      </c>
      <c r="Q201" s="2" t="n">
        <v>42978</v>
      </c>
      <c r="S201" s="0" t="n">
        <f aca="false">YEAR(Q201)</f>
        <v>2017</v>
      </c>
      <c r="T201" s="0" t="n">
        <f aca="false">MONTH(Q201)</f>
        <v>8</v>
      </c>
    </row>
    <row r="202" customFormat="false" ht="14.25" hidden="true" customHeight="false" outlineLevel="0" collapsed="false">
      <c r="A202" s="0" t="n">
        <v>201</v>
      </c>
      <c r="B202" s="1" t="s">
        <v>426</v>
      </c>
      <c r="C202" s="1" t="s">
        <v>1479</v>
      </c>
      <c r="D202" s="1" t="s">
        <v>1535</v>
      </c>
      <c r="E202" s="0" t="s">
        <v>39</v>
      </c>
      <c r="F202" s="0" t="s">
        <v>48</v>
      </c>
      <c r="G202" s="0" t="s">
        <v>4039</v>
      </c>
      <c r="I202" s="6" t="n">
        <v>0.289583333333333</v>
      </c>
      <c r="J202" s="6" t="n">
        <v>0.295138888888889</v>
      </c>
      <c r="K202" s="0" t="n">
        <v>30</v>
      </c>
      <c r="L202" s="0" t="n">
        <v>30</v>
      </c>
      <c r="M202" s="0" t="s">
        <v>4040</v>
      </c>
      <c r="N202" s="0" t="s">
        <v>4041</v>
      </c>
      <c r="P202" s="0" t="s">
        <v>4042</v>
      </c>
      <c r="Q202" s="2" t="n">
        <v>42982</v>
      </c>
      <c r="S202" s="0" t="n">
        <f aca="false">YEAR(Q202)</f>
        <v>2017</v>
      </c>
      <c r="T202" s="0" t="n">
        <f aca="false">MONTH(Q202)</f>
        <v>9</v>
      </c>
    </row>
    <row r="203" customFormat="false" ht="14.25" hidden="true" customHeight="false" outlineLevel="0" collapsed="false">
      <c r="A203" s="0" t="n">
        <v>202</v>
      </c>
      <c r="B203" s="1" t="s">
        <v>426</v>
      </c>
      <c r="C203" s="1" t="s">
        <v>1479</v>
      </c>
      <c r="D203" s="1" t="s">
        <v>1487</v>
      </c>
      <c r="E203" s="0" t="s">
        <v>1488</v>
      </c>
      <c r="F203" s="0" t="s">
        <v>48</v>
      </c>
      <c r="G203" s="0" t="s">
        <v>4043</v>
      </c>
      <c r="I203" s="6" t="n">
        <v>0.594444444444444</v>
      </c>
      <c r="L203" s="0" t="n">
        <v>36</v>
      </c>
      <c r="M203" s="0" t="s">
        <v>4044</v>
      </c>
      <c r="N203" s="0" t="s">
        <v>4045</v>
      </c>
      <c r="P203" s="0" t="s">
        <v>4046</v>
      </c>
      <c r="Q203" s="2" t="n">
        <v>42982</v>
      </c>
      <c r="S203" s="0" t="n">
        <f aca="false">YEAR(Q203)</f>
        <v>2017</v>
      </c>
      <c r="T203" s="0" t="n">
        <f aca="false">MONTH(Q203)</f>
        <v>9</v>
      </c>
    </row>
    <row r="204" customFormat="false" ht="14.25" hidden="true" customHeight="false" outlineLevel="0" collapsed="false">
      <c r="A204" s="0" t="n">
        <v>203</v>
      </c>
      <c r="B204" s="1" t="s">
        <v>428</v>
      </c>
      <c r="C204" s="1" t="s">
        <v>1495</v>
      </c>
      <c r="D204" s="1" t="s">
        <v>1487</v>
      </c>
      <c r="E204" s="0" t="s">
        <v>40</v>
      </c>
      <c r="F204" s="0" t="s">
        <v>48</v>
      </c>
      <c r="G204" s="0" t="s">
        <v>4047</v>
      </c>
      <c r="I204" s="6" t="n">
        <v>0.479166666666667</v>
      </c>
      <c r="J204" s="6" t="n">
        <v>0.489583333333333</v>
      </c>
      <c r="L204" s="0" t="n">
        <v>15</v>
      </c>
      <c r="M204" s="0" t="s">
        <v>4048</v>
      </c>
      <c r="N204" s="0" t="s">
        <v>4049</v>
      </c>
      <c r="P204" s="0" t="s">
        <v>4050</v>
      </c>
      <c r="Q204" s="2" t="n">
        <v>42983</v>
      </c>
      <c r="S204" s="0" t="n">
        <f aca="false">YEAR(Q204)</f>
        <v>2017</v>
      </c>
      <c r="T204" s="0" t="n">
        <f aca="false">MONTH(Q204)</f>
        <v>9</v>
      </c>
    </row>
    <row r="205" customFormat="false" ht="14.25" hidden="true" customHeight="false" outlineLevel="0" collapsed="false">
      <c r="A205" s="0" t="n">
        <v>204</v>
      </c>
      <c r="B205" s="1" t="s">
        <v>432</v>
      </c>
      <c r="C205" s="1" t="s">
        <v>1503</v>
      </c>
      <c r="D205" s="1" t="s">
        <v>1504</v>
      </c>
      <c r="E205" s="0" t="s">
        <v>45</v>
      </c>
      <c r="F205" s="0" t="s">
        <v>48</v>
      </c>
      <c r="G205" s="0" t="s">
        <v>4051</v>
      </c>
      <c r="J205" s="6" t="n">
        <v>0.416666666666667</v>
      </c>
      <c r="L205" s="0" t="n">
        <v>0</v>
      </c>
      <c r="M205" s="0" t="s">
        <v>4052</v>
      </c>
      <c r="N205" s="0" t="s">
        <v>4053</v>
      </c>
      <c r="P205" s="0" t="s">
        <v>4054</v>
      </c>
      <c r="Q205" s="2" t="n">
        <v>42984</v>
      </c>
      <c r="S205" s="0" t="n">
        <f aca="false">YEAR(Q205)</f>
        <v>2017</v>
      </c>
      <c r="T205" s="0" t="n">
        <f aca="false">MONTH(Q205)</f>
        <v>9</v>
      </c>
    </row>
    <row r="206" customFormat="false" ht="42.75" hidden="true" customHeight="false" outlineLevel="0" collapsed="false">
      <c r="A206" s="0" t="n">
        <v>205</v>
      </c>
      <c r="B206" s="1" t="s">
        <v>432</v>
      </c>
      <c r="C206" s="1" t="s">
        <v>1479</v>
      </c>
      <c r="D206" s="1" t="s">
        <v>1535</v>
      </c>
      <c r="E206" s="0" t="s">
        <v>39</v>
      </c>
      <c r="F206" s="0" t="s">
        <v>49</v>
      </c>
      <c r="G206" s="0" t="s">
        <v>4055</v>
      </c>
      <c r="J206" s="6" t="n">
        <v>0.625</v>
      </c>
      <c r="K206" s="0" t="n">
        <v>0</v>
      </c>
      <c r="M206" s="7" t="s">
        <v>4056</v>
      </c>
      <c r="N206" s="0" t="s">
        <v>4057</v>
      </c>
      <c r="P206" s="0" t="s">
        <v>4058</v>
      </c>
      <c r="Q206" s="2" t="n">
        <v>42984</v>
      </c>
      <c r="S206" s="0" t="n">
        <f aca="false">YEAR(Q206)</f>
        <v>2017</v>
      </c>
      <c r="T206" s="0" t="n">
        <f aca="false">MONTH(Q206)</f>
        <v>9</v>
      </c>
    </row>
    <row r="207" customFormat="false" ht="14.25" hidden="true" customHeight="false" outlineLevel="0" collapsed="false">
      <c r="A207" s="0" t="n">
        <v>206</v>
      </c>
      <c r="B207" s="1" t="s">
        <v>432</v>
      </c>
      <c r="C207" s="1" t="s">
        <v>1479</v>
      </c>
      <c r="D207" s="1" t="s">
        <v>1863</v>
      </c>
      <c r="E207" s="0" t="s">
        <v>3799</v>
      </c>
      <c r="F207" s="0" t="s">
        <v>49</v>
      </c>
      <c r="G207" s="0" t="s">
        <v>4059</v>
      </c>
      <c r="J207" s="6" t="n">
        <v>0.791666666666667</v>
      </c>
      <c r="L207" s="0" t="n">
        <v>70</v>
      </c>
      <c r="M207" s="0" t="s">
        <v>4060</v>
      </c>
      <c r="N207" s="0" t="s">
        <v>4061</v>
      </c>
      <c r="P207" s="0" t="s">
        <v>4062</v>
      </c>
      <c r="Q207" s="2" t="n">
        <v>42984</v>
      </c>
      <c r="S207" s="0" t="n">
        <f aca="false">YEAR(Q207)</f>
        <v>2017</v>
      </c>
      <c r="T207" s="0" t="n">
        <f aca="false">MONTH(Q207)</f>
        <v>9</v>
      </c>
    </row>
    <row r="208" customFormat="false" ht="57" hidden="true" customHeight="false" outlineLevel="0" collapsed="false">
      <c r="A208" s="0" t="n">
        <v>207</v>
      </c>
      <c r="B208" s="1" t="s">
        <v>432</v>
      </c>
      <c r="C208" s="1" t="s">
        <v>1479</v>
      </c>
      <c r="D208" s="1" t="s">
        <v>1487</v>
      </c>
      <c r="E208" s="0" t="s">
        <v>1488</v>
      </c>
      <c r="F208" s="0" t="s">
        <v>49</v>
      </c>
      <c r="G208" s="0" t="s">
        <v>4063</v>
      </c>
      <c r="I208" s="6" t="n">
        <v>0.864583333333333</v>
      </c>
      <c r="J208" s="6" t="n">
        <v>0.881944444444444</v>
      </c>
      <c r="L208" s="0" t="n">
        <v>65</v>
      </c>
      <c r="M208" s="0" t="s">
        <v>4064</v>
      </c>
      <c r="N208" s="0" t="s">
        <v>4065</v>
      </c>
      <c r="P208" s="7" t="s">
        <v>4066</v>
      </c>
      <c r="Q208" s="2" t="n">
        <v>42984</v>
      </c>
      <c r="S208" s="0" t="n">
        <f aca="false">YEAR(Q208)</f>
        <v>2017</v>
      </c>
      <c r="T208" s="0" t="n">
        <f aca="false">MONTH(Q208)</f>
        <v>9</v>
      </c>
    </row>
    <row r="209" customFormat="false" ht="57" hidden="true" customHeight="false" outlineLevel="0" collapsed="false">
      <c r="A209" s="0" t="n">
        <v>208</v>
      </c>
      <c r="B209" s="1" t="s">
        <v>432</v>
      </c>
      <c r="C209" s="1" t="s">
        <v>1479</v>
      </c>
      <c r="D209" s="1" t="s">
        <v>1480</v>
      </c>
      <c r="E209" s="0" t="s">
        <v>43</v>
      </c>
      <c r="F209" s="0" t="s">
        <v>49</v>
      </c>
      <c r="G209" s="0" t="s">
        <v>4067</v>
      </c>
      <c r="J209" s="6" t="n">
        <v>0.916666666666667</v>
      </c>
      <c r="M209" s="0" t="s">
        <v>4068</v>
      </c>
      <c r="N209" s="0" t="s">
        <v>4069</v>
      </c>
      <c r="P209" s="7" t="s">
        <v>4070</v>
      </c>
      <c r="Q209" s="2" t="n">
        <v>42984</v>
      </c>
      <c r="S209" s="0" t="n">
        <f aca="false">YEAR(Q209)</f>
        <v>2017</v>
      </c>
      <c r="T209" s="0" t="n">
        <f aca="false">MONTH(Q209)</f>
        <v>9</v>
      </c>
    </row>
    <row r="210" customFormat="false" ht="42.75" hidden="true" customHeight="false" outlineLevel="0" collapsed="false">
      <c r="A210" s="0" t="n">
        <v>209</v>
      </c>
      <c r="B210" s="1" t="s">
        <v>432</v>
      </c>
      <c r="C210" s="1" t="s">
        <v>1479</v>
      </c>
      <c r="D210" s="1" t="s">
        <v>1496</v>
      </c>
      <c r="E210" s="0" t="s">
        <v>38</v>
      </c>
      <c r="F210" s="0" t="s">
        <v>49</v>
      </c>
      <c r="G210" s="0" t="s">
        <v>4071</v>
      </c>
      <c r="I210" s="6" t="n">
        <v>0.951388888888889</v>
      </c>
      <c r="J210" s="6" t="n">
        <v>0.958333333333333</v>
      </c>
      <c r="L210" s="0" t="n">
        <v>45</v>
      </c>
      <c r="M210" s="0" t="s">
        <v>4072</v>
      </c>
      <c r="N210" s="0" t="s">
        <v>4073</v>
      </c>
      <c r="P210" s="7" t="s">
        <v>4074</v>
      </c>
      <c r="Q210" s="2" t="n">
        <v>42984</v>
      </c>
      <c r="S210" s="0" t="n">
        <f aca="false">YEAR(Q210)</f>
        <v>2017</v>
      </c>
      <c r="T210" s="0" t="n">
        <f aca="false">MONTH(Q210)</f>
        <v>9</v>
      </c>
    </row>
    <row r="211" customFormat="false" ht="14.25" hidden="true" customHeight="false" outlineLevel="0" collapsed="false">
      <c r="A211" s="0" t="n">
        <v>210</v>
      </c>
      <c r="B211" s="1" t="s">
        <v>433</v>
      </c>
      <c r="C211" s="1" t="s">
        <v>1479</v>
      </c>
      <c r="D211" s="1" t="s">
        <v>1487</v>
      </c>
      <c r="E211" s="0" t="s">
        <v>1488</v>
      </c>
      <c r="F211" s="0" t="s">
        <v>48</v>
      </c>
      <c r="G211" s="0" t="s">
        <v>4075</v>
      </c>
      <c r="I211" s="6" t="n">
        <v>0.359722222222222</v>
      </c>
      <c r="J211" s="6" t="n">
        <v>0.375</v>
      </c>
      <c r="L211" s="0" t="n">
        <v>59</v>
      </c>
      <c r="M211" s="0" t="s">
        <v>4076</v>
      </c>
      <c r="N211" s="0" t="s">
        <v>4077</v>
      </c>
      <c r="P211" s="0" t="s">
        <v>4078</v>
      </c>
      <c r="Q211" s="2" t="n">
        <v>42985</v>
      </c>
      <c r="S211" s="0" t="n">
        <f aca="false">YEAR(Q211)</f>
        <v>2017</v>
      </c>
      <c r="T211" s="0" t="n">
        <f aca="false">MONTH(Q211)</f>
        <v>9</v>
      </c>
    </row>
    <row r="212" customFormat="false" ht="14.25" hidden="true" customHeight="false" outlineLevel="0" collapsed="false">
      <c r="A212" s="0" t="n">
        <v>211</v>
      </c>
      <c r="B212" s="1" t="s">
        <v>433</v>
      </c>
      <c r="C212" s="1" t="s">
        <v>1479</v>
      </c>
      <c r="D212" s="1" t="s">
        <v>1496</v>
      </c>
      <c r="E212" s="0" t="s">
        <v>38</v>
      </c>
      <c r="F212" s="0" t="s">
        <v>48</v>
      </c>
      <c r="G212" s="0" t="s">
        <v>4079</v>
      </c>
      <c r="I212" s="6" t="n">
        <v>0.504166666666667</v>
      </c>
      <c r="J212" s="6" t="n">
        <v>0.520833333333333</v>
      </c>
      <c r="L212" s="0" t="n">
        <v>240</v>
      </c>
      <c r="M212" s="0" t="s">
        <v>4080</v>
      </c>
      <c r="N212" s="0" t="s">
        <v>4081</v>
      </c>
      <c r="P212" s="0" t="s">
        <v>4082</v>
      </c>
      <c r="Q212" s="2" t="n">
        <v>42985</v>
      </c>
      <c r="S212" s="0" t="n">
        <f aca="false">YEAR(Q212)</f>
        <v>2017</v>
      </c>
      <c r="T212" s="0" t="n">
        <f aca="false">MONTH(Q212)</f>
        <v>9</v>
      </c>
    </row>
    <row r="213" customFormat="false" ht="14.25" hidden="true" customHeight="false" outlineLevel="0" collapsed="false">
      <c r="A213" s="0" t="n">
        <v>212</v>
      </c>
      <c r="B213" s="1" t="s">
        <v>433</v>
      </c>
      <c r="C213" s="1" t="s">
        <v>1479</v>
      </c>
      <c r="D213" s="1" t="s">
        <v>1487</v>
      </c>
      <c r="E213" s="0" t="s">
        <v>1488</v>
      </c>
      <c r="F213" s="0" t="s">
        <v>49</v>
      </c>
      <c r="G213" s="0" t="s">
        <v>4083</v>
      </c>
      <c r="J213" s="6" t="n">
        <v>0.847222222222222</v>
      </c>
      <c r="L213" s="0" t="n">
        <v>20</v>
      </c>
      <c r="M213" s="0" t="s">
        <v>4084</v>
      </c>
      <c r="N213" s="0" t="s">
        <v>4085</v>
      </c>
      <c r="P213" s="0" t="s">
        <v>4086</v>
      </c>
      <c r="Q213" s="2" t="n">
        <v>42985</v>
      </c>
      <c r="S213" s="0" t="n">
        <f aca="false">YEAR(Q213)</f>
        <v>2017</v>
      </c>
      <c r="T213" s="0" t="n">
        <f aca="false">MONTH(Q213)</f>
        <v>9</v>
      </c>
    </row>
    <row r="214" customFormat="false" ht="14.25" hidden="true" customHeight="false" outlineLevel="0" collapsed="false">
      <c r="A214" s="0" t="n">
        <v>213</v>
      </c>
      <c r="B214" s="1" t="s">
        <v>436</v>
      </c>
      <c r="C214" s="1" t="s">
        <v>1503</v>
      </c>
      <c r="D214" s="1" t="s">
        <v>1535</v>
      </c>
      <c r="E214" s="0" t="s">
        <v>44</v>
      </c>
      <c r="F214" s="0" t="s">
        <v>48</v>
      </c>
      <c r="G214" s="0" t="s">
        <v>4087</v>
      </c>
      <c r="I214" s="6" t="n">
        <v>0.25</v>
      </c>
      <c r="J214" s="6" t="n">
        <v>0.263888888888889</v>
      </c>
      <c r="L214" s="0" t="n">
        <v>85</v>
      </c>
      <c r="M214" s="0" t="s">
        <v>4088</v>
      </c>
      <c r="N214" s="0" t="s">
        <v>4089</v>
      </c>
      <c r="P214" s="0" t="s">
        <v>4090</v>
      </c>
      <c r="Q214" s="2" t="n">
        <v>42986</v>
      </c>
      <c r="S214" s="0" t="n">
        <f aca="false">YEAR(Q214)</f>
        <v>2017</v>
      </c>
      <c r="T214" s="0" t="n">
        <f aca="false">MONTH(Q214)</f>
        <v>9</v>
      </c>
    </row>
    <row r="215" customFormat="false" ht="14.25" hidden="true" customHeight="false" outlineLevel="0" collapsed="false">
      <c r="A215" s="0" t="n">
        <v>214</v>
      </c>
      <c r="B215" s="1" t="s">
        <v>441</v>
      </c>
      <c r="C215" s="1" t="s">
        <v>1503</v>
      </c>
      <c r="D215" s="1" t="s">
        <v>1535</v>
      </c>
      <c r="E215" s="0" t="s">
        <v>44</v>
      </c>
      <c r="F215" s="0" t="s">
        <v>48</v>
      </c>
      <c r="G215" s="0" t="s">
        <v>4091</v>
      </c>
      <c r="I215" s="6" t="n">
        <v>0.236111111111111</v>
      </c>
      <c r="J215" s="6" t="n">
        <v>0.263888888888889</v>
      </c>
      <c r="L215" s="0" t="n">
        <v>90</v>
      </c>
      <c r="M215" s="0" t="s">
        <v>4092</v>
      </c>
      <c r="N215" s="0" t="s">
        <v>4093</v>
      </c>
      <c r="P215" s="0" t="s">
        <v>4094</v>
      </c>
      <c r="Q215" s="2" t="n">
        <v>42989</v>
      </c>
      <c r="S215" s="0" t="n">
        <f aca="false">YEAR(Q215)</f>
        <v>2017</v>
      </c>
      <c r="T215" s="0" t="n">
        <f aca="false">MONTH(Q215)</f>
        <v>9</v>
      </c>
    </row>
    <row r="216" customFormat="false" ht="42.75" hidden="true" customHeight="false" outlineLevel="0" collapsed="false">
      <c r="A216" s="0" t="n">
        <v>215</v>
      </c>
      <c r="B216" s="1" t="s">
        <v>441</v>
      </c>
      <c r="C216" s="1" t="s">
        <v>1503</v>
      </c>
      <c r="D216" s="1" t="s">
        <v>1535</v>
      </c>
      <c r="E216" s="0" t="s">
        <v>44</v>
      </c>
      <c r="F216" s="0" t="s">
        <v>49</v>
      </c>
      <c r="G216" s="0" t="s">
        <v>4095</v>
      </c>
      <c r="I216" s="6" t="n">
        <v>0.611111111111111</v>
      </c>
      <c r="J216" s="6" t="n">
        <v>0.701388888888889</v>
      </c>
      <c r="K216" s="0" t="n">
        <v>0</v>
      </c>
      <c r="L216" s="0" t="n">
        <v>210</v>
      </c>
      <c r="M216" s="0" t="s">
        <v>4096</v>
      </c>
      <c r="N216" s="0" t="s">
        <v>4097</v>
      </c>
      <c r="P216" s="7" t="s">
        <v>4098</v>
      </c>
      <c r="Q216" s="2" t="n">
        <v>42989</v>
      </c>
      <c r="S216" s="0" t="n">
        <f aca="false">YEAR(Q216)</f>
        <v>2017</v>
      </c>
      <c r="T216" s="0" t="n">
        <f aca="false">MONTH(Q216)</f>
        <v>9</v>
      </c>
    </row>
    <row r="217" customFormat="false" ht="14.25" hidden="true" customHeight="false" outlineLevel="0" collapsed="false">
      <c r="A217" s="0" t="n">
        <v>216</v>
      </c>
      <c r="B217" s="1" t="s">
        <v>441</v>
      </c>
      <c r="C217" s="1" t="s">
        <v>1479</v>
      </c>
      <c r="D217" s="1" t="s">
        <v>1863</v>
      </c>
      <c r="E217" s="0" t="s">
        <v>3799</v>
      </c>
      <c r="F217" s="0" t="s">
        <v>49</v>
      </c>
      <c r="G217" s="0" t="s">
        <v>4099</v>
      </c>
      <c r="J217" s="6" t="n">
        <v>0.791666666666667</v>
      </c>
      <c r="K217" s="0" t="n">
        <v>0</v>
      </c>
      <c r="L217" s="0" t="n">
        <v>0</v>
      </c>
      <c r="M217" s="0" t="s">
        <v>4100</v>
      </c>
      <c r="N217" s="0" t="s">
        <v>4101</v>
      </c>
      <c r="P217" s="0" t="s">
        <v>4102</v>
      </c>
      <c r="Q217" s="2" t="n">
        <v>42989</v>
      </c>
      <c r="S217" s="0" t="n">
        <f aca="false">YEAR(Q217)</f>
        <v>2017</v>
      </c>
      <c r="T217" s="0" t="n">
        <f aca="false">MONTH(Q217)</f>
        <v>9</v>
      </c>
    </row>
    <row r="218" customFormat="false" ht="14.25" hidden="true" customHeight="false" outlineLevel="0" collapsed="false">
      <c r="A218" s="0" t="n">
        <v>217</v>
      </c>
      <c r="B218" s="1" t="s">
        <v>441</v>
      </c>
      <c r="C218" s="1" t="s">
        <v>1479</v>
      </c>
      <c r="D218" s="1" t="s">
        <v>1487</v>
      </c>
      <c r="E218" s="0" t="s">
        <v>1488</v>
      </c>
      <c r="F218" s="0" t="s">
        <v>49</v>
      </c>
      <c r="G218" s="0" t="s">
        <v>4103</v>
      </c>
      <c r="I218" s="6" t="n">
        <v>0.864583333333333</v>
      </c>
      <c r="J218" s="6" t="n">
        <v>0.888888888888889</v>
      </c>
      <c r="M218" s="0" t="s">
        <v>4104</v>
      </c>
      <c r="N218" s="0" t="s">
        <v>4105</v>
      </c>
      <c r="P218" s="0" t="s">
        <v>4106</v>
      </c>
      <c r="Q218" s="2" t="n">
        <v>42989</v>
      </c>
      <c r="S218" s="0" t="n">
        <f aca="false">YEAR(Q218)</f>
        <v>2017</v>
      </c>
      <c r="T218" s="0" t="n">
        <f aca="false">MONTH(Q218)</f>
        <v>9</v>
      </c>
    </row>
    <row r="219" customFormat="false" ht="14.25" hidden="true" customHeight="false" outlineLevel="0" collapsed="false">
      <c r="A219" s="0" t="n">
        <v>218</v>
      </c>
      <c r="B219" s="1" t="s">
        <v>446</v>
      </c>
      <c r="C219" s="1" t="s">
        <v>1479</v>
      </c>
      <c r="D219" s="1" t="s">
        <v>1487</v>
      </c>
      <c r="E219" s="0" t="s">
        <v>1488</v>
      </c>
      <c r="F219" s="0" t="s">
        <v>48</v>
      </c>
      <c r="G219" s="0" t="s">
        <v>4107</v>
      </c>
      <c r="I219" s="6" t="n">
        <v>0.486111111111111</v>
      </c>
      <c r="J219" s="6" t="n">
        <v>0.489583333333333</v>
      </c>
      <c r="L219" s="0" t="n">
        <v>15</v>
      </c>
      <c r="M219" s="0" t="s">
        <v>4108</v>
      </c>
      <c r="N219" s="0" t="s">
        <v>4109</v>
      </c>
      <c r="P219" s="0" t="s">
        <v>4110</v>
      </c>
      <c r="Q219" s="2" t="n">
        <v>42990</v>
      </c>
      <c r="S219" s="0" t="n">
        <f aca="false">YEAR(Q219)</f>
        <v>2017</v>
      </c>
      <c r="T219" s="0" t="n">
        <f aca="false">MONTH(Q219)</f>
        <v>9</v>
      </c>
    </row>
    <row r="220" customFormat="false" ht="14.25" hidden="true" customHeight="false" outlineLevel="0" collapsed="false">
      <c r="A220" s="0" t="n">
        <v>219</v>
      </c>
      <c r="B220" s="1" t="s">
        <v>446</v>
      </c>
      <c r="C220" s="1" t="s">
        <v>1495</v>
      </c>
      <c r="D220" s="1" t="s">
        <v>1535</v>
      </c>
      <c r="E220" s="0" t="s">
        <v>42</v>
      </c>
      <c r="F220" s="0" t="s">
        <v>48</v>
      </c>
      <c r="G220" s="0" t="s">
        <v>4111</v>
      </c>
      <c r="I220" s="6" t="n">
        <v>0.25</v>
      </c>
      <c r="J220" s="6" t="n">
        <v>0.583333333333333</v>
      </c>
      <c r="K220" s="0" t="n">
        <v>0</v>
      </c>
      <c r="M220" s="0" t="s">
        <v>4112</v>
      </c>
      <c r="N220" s="0" t="s">
        <v>4113</v>
      </c>
      <c r="P220" s="0" t="s">
        <v>4114</v>
      </c>
      <c r="Q220" s="2" t="n">
        <v>42990</v>
      </c>
      <c r="S220" s="0" t="n">
        <f aca="false">YEAR(Q220)</f>
        <v>2017</v>
      </c>
      <c r="T220" s="0" t="n">
        <f aca="false">MONTH(Q220)</f>
        <v>9</v>
      </c>
    </row>
    <row r="221" customFormat="false" ht="14.25" hidden="true" customHeight="false" outlineLevel="0" collapsed="false">
      <c r="A221" s="0" t="n">
        <v>220</v>
      </c>
      <c r="B221" s="1" t="s">
        <v>446</v>
      </c>
      <c r="C221" s="1" t="s">
        <v>1503</v>
      </c>
      <c r="D221" s="1" t="s">
        <v>1535</v>
      </c>
      <c r="E221" s="0" t="s">
        <v>44</v>
      </c>
      <c r="F221" s="0" t="s">
        <v>49</v>
      </c>
      <c r="G221" s="0" t="s">
        <v>4115</v>
      </c>
      <c r="J221" s="6" t="n">
        <v>0.708333333333333</v>
      </c>
      <c r="K221" s="0" t="n">
        <v>0</v>
      </c>
      <c r="M221" s="0" t="s">
        <v>4116</v>
      </c>
      <c r="N221" s="0" t="s">
        <v>4117</v>
      </c>
      <c r="P221" s="0" t="s">
        <v>4118</v>
      </c>
      <c r="Q221" s="2" t="n">
        <v>42990</v>
      </c>
      <c r="S221" s="0" t="n">
        <f aca="false">YEAR(Q221)</f>
        <v>2017</v>
      </c>
      <c r="T221" s="0" t="n">
        <f aca="false">MONTH(Q221)</f>
        <v>9</v>
      </c>
    </row>
    <row r="222" customFormat="false" ht="14.25" hidden="true" customHeight="false" outlineLevel="0" collapsed="false">
      <c r="A222" s="0" t="n">
        <v>221</v>
      </c>
      <c r="B222" s="1" t="s">
        <v>451</v>
      </c>
      <c r="C222" s="1" t="s">
        <v>1479</v>
      </c>
      <c r="D222" s="1" t="s">
        <v>1487</v>
      </c>
      <c r="E222" s="0" t="s">
        <v>1488</v>
      </c>
      <c r="F222" s="0" t="s">
        <v>48</v>
      </c>
      <c r="G222" s="0" t="s">
        <v>3940</v>
      </c>
      <c r="I222" s="6" t="n">
        <v>0.526388888888889</v>
      </c>
      <c r="J222" s="6" t="n">
        <v>0.53125</v>
      </c>
      <c r="L222" s="0" t="n">
        <v>60</v>
      </c>
      <c r="M222" s="0" t="s">
        <v>4119</v>
      </c>
      <c r="N222" s="0" t="s">
        <v>4120</v>
      </c>
      <c r="P222" s="0" t="s">
        <v>4121</v>
      </c>
      <c r="Q222" s="2" t="n">
        <v>42991</v>
      </c>
      <c r="S222" s="0" t="n">
        <f aca="false">YEAR(Q222)</f>
        <v>2017</v>
      </c>
      <c r="T222" s="0" t="n">
        <f aca="false">MONTH(Q222)</f>
        <v>9</v>
      </c>
    </row>
    <row r="223" customFormat="false" ht="42.75" hidden="true" customHeight="false" outlineLevel="0" collapsed="false">
      <c r="A223" s="0" t="n">
        <v>222</v>
      </c>
      <c r="B223" s="1" t="s">
        <v>451</v>
      </c>
      <c r="C223" s="1" t="s">
        <v>1503</v>
      </c>
      <c r="D223" s="1" t="s">
        <v>1504</v>
      </c>
      <c r="E223" s="0" t="s">
        <v>45</v>
      </c>
      <c r="F223" s="0" t="s">
        <v>49</v>
      </c>
      <c r="G223" s="0" t="s">
        <v>4122</v>
      </c>
      <c r="J223" s="6" t="n">
        <v>0.625</v>
      </c>
      <c r="L223" s="0" t="n">
        <v>120</v>
      </c>
      <c r="M223" s="0" t="s">
        <v>4123</v>
      </c>
      <c r="N223" s="0" t="s">
        <v>4124</v>
      </c>
      <c r="P223" s="7" t="s">
        <v>4125</v>
      </c>
      <c r="Q223" s="2" t="n">
        <v>42991</v>
      </c>
      <c r="S223" s="0" t="n">
        <f aca="false">YEAR(Q223)</f>
        <v>2017</v>
      </c>
      <c r="T223" s="0" t="n">
        <f aca="false">MONTH(Q223)</f>
        <v>9</v>
      </c>
    </row>
    <row r="224" customFormat="false" ht="42.75" hidden="true" customHeight="false" outlineLevel="0" collapsed="false">
      <c r="A224" s="0" t="n">
        <v>223</v>
      </c>
      <c r="B224" s="1" t="s">
        <v>451</v>
      </c>
      <c r="C224" s="1" t="s">
        <v>1503</v>
      </c>
      <c r="D224" s="1" t="s">
        <v>1504</v>
      </c>
      <c r="E224" s="0" t="s">
        <v>45</v>
      </c>
      <c r="F224" s="0" t="s">
        <v>49</v>
      </c>
      <c r="G224" s="0" t="s">
        <v>4126</v>
      </c>
      <c r="J224" s="6" t="n">
        <v>0.625</v>
      </c>
      <c r="M224" s="0" t="s">
        <v>4127</v>
      </c>
      <c r="N224" s="7" t="s">
        <v>4128</v>
      </c>
      <c r="O224" s="7"/>
      <c r="P224" s="7" t="s">
        <v>4129</v>
      </c>
      <c r="Q224" s="2" t="n">
        <v>42991</v>
      </c>
      <c r="S224" s="0" t="n">
        <f aca="false">YEAR(Q224)</f>
        <v>2017</v>
      </c>
      <c r="T224" s="0" t="n">
        <f aca="false">MONTH(Q224)</f>
        <v>9</v>
      </c>
    </row>
    <row r="225" customFormat="false" ht="42.75" hidden="true" customHeight="false" outlineLevel="0" collapsed="false">
      <c r="A225" s="0" t="n">
        <v>224</v>
      </c>
      <c r="B225" s="1" t="s">
        <v>451</v>
      </c>
      <c r="C225" s="1" t="s">
        <v>1503</v>
      </c>
      <c r="D225" s="1" t="s">
        <v>1535</v>
      </c>
      <c r="E225" s="0" t="s">
        <v>44</v>
      </c>
      <c r="F225" s="0" t="s">
        <v>49</v>
      </c>
      <c r="G225" s="0" t="s">
        <v>4130</v>
      </c>
      <c r="I225" s="6" t="n">
        <v>0.770833333333333</v>
      </c>
      <c r="J225" s="6" t="n">
        <v>0.784722222222222</v>
      </c>
      <c r="L225" s="0" t="n">
        <v>240</v>
      </c>
      <c r="M225" s="7" t="s">
        <v>4131</v>
      </c>
      <c r="N225" s="7" t="s">
        <v>4132</v>
      </c>
      <c r="O225" s="7"/>
      <c r="P225" s="7" t="s">
        <v>4133</v>
      </c>
      <c r="Q225" s="2" t="n">
        <v>42991</v>
      </c>
      <c r="S225" s="0" t="n">
        <f aca="false">YEAR(Q225)</f>
        <v>2017</v>
      </c>
      <c r="T225" s="0" t="n">
        <f aca="false">MONTH(Q225)</f>
        <v>9</v>
      </c>
    </row>
    <row r="226" customFormat="false" ht="14.25" hidden="true" customHeight="false" outlineLevel="0" collapsed="false">
      <c r="A226" s="0" t="n">
        <v>225</v>
      </c>
      <c r="B226" s="1" t="s">
        <v>456</v>
      </c>
      <c r="C226" s="1" t="s">
        <v>1479</v>
      </c>
      <c r="D226" s="1" t="s">
        <v>1535</v>
      </c>
      <c r="E226" s="0" t="s">
        <v>39</v>
      </c>
      <c r="F226" s="0" t="s">
        <v>48</v>
      </c>
      <c r="G226" s="0" t="s">
        <v>4134</v>
      </c>
      <c r="I226" s="6" t="n">
        <v>0.409722222222222</v>
      </c>
      <c r="J226" s="6" t="n">
        <v>0.416666666666667</v>
      </c>
      <c r="L226" s="0" t="n">
        <v>20</v>
      </c>
      <c r="M226" s="0" t="s">
        <v>4135</v>
      </c>
      <c r="N226" s="0" t="s">
        <v>4136</v>
      </c>
      <c r="P226" s="0" t="s">
        <v>4137</v>
      </c>
      <c r="Q226" s="2" t="n">
        <v>42993</v>
      </c>
      <c r="S226" s="0" t="n">
        <f aca="false">YEAR(Q226)</f>
        <v>2017</v>
      </c>
      <c r="T226" s="0" t="n">
        <f aca="false">MONTH(Q226)</f>
        <v>9</v>
      </c>
    </row>
    <row r="227" customFormat="false" ht="14.25" hidden="true" customHeight="false" outlineLevel="0" collapsed="false">
      <c r="A227" s="0" t="n">
        <v>226</v>
      </c>
      <c r="B227" s="1" t="s">
        <v>456</v>
      </c>
      <c r="C227" s="1" t="s">
        <v>1495</v>
      </c>
      <c r="D227" s="1" t="s">
        <v>1487</v>
      </c>
      <c r="E227" s="0" t="s">
        <v>40</v>
      </c>
      <c r="F227" s="0" t="s">
        <v>48</v>
      </c>
      <c r="G227" s="0" t="s">
        <v>4138</v>
      </c>
      <c r="I227" s="6" t="n">
        <v>0.479166666666667</v>
      </c>
      <c r="J227" s="6" t="n">
        <v>0.486111111111111</v>
      </c>
      <c r="L227" s="0" t="n">
        <v>60</v>
      </c>
      <c r="M227" s="0" t="s">
        <v>4139</v>
      </c>
      <c r="N227" s="0" t="s">
        <v>4140</v>
      </c>
      <c r="P227" s="0" t="s">
        <v>4141</v>
      </c>
      <c r="Q227" s="2" t="n">
        <v>42993</v>
      </c>
      <c r="S227" s="0" t="n">
        <f aca="false">YEAR(Q227)</f>
        <v>2017</v>
      </c>
      <c r="T227" s="0" t="n">
        <f aca="false">MONTH(Q227)</f>
        <v>9</v>
      </c>
    </row>
    <row r="228" customFormat="false" ht="14.25" hidden="true" customHeight="false" outlineLevel="0" collapsed="false">
      <c r="A228" s="0" t="n">
        <v>227</v>
      </c>
      <c r="B228" s="1" t="s">
        <v>456</v>
      </c>
      <c r="C228" s="1" t="s">
        <v>1503</v>
      </c>
      <c r="D228" s="1" t="s">
        <v>1535</v>
      </c>
      <c r="E228" s="0" t="s">
        <v>44</v>
      </c>
      <c r="F228" s="0" t="s">
        <v>49</v>
      </c>
      <c r="G228" s="0" t="s">
        <v>4087</v>
      </c>
      <c r="J228" s="6" t="n">
        <v>0.611111111111111</v>
      </c>
      <c r="K228" s="0" t="n">
        <v>0</v>
      </c>
      <c r="M228" s="0" t="s">
        <v>4142</v>
      </c>
      <c r="N228" s="0" t="s">
        <v>4143</v>
      </c>
      <c r="P228" s="0" t="s">
        <v>4144</v>
      </c>
      <c r="Q228" s="2" t="n">
        <v>42993</v>
      </c>
      <c r="S228" s="0" t="n">
        <f aca="false">YEAR(Q228)</f>
        <v>2017</v>
      </c>
      <c r="T228" s="0" t="n">
        <f aca="false">MONTH(Q228)</f>
        <v>9</v>
      </c>
    </row>
    <row r="229" customFormat="false" ht="57" hidden="true" customHeight="false" outlineLevel="0" collapsed="false">
      <c r="A229" s="0" t="n">
        <v>228</v>
      </c>
      <c r="B229" s="1" t="s">
        <v>456</v>
      </c>
      <c r="C229" s="1" t="s">
        <v>1479</v>
      </c>
      <c r="D229" s="1" t="s">
        <v>1487</v>
      </c>
      <c r="E229" s="4" t="s">
        <v>1488</v>
      </c>
      <c r="F229" s="0" t="s">
        <v>49</v>
      </c>
      <c r="G229" s="0" t="s">
        <v>4145</v>
      </c>
      <c r="I229" s="6" t="n">
        <v>0.707638888888889</v>
      </c>
      <c r="J229" s="6" t="n">
        <v>0.71875</v>
      </c>
      <c r="K229" s="0" t="n">
        <v>30</v>
      </c>
      <c r="L229" s="0" t="n">
        <v>36</v>
      </c>
      <c r="M229" s="7" t="s">
        <v>4146</v>
      </c>
      <c r="N229" s="0" t="s">
        <v>4147</v>
      </c>
      <c r="P229" s="7" t="s">
        <v>4148</v>
      </c>
      <c r="Q229" s="2" t="n">
        <v>42993</v>
      </c>
      <c r="S229" s="0" t="n">
        <f aca="false">YEAR(Q229)</f>
        <v>2017</v>
      </c>
      <c r="T229" s="0" t="n">
        <f aca="false">MONTH(Q229)</f>
        <v>9</v>
      </c>
    </row>
    <row r="230" customFormat="false" ht="42.75" hidden="true" customHeight="false" outlineLevel="0" collapsed="false">
      <c r="A230" s="0" t="n">
        <v>229</v>
      </c>
      <c r="B230" s="1" t="s">
        <v>456</v>
      </c>
      <c r="C230" s="1" t="s">
        <v>1503</v>
      </c>
      <c r="D230" s="1" t="s">
        <v>1504</v>
      </c>
      <c r="E230" s="0" t="s">
        <v>45</v>
      </c>
      <c r="F230" s="0" t="s">
        <v>49</v>
      </c>
      <c r="G230" s="0" t="s">
        <v>4149</v>
      </c>
      <c r="I230" s="6" t="n">
        <v>0.6875</v>
      </c>
      <c r="J230" s="6" t="n">
        <v>0.743055555555555</v>
      </c>
      <c r="K230" s="0" t="n">
        <v>0</v>
      </c>
      <c r="M230" s="0" t="s">
        <v>4150</v>
      </c>
      <c r="N230" s="0" t="s">
        <v>4151</v>
      </c>
      <c r="P230" s="7" t="s">
        <v>4152</v>
      </c>
      <c r="Q230" s="2" t="n">
        <v>42993</v>
      </c>
      <c r="S230" s="0" t="n">
        <f aca="false">YEAR(Q230)</f>
        <v>2017</v>
      </c>
      <c r="T230" s="0" t="n">
        <f aca="false">MONTH(Q230)</f>
        <v>9</v>
      </c>
    </row>
    <row r="231" customFormat="false" ht="57" hidden="true" customHeight="false" outlineLevel="0" collapsed="false">
      <c r="A231" s="0" t="n">
        <v>230</v>
      </c>
      <c r="B231" s="1" t="s">
        <v>456</v>
      </c>
      <c r="C231" s="1" t="s">
        <v>1479</v>
      </c>
      <c r="D231" s="1" t="s">
        <v>1496</v>
      </c>
      <c r="E231" s="0" t="s">
        <v>38</v>
      </c>
      <c r="F231" s="0" t="s">
        <v>49</v>
      </c>
      <c r="G231" s="0" t="s">
        <v>4153</v>
      </c>
      <c r="I231" s="6" t="n">
        <v>0.930555555555555</v>
      </c>
      <c r="J231" s="6" t="n">
        <v>0.934027777777778</v>
      </c>
      <c r="K231" s="0" t="n">
        <v>10</v>
      </c>
      <c r="L231" s="0" t="n">
        <v>14</v>
      </c>
      <c r="M231" s="0" t="s">
        <v>4154</v>
      </c>
      <c r="N231" s="0" t="s">
        <v>4155</v>
      </c>
      <c r="P231" s="7" t="s">
        <v>4156</v>
      </c>
      <c r="Q231" s="2" t="n">
        <v>42993</v>
      </c>
      <c r="S231" s="0" t="n">
        <f aca="false">YEAR(Q231)</f>
        <v>2017</v>
      </c>
      <c r="T231" s="0" t="n">
        <f aca="false">MONTH(Q231)</f>
        <v>9</v>
      </c>
    </row>
    <row r="232" customFormat="false" ht="42.75" hidden="true" customHeight="false" outlineLevel="0" collapsed="false">
      <c r="A232" s="0" t="n">
        <v>231</v>
      </c>
      <c r="B232" s="1" t="s">
        <v>459</v>
      </c>
      <c r="C232" s="1" t="s">
        <v>1479</v>
      </c>
      <c r="D232" s="1" t="s">
        <v>1496</v>
      </c>
      <c r="E232" s="0" t="s">
        <v>38</v>
      </c>
      <c r="F232" s="0" t="s">
        <v>49</v>
      </c>
      <c r="G232" s="0" t="s">
        <v>4157</v>
      </c>
      <c r="I232" s="6" t="n">
        <v>0.683333333333333</v>
      </c>
      <c r="J232" s="6" t="n">
        <v>0.683333333333333</v>
      </c>
      <c r="K232" s="0" t="n">
        <v>0</v>
      </c>
      <c r="L232" s="0" t="n">
        <v>5</v>
      </c>
      <c r="M232" s="0" t="s">
        <v>4158</v>
      </c>
      <c r="N232" s="7" t="s">
        <v>4159</v>
      </c>
      <c r="O232" s="7"/>
      <c r="P232" s="7" t="s">
        <v>4160</v>
      </c>
      <c r="Q232" s="2" t="n">
        <v>42992</v>
      </c>
      <c r="S232" s="0" t="n">
        <f aca="false">YEAR(Q232)</f>
        <v>2017</v>
      </c>
      <c r="T232" s="0" t="n">
        <f aca="false">MONTH(Q232)</f>
        <v>9</v>
      </c>
    </row>
    <row r="233" customFormat="false" ht="42.75" hidden="true" customHeight="false" outlineLevel="0" collapsed="false">
      <c r="A233" s="0" t="n">
        <v>232</v>
      </c>
      <c r="B233" s="1" t="s">
        <v>459</v>
      </c>
      <c r="C233" s="1" t="s">
        <v>1479</v>
      </c>
      <c r="D233" s="1" t="s">
        <v>1535</v>
      </c>
      <c r="E233" s="0" t="s">
        <v>39</v>
      </c>
      <c r="F233" s="0" t="s">
        <v>49</v>
      </c>
      <c r="G233" s="0" t="s">
        <v>4161</v>
      </c>
      <c r="I233" s="6" t="n">
        <v>0.729166666666667</v>
      </c>
      <c r="J233" s="6" t="n">
        <v>0.743055555555555</v>
      </c>
      <c r="L233" s="0" t="n">
        <v>60</v>
      </c>
      <c r="M233" s="7" t="s">
        <v>4162</v>
      </c>
      <c r="N233" s="0" t="s">
        <v>4163</v>
      </c>
      <c r="P233" s="7" t="s">
        <v>4164</v>
      </c>
      <c r="Q233" s="2" t="n">
        <v>42992</v>
      </c>
      <c r="S233" s="0" t="n">
        <f aca="false">YEAR(Q233)</f>
        <v>2017</v>
      </c>
      <c r="T233" s="0" t="n">
        <f aca="false">MONTH(Q233)</f>
        <v>9</v>
      </c>
    </row>
    <row r="234" customFormat="false" ht="57" hidden="true" customHeight="false" outlineLevel="0" collapsed="false">
      <c r="A234" s="0" t="n">
        <v>233</v>
      </c>
      <c r="B234" s="1" t="s">
        <v>459</v>
      </c>
      <c r="C234" s="1" t="s">
        <v>1479</v>
      </c>
      <c r="D234" s="1" t="s">
        <v>1496</v>
      </c>
      <c r="E234" s="0" t="s">
        <v>38</v>
      </c>
      <c r="F234" s="0" t="s">
        <v>49</v>
      </c>
      <c r="G234" s="0" t="s">
        <v>4165</v>
      </c>
      <c r="I234" s="6" t="n">
        <v>0.880555555555556</v>
      </c>
      <c r="J234" s="6" t="n">
        <v>0.881944444444444</v>
      </c>
      <c r="K234" s="0" t="n">
        <v>20</v>
      </c>
      <c r="L234" s="0" t="n">
        <v>20</v>
      </c>
      <c r="M234" s="7" t="s">
        <v>4166</v>
      </c>
      <c r="N234" s="0" t="s">
        <v>4167</v>
      </c>
      <c r="P234" s="7" t="s">
        <v>4168</v>
      </c>
      <c r="Q234" s="2" t="n">
        <v>42992</v>
      </c>
      <c r="S234" s="0" t="n">
        <f aca="false">YEAR(Q234)</f>
        <v>2017</v>
      </c>
      <c r="T234" s="0" t="n">
        <f aca="false">MONTH(Q234)</f>
        <v>9</v>
      </c>
    </row>
    <row r="235" customFormat="false" ht="42.75" hidden="true" customHeight="false" outlineLevel="0" collapsed="false">
      <c r="A235" s="0" t="n">
        <v>234</v>
      </c>
      <c r="B235" s="1" t="s">
        <v>459</v>
      </c>
      <c r="C235" s="1" t="s">
        <v>1479</v>
      </c>
      <c r="D235" s="1" t="s">
        <v>1480</v>
      </c>
      <c r="E235" s="0" t="s">
        <v>4169</v>
      </c>
      <c r="F235" s="0" t="s">
        <v>49</v>
      </c>
      <c r="G235" s="0" t="s">
        <v>4170</v>
      </c>
      <c r="J235" s="6" t="n">
        <v>0.75</v>
      </c>
      <c r="K235" s="0" t="n">
        <v>0</v>
      </c>
      <c r="L235" s="0" t="n">
        <v>0</v>
      </c>
      <c r="M235" s="7" t="s">
        <v>4171</v>
      </c>
      <c r="N235" s="0" t="s">
        <v>4172</v>
      </c>
      <c r="P235" s="0" t="s">
        <v>4173</v>
      </c>
      <c r="Q235" s="2" t="n">
        <v>42992</v>
      </c>
      <c r="S235" s="0" t="n">
        <f aca="false">YEAR(Q235)</f>
        <v>2017</v>
      </c>
      <c r="T235" s="0" t="n">
        <f aca="false">MONTH(Q235)</f>
        <v>9</v>
      </c>
    </row>
    <row r="236" customFormat="false" ht="14.25" hidden="true" customHeight="false" outlineLevel="0" collapsed="false">
      <c r="A236" s="0" t="n">
        <v>235</v>
      </c>
      <c r="B236" s="1" t="s">
        <v>471</v>
      </c>
      <c r="C236" s="1" t="s">
        <v>1479</v>
      </c>
      <c r="D236" s="1" t="s">
        <v>1535</v>
      </c>
      <c r="E236" s="0" t="s">
        <v>39</v>
      </c>
      <c r="F236" s="0" t="s">
        <v>48</v>
      </c>
      <c r="G236" s="0" t="s">
        <v>4174</v>
      </c>
      <c r="I236" s="6" t="n">
        <v>0.513888888888889</v>
      </c>
      <c r="J236" s="6" t="n">
        <v>0.520833333333333</v>
      </c>
      <c r="K236" s="0" t="n">
        <v>29</v>
      </c>
      <c r="L236" s="0" t="n">
        <v>30</v>
      </c>
      <c r="M236" s="0" t="s">
        <v>4175</v>
      </c>
      <c r="N236" s="0" t="s">
        <v>4176</v>
      </c>
      <c r="P236" s="0" t="s">
        <v>4177</v>
      </c>
      <c r="Q236" s="2" t="n">
        <v>42996</v>
      </c>
      <c r="S236" s="0" t="n">
        <f aca="false">YEAR(Q236)</f>
        <v>2017</v>
      </c>
      <c r="T236" s="0" t="n">
        <f aca="false">MONTH(Q236)</f>
        <v>9</v>
      </c>
    </row>
    <row r="237" customFormat="false" ht="14.25" hidden="true" customHeight="false" outlineLevel="0" collapsed="false">
      <c r="A237" s="0" t="n">
        <v>236</v>
      </c>
      <c r="B237" s="1" t="s">
        <v>471</v>
      </c>
      <c r="C237" s="1" t="s">
        <v>1479</v>
      </c>
      <c r="D237" s="1" t="s">
        <v>1535</v>
      </c>
      <c r="E237" s="0" t="s">
        <v>39</v>
      </c>
      <c r="F237" s="0" t="s">
        <v>48</v>
      </c>
      <c r="G237" s="0" t="s">
        <v>4178</v>
      </c>
      <c r="I237" s="6" t="n">
        <v>0.569444444444444</v>
      </c>
      <c r="J237" s="6" t="n">
        <v>0.570833333333333</v>
      </c>
      <c r="K237" s="0" t="n">
        <v>0</v>
      </c>
      <c r="L237" s="0" t="n">
        <v>15</v>
      </c>
      <c r="M237" s="0" t="s">
        <v>4179</v>
      </c>
      <c r="N237" s="0" t="s">
        <v>4180</v>
      </c>
      <c r="P237" s="0" t="s">
        <v>4181</v>
      </c>
      <c r="Q237" s="2" t="n">
        <v>42996</v>
      </c>
      <c r="S237" s="0" t="n">
        <f aca="false">YEAR(Q237)</f>
        <v>2017</v>
      </c>
      <c r="T237" s="0" t="n">
        <f aca="false">MONTH(Q237)</f>
        <v>9</v>
      </c>
    </row>
    <row r="238" customFormat="false" ht="14.25" hidden="true" customHeight="false" outlineLevel="0" collapsed="false">
      <c r="A238" s="0" t="n">
        <v>237</v>
      </c>
      <c r="B238" s="1" t="s">
        <v>471</v>
      </c>
      <c r="C238" s="1" t="s">
        <v>1479</v>
      </c>
      <c r="D238" s="1" t="s">
        <v>1496</v>
      </c>
      <c r="E238" s="0" t="s">
        <v>38</v>
      </c>
      <c r="F238" s="0" t="s">
        <v>48</v>
      </c>
      <c r="G238" s="0" t="s">
        <v>4182</v>
      </c>
      <c r="I238" s="6" t="n">
        <v>0.569444444444444</v>
      </c>
      <c r="J238" s="6" t="n">
        <v>0.580555555555556</v>
      </c>
      <c r="L238" s="0" t="n">
        <v>49</v>
      </c>
      <c r="M238" s="0" t="s">
        <v>4183</v>
      </c>
      <c r="N238" s="0" t="s">
        <v>4184</v>
      </c>
      <c r="P238" s="0" t="s">
        <v>4185</v>
      </c>
      <c r="Q238" s="2" t="n">
        <v>42996</v>
      </c>
      <c r="S238" s="0" t="n">
        <f aca="false">YEAR(Q238)</f>
        <v>2017</v>
      </c>
      <c r="T238" s="0" t="n">
        <f aca="false">MONTH(Q238)</f>
        <v>9</v>
      </c>
    </row>
    <row r="239" customFormat="false" ht="14.25" hidden="true" customHeight="false" outlineLevel="0" collapsed="false">
      <c r="A239" s="0" t="n">
        <v>238</v>
      </c>
      <c r="B239" s="1" t="s">
        <v>471</v>
      </c>
      <c r="C239" s="1" t="s">
        <v>1503</v>
      </c>
      <c r="D239" s="1" t="s">
        <v>1504</v>
      </c>
      <c r="E239" s="0" t="s">
        <v>45</v>
      </c>
      <c r="F239" s="0" t="s">
        <v>48</v>
      </c>
      <c r="G239" s="0" t="s">
        <v>4186</v>
      </c>
      <c r="J239" s="6" t="n">
        <v>0.326388888888889</v>
      </c>
      <c r="M239" s="0" t="s">
        <v>4187</v>
      </c>
      <c r="N239" s="0" t="s">
        <v>4188</v>
      </c>
      <c r="P239" s="0" t="s">
        <v>4189</v>
      </c>
      <c r="Q239" s="2" t="n">
        <v>42996</v>
      </c>
      <c r="S239" s="0" t="n">
        <f aca="false">YEAR(Q239)</f>
        <v>2017</v>
      </c>
      <c r="T239" s="0" t="n">
        <f aca="false">MONTH(Q239)</f>
        <v>9</v>
      </c>
    </row>
    <row r="240" customFormat="false" ht="14.25" hidden="true" customHeight="false" outlineLevel="0" collapsed="false">
      <c r="A240" s="0" t="n">
        <v>239</v>
      </c>
      <c r="B240" s="1" t="s">
        <v>471</v>
      </c>
      <c r="C240" s="1" t="s">
        <v>1479</v>
      </c>
      <c r="D240" s="1" t="s">
        <v>1535</v>
      </c>
      <c r="E240" s="0" t="s">
        <v>39</v>
      </c>
      <c r="F240" s="0" t="s">
        <v>49</v>
      </c>
      <c r="G240" s="0" t="s">
        <v>4174</v>
      </c>
      <c r="I240" s="0" t="n">
        <v>15</v>
      </c>
      <c r="J240" s="6" t="n">
        <v>0.625</v>
      </c>
      <c r="K240" s="0" t="n">
        <v>50</v>
      </c>
      <c r="M240" s="0" t="s">
        <v>4190</v>
      </c>
      <c r="N240" s="0" t="s">
        <v>4191</v>
      </c>
      <c r="P240" s="0" t="s">
        <v>4192</v>
      </c>
      <c r="Q240" s="2" t="n">
        <v>42996</v>
      </c>
      <c r="S240" s="0" t="n">
        <f aca="false">YEAR(Q240)</f>
        <v>2017</v>
      </c>
      <c r="T240" s="0" t="n">
        <f aca="false">MONTH(Q240)</f>
        <v>9</v>
      </c>
    </row>
    <row r="241" customFormat="false" ht="14.25" hidden="true" customHeight="false" outlineLevel="0" collapsed="false">
      <c r="A241" s="0" t="n">
        <v>240</v>
      </c>
      <c r="B241" s="1" t="s">
        <v>474</v>
      </c>
      <c r="C241" s="1" t="s">
        <v>1479</v>
      </c>
      <c r="D241" s="1" t="s">
        <v>1535</v>
      </c>
      <c r="E241" s="0" t="s">
        <v>39</v>
      </c>
      <c r="F241" s="0" t="s">
        <v>48</v>
      </c>
      <c r="G241" s="0" t="s">
        <v>4193</v>
      </c>
      <c r="I241" s="6" t="n">
        <v>0.379861111111111</v>
      </c>
      <c r="J241" s="6" t="n">
        <v>0.386805555555556</v>
      </c>
      <c r="M241" s="0" t="s">
        <v>4194</v>
      </c>
      <c r="N241" s="0" t="s">
        <v>4195</v>
      </c>
      <c r="P241" s="0" t="s">
        <v>4196</v>
      </c>
      <c r="Q241" s="2" t="n">
        <v>42997</v>
      </c>
      <c r="S241" s="0" t="n">
        <f aca="false">YEAR(Q241)</f>
        <v>2017</v>
      </c>
      <c r="T241" s="0" t="n">
        <f aca="false">MONTH(Q241)</f>
        <v>9</v>
      </c>
    </row>
    <row r="242" customFormat="false" ht="14.25" hidden="true" customHeight="false" outlineLevel="0" collapsed="false">
      <c r="A242" s="0" t="n">
        <v>241</v>
      </c>
      <c r="B242" s="1" t="s">
        <v>474</v>
      </c>
      <c r="C242" s="1" t="s">
        <v>1503</v>
      </c>
      <c r="D242" s="1" t="s">
        <v>1504</v>
      </c>
      <c r="E242" s="0" t="s">
        <v>45</v>
      </c>
      <c r="F242" s="0" t="s">
        <v>49</v>
      </c>
      <c r="G242" s="0" t="s">
        <v>4197</v>
      </c>
      <c r="J242" s="6" t="n">
        <v>0.604166666666667</v>
      </c>
      <c r="K242" s="0" t="n">
        <v>0</v>
      </c>
      <c r="M242" s="0" t="s">
        <v>4198</v>
      </c>
      <c r="N242" s="0" t="s">
        <v>4199</v>
      </c>
      <c r="P242" s="0" t="s">
        <v>4200</v>
      </c>
      <c r="Q242" s="2" t="n">
        <v>42997</v>
      </c>
      <c r="S242" s="0" t="n">
        <f aca="false">YEAR(Q242)</f>
        <v>2017</v>
      </c>
      <c r="T242" s="0" t="n">
        <f aca="false">MONTH(Q242)</f>
        <v>9</v>
      </c>
    </row>
    <row r="243" customFormat="false" ht="42.75" hidden="true" customHeight="false" outlineLevel="0" collapsed="false">
      <c r="A243" s="0" t="n">
        <v>242</v>
      </c>
      <c r="B243" s="1" t="s">
        <v>474</v>
      </c>
      <c r="C243" s="1" t="s">
        <v>1479</v>
      </c>
      <c r="D243" s="1" t="s">
        <v>1863</v>
      </c>
      <c r="E243" s="0" t="s">
        <v>3799</v>
      </c>
      <c r="F243" s="0" t="s">
        <v>49</v>
      </c>
      <c r="G243" s="0" t="s">
        <v>4201</v>
      </c>
      <c r="J243" s="6" t="n">
        <v>0.754166666666667</v>
      </c>
      <c r="L243" s="0" t="n">
        <v>15</v>
      </c>
      <c r="M243" s="0" t="s">
        <v>4202</v>
      </c>
      <c r="N243" s="7" t="s">
        <v>4203</v>
      </c>
      <c r="O243" s="7"/>
      <c r="P243" s="0" t="s">
        <v>4204</v>
      </c>
      <c r="Q243" s="2" t="n">
        <v>42997</v>
      </c>
      <c r="S243" s="0" t="n">
        <f aca="false">YEAR(Q243)</f>
        <v>2017</v>
      </c>
      <c r="T243" s="0" t="n">
        <f aca="false">MONTH(Q243)</f>
        <v>9</v>
      </c>
    </row>
    <row r="244" customFormat="false" ht="42.75" hidden="true" customHeight="false" outlineLevel="0" collapsed="false">
      <c r="A244" s="0" t="n">
        <v>243</v>
      </c>
      <c r="B244" s="1" t="s">
        <v>474</v>
      </c>
      <c r="C244" s="1" t="s">
        <v>1503</v>
      </c>
      <c r="D244" s="1" t="s">
        <v>1504</v>
      </c>
      <c r="E244" s="0" t="s">
        <v>45</v>
      </c>
      <c r="F244" s="0" t="s">
        <v>49</v>
      </c>
      <c r="G244" s="0" t="s">
        <v>4087</v>
      </c>
      <c r="J244" s="6" t="n">
        <v>0.826388888888889</v>
      </c>
      <c r="K244" s="0" t="n">
        <v>0</v>
      </c>
      <c r="L244" s="0" t="n">
        <v>200</v>
      </c>
      <c r="M244" s="7" t="s">
        <v>4205</v>
      </c>
      <c r="N244" s="7" t="s">
        <v>4206</v>
      </c>
      <c r="O244" s="7"/>
      <c r="P244" s="7" t="s">
        <v>4207</v>
      </c>
      <c r="Q244" s="2" t="n">
        <v>42997</v>
      </c>
      <c r="S244" s="0" t="n">
        <f aca="false">YEAR(Q244)</f>
        <v>2017</v>
      </c>
      <c r="T244" s="0" t="n">
        <f aca="false">MONTH(Q244)</f>
        <v>9</v>
      </c>
    </row>
    <row r="245" customFormat="false" ht="42.75" hidden="true" customHeight="false" outlineLevel="0" collapsed="false">
      <c r="A245" s="0" t="n">
        <v>244</v>
      </c>
      <c r="B245" s="1" t="s">
        <v>474</v>
      </c>
      <c r="C245" s="1" t="s">
        <v>1479</v>
      </c>
      <c r="D245" s="1" t="s">
        <v>1487</v>
      </c>
      <c r="E245" s="4" t="s">
        <v>1488</v>
      </c>
      <c r="F245" s="0" t="s">
        <v>49</v>
      </c>
      <c r="G245" s="0" t="s">
        <v>4208</v>
      </c>
      <c r="I245" s="6" t="n">
        <v>0.875</v>
      </c>
      <c r="J245" s="6" t="n">
        <v>0.899305555555555</v>
      </c>
      <c r="K245" s="0" t="n">
        <v>15</v>
      </c>
      <c r="L245" s="0" t="n">
        <v>240</v>
      </c>
      <c r="M245" s="7" t="s">
        <v>4209</v>
      </c>
      <c r="N245" s="7" t="s">
        <v>4210</v>
      </c>
      <c r="O245" s="7"/>
      <c r="P245" s="7" t="s">
        <v>4211</v>
      </c>
      <c r="Q245" s="2" t="n">
        <v>42997</v>
      </c>
      <c r="S245" s="0" t="n">
        <f aca="false">YEAR(Q245)</f>
        <v>2017</v>
      </c>
      <c r="T245" s="0" t="n">
        <f aca="false">MONTH(Q245)</f>
        <v>9</v>
      </c>
    </row>
    <row r="246" customFormat="false" ht="14.25" hidden="true" customHeight="false" outlineLevel="0" collapsed="false">
      <c r="A246" s="0" t="n">
        <v>245</v>
      </c>
      <c r="B246" s="1" t="s">
        <v>476</v>
      </c>
      <c r="C246" s="1" t="s">
        <v>1503</v>
      </c>
      <c r="D246" s="1" t="s">
        <v>1535</v>
      </c>
      <c r="E246" s="0" t="s">
        <v>44</v>
      </c>
      <c r="F246" s="0" t="s">
        <v>48</v>
      </c>
      <c r="G246" s="0" t="s">
        <v>4212</v>
      </c>
      <c r="I246" s="6" t="n">
        <v>0.347222222222222</v>
      </c>
      <c r="J246" s="6" t="n">
        <v>0.354166666666667</v>
      </c>
      <c r="M246" s="0" t="s">
        <v>4213</v>
      </c>
      <c r="N246" s="0" t="s">
        <v>4214</v>
      </c>
      <c r="P246" s="0" t="s">
        <v>4215</v>
      </c>
      <c r="Q246" s="2" t="n">
        <v>42998</v>
      </c>
      <c r="S246" s="0" t="n">
        <f aca="false">YEAR(Q246)</f>
        <v>2017</v>
      </c>
      <c r="T246" s="0" t="n">
        <f aca="false">MONTH(Q246)</f>
        <v>9</v>
      </c>
    </row>
    <row r="247" customFormat="false" ht="42.75" hidden="true" customHeight="false" outlineLevel="0" collapsed="false">
      <c r="A247" s="0" t="n">
        <v>246</v>
      </c>
      <c r="B247" s="1" t="s">
        <v>476</v>
      </c>
      <c r="C247" s="1" t="s">
        <v>1479</v>
      </c>
      <c r="D247" s="1" t="s">
        <v>1535</v>
      </c>
      <c r="E247" s="0" t="s">
        <v>39</v>
      </c>
      <c r="F247" s="0" t="s">
        <v>49</v>
      </c>
      <c r="G247" s="0" t="s">
        <v>3583</v>
      </c>
      <c r="I247" s="6" t="n">
        <v>0.625</v>
      </c>
      <c r="J247" s="6" t="n">
        <v>0.625</v>
      </c>
      <c r="K247" s="0" t="n">
        <v>0</v>
      </c>
      <c r="L247" s="0" t="n">
        <v>10</v>
      </c>
      <c r="M247" s="0" t="s">
        <v>4216</v>
      </c>
      <c r="N247" s="0" t="s">
        <v>4217</v>
      </c>
      <c r="P247" s="7" t="s">
        <v>4218</v>
      </c>
      <c r="Q247" s="2" t="n">
        <v>42998</v>
      </c>
      <c r="S247" s="0" t="n">
        <f aca="false">YEAR(Q247)</f>
        <v>2017</v>
      </c>
      <c r="T247" s="0" t="n">
        <f aca="false">MONTH(Q247)</f>
        <v>9</v>
      </c>
    </row>
    <row r="248" customFormat="false" ht="57" hidden="true" customHeight="false" outlineLevel="0" collapsed="false">
      <c r="A248" s="0" t="n">
        <v>247</v>
      </c>
      <c r="B248" s="1" t="s">
        <v>476</v>
      </c>
      <c r="C248" s="1" t="s">
        <v>1479</v>
      </c>
      <c r="D248" s="1" t="s">
        <v>1487</v>
      </c>
      <c r="E248" s="0" t="s">
        <v>1488</v>
      </c>
      <c r="F248" s="0" t="s">
        <v>49</v>
      </c>
      <c r="G248" s="0" t="s">
        <v>4208</v>
      </c>
      <c r="I248" s="6" t="n">
        <v>0.604166666666667</v>
      </c>
      <c r="J248" s="6" t="n">
        <v>0.625</v>
      </c>
      <c r="L248" s="0" t="n">
        <v>60</v>
      </c>
      <c r="M248" s="0" t="s">
        <v>4219</v>
      </c>
      <c r="N248" s="7" t="s">
        <v>4220</v>
      </c>
      <c r="O248" s="7"/>
      <c r="P248" s="7" t="s">
        <v>4221</v>
      </c>
      <c r="Q248" s="2" t="n">
        <v>42998</v>
      </c>
      <c r="S248" s="0" t="n">
        <f aca="false">YEAR(Q248)</f>
        <v>2017</v>
      </c>
      <c r="T248" s="0" t="n">
        <f aca="false">MONTH(Q248)</f>
        <v>9</v>
      </c>
    </row>
    <row r="249" customFormat="false" ht="42.75" hidden="true" customHeight="false" outlineLevel="0" collapsed="false">
      <c r="A249" s="0" t="n">
        <v>248</v>
      </c>
      <c r="B249" s="1" t="s">
        <v>476</v>
      </c>
      <c r="C249" s="1" t="s">
        <v>1479</v>
      </c>
      <c r="D249" s="1" t="s">
        <v>1487</v>
      </c>
      <c r="E249" s="0" t="s">
        <v>1488</v>
      </c>
      <c r="F249" s="0" t="s">
        <v>49</v>
      </c>
      <c r="G249" s="0" t="s">
        <v>4222</v>
      </c>
      <c r="I249" s="6" t="n">
        <v>0.697916666666667</v>
      </c>
      <c r="J249" s="6" t="n">
        <v>0.715277777777778</v>
      </c>
      <c r="K249" s="0" t="n">
        <v>0</v>
      </c>
      <c r="L249" s="0" t="n">
        <v>35</v>
      </c>
      <c r="M249" s="0" t="s">
        <v>4223</v>
      </c>
      <c r="N249" s="0" t="s">
        <v>4224</v>
      </c>
      <c r="P249" s="7" t="s">
        <v>4225</v>
      </c>
      <c r="Q249" s="2" t="n">
        <v>42998</v>
      </c>
      <c r="S249" s="0" t="n">
        <f aca="false">YEAR(Q249)</f>
        <v>2017</v>
      </c>
      <c r="T249" s="0" t="n">
        <f aca="false">MONTH(Q249)</f>
        <v>9</v>
      </c>
    </row>
    <row r="250" customFormat="false" ht="86.25" hidden="true" customHeight="false" outlineLevel="0" collapsed="false">
      <c r="A250" s="0" t="n">
        <v>249</v>
      </c>
      <c r="B250" s="1" t="s">
        <v>476</v>
      </c>
      <c r="C250" s="1" t="s">
        <v>1479</v>
      </c>
      <c r="D250" s="1" t="s">
        <v>1535</v>
      </c>
      <c r="E250" s="0" t="s">
        <v>39</v>
      </c>
      <c r="F250" s="0" t="s">
        <v>49</v>
      </c>
      <c r="G250" s="0" t="s">
        <v>4226</v>
      </c>
      <c r="J250" s="6" t="n">
        <v>0.732638888888889</v>
      </c>
      <c r="K250" s="0" t="n">
        <v>50</v>
      </c>
      <c r="M250" s="7" t="s">
        <v>4227</v>
      </c>
      <c r="N250" s="7" t="s">
        <v>4228</v>
      </c>
      <c r="O250" s="7"/>
      <c r="P250" s="7" t="s">
        <v>4229</v>
      </c>
      <c r="Q250" s="2" t="n">
        <v>42998</v>
      </c>
      <c r="S250" s="0" t="n">
        <f aca="false">YEAR(Q250)</f>
        <v>2017</v>
      </c>
      <c r="T250" s="0" t="n">
        <f aca="false">MONTH(Q250)</f>
        <v>9</v>
      </c>
    </row>
    <row r="251" customFormat="false" ht="57" hidden="true" customHeight="false" outlineLevel="0" collapsed="false">
      <c r="A251" s="0" t="n">
        <v>250</v>
      </c>
      <c r="B251" s="1" t="s">
        <v>476</v>
      </c>
      <c r="C251" s="1" t="s">
        <v>1479</v>
      </c>
      <c r="D251" s="1" t="s">
        <v>1487</v>
      </c>
      <c r="E251" s="0" t="s">
        <v>1488</v>
      </c>
      <c r="F251" s="0" t="s">
        <v>49</v>
      </c>
      <c r="G251" s="0" t="s">
        <v>4222</v>
      </c>
      <c r="I251" s="6" t="n">
        <v>0.951388888888889</v>
      </c>
      <c r="J251" s="6" t="n">
        <v>0.954861111111111</v>
      </c>
      <c r="K251" s="0" t="n">
        <v>60</v>
      </c>
      <c r="L251" s="0" t="n">
        <v>80</v>
      </c>
      <c r="M251" s="0" t="s">
        <v>4230</v>
      </c>
      <c r="N251" s="7" t="s">
        <v>4231</v>
      </c>
      <c r="O251" s="7"/>
      <c r="P251" s="7" t="s">
        <v>4232</v>
      </c>
      <c r="Q251" s="2" t="n">
        <v>42998</v>
      </c>
      <c r="S251" s="0" t="n">
        <f aca="false">YEAR(Q251)</f>
        <v>2017</v>
      </c>
      <c r="T251" s="0" t="n">
        <f aca="false">MONTH(Q251)</f>
        <v>9</v>
      </c>
    </row>
    <row r="252" customFormat="false" ht="14.25" hidden="true" customHeight="false" outlineLevel="0" collapsed="false">
      <c r="A252" s="0" t="n">
        <v>251</v>
      </c>
      <c r="B252" s="1" t="s">
        <v>478</v>
      </c>
      <c r="C252" s="1" t="s">
        <v>1479</v>
      </c>
      <c r="D252" s="1" t="s">
        <v>1535</v>
      </c>
      <c r="E252" s="0" t="s">
        <v>39</v>
      </c>
      <c r="F252" s="0" t="s">
        <v>48</v>
      </c>
      <c r="G252" s="0" t="s">
        <v>4233</v>
      </c>
      <c r="J252" s="6" t="n">
        <v>0.263888888888889</v>
      </c>
      <c r="M252" s="0" t="s">
        <v>4234</v>
      </c>
      <c r="N252" s="0" t="s">
        <v>4235</v>
      </c>
      <c r="P252" s="0" t="s">
        <v>4236</v>
      </c>
      <c r="Q252" s="2" t="n">
        <v>42999</v>
      </c>
      <c r="S252" s="0" t="n">
        <f aca="false">YEAR(Q252)</f>
        <v>2017</v>
      </c>
      <c r="T252" s="0" t="n">
        <f aca="false">MONTH(Q252)</f>
        <v>9</v>
      </c>
    </row>
    <row r="253" customFormat="false" ht="57" hidden="true" customHeight="false" outlineLevel="0" collapsed="false">
      <c r="A253" s="0" t="n">
        <v>252</v>
      </c>
      <c r="B253" s="1" t="s">
        <v>478</v>
      </c>
      <c r="C253" s="1" t="s">
        <v>1479</v>
      </c>
      <c r="D253" s="1" t="s">
        <v>1535</v>
      </c>
      <c r="E253" s="0" t="s">
        <v>39</v>
      </c>
      <c r="F253" s="0" t="s">
        <v>49</v>
      </c>
      <c r="G253" s="0" t="s">
        <v>4233</v>
      </c>
      <c r="I253" s="6" t="n">
        <v>0.811805555555556</v>
      </c>
      <c r="J253" s="6" t="n">
        <v>0.818055555555556</v>
      </c>
      <c r="K253" s="0" t="n">
        <v>33</v>
      </c>
      <c r="L253" s="0" t="n">
        <v>40</v>
      </c>
      <c r="M253" s="0" t="s">
        <v>4234</v>
      </c>
      <c r="N253" s="0" t="s">
        <v>4237</v>
      </c>
      <c r="P253" s="7" t="s">
        <v>4238</v>
      </c>
      <c r="Q253" s="2" t="n">
        <v>42999</v>
      </c>
      <c r="S253" s="0" t="n">
        <f aca="false">YEAR(Q253)</f>
        <v>2017</v>
      </c>
      <c r="T253" s="0" t="n">
        <f aca="false">MONTH(Q253)</f>
        <v>9</v>
      </c>
    </row>
    <row r="254" customFormat="false" ht="14.25" hidden="true" customHeight="false" outlineLevel="0" collapsed="false">
      <c r="A254" s="0" t="n">
        <v>253</v>
      </c>
      <c r="B254" s="1" t="s">
        <v>481</v>
      </c>
      <c r="C254" s="1" t="s">
        <v>1479</v>
      </c>
      <c r="D254" s="1" t="s">
        <v>1535</v>
      </c>
      <c r="E254" s="0" t="s">
        <v>39</v>
      </c>
      <c r="F254" s="0" t="s">
        <v>48</v>
      </c>
      <c r="G254" s="0" t="s">
        <v>4233</v>
      </c>
      <c r="K254" s="0" t="n">
        <v>8</v>
      </c>
      <c r="M254" s="0" t="s">
        <v>4239</v>
      </c>
      <c r="N254" s="0" t="s">
        <v>4235</v>
      </c>
      <c r="P254" s="0" t="s">
        <v>4240</v>
      </c>
      <c r="Q254" s="2" t="n">
        <v>43001</v>
      </c>
      <c r="S254" s="0" t="n">
        <f aca="false">YEAR(Q254)</f>
        <v>2017</v>
      </c>
      <c r="T254" s="0" t="n">
        <f aca="false">MONTH(Q254)</f>
        <v>9</v>
      </c>
    </row>
    <row r="255" customFormat="false" ht="14.25" hidden="true" customHeight="false" outlineLevel="0" collapsed="false">
      <c r="A255" s="0" t="n">
        <v>254</v>
      </c>
      <c r="B255" s="1" t="s">
        <v>483</v>
      </c>
      <c r="C255" s="1" t="s">
        <v>1479</v>
      </c>
      <c r="D255" s="1" t="s">
        <v>1535</v>
      </c>
      <c r="E255" s="0" t="s">
        <v>39</v>
      </c>
      <c r="F255" s="0" t="s">
        <v>48</v>
      </c>
      <c r="G255" s="0" t="s">
        <v>4241</v>
      </c>
      <c r="I255" s="6" t="n">
        <v>0.236111111111111</v>
      </c>
      <c r="J255" s="6" t="n">
        <v>0.25</v>
      </c>
      <c r="K255" s="0" t="n">
        <v>50</v>
      </c>
      <c r="L255" s="0" t="n">
        <v>53</v>
      </c>
      <c r="M255" s="0" t="s">
        <v>4242</v>
      </c>
      <c r="N255" s="0" t="s">
        <v>4243</v>
      </c>
      <c r="P255" s="0" t="s">
        <v>4244</v>
      </c>
      <c r="Q255" s="2" t="n">
        <v>43000</v>
      </c>
      <c r="S255" s="0" t="n">
        <f aca="false">YEAR(Q255)</f>
        <v>2017</v>
      </c>
      <c r="T255" s="0" t="n">
        <f aca="false">MONTH(Q255)</f>
        <v>9</v>
      </c>
    </row>
    <row r="256" customFormat="false" ht="14.25" hidden="true" customHeight="false" outlineLevel="0" collapsed="false">
      <c r="A256" s="0" t="n">
        <v>255</v>
      </c>
      <c r="B256" s="1" t="s">
        <v>483</v>
      </c>
      <c r="C256" s="1" t="s">
        <v>1479</v>
      </c>
      <c r="D256" s="1" t="s">
        <v>1535</v>
      </c>
      <c r="E256" s="0" t="s">
        <v>39</v>
      </c>
      <c r="F256" s="0" t="s">
        <v>48</v>
      </c>
      <c r="G256" s="0" t="s">
        <v>4233</v>
      </c>
      <c r="I256" s="6" t="n">
        <v>0.236111111111111</v>
      </c>
      <c r="J256" s="6" t="n">
        <v>0.25</v>
      </c>
      <c r="K256" s="0" t="n">
        <v>50</v>
      </c>
      <c r="M256" s="0" t="s">
        <v>4239</v>
      </c>
      <c r="N256" s="0" t="s">
        <v>4235</v>
      </c>
      <c r="P256" s="0" t="s">
        <v>4245</v>
      </c>
      <c r="Q256" s="2" t="n">
        <v>43000</v>
      </c>
      <c r="S256" s="0" t="n">
        <f aca="false">YEAR(Q256)</f>
        <v>2017</v>
      </c>
      <c r="T256" s="0" t="n">
        <f aca="false">MONTH(Q256)</f>
        <v>9</v>
      </c>
    </row>
    <row r="257" customFormat="false" ht="14.25" hidden="true" customHeight="false" outlineLevel="0" collapsed="false">
      <c r="A257" s="0" t="n">
        <v>256</v>
      </c>
      <c r="B257" s="1" t="s">
        <v>483</v>
      </c>
      <c r="C257" s="1" t="s">
        <v>1503</v>
      </c>
      <c r="D257" s="1" t="s">
        <v>1535</v>
      </c>
      <c r="E257" s="0" t="s">
        <v>44</v>
      </c>
      <c r="F257" s="0" t="s">
        <v>49</v>
      </c>
      <c r="G257" s="0" t="s">
        <v>4246</v>
      </c>
      <c r="I257" s="6" t="n">
        <v>0.645833333333333</v>
      </c>
      <c r="J257" s="6" t="n">
        <v>0.666666666666667</v>
      </c>
      <c r="K257" s="0" t="n">
        <v>0</v>
      </c>
      <c r="M257" s="0" t="s">
        <v>4247</v>
      </c>
      <c r="N257" s="0" t="s">
        <v>4248</v>
      </c>
      <c r="P257" s="0" t="s">
        <v>4249</v>
      </c>
      <c r="Q257" s="2" t="n">
        <v>43000</v>
      </c>
      <c r="S257" s="0" t="n">
        <f aca="false">YEAR(Q257)</f>
        <v>2017</v>
      </c>
      <c r="T257" s="0" t="n">
        <f aca="false">MONTH(Q257)</f>
        <v>9</v>
      </c>
    </row>
    <row r="258" customFormat="false" ht="14.25" hidden="true" customHeight="false" outlineLevel="0" collapsed="false">
      <c r="A258" s="0" t="n">
        <v>257</v>
      </c>
      <c r="B258" s="1" t="s">
        <v>483</v>
      </c>
      <c r="C258" s="1" t="s">
        <v>1503</v>
      </c>
      <c r="D258" s="1" t="s">
        <v>1535</v>
      </c>
      <c r="E258" s="0" t="s">
        <v>44</v>
      </c>
      <c r="F258" s="0" t="s">
        <v>49</v>
      </c>
      <c r="G258" s="0" t="s">
        <v>4250</v>
      </c>
      <c r="I258" s="6" t="n">
        <v>0.763888888888889</v>
      </c>
      <c r="J258" s="6" t="n">
        <v>0.770833333333333</v>
      </c>
      <c r="L258" s="0" t="n">
        <v>45</v>
      </c>
      <c r="M258" s="0" t="s">
        <v>4251</v>
      </c>
      <c r="N258" s="0" t="s">
        <v>4252</v>
      </c>
      <c r="P258" s="0" t="s">
        <v>4253</v>
      </c>
      <c r="Q258" s="2" t="n">
        <v>43000</v>
      </c>
      <c r="S258" s="0" t="n">
        <f aca="false">YEAR(Q258)</f>
        <v>2017</v>
      </c>
      <c r="T258" s="0" t="n">
        <f aca="false">MONTH(Q258)</f>
        <v>9</v>
      </c>
    </row>
    <row r="259" customFormat="false" ht="42.75" hidden="true" customHeight="false" outlineLevel="0" collapsed="false">
      <c r="A259" s="0" t="n">
        <v>258</v>
      </c>
      <c r="B259" s="1" t="s">
        <v>483</v>
      </c>
      <c r="C259" s="1" t="s">
        <v>1479</v>
      </c>
      <c r="D259" s="1" t="s">
        <v>1496</v>
      </c>
      <c r="E259" s="0" t="s">
        <v>38</v>
      </c>
      <c r="F259" s="0" t="s">
        <v>49</v>
      </c>
      <c r="G259" s="0" t="s">
        <v>4254</v>
      </c>
      <c r="I259" s="6" t="n">
        <v>0.888888888888889</v>
      </c>
      <c r="J259" s="6" t="n">
        <v>0.897916666666667</v>
      </c>
      <c r="K259" s="0" t="n">
        <v>5</v>
      </c>
      <c r="L259" s="0" t="n">
        <v>18</v>
      </c>
      <c r="M259" s="0" t="s">
        <v>4255</v>
      </c>
      <c r="N259" s="0" t="s">
        <v>4256</v>
      </c>
      <c r="P259" s="7" t="s">
        <v>4257</v>
      </c>
      <c r="Q259" s="2" t="n">
        <v>43000</v>
      </c>
      <c r="S259" s="0" t="n">
        <f aca="false">YEAR(Q259)</f>
        <v>2017</v>
      </c>
      <c r="T259" s="0" t="n">
        <f aca="false">MONTH(Q259)</f>
        <v>9</v>
      </c>
    </row>
    <row r="260" customFormat="false" ht="14.25" hidden="true" customHeight="false" outlineLevel="0" collapsed="false">
      <c r="A260" s="0" t="n">
        <v>259</v>
      </c>
      <c r="B260" s="1" t="s">
        <v>486</v>
      </c>
      <c r="C260" s="1" t="s">
        <v>1503</v>
      </c>
      <c r="D260" s="1" t="s">
        <v>1504</v>
      </c>
      <c r="E260" s="0" t="s">
        <v>45</v>
      </c>
      <c r="F260" s="0" t="s">
        <v>49</v>
      </c>
      <c r="G260" s="0" t="s">
        <v>4258</v>
      </c>
      <c r="I260" s="6" t="n">
        <v>0.5625</v>
      </c>
      <c r="J260" s="6" t="n">
        <v>0.583333333333333</v>
      </c>
      <c r="K260" s="0" t="n">
        <v>0</v>
      </c>
      <c r="L260" s="0" t="n">
        <v>180</v>
      </c>
      <c r="M260" s="0" t="s">
        <v>4259</v>
      </c>
      <c r="N260" s="0" t="s">
        <v>4260</v>
      </c>
      <c r="P260" s="0" t="s">
        <v>4261</v>
      </c>
      <c r="Q260" s="2" t="n">
        <v>43003</v>
      </c>
      <c r="S260" s="0" t="n">
        <f aca="false">YEAR(Q260)</f>
        <v>2017</v>
      </c>
      <c r="T260" s="0" t="n">
        <f aca="false">MONTH(Q260)</f>
        <v>9</v>
      </c>
    </row>
    <row r="261" customFormat="false" ht="42.75" hidden="true" customHeight="false" outlineLevel="0" collapsed="false">
      <c r="A261" s="0" t="n">
        <v>260</v>
      </c>
      <c r="B261" s="1" t="s">
        <v>486</v>
      </c>
      <c r="C261" s="1" t="s">
        <v>1479</v>
      </c>
      <c r="D261" s="1" t="s">
        <v>1487</v>
      </c>
      <c r="E261" s="0" t="s">
        <v>1488</v>
      </c>
      <c r="F261" s="0" t="s">
        <v>49</v>
      </c>
      <c r="G261" s="0" t="s">
        <v>4262</v>
      </c>
      <c r="I261" s="6" t="n">
        <v>0.8125</v>
      </c>
      <c r="J261" s="6" t="n">
        <v>0.822916666666667</v>
      </c>
      <c r="K261" s="0" t="n">
        <v>0</v>
      </c>
      <c r="L261" s="0" t="n">
        <v>50</v>
      </c>
      <c r="M261" s="0" t="s">
        <v>4263</v>
      </c>
      <c r="N261" s="7" t="s">
        <v>4264</v>
      </c>
      <c r="O261" s="7"/>
      <c r="P261" s="0" t="s">
        <v>4265</v>
      </c>
      <c r="Q261" s="2" t="n">
        <v>43003</v>
      </c>
      <c r="S261" s="0" t="n">
        <f aca="false">YEAR(Q261)</f>
        <v>2017</v>
      </c>
      <c r="T261" s="0" t="n">
        <f aca="false">MONTH(Q261)</f>
        <v>9</v>
      </c>
    </row>
    <row r="262" customFormat="false" ht="14.25" hidden="true" customHeight="false" outlineLevel="0" collapsed="false">
      <c r="A262" s="0" t="n">
        <v>261</v>
      </c>
      <c r="B262" s="1" t="s">
        <v>488</v>
      </c>
      <c r="C262" s="1" t="s">
        <v>1479</v>
      </c>
      <c r="D262" s="1" t="s">
        <v>1535</v>
      </c>
      <c r="E262" s="0" t="s">
        <v>39</v>
      </c>
      <c r="F262" s="0" t="s">
        <v>48</v>
      </c>
      <c r="G262" s="0" t="s">
        <v>4233</v>
      </c>
      <c r="I262" s="6" t="n">
        <v>0.277083333333333</v>
      </c>
      <c r="J262" s="6" t="n">
        <v>0.279166666666667</v>
      </c>
      <c r="K262" s="0" t="n">
        <v>1</v>
      </c>
      <c r="M262" s="0" t="s">
        <v>4266</v>
      </c>
      <c r="N262" s="0" t="s">
        <v>4235</v>
      </c>
      <c r="P262" s="0" t="s">
        <v>4267</v>
      </c>
      <c r="Q262" s="2" t="n">
        <v>43004</v>
      </c>
      <c r="S262" s="0" t="n">
        <f aca="false">YEAR(Q262)</f>
        <v>2017</v>
      </c>
      <c r="T262" s="0" t="n">
        <f aca="false">MONTH(Q262)</f>
        <v>9</v>
      </c>
    </row>
    <row r="263" customFormat="false" ht="14.25" hidden="true" customHeight="false" outlineLevel="0" collapsed="false">
      <c r="A263" s="0" t="n">
        <v>262</v>
      </c>
      <c r="B263" s="1" t="s">
        <v>488</v>
      </c>
      <c r="C263" s="1" t="s">
        <v>1479</v>
      </c>
      <c r="D263" s="1" t="s">
        <v>1535</v>
      </c>
      <c r="E263" s="0" t="s">
        <v>39</v>
      </c>
      <c r="F263" s="0" t="s">
        <v>48</v>
      </c>
      <c r="G263" s="0" t="s">
        <v>4268</v>
      </c>
      <c r="I263" s="6" t="n">
        <v>0.433333333333333</v>
      </c>
      <c r="J263" s="6" t="n">
        <v>0.433333333333333</v>
      </c>
      <c r="K263" s="0" t="n">
        <v>15</v>
      </c>
      <c r="L263" s="0" t="n">
        <v>17</v>
      </c>
      <c r="M263" s="0" t="s">
        <v>4269</v>
      </c>
      <c r="N263" s="0" t="s">
        <v>4270</v>
      </c>
      <c r="P263" s="0" t="s">
        <v>4271</v>
      </c>
      <c r="Q263" s="2" t="n">
        <v>43004</v>
      </c>
      <c r="S263" s="0" t="n">
        <f aca="false">YEAR(Q263)</f>
        <v>2017</v>
      </c>
      <c r="T263" s="0" t="n">
        <f aca="false">MONTH(Q263)</f>
        <v>9</v>
      </c>
    </row>
    <row r="264" customFormat="false" ht="14.25" hidden="true" customHeight="false" outlineLevel="0" collapsed="false">
      <c r="A264" s="0" t="n">
        <v>263</v>
      </c>
      <c r="B264" s="1" t="s">
        <v>493</v>
      </c>
      <c r="C264" s="1" t="s">
        <v>1479</v>
      </c>
      <c r="D264" s="1" t="s">
        <v>1496</v>
      </c>
      <c r="E264" s="0" t="s">
        <v>38</v>
      </c>
      <c r="F264" s="0" t="s">
        <v>49</v>
      </c>
      <c r="G264" s="0" t="s">
        <v>4272</v>
      </c>
      <c r="J264" s="6" t="n">
        <v>0.697916666666667</v>
      </c>
      <c r="K264" s="0" t="n">
        <v>0</v>
      </c>
      <c r="L264" s="0" t="n">
        <v>180</v>
      </c>
      <c r="M264" s="0" t="s">
        <v>4273</v>
      </c>
      <c r="N264" s="0" t="s">
        <v>4274</v>
      </c>
      <c r="P264" s="0" t="s">
        <v>4275</v>
      </c>
      <c r="Q264" s="2" t="n">
        <v>43005</v>
      </c>
      <c r="S264" s="0" t="n">
        <f aca="false">YEAR(Q264)</f>
        <v>2017</v>
      </c>
      <c r="T264" s="0" t="n">
        <f aca="false">MONTH(Q264)</f>
        <v>9</v>
      </c>
    </row>
    <row r="265" customFormat="false" ht="14.25" hidden="true" customHeight="false" outlineLevel="0" collapsed="false">
      <c r="A265" s="0" t="n">
        <v>264</v>
      </c>
      <c r="B265" s="1" t="s">
        <v>493</v>
      </c>
      <c r="C265" s="1" t="s">
        <v>1479</v>
      </c>
      <c r="D265" s="1" t="s">
        <v>1487</v>
      </c>
      <c r="E265" s="0" t="s">
        <v>1488</v>
      </c>
      <c r="F265" s="0" t="s">
        <v>49</v>
      </c>
      <c r="G265" s="0" t="s">
        <v>4276</v>
      </c>
      <c r="I265" s="6" t="n">
        <v>0.708333333333333</v>
      </c>
      <c r="J265" s="6" t="n">
        <v>0.725694444444444</v>
      </c>
      <c r="K265" s="0" t="n">
        <v>0</v>
      </c>
      <c r="L265" s="0" t="n">
        <v>50</v>
      </c>
      <c r="M265" s="0" t="s">
        <v>4277</v>
      </c>
      <c r="N265" s="0" t="s">
        <v>4278</v>
      </c>
      <c r="P265" s="0" t="s">
        <v>4279</v>
      </c>
      <c r="Q265" s="2" t="n">
        <v>43005</v>
      </c>
      <c r="S265" s="0" t="n">
        <f aca="false">YEAR(Q265)</f>
        <v>2017</v>
      </c>
      <c r="T265" s="0" t="n">
        <f aca="false">MONTH(Q265)</f>
        <v>9</v>
      </c>
    </row>
    <row r="266" customFormat="false" ht="14.25" hidden="true" customHeight="false" outlineLevel="0" collapsed="false">
      <c r="A266" s="0" t="n">
        <v>265</v>
      </c>
      <c r="B266" s="1" t="s">
        <v>493</v>
      </c>
      <c r="C266" s="1" t="s">
        <v>1479</v>
      </c>
      <c r="D266" s="1" t="s">
        <v>1496</v>
      </c>
      <c r="E266" s="0" t="s">
        <v>38</v>
      </c>
      <c r="F266" s="0" t="s">
        <v>49</v>
      </c>
      <c r="G266" s="0" t="s">
        <v>4280</v>
      </c>
      <c r="I266" s="6" t="n">
        <v>0.947916666666667</v>
      </c>
      <c r="J266" s="6" t="n">
        <v>0.954861111111111</v>
      </c>
      <c r="K266" s="0" t="n">
        <v>0</v>
      </c>
      <c r="L266" s="0" t="n">
        <v>45</v>
      </c>
      <c r="M266" s="0" t="s">
        <v>4281</v>
      </c>
      <c r="N266" s="0" t="s">
        <v>4282</v>
      </c>
      <c r="P266" s="0" t="s">
        <v>4283</v>
      </c>
      <c r="Q266" s="2" t="n">
        <v>43005</v>
      </c>
      <c r="S266" s="0" t="n">
        <f aca="false">YEAR(Q266)</f>
        <v>2017</v>
      </c>
      <c r="T266" s="0" t="n">
        <f aca="false">MONTH(Q266)</f>
        <v>9</v>
      </c>
    </row>
    <row r="267" customFormat="false" ht="14.25" hidden="true" customHeight="false" outlineLevel="0" collapsed="false">
      <c r="A267" s="0" t="n">
        <v>266</v>
      </c>
      <c r="B267" s="1" t="s">
        <v>507</v>
      </c>
      <c r="C267" s="1" t="s">
        <v>1503</v>
      </c>
      <c r="D267" s="1" t="s">
        <v>1535</v>
      </c>
      <c r="E267" s="0" t="s">
        <v>44</v>
      </c>
      <c r="F267" s="0" t="s">
        <v>48</v>
      </c>
      <c r="G267" s="0" t="s">
        <v>4284</v>
      </c>
      <c r="I267" s="6" t="n">
        <v>0.375</v>
      </c>
      <c r="J267" s="6" t="n">
        <v>0.395833333333333</v>
      </c>
      <c r="K267" s="0" t="n">
        <v>0</v>
      </c>
      <c r="M267" s="0" t="s">
        <v>4285</v>
      </c>
      <c r="N267" s="0" t="s">
        <v>4286</v>
      </c>
      <c r="P267" s="0" t="s">
        <v>4287</v>
      </c>
      <c r="Q267" s="2" t="n">
        <v>43011</v>
      </c>
      <c r="S267" s="0" t="n">
        <f aca="false">YEAR(Q267)</f>
        <v>2017</v>
      </c>
      <c r="T267" s="0" t="n">
        <f aca="false">MONTH(Q267)</f>
        <v>10</v>
      </c>
    </row>
    <row r="268" customFormat="false" ht="14.25" hidden="true" customHeight="false" outlineLevel="0" collapsed="false">
      <c r="A268" s="0" t="n">
        <v>267</v>
      </c>
      <c r="B268" s="1" t="s">
        <v>511</v>
      </c>
      <c r="C268" s="1" t="s">
        <v>1479</v>
      </c>
      <c r="D268" s="1" t="s">
        <v>1496</v>
      </c>
      <c r="E268" s="0" t="s">
        <v>38</v>
      </c>
      <c r="F268" s="0" t="s">
        <v>48</v>
      </c>
      <c r="G268" s="0" t="s">
        <v>4288</v>
      </c>
      <c r="J268" s="6" t="n">
        <v>0.236111111111111</v>
      </c>
      <c r="K268" s="0" t="n">
        <v>0</v>
      </c>
      <c r="L268" s="0" t="n">
        <v>100</v>
      </c>
      <c r="M268" s="0" t="s">
        <v>4289</v>
      </c>
      <c r="N268" s="0" t="s">
        <v>4290</v>
      </c>
      <c r="P268" s="0" t="s">
        <v>4291</v>
      </c>
      <c r="Q268" s="2" t="n">
        <v>43012</v>
      </c>
      <c r="S268" s="0" t="n">
        <f aca="false">YEAR(Q268)</f>
        <v>2017</v>
      </c>
      <c r="T268" s="0" t="n">
        <f aca="false">MONTH(Q268)</f>
        <v>10</v>
      </c>
    </row>
    <row r="269" customFormat="false" ht="14.25" hidden="true" customHeight="false" outlineLevel="0" collapsed="false">
      <c r="A269" s="0" t="n">
        <v>268</v>
      </c>
      <c r="B269" s="1" t="s">
        <v>511</v>
      </c>
      <c r="C269" s="1" t="s">
        <v>1479</v>
      </c>
      <c r="D269" s="1" t="s">
        <v>1487</v>
      </c>
      <c r="E269" s="0" t="s">
        <v>1488</v>
      </c>
      <c r="F269" s="0" t="s">
        <v>49</v>
      </c>
      <c r="G269" s="0" t="s">
        <v>4292</v>
      </c>
      <c r="J269" s="6" t="n">
        <v>0.895833333333333</v>
      </c>
      <c r="K269" s="0" t="n">
        <v>0</v>
      </c>
      <c r="M269" s="0" t="s">
        <v>4293</v>
      </c>
      <c r="N269" s="0" t="s">
        <v>4294</v>
      </c>
      <c r="P269" s="0" t="s">
        <v>4295</v>
      </c>
      <c r="Q269" s="2" t="n">
        <v>43012</v>
      </c>
      <c r="S269" s="0" t="n">
        <f aca="false">YEAR(Q269)</f>
        <v>2017</v>
      </c>
      <c r="T269" s="0" t="n">
        <f aca="false">MONTH(Q269)</f>
        <v>10</v>
      </c>
    </row>
    <row r="270" customFormat="false" ht="57" hidden="true" customHeight="false" outlineLevel="0" collapsed="false">
      <c r="A270" s="0" t="n">
        <v>269</v>
      </c>
      <c r="B270" s="1" t="s">
        <v>515</v>
      </c>
      <c r="C270" s="1" t="s">
        <v>1479</v>
      </c>
      <c r="D270" s="1" t="s">
        <v>1535</v>
      </c>
      <c r="E270" s="0" t="s">
        <v>39</v>
      </c>
      <c r="F270" s="0" t="s">
        <v>49</v>
      </c>
      <c r="G270" s="0" t="s">
        <v>4296</v>
      </c>
      <c r="I270" s="6" t="n">
        <v>0.732638888888889</v>
      </c>
      <c r="J270" s="6" t="n">
        <v>0.736805555555556</v>
      </c>
      <c r="K270" s="0" t="n">
        <v>40</v>
      </c>
      <c r="L270" s="0" t="n">
        <v>43</v>
      </c>
      <c r="M270" s="0" t="s">
        <v>4297</v>
      </c>
      <c r="N270" s="7" t="s">
        <v>4298</v>
      </c>
      <c r="O270" s="7"/>
      <c r="P270" s="7" t="s">
        <v>4299</v>
      </c>
      <c r="Q270" s="2" t="n">
        <v>43014</v>
      </c>
      <c r="S270" s="0" t="n">
        <f aca="false">YEAR(Q270)</f>
        <v>2017</v>
      </c>
      <c r="T270" s="0" t="n">
        <f aca="false">MONTH(Q270)</f>
        <v>10</v>
      </c>
    </row>
    <row r="271" customFormat="false" ht="14.25" hidden="true" customHeight="false" outlineLevel="0" collapsed="false">
      <c r="A271" s="0" t="n">
        <v>270</v>
      </c>
      <c r="B271" s="1" t="s">
        <v>520</v>
      </c>
      <c r="C271" s="1" t="s">
        <v>1479</v>
      </c>
      <c r="D271" s="1" t="s">
        <v>1535</v>
      </c>
      <c r="E271" s="0" t="s">
        <v>39</v>
      </c>
      <c r="F271" s="0" t="s">
        <v>48</v>
      </c>
      <c r="G271" s="0" t="s">
        <v>3583</v>
      </c>
      <c r="I271" s="6" t="n">
        <v>0.145833333333333</v>
      </c>
      <c r="J271" s="6" t="n">
        <v>0.319444444444444</v>
      </c>
      <c r="K271" s="0" t="n">
        <v>0</v>
      </c>
      <c r="L271" s="0" t="n">
        <v>0</v>
      </c>
      <c r="M271" s="0" t="s">
        <v>4300</v>
      </c>
      <c r="N271" s="0" t="s">
        <v>4301</v>
      </c>
      <c r="P271" s="0" t="s">
        <v>4302</v>
      </c>
      <c r="Q271" s="2" t="n">
        <v>43013</v>
      </c>
      <c r="S271" s="0" t="n">
        <f aca="false">YEAR(Q271)</f>
        <v>2017</v>
      </c>
      <c r="T271" s="0" t="n">
        <f aca="false">MONTH(Q271)</f>
        <v>10</v>
      </c>
    </row>
    <row r="272" customFormat="false" ht="14.25" hidden="true" customHeight="false" outlineLevel="0" collapsed="false">
      <c r="A272" s="0" t="n">
        <v>271</v>
      </c>
      <c r="B272" s="1" t="s">
        <v>520</v>
      </c>
      <c r="C272" s="1" t="s">
        <v>1503</v>
      </c>
      <c r="D272" s="1" t="s">
        <v>1535</v>
      </c>
      <c r="E272" s="0" t="s">
        <v>44</v>
      </c>
      <c r="F272" s="0" t="s">
        <v>48</v>
      </c>
      <c r="G272" s="0" t="s">
        <v>4303</v>
      </c>
      <c r="I272" s="6" t="n">
        <v>0.375</v>
      </c>
      <c r="J272" s="6" t="n">
        <v>0.388888888888889</v>
      </c>
      <c r="K272" s="0" t="n">
        <v>0</v>
      </c>
      <c r="L272" s="0" t="n">
        <v>0</v>
      </c>
      <c r="M272" s="0" t="s">
        <v>4304</v>
      </c>
      <c r="N272" s="0" t="s">
        <v>4305</v>
      </c>
      <c r="P272" s="0" t="s">
        <v>4306</v>
      </c>
      <c r="Q272" s="2" t="n">
        <v>43013</v>
      </c>
      <c r="S272" s="0" t="n">
        <f aca="false">YEAR(Q272)</f>
        <v>2017</v>
      </c>
      <c r="T272" s="0" t="n">
        <f aca="false">MONTH(Q272)</f>
        <v>10</v>
      </c>
    </row>
    <row r="273" customFormat="false" ht="14.25" hidden="true" customHeight="false" outlineLevel="0" collapsed="false">
      <c r="A273" s="0" t="n">
        <v>272</v>
      </c>
      <c r="B273" s="1" t="s">
        <v>525</v>
      </c>
      <c r="C273" s="1" t="s">
        <v>1479</v>
      </c>
      <c r="D273" s="1" t="s">
        <v>1487</v>
      </c>
      <c r="E273" s="0" t="s">
        <v>1488</v>
      </c>
      <c r="F273" s="0" t="s">
        <v>48</v>
      </c>
      <c r="G273" s="0" t="s">
        <v>4307</v>
      </c>
      <c r="I273" s="6" t="n">
        <v>0.921527777777778</v>
      </c>
      <c r="J273" s="6" t="n">
        <v>0.104166666666667</v>
      </c>
      <c r="K273" s="0" t="n">
        <v>108</v>
      </c>
      <c r="L273" s="0" t="n">
        <v>143</v>
      </c>
      <c r="M273" s="0" t="s">
        <v>4308</v>
      </c>
      <c r="N273" s="0" t="s">
        <v>4309</v>
      </c>
      <c r="P273" s="0" t="s">
        <v>4310</v>
      </c>
      <c r="Q273" s="2" t="n">
        <v>43017</v>
      </c>
      <c r="S273" s="0" t="n">
        <f aca="false">YEAR(Q273)</f>
        <v>2017</v>
      </c>
      <c r="T273" s="0" t="n">
        <f aca="false">MONTH(Q273)</f>
        <v>10</v>
      </c>
    </row>
    <row r="274" customFormat="false" ht="14.25" hidden="true" customHeight="false" outlineLevel="0" collapsed="false">
      <c r="A274" s="0" t="n">
        <v>273</v>
      </c>
      <c r="B274" s="1" t="s">
        <v>525</v>
      </c>
      <c r="C274" s="1" t="s">
        <v>1503</v>
      </c>
      <c r="D274" s="1" t="s">
        <v>1535</v>
      </c>
      <c r="E274" s="0" t="s">
        <v>44</v>
      </c>
      <c r="F274" s="0" t="s">
        <v>49</v>
      </c>
      <c r="G274" s="0" t="s">
        <v>4311</v>
      </c>
      <c r="I274" s="6" t="n">
        <v>0.520833333333333</v>
      </c>
      <c r="K274" s="0" t="n">
        <v>0</v>
      </c>
      <c r="M274" s="0" t="s">
        <v>4312</v>
      </c>
      <c r="N274" s="0" t="s">
        <v>4313</v>
      </c>
      <c r="P274" s="0" t="s">
        <v>4314</v>
      </c>
      <c r="Q274" s="2" t="n">
        <v>43017</v>
      </c>
      <c r="S274" s="0" t="n">
        <f aca="false">YEAR(Q274)</f>
        <v>2017</v>
      </c>
      <c r="T274" s="0" t="n">
        <f aca="false">MONTH(Q274)</f>
        <v>10</v>
      </c>
    </row>
    <row r="275" customFormat="false" ht="42.75" hidden="true" customHeight="false" outlineLevel="0" collapsed="false">
      <c r="A275" s="0" t="n">
        <v>274</v>
      </c>
      <c r="B275" s="1" t="s">
        <v>525</v>
      </c>
      <c r="C275" s="1" t="s">
        <v>1479</v>
      </c>
      <c r="D275" s="1" t="s">
        <v>1487</v>
      </c>
      <c r="E275" s="0" t="s">
        <v>1488</v>
      </c>
      <c r="F275" s="0" t="s">
        <v>49</v>
      </c>
      <c r="G275" s="0" t="s">
        <v>4315</v>
      </c>
      <c r="I275" s="6" t="n">
        <v>0.6875</v>
      </c>
      <c r="J275" s="6" t="n">
        <v>0.722222222222222</v>
      </c>
      <c r="L275" s="0" t="n">
        <v>12</v>
      </c>
      <c r="M275" s="7" t="s">
        <v>4316</v>
      </c>
      <c r="N275" s="7" t="s">
        <v>4317</v>
      </c>
      <c r="O275" s="7"/>
      <c r="P275" s="7" t="s">
        <v>4318</v>
      </c>
      <c r="Q275" s="2" t="n">
        <v>43017</v>
      </c>
      <c r="S275" s="0" t="n">
        <f aca="false">YEAR(Q275)</f>
        <v>2017</v>
      </c>
      <c r="T275" s="0" t="n">
        <f aca="false">MONTH(Q275)</f>
        <v>10</v>
      </c>
    </row>
    <row r="276" customFormat="false" ht="14.25" hidden="true" customHeight="false" outlineLevel="0" collapsed="false">
      <c r="A276" s="0" t="n">
        <v>275</v>
      </c>
      <c r="B276" s="1" t="s">
        <v>525</v>
      </c>
      <c r="C276" s="1" t="s">
        <v>1479</v>
      </c>
      <c r="D276" s="1" t="s">
        <v>1487</v>
      </c>
      <c r="E276" s="0" t="s">
        <v>1488</v>
      </c>
      <c r="F276" s="0" t="s">
        <v>49</v>
      </c>
      <c r="G276" s="0" t="s">
        <v>4319</v>
      </c>
      <c r="I276" s="6" t="n">
        <v>0.736111111111111</v>
      </c>
      <c r="J276" s="6" t="n">
        <v>0.75</v>
      </c>
      <c r="K276" s="0" t="n">
        <v>0</v>
      </c>
      <c r="L276" s="0" t="n">
        <v>61</v>
      </c>
      <c r="M276" s="0" t="s">
        <v>4320</v>
      </c>
      <c r="N276" s="0" t="s">
        <v>4321</v>
      </c>
      <c r="P276" s="0" t="s">
        <v>4322</v>
      </c>
      <c r="Q276" s="2" t="n">
        <v>43017</v>
      </c>
      <c r="S276" s="0" t="n">
        <f aca="false">YEAR(Q276)</f>
        <v>2017</v>
      </c>
      <c r="T276" s="0" t="n">
        <f aca="false">MONTH(Q276)</f>
        <v>10</v>
      </c>
    </row>
    <row r="277" customFormat="false" ht="57" hidden="true" customHeight="false" outlineLevel="0" collapsed="false">
      <c r="A277" s="0" t="n">
        <v>276</v>
      </c>
      <c r="B277" s="1" t="s">
        <v>525</v>
      </c>
      <c r="C277" s="1" t="s">
        <v>1479</v>
      </c>
      <c r="D277" s="1" t="s">
        <v>1487</v>
      </c>
      <c r="E277" s="0" t="s">
        <v>1488</v>
      </c>
      <c r="F277" s="0" t="s">
        <v>49</v>
      </c>
      <c r="G277" s="0" t="s">
        <v>4323</v>
      </c>
      <c r="I277" s="6" t="n">
        <v>0.771527777777778</v>
      </c>
      <c r="J277" s="6" t="n">
        <v>0.784722222222222</v>
      </c>
      <c r="K277" s="0" t="n">
        <v>67</v>
      </c>
      <c r="L277" s="0" t="n">
        <v>67</v>
      </c>
      <c r="M277" s="7" t="s">
        <v>4324</v>
      </c>
      <c r="N277" s="7" t="s">
        <v>4325</v>
      </c>
      <c r="O277" s="7"/>
      <c r="P277" s="7" t="s">
        <v>4326</v>
      </c>
      <c r="Q277" s="2" t="n">
        <v>43017</v>
      </c>
      <c r="S277" s="0" t="n">
        <f aca="false">YEAR(Q277)</f>
        <v>2017</v>
      </c>
      <c r="T277" s="0" t="n">
        <f aca="false">MONTH(Q277)</f>
        <v>10</v>
      </c>
    </row>
    <row r="278" customFormat="false" ht="14.25" hidden="true" customHeight="false" outlineLevel="0" collapsed="false">
      <c r="A278" s="0" t="n">
        <v>277</v>
      </c>
      <c r="B278" s="1" t="s">
        <v>528</v>
      </c>
      <c r="C278" s="1" t="s">
        <v>1479</v>
      </c>
      <c r="D278" s="1" t="s">
        <v>1496</v>
      </c>
      <c r="E278" s="0" t="s">
        <v>38</v>
      </c>
      <c r="F278" s="0" t="s">
        <v>48</v>
      </c>
      <c r="G278" s="0" t="s">
        <v>4327</v>
      </c>
      <c r="I278" s="6" t="n">
        <v>0.444444444444444</v>
      </c>
      <c r="J278" s="6" t="n">
        <v>0.520833333333333</v>
      </c>
      <c r="K278" s="0" t="n">
        <v>0</v>
      </c>
      <c r="L278" s="0" t="n">
        <v>10</v>
      </c>
      <c r="M278" s="0" t="s">
        <v>4328</v>
      </c>
      <c r="N278" s="0" t="s">
        <v>4329</v>
      </c>
      <c r="P278" s="0" t="s">
        <v>4330</v>
      </c>
      <c r="Q278" s="2" t="n">
        <v>43018</v>
      </c>
      <c r="S278" s="0" t="n">
        <f aca="false">YEAR(Q278)</f>
        <v>2017</v>
      </c>
      <c r="T278" s="0" t="n">
        <f aca="false">MONTH(Q278)</f>
        <v>10</v>
      </c>
    </row>
    <row r="279" customFormat="false" ht="57" hidden="true" customHeight="false" outlineLevel="0" collapsed="false">
      <c r="A279" s="0" t="n">
        <v>278</v>
      </c>
      <c r="B279" s="1" t="s">
        <v>528</v>
      </c>
      <c r="C279" s="1" t="s">
        <v>1479</v>
      </c>
      <c r="D279" s="1" t="s">
        <v>1496</v>
      </c>
      <c r="E279" s="0" t="s">
        <v>38</v>
      </c>
      <c r="F279" s="0" t="s">
        <v>49</v>
      </c>
      <c r="G279" s="0" t="s">
        <v>4331</v>
      </c>
      <c r="J279" s="6" t="n">
        <v>0.625</v>
      </c>
      <c r="K279" s="0" t="n">
        <v>0</v>
      </c>
      <c r="M279" s="0" t="s">
        <v>4332</v>
      </c>
      <c r="N279" s="0" t="s">
        <v>4333</v>
      </c>
      <c r="P279" s="7" t="s">
        <v>4334</v>
      </c>
      <c r="Q279" s="2" t="n">
        <v>43018</v>
      </c>
      <c r="S279" s="0" t="n">
        <f aca="false">YEAR(Q279)</f>
        <v>2017</v>
      </c>
      <c r="T279" s="0" t="n">
        <f aca="false">MONTH(Q279)</f>
        <v>10</v>
      </c>
    </row>
    <row r="280" customFormat="false" ht="14.25" hidden="true" customHeight="false" outlineLevel="0" collapsed="false">
      <c r="A280" s="0" t="n">
        <v>279</v>
      </c>
      <c r="B280" s="1" t="s">
        <v>529</v>
      </c>
      <c r="C280" s="1" t="s">
        <v>1479</v>
      </c>
      <c r="D280" s="1" t="s">
        <v>1496</v>
      </c>
      <c r="E280" s="0" t="s">
        <v>38</v>
      </c>
      <c r="F280" s="0" t="s">
        <v>48</v>
      </c>
      <c r="G280" s="0" t="s">
        <v>4335</v>
      </c>
      <c r="I280" s="6" t="n">
        <v>0.236111111111111</v>
      </c>
      <c r="J280" s="6" t="n">
        <v>0.25</v>
      </c>
      <c r="K280" s="0" t="n">
        <v>0</v>
      </c>
      <c r="L280" s="0" t="n">
        <v>300</v>
      </c>
      <c r="M280" s="0" t="s">
        <v>4336</v>
      </c>
      <c r="N280" s="0" t="s">
        <v>4290</v>
      </c>
      <c r="P280" s="0" t="s">
        <v>4337</v>
      </c>
      <c r="Q280" s="2" t="n">
        <v>43019</v>
      </c>
      <c r="S280" s="0" t="n">
        <f aca="false">YEAR(Q280)</f>
        <v>2017</v>
      </c>
      <c r="T280" s="0" t="n">
        <f aca="false">MONTH(Q280)</f>
        <v>10</v>
      </c>
    </row>
    <row r="281" customFormat="false" ht="14.25" hidden="true" customHeight="false" outlineLevel="0" collapsed="false">
      <c r="A281" s="0" t="n">
        <v>280</v>
      </c>
      <c r="B281" s="1" t="s">
        <v>529</v>
      </c>
      <c r="C281" s="1" t="s">
        <v>1479</v>
      </c>
      <c r="D281" s="1" t="s">
        <v>1496</v>
      </c>
      <c r="E281" s="0" t="s">
        <v>38</v>
      </c>
      <c r="F281" s="0" t="s">
        <v>48</v>
      </c>
      <c r="G281" s="0" t="s">
        <v>4338</v>
      </c>
      <c r="I281" s="6" t="n">
        <v>0.513888888888889</v>
      </c>
      <c r="J281" s="6" t="n">
        <v>0.520833333333333</v>
      </c>
      <c r="L281" s="0" t="n">
        <v>70</v>
      </c>
      <c r="M281" s="0" t="s">
        <v>4339</v>
      </c>
      <c r="N281" s="0" t="s">
        <v>4340</v>
      </c>
      <c r="P281" s="0" t="s">
        <v>4341</v>
      </c>
      <c r="Q281" s="2" t="n">
        <v>43019</v>
      </c>
      <c r="S281" s="0" t="n">
        <f aca="false">YEAR(Q281)</f>
        <v>2017</v>
      </c>
      <c r="T281" s="0" t="n">
        <f aca="false">MONTH(Q281)</f>
        <v>10</v>
      </c>
    </row>
    <row r="282" customFormat="false" ht="14.25" hidden="true" customHeight="false" outlineLevel="0" collapsed="false">
      <c r="A282" s="0" t="n">
        <v>281</v>
      </c>
      <c r="B282" s="1" t="s">
        <v>533</v>
      </c>
      <c r="C282" s="1" t="s">
        <v>1503</v>
      </c>
      <c r="D282" s="1" t="s">
        <v>1535</v>
      </c>
      <c r="E282" s="0" t="s">
        <v>44</v>
      </c>
      <c r="F282" s="0" t="s">
        <v>48</v>
      </c>
      <c r="G282" s="0" t="s">
        <v>4342</v>
      </c>
      <c r="I282" s="6" t="n">
        <v>0.236111111111111</v>
      </c>
      <c r="J282" s="6" t="n">
        <v>0.368055555555556</v>
      </c>
      <c r="M282" s="0" t="s">
        <v>4343</v>
      </c>
      <c r="N282" s="0" t="s">
        <v>4344</v>
      </c>
      <c r="P282" s="0" t="s">
        <v>4345</v>
      </c>
      <c r="Q282" s="2" t="n">
        <v>43024</v>
      </c>
      <c r="S282" s="0" t="n">
        <f aca="false">YEAR(Q282)</f>
        <v>2017</v>
      </c>
      <c r="T282" s="0" t="n">
        <f aca="false">MONTH(Q282)</f>
        <v>10</v>
      </c>
    </row>
    <row r="283" customFormat="false" ht="14.25" hidden="true" customHeight="false" outlineLevel="0" collapsed="false">
      <c r="A283" s="0" t="n">
        <v>282</v>
      </c>
      <c r="B283" s="1" t="s">
        <v>533</v>
      </c>
      <c r="C283" s="1" t="s">
        <v>1479</v>
      </c>
      <c r="D283" s="1" t="s">
        <v>1496</v>
      </c>
      <c r="E283" s="0" t="s">
        <v>38</v>
      </c>
      <c r="F283" s="0" t="s">
        <v>48</v>
      </c>
      <c r="G283" s="0" t="s">
        <v>4346</v>
      </c>
      <c r="I283" s="6" t="n">
        <v>0.397222222222222</v>
      </c>
      <c r="K283" s="0" t="n">
        <v>62</v>
      </c>
      <c r="L283" s="0" t="n">
        <v>68</v>
      </c>
      <c r="M283" s="0" t="s">
        <v>4347</v>
      </c>
      <c r="N283" s="0" t="s">
        <v>4348</v>
      </c>
      <c r="P283" s="0" t="s">
        <v>4349</v>
      </c>
      <c r="Q283" s="2" t="n">
        <v>43024</v>
      </c>
      <c r="S283" s="0" t="n">
        <f aca="false">YEAR(Q283)</f>
        <v>2017</v>
      </c>
      <c r="T283" s="0" t="n">
        <f aca="false">MONTH(Q283)</f>
        <v>10</v>
      </c>
    </row>
    <row r="284" customFormat="false" ht="14.25" hidden="true" customHeight="false" outlineLevel="0" collapsed="false">
      <c r="A284" s="0" t="n">
        <v>283</v>
      </c>
      <c r="B284" s="1" t="s">
        <v>533</v>
      </c>
      <c r="C284" s="1" t="s">
        <v>1479</v>
      </c>
      <c r="D284" s="1" t="s">
        <v>1496</v>
      </c>
      <c r="E284" s="0" t="s">
        <v>38</v>
      </c>
      <c r="F284" s="0" t="s">
        <v>48</v>
      </c>
      <c r="G284" s="0" t="s">
        <v>3279</v>
      </c>
      <c r="I284" s="6" t="n">
        <v>0.530555555555556</v>
      </c>
      <c r="K284" s="0" t="n">
        <v>48</v>
      </c>
      <c r="L284" s="0" t="n">
        <v>100</v>
      </c>
      <c r="M284" s="0" t="s">
        <v>4350</v>
      </c>
      <c r="N284" s="0" t="s">
        <v>4351</v>
      </c>
      <c r="P284" s="0" t="s">
        <v>4352</v>
      </c>
      <c r="Q284" s="2" t="n">
        <v>43024</v>
      </c>
      <c r="S284" s="0" t="n">
        <f aca="false">YEAR(Q284)</f>
        <v>2017</v>
      </c>
      <c r="T284" s="0" t="n">
        <f aca="false">MONTH(Q284)</f>
        <v>10</v>
      </c>
    </row>
    <row r="285" customFormat="false" ht="14.25" hidden="true" customHeight="false" outlineLevel="0" collapsed="false">
      <c r="A285" s="0" t="n">
        <v>284</v>
      </c>
      <c r="B285" s="1" t="s">
        <v>533</v>
      </c>
      <c r="C285" s="1" t="s">
        <v>1479</v>
      </c>
      <c r="D285" s="1" t="s">
        <v>1496</v>
      </c>
      <c r="E285" s="0" t="s">
        <v>38</v>
      </c>
      <c r="F285" s="0" t="s">
        <v>48</v>
      </c>
      <c r="G285" s="0" t="s">
        <v>4353</v>
      </c>
      <c r="I285" s="6" t="n">
        <v>0.599305555555556</v>
      </c>
      <c r="J285" s="6" t="n">
        <v>0.599305555555556</v>
      </c>
      <c r="L285" s="0" t="n">
        <v>20</v>
      </c>
      <c r="M285" s="0" t="s">
        <v>4354</v>
      </c>
      <c r="N285" s="0" t="s">
        <v>4355</v>
      </c>
      <c r="P285" s="0" t="s">
        <v>4356</v>
      </c>
      <c r="Q285" s="2" t="n">
        <v>43024</v>
      </c>
      <c r="S285" s="0" t="n">
        <f aca="false">YEAR(Q285)</f>
        <v>2017</v>
      </c>
      <c r="T285" s="0" t="n">
        <f aca="false">MONTH(Q285)</f>
        <v>10</v>
      </c>
    </row>
    <row r="286" customFormat="false" ht="42.75" hidden="true" customHeight="false" outlineLevel="0" collapsed="false">
      <c r="A286" s="0" t="n">
        <v>285</v>
      </c>
      <c r="B286" s="1" t="s">
        <v>533</v>
      </c>
      <c r="C286" s="1" t="s">
        <v>1479</v>
      </c>
      <c r="D286" s="1" t="s">
        <v>1487</v>
      </c>
      <c r="E286" s="0" t="s">
        <v>1488</v>
      </c>
      <c r="F286" s="0" t="s">
        <v>49</v>
      </c>
      <c r="G286" s="0" t="s">
        <v>4357</v>
      </c>
      <c r="I286" s="6" t="n">
        <v>0.701388888888889</v>
      </c>
      <c r="J286" s="6" t="n">
        <v>0.715277777777778</v>
      </c>
      <c r="L286" s="0" t="n">
        <v>60</v>
      </c>
      <c r="M286" s="0" t="s">
        <v>3556</v>
      </c>
      <c r="N286" s="7" t="s">
        <v>4358</v>
      </c>
      <c r="O286" s="7"/>
      <c r="P286" s="7" t="s">
        <v>4359</v>
      </c>
      <c r="Q286" s="2" t="n">
        <v>43024</v>
      </c>
      <c r="S286" s="0" t="n">
        <f aca="false">YEAR(Q286)</f>
        <v>2017</v>
      </c>
      <c r="T286" s="0" t="n">
        <f aca="false">MONTH(Q286)</f>
        <v>10</v>
      </c>
    </row>
    <row r="287" customFormat="false" ht="14.25" hidden="true" customHeight="false" outlineLevel="0" collapsed="false">
      <c r="A287" s="0" t="n">
        <v>286</v>
      </c>
      <c r="B287" s="1" t="s">
        <v>533</v>
      </c>
      <c r="C287" s="1" t="s">
        <v>1479</v>
      </c>
      <c r="D287" s="1" t="s">
        <v>1496</v>
      </c>
      <c r="E287" s="0" t="s">
        <v>38</v>
      </c>
      <c r="F287" s="0" t="s">
        <v>49</v>
      </c>
      <c r="G287" s="0" t="s">
        <v>4360</v>
      </c>
      <c r="I287" s="6" t="n">
        <v>0.791666666666667</v>
      </c>
      <c r="J287" s="6" t="n">
        <v>0.793055555555556</v>
      </c>
      <c r="K287" s="0" t="n">
        <v>0</v>
      </c>
      <c r="L287" s="0" t="n">
        <v>45</v>
      </c>
      <c r="M287" s="0" t="s">
        <v>4361</v>
      </c>
      <c r="N287" s="0" t="s">
        <v>4362</v>
      </c>
      <c r="P287" s="0" t="s">
        <v>4363</v>
      </c>
      <c r="Q287" s="2" t="n">
        <v>43024</v>
      </c>
      <c r="S287" s="0" t="n">
        <f aca="false">YEAR(Q287)</f>
        <v>2017</v>
      </c>
      <c r="T287" s="0" t="n">
        <f aca="false">MONTH(Q287)</f>
        <v>10</v>
      </c>
    </row>
    <row r="288" customFormat="false" ht="14.25" hidden="true" customHeight="false" outlineLevel="0" collapsed="false">
      <c r="A288" s="0" t="n">
        <v>287</v>
      </c>
      <c r="B288" s="1" t="s">
        <v>533</v>
      </c>
      <c r="C288" s="1" t="s">
        <v>1479</v>
      </c>
      <c r="D288" s="1" t="s">
        <v>1535</v>
      </c>
      <c r="E288" s="0" t="s">
        <v>39</v>
      </c>
      <c r="F288" s="0" t="s">
        <v>49</v>
      </c>
      <c r="G288" s="0" t="s">
        <v>4364</v>
      </c>
      <c r="I288" s="6" t="n">
        <v>0.881944444444444</v>
      </c>
      <c r="J288" s="6" t="n">
        <v>0.895833333333333</v>
      </c>
      <c r="L288" s="0" t="n">
        <v>45</v>
      </c>
      <c r="M288" s="0" t="s">
        <v>4365</v>
      </c>
      <c r="N288" s="0" t="s">
        <v>4366</v>
      </c>
      <c r="P288" s="0" t="s">
        <v>4367</v>
      </c>
      <c r="Q288" s="2" t="n">
        <v>43024</v>
      </c>
      <c r="S288" s="0" t="n">
        <f aca="false">YEAR(Q288)</f>
        <v>2017</v>
      </c>
      <c r="T288" s="0" t="n">
        <f aca="false">MONTH(Q288)</f>
        <v>10</v>
      </c>
    </row>
    <row r="289" customFormat="false" ht="14.25" hidden="true" customHeight="false" outlineLevel="0" collapsed="false">
      <c r="A289" s="0" t="n">
        <v>288</v>
      </c>
      <c r="B289" s="1" t="s">
        <v>533</v>
      </c>
      <c r="C289" s="1" t="s">
        <v>1479</v>
      </c>
      <c r="D289" s="1" t="s">
        <v>1863</v>
      </c>
      <c r="E289" s="0" t="s">
        <v>1863</v>
      </c>
      <c r="F289" s="0" t="s">
        <v>49</v>
      </c>
      <c r="G289" s="0" t="s">
        <v>4368</v>
      </c>
      <c r="I289" s="6" t="n">
        <v>0.902777777777778</v>
      </c>
      <c r="J289" s="6" t="n">
        <v>0.9375</v>
      </c>
      <c r="L289" s="0" t="n">
        <v>180</v>
      </c>
      <c r="M289" s="0" t="s">
        <v>4369</v>
      </c>
      <c r="N289" s="0" t="s">
        <v>4370</v>
      </c>
      <c r="P289" s="0" t="s">
        <v>4371</v>
      </c>
      <c r="Q289" s="2" t="n">
        <v>43024</v>
      </c>
      <c r="S289" s="0" t="n">
        <f aca="false">YEAR(Q289)</f>
        <v>2017</v>
      </c>
      <c r="T289" s="0" t="n">
        <f aca="false">MONTH(Q289)</f>
        <v>10</v>
      </c>
    </row>
    <row r="290" customFormat="false" ht="14.25" hidden="true" customHeight="false" outlineLevel="0" collapsed="false">
      <c r="A290" s="0" t="n">
        <v>289</v>
      </c>
      <c r="B290" s="1" t="s">
        <v>537</v>
      </c>
      <c r="C290" s="1" t="s">
        <v>1503</v>
      </c>
      <c r="D290" s="1" t="s">
        <v>1535</v>
      </c>
      <c r="E290" s="0" t="s">
        <v>44</v>
      </c>
      <c r="F290" s="0" t="s">
        <v>49</v>
      </c>
      <c r="G290" s="0" t="s">
        <v>4372</v>
      </c>
      <c r="I290" s="6" t="n">
        <v>0.638888888888889</v>
      </c>
      <c r="J290" s="6" t="n">
        <v>0.652777777777778</v>
      </c>
      <c r="L290" s="0" t="n">
        <v>30</v>
      </c>
      <c r="M290" s="0" t="s">
        <v>4373</v>
      </c>
      <c r="N290" s="0" t="s">
        <v>4374</v>
      </c>
      <c r="P290" s="0" t="s">
        <v>4375</v>
      </c>
      <c r="Q290" s="2" t="n">
        <v>43025</v>
      </c>
      <c r="S290" s="0" t="n">
        <f aca="false">YEAR(Q290)</f>
        <v>2017</v>
      </c>
      <c r="T290" s="0" t="n">
        <f aca="false">MONTH(Q290)</f>
        <v>10</v>
      </c>
    </row>
    <row r="291" customFormat="false" ht="14.25" hidden="true" customHeight="false" outlineLevel="0" collapsed="false">
      <c r="A291" s="0" t="n">
        <v>290</v>
      </c>
      <c r="B291" s="1" t="s">
        <v>537</v>
      </c>
      <c r="C291" s="1" t="s">
        <v>1479</v>
      </c>
      <c r="D291" s="1" t="s">
        <v>1535</v>
      </c>
      <c r="E291" s="0" t="s">
        <v>39</v>
      </c>
      <c r="F291" s="0" t="s">
        <v>49</v>
      </c>
      <c r="G291" s="0" t="s">
        <v>4376</v>
      </c>
      <c r="I291" s="6" t="n">
        <v>0.694444444444444</v>
      </c>
      <c r="J291" s="6" t="n">
        <v>0.701388888888889</v>
      </c>
      <c r="K291" s="0" t="n">
        <v>0</v>
      </c>
      <c r="L291" s="0" t="n">
        <v>20</v>
      </c>
      <c r="M291" s="0" t="s">
        <v>4377</v>
      </c>
      <c r="N291" s="0" t="s">
        <v>4378</v>
      </c>
      <c r="P291" s="0" t="s">
        <v>4379</v>
      </c>
      <c r="Q291" s="2" t="n">
        <v>43025</v>
      </c>
      <c r="S291" s="0" t="n">
        <f aca="false">YEAR(Q291)</f>
        <v>2017</v>
      </c>
      <c r="T291" s="0" t="n">
        <f aca="false">MONTH(Q291)</f>
        <v>10</v>
      </c>
    </row>
    <row r="292" customFormat="false" ht="14.25" hidden="true" customHeight="false" outlineLevel="0" collapsed="false">
      <c r="A292" s="0" t="n">
        <v>291</v>
      </c>
      <c r="B292" s="1" t="s">
        <v>537</v>
      </c>
      <c r="C292" s="1" t="s">
        <v>1503</v>
      </c>
      <c r="D292" s="1" t="s">
        <v>1535</v>
      </c>
      <c r="E292" s="0" t="s">
        <v>44</v>
      </c>
      <c r="F292" s="0" t="s">
        <v>49</v>
      </c>
      <c r="G292" s="0" t="s">
        <v>4380</v>
      </c>
      <c r="I292" s="6" t="n">
        <v>0.6875</v>
      </c>
      <c r="J292" s="6" t="n">
        <v>0.6875</v>
      </c>
      <c r="L292" s="0" t="n">
        <v>60</v>
      </c>
      <c r="M292" s="0" t="s">
        <v>4381</v>
      </c>
      <c r="N292" s="0" t="s">
        <v>4382</v>
      </c>
      <c r="P292" s="0" t="s">
        <v>4383</v>
      </c>
      <c r="Q292" s="2" t="n">
        <v>43025</v>
      </c>
      <c r="S292" s="0" t="n">
        <f aca="false">YEAR(Q292)</f>
        <v>2017</v>
      </c>
      <c r="T292" s="0" t="n">
        <f aca="false">MONTH(Q292)</f>
        <v>10</v>
      </c>
    </row>
    <row r="293" customFormat="false" ht="14.25" hidden="true" customHeight="false" outlineLevel="0" collapsed="false">
      <c r="A293" s="0" t="n">
        <v>292</v>
      </c>
      <c r="B293" s="1" t="s">
        <v>541</v>
      </c>
      <c r="C293" s="1" t="s">
        <v>1479</v>
      </c>
      <c r="D293" s="1" t="s">
        <v>1535</v>
      </c>
      <c r="E293" s="0" t="s">
        <v>39</v>
      </c>
      <c r="F293" s="0" t="s">
        <v>49</v>
      </c>
      <c r="G293" s="0" t="s">
        <v>4384</v>
      </c>
      <c r="I293" s="6" t="n">
        <v>0.756944444444444</v>
      </c>
      <c r="J293" s="6" t="n">
        <v>0.756944444444444</v>
      </c>
      <c r="L293" s="0" t="n">
        <v>1</v>
      </c>
      <c r="M293" s="0" t="s">
        <v>4385</v>
      </c>
      <c r="N293" s="0" t="s">
        <v>4386</v>
      </c>
      <c r="P293" s="0" t="s">
        <v>4387</v>
      </c>
      <c r="Q293" s="2" t="n">
        <v>43028</v>
      </c>
      <c r="S293" s="0" t="n">
        <f aca="false">YEAR(Q293)</f>
        <v>2017</v>
      </c>
      <c r="T293" s="0" t="n">
        <f aca="false">MONTH(Q293)</f>
        <v>10</v>
      </c>
    </row>
    <row r="294" customFormat="false" ht="14.25" hidden="true" customHeight="false" outlineLevel="0" collapsed="false">
      <c r="A294" s="0" t="n">
        <v>293</v>
      </c>
      <c r="B294" s="1" t="s">
        <v>541</v>
      </c>
      <c r="C294" s="1" t="s">
        <v>1479</v>
      </c>
      <c r="D294" s="1" t="s">
        <v>1487</v>
      </c>
      <c r="E294" s="0" t="s">
        <v>4388</v>
      </c>
      <c r="F294" s="0" t="s">
        <v>49</v>
      </c>
      <c r="G294" s="0" t="s">
        <v>4388</v>
      </c>
      <c r="I294" s="6" t="n">
        <v>0.840277777777778</v>
      </c>
      <c r="J294" s="6" t="n">
        <v>0.84375</v>
      </c>
      <c r="L294" s="0" t="n">
        <v>0</v>
      </c>
      <c r="M294" s="0" t="s">
        <v>4389</v>
      </c>
      <c r="N294" s="0" t="s">
        <v>4390</v>
      </c>
      <c r="P294" s="0" t="s">
        <v>4391</v>
      </c>
      <c r="Q294" s="2" t="n">
        <v>43028</v>
      </c>
      <c r="S294" s="0" t="n">
        <f aca="false">YEAR(Q294)</f>
        <v>2017</v>
      </c>
      <c r="T294" s="0" t="n">
        <f aca="false">MONTH(Q294)</f>
        <v>10</v>
      </c>
    </row>
    <row r="295" customFormat="false" ht="14.25" hidden="true" customHeight="false" outlineLevel="0" collapsed="false">
      <c r="A295" s="0" t="n">
        <v>294</v>
      </c>
      <c r="B295" s="1" t="s">
        <v>541</v>
      </c>
      <c r="C295" s="1" t="s">
        <v>1479</v>
      </c>
      <c r="D295" s="1" t="s">
        <v>1496</v>
      </c>
      <c r="E295" s="0" t="s">
        <v>38</v>
      </c>
      <c r="F295" s="0" t="s">
        <v>50</v>
      </c>
      <c r="G295" s="0" t="s">
        <v>4392</v>
      </c>
      <c r="I295" s="6" t="n">
        <v>0.960416666666667</v>
      </c>
      <c r="J295" s="6" t="n">
        <v>0.979166666666667</v>
      </c>
      <c r="K295" s="0" t="n">
        <v>71</v>
      </c>
      <c r="L295" s="0" t="n">
        <v>182</v>
      </c>
      <c r="M295" s="0" t="s">
        <v>4393</v>
      </c>
      <c r="N295" s="0" t="s">
        <v>4394</v>
      </c>
      <c r="P295" s="0" t="s">
        <v>4395</v>
      </c>
      <c r="Q295" s="2" t="n">
        <v>43028</v>
      </c>
      <c r="S295" s="0" t="n">
        <f aca="false">YEAR(Q295)</f>
        <v>2017</v>
      </c>
      <c r="T295" s="0" t="n">
        <f aca="false">MONTH(Q295)</f>
        <v>10</v>
      </c>
    </row>
    <row r="296" customFormat="false" ht="14.25" hidden="true" customHeight="false" outlineLevel="0" collapsed="false">
      <c r="A296" s="0" t="n">
        <v>295</v>
      </c>
      <c r="B296" s="1" t="s">
        <v>543</v>
      </c>
      <c r="C296" s="1" t="s">
        <v>1479</v>
      </c>
      <c r="D296" s="1" t="s">
        <v>1535</v>
      </c>
      <c r="E296" s="0" t="s">
        <v>39</v>
      </c>
      <c r="F296" s="0" t="s">
        <v>48</v>
      </c>
      <c r="G296" s="0" t="s">
        <v>4396</v>
      </c>
      <c r="I296" s="6" t="n">
        <v>0.284027777777778</v>
      </c>
      <c r="J296" s="6" t="n">
        <v>0.290972222222222</v>
      </c>
      <c r="L296" s="0" t="n">
        <v>2</v>
      </c>
      <c r="M296" s="0" t="s">
        <v>4397</v>
      </c>
      <c r="N296" s="0" t="s">
        <v>4398</v>
      </c>
      <c r="P296" s="0" t="s">
        <v>4399</v>
      </c>
      <c r="Q296" s="2" t="n">
        <v>43029</v>
      </c>
      <c r="S296" s="0" t="n">
        <f aca="false">YEAR(Q296)</f>
        <v>2017</v>
      </c>
      <c r="T296" s="0" t="n">
        <f aca="false">MONTH(Q296)</f>
        <v>10</v>
      </c>
    </row>
    <row r="297" customFormat="false" ht="14.25" hidden="true" customHeight="false" outlineLevel="0" collapsed="false">
      <c r="A297" s="0" t="n">
        <v>296</v>
      </c>
      <c r="B297" s="1" t="s">
        <v>543</v>
      </c>
      <c r="C297" s="1" t="s">
        <v>1479</v>
      </c>
      <c r="D297" s="1" t="s">
        <v>1535</v>
      </c>
      <c r="E297" s="0" t="s">
        <v>39</v>
      </c>
      <c r="F297" s="0" t="s">
        <v>48</v>
      </c>
      <c r="G297" s="0" t="s">
        <v>4400</v>
      </c>
      <c r="I297" s="6" t="n">
        <v>0.325694444444444</v>
      </c>
      <c r="J297" s="6" t="n">
        <v>0.332638888888889</v>
      </c>
      <c r="K297" s="0" t="n">
        <v>10</v>
      </c>
      <c r="L297" s="0" t="n">
        <v>20</v>
      </c>
      <c r="M297" s="0" t="s">
        <v>4401</v>
      </c>
      <c r="N297" s="0" t="s">
        <v>4402</v>
      </c>
      <c r="P297" s="0" t="s">
        <v>4403</v>
      </c>
      <c r="Q297" s="2" t="n">
        <v>43029</v>
      </c>
      <c r="S297" s="0" t="n">
        <f aca="false">YEAR(Q297)</f>
        <v>2017</v>
      </c>
      <c r="T297" s="0" t="n">
        <f aca="false">MONTH(Q297)</f>
        <v>10</v>
      </c>
    </row>
    <row r="298" customFormat="false" ht="14.25" hidden="true" customHeight="false" outlineLevel="0" collapsed="false">
      <c r="A298" s="0" t="n">
        <v>297</v>
      </c>
      <c r="B298" s="1" t="s">
        <v>543</v>
      </c>
      <c r="C298" s="1" t="s">
        <v>1479</v>
      </c>
      <c r="D298" s="1" t="s">
        <v>1535</v>
      </c>
      <c r="E298" s="0" t="s">
        <v>39</v>
      </c>
      <c r="F298" s="0" t="s">
        <v>48</v>
      </c>
      <c r="G298" s="0" t="s">
        <v>4404</v>
      </c>
      <c r="M298" s="0" t="s">
        <v>4405</v>
      </c>
      <c r="N298" s="0" t="s">
        <v>4406</v>
      </c>
      <c r="P298" s="0" t="s">
        <v>4407</v>
      </c>
      <c r="Q298" s="2" t="n">
        <v>43029</v>
      </c>
      <c r="S298" s="0" t="n">
        <f aca="false">YEAR(Q298)</f>
        <v>2017</v>
      </c>
      <c r="T298" s="0" t="n">
        <f aca="false">MONTH(Q298)</f>
        <v>10</v>
      </c>
    </row>
    <row r="299" customFormat="false" ht="14.25" hidden="true" customHeight="false" outlineLevel="0" collapsed="false">
      <c r="A299" s="0" t="n">
        <v>298</v>
      </c>
      <c r="B299" s="1" t="s">
        <v>543</v>
      </c>
      <c r="C299" s="1" t="s">
        <v>1479</v>
      </c>
      <c r="D299" s="1" t="s">
        <v>1535</v>
      </c>
      <c r="E299" s="0" t="s">
        <v>39</v>
      </c>
      <c r="F299" s="0" t="s">
        <v>48</v>
      </c>
      <c r="G299" s="0" t="s">
        <v>4408</v>
      </c>
      <c r="I299" s="6" t="n">
        <v>0.425</v>
      </c>
      <c r="J299" s="6" t="n">
        <v>0.431944444444444</v>
      </c>
      <c r="K299" s="0" t="n">
        <v>11</v>
      </c>
      <c r="L299" s="0" t="n">
        <v>20</v>
      </c>
      <c r="M299" s="0" t="s">
        <v>4409</v>
      </c>
      <c r="P299" s="0" t="s">
        <v>4410</v>
      </c>
      <c r="Q299" s="2" t="n">
        <v>43029</v>
      </c>
      <c r="S299" s="0" t="n">
        <f aca="false">YEAR(Q299)</f>
        <v>2017</v>
      </c>
      <c r="T299" s="0" t="n">
        <f aca="false">MONTH(Q299)</f>
        <v>10</v>
      </c>
    </row>
    <row r="300" customFormat="false" ht="14.25" hidden="true" customHeight="false" outlineLevel="0" collapsed="false">
      <c r="A300" s="0" t="n">
        <v>299</v>
      </c>
      <c r="B300" s="1" t="s">
        <v>543</v>
      </c>
      <c r="C300" s="1" t="s">
        <v>1479</v>
      </c>
      <c r="D300" s="1" t="s">
        <v>1496</v>
      </c>
      <c r="E300" s="0" t="s">
        <v>38</v>
      </c>
      <c r="F300" s="0" t="s">
        <v>49</v>
      </c>
      <c r="G300" s="0" t="s">
        <v>4411</v>
      </c>
      <c r="I300" s="6" t="n">
        <v>0.663194444444444</v>
      </c>
      <c r="L300" s="0" t="n">
        <v>120</v>
      </c>
      <c r="M300" s="0" t="s">
        <v>4412</v>
      </c>
      <c r="N300" s="0" t="s">
        <v>3545</v>
      </c>
      <c r="P300" s="0" t="s">
        <v>4413</v>
      </c>
      <c r="Q300" s="2" t="n">
        <v>43029</v>
      </c>
      <c r="S300" s="0" t="n">
        <f aca="false">YEAR(Q300)</f>
        <v>2017</v>
      </c>
      <c r="T300" s="0" t="n">
        <f aca="false">MONTH(Q300)</f>
        <v>10</v>
      </c>
    </row>
    <row r="301" customFormat="false" ht="14.25" hidden="true" customHeight="false" outlineLevel="0" collapsed="false">
      <c r="A301" s="0" t="n">
        <v>300</v>
      </c>
      <c r="B301" s="1" t="s">
        <v>545</v>
      </c>
      <c r="C301" s="1" t="s">
        <v>1479</v>
      </c>
      <c r="D301" s="1" t="s">
        <v>1535</v>
      </c>
      <c r="E301" s="0" t="s">
        <v>39</v>
      </c>
      <c r="F301" s="0" t="s">
        <v>48</v>
      </c>
      <c r="G301" s="0" t="s">
        <v>4414</v>
      </c>
      <c r="J301" s="6" t="n">
        <v>0.5</v>
      </c>
      <c r="M301" s="0" t="s">
        <v>4415</v>
      </c>
      <c r="N301" s="0" t="s">
        <v>4416</v>
      </c>
      <c r="P301" s="0" t="s">
        <v>4417</v>
      </c>
      <c r="Q301" s="2" t="n">
        <v>43027</v>
      </c>
      <c r="S301" s="0" t="n">
        <f aca="false">YEAR(Q301)</f>
        <v>2017</v>
      </c>
      <c r="T301" s="0" t="n">
        <f aca="false">MONTH(Q301)</f>
        <v>10</v>
      </c>
    </row>
    <row r="302" customFormat="false" ht="14.25" hidden="true" customHeight="false" outlineLevel="0" collapsed="false">
      <c r="A302" s="0" t="n">
        <v>301</v>
      </c>
      <c r="B302" s="1" t="s">
        <v>545</v>
      </c>
      <c r="C302" s="1" t="s">
        <v>1479</v>
      </c>
      <c r="D302" s="1" t="s">
        <v>1535</v>
      </c>
      <c r="E302" s="0" t="s">
        <v>39</v>
      </c>
      <c r="F302" s="0" t="s">
        <v>48</v>
      </c>
      <c r="G302" s="0" t="s">
        <v>4418</v>
      </c>
      <c r="J302" s="6" t="n">
        <v>0.291666666666667</v>
      </c>
      <c r="M302" s="0" t="s">
        <v>4415</v>
      </c>
      <c r="N302" s="0" t="s">
        <v>4416</v>
      </c>
      <c r="P302" s="0" t="s">
        <v>4419</v>
      </c>
      <c r="Q302" s="2" t="n">
        <v>43027</v>
      </c>
      <c r="S302" s="0" t="n">
        <f aca="false">YEAR(Q302)</f>
        <v>2017</v>
      </c>
      <c r="T302" s="0" t="n">
        <f aca="false">MONTH(Q302)</f>
        <v>10</v>
      </c>
    </row>
    <row r="303" customFormat="false" ht="14.25" hidden="true" customHeight="false" outlineLevel="0" collapsed="false">
      <c r="A303" s="0" t="n">
        <v>302</v>
      </c>
      <c r="B303" s="1" t="s">
        <v>545</v>
      </c>
      <c r="C303" s="1" t="s">
        <v>1479</v>
      </c>
      <c r="D303" s="1" t="s">
        <v>1535</v>
      </c>
      <c r="E303" s="0" t="s">
        <v>39</v>
      </c>
      <c r="F303" s="0" t="s">
        <v>49</v>
      </c>
      <c r="G303" s="0" t="s">
        <v>4420</v>
      </c>
      <c r="I303" s="6" t="n">
        <v>0.65625</v>
      </c>
      <c r="J303" s="6" t="n">
        <v>0.667361111111111</v>
      </c>
      <c r="L303" s="0" t="n">
        <v>30</v>
      </c>
      <c r="M303" s="0" t="s">
        <v>4421</v>
      </c>
      <c r="N303" s="0" t="s">
        <v>4422</v>
      </c>
      <c r="P303" s="0" t="s">
        <v>4423</v>
      </c>
      <c r="Q303" s="2" t="n">
        <v>43027</v>
      </c>
      <c r="S303" s="0" t="n">
        <f aca="false">YEAR(Q303)</f>
        <v>2017</v>
      </c>
      <c r="T303" s="0" t="n">
        <f aca="false">MONTH(Q303)</f>
        <v>10</v>
      </c>
    </row>
    <row r="304" customFormat="false" ht="14.25" hidden="true" customHeight="false" outlineLevel="0" collapsed="false">
      <c r="A304" s="0" t="n">
        <v>303</v>
      </c>
      <c r="B304" s="1" t="s">
        <v>545</v>
      </c>
      <c r="C304" s="1" t="s">
        <v>1479</v>
      </c>
      <c r="D304" s="1" t="s">
        <v>1496</v>
      </c>
      <c r="E304" s="0" t="s">
        <v>38</v>
      </c>
      <c r="F304" s="0" t="s">
        <v>49</v>
      </c>
      <c r="G304" s="0" t="s">
        <v>4424</v>
      </c>
      <c r="I304" s="6" t="n">
        <v>0.597222222222222</v>
      </c>
      <c r="J304" s="6" t="n">
        <v>0.770833333333333</v>
      </c>
      <c r="L304" s="0" t="n">
        <v>4</v>
      </c>
      <c r="M304" s="0" t="s">
        <v>4425</v>
      </c>
      <c r="N304" s="0" t="s">
        <v>4426</v>
      </c>
      <c r="P304" s="0" t="s">
        <v>4427</v>
      </c>
      <c r="Q304" s="2" t="n">
        <v>43027</v>
      </c>
      <c r="S304" s="0" t="n">
        <f aca="false">YEAR(Q304)</f>
        <v>2017</v>
      </c>
      <c r="T304" s="0" t="n">
        <f aca="false">MONTH(Q304)</f>
        <v>10</v>
      </c>
    </row>
    <row r="305" customFormat="false" ht="14.25" hidden="true" customHeight="false" outlineLevel="0" collapsed="false">
      <c r="A305" s="0" t="n">
        <v>304</v>
      </c>
      <c r="B305" s="1" t="s">
        <v>545</v>
      </c>
      <c r="C305" s="1" t="s">
        <v>1479</v>
      </c>
      <c r="D305" s="1" t="s">
        <v>1496</v>
      </c>
      <c r="E305" s="0" t="s">
        <v>38</v>
      </c>
      <c r="F305" s="0" t="s">
        <v>50</v>
      </c>
      <c r="G305" s="0" t="s">
        <v>4428</v>
      </c>
      <c r="I305" s="6" t="n">
        <v>0.0486111111111111</v>
      </c>
      <c r="J305" s="6" t="n">
        <v>0.0694444444444444</v>
      </c>
      <c r="L305" s="0" t="n">
        <v>100</v>
      </c>
      <c r="M305" s="0" t="s">
        <v>4429</v>
      </c>
      <c r="N305" s="0" t="s">
        <v>4430</v>
      </c>
      <c r="P305" s="0" t="s">
        <v>4431</v>
      </c>
      <c r="Q305" s="2" t="n">
        <v>43027</v>
      </c>
      <c r="S305" s="0" t="n">
        <f aca="false">YEAR(Q305)</f>
        <v>2017</v>
      </c>
      <c r="T305" s="0" t="n">
        <f aca="false">MONTH(Q305)</f>
        <v>10</v>
      </c>
    </row>
    <row r="306" customFormat="false" ht="14.25" hidden="true" customHeight="false" outlineLevel="0" collapsed="false">
      <c r="A306" s="0" t="n">
        <v>305</v>
      </c>
      <c r="B306" s="1" t="s">
        <v>545</v>
      </c>
      <c r="C306" s="1" t="s">
        <v>1479</v>
      </c>
      <c r="D306" s="1" t="s">
        <v>1496</v>
      </c>
      <c r="E306" s="0" t="s">
        <v>38</v>
      </c>
      <c r="F306" s="0" t="s">
        <v>50</v>
      </c>
      <c r="G306" s="0" t="s">
        <v>4432</v>
      </c>
      <c r="J306" s="6" t="n">
        <v>0.0972222222222222</v>
      </c>
      <c r="K306" s="0" t="n">
        <v>15</v>
      </c>
      <c r="M306" s="0" t="s">
        <v>4433</v>
      </c>
      <c r="N306" s="0" t="s">
        <v>4434</v>
      </c>
      <c r="P306" s="0" t="s">
        <v>4435</v>
      </c>
      <c r="Q306" s="2" t="n">
        <v>43027</v>
      </c>
      <c r="S306" s="0" t="n">
        <f aca="false">YEAR(Q306)</f>
        <v>2017</v>
      </c>
      <c r="T306" s="0" t="n">
        <f aca="false">MONTH(Q306)</f>
        <v>10</v>
      </c>
    </row>
    <row r="307" customFormat="false" ht="42.75" hidden="true" customHeight="false" outlineLevel="0" collapsed="false">
      <c r="A307" s="0" t="n">
        <v>306</v>
      </c>
      <c r="B307" s="1" t="s">
        <v>546</v>
      </c>
      <c r="C307" s="1" t="s">
        <v>1479</v>
      </c>
      <c r="D307" s="1" t="s">
        <v>1487</v>
      </c>
      <c r="E307" s="4" t="s">
        <v>1488</v>
      </c>
      <c r="F307" s="0" t="s">
        <v>50</v>
      </c>
      <c r="G307" s="0" t="s">
        <v>4436</v>
      </c>
      <c r="I307" s="6" t="n">
        <v>0.921527777777778</v>
      </c>
      <c r="J307" s="6" t="n">
        <v>0.9375</v>
      </c>
      <c r="K307" s="0" t="n">
        <v>50</v>
      </c>
      <c r="L307" s="0" t="n">
        <v>140</v>
      </c>
      <c r="M307" s="0" t="s">
        <v>4437</v>
      </c>
      <c r="N307" s="0" t="s">
        <v>4438</v>
      </c>
      <c r="P307" s="7" t="s">
        <v>4439</v>
      </c>
      <c r="Q307" s="2" t="n">
        <v>43030</v>
      </c>
      <c r="S307" s="0" t="n">
        <f aca="false">YEAR(Q307)</f>
        <v>2017</v>
      </c>
      <c r="T307" s="0" t="n">
        <f aca="false">MONTH(Q307)</f>
        <v>10</v>
      </c>
    </row>
    <row r="308" customFormat="false" ht="57" hidden="true" customHeight="false" outlineLevel="0" collapsed="false">
      <c r="A308" s="0" t="n">
        <v>307</v>
      </c>
      <c r="B308" s="1" t="s">
        <v>546</v>
      </c>
      <c r="C308" s="1" t="s">
        <v>1479</v>
      </c>
      <c r="D308" s="1" t="s">
        <v>1535</v>
      </c>
      <c r="E308" s="0" t="s">
        <v>39</v>
      </c>
      <c r="F308" s="0" t="s">
        <v>50</v>
      </c>
      <c r="G308" s="0" t="s">
        <v>4440</v>
      </c>
      <c r="I308" s="6" t="n">
        <v>0.104166666666667</v>
      </c>
      <c r="J308" s="6" t="n">
        <v>0.111111111111111</v>
      </c>
      <c r="K308" s="0" t="n">
        <v>10</v>
      </c>
      <c r="L308" s="0" t="n">
        <v>80</v>
      </c>
      <c r="M308" s="0" t="s">
        <v>4441</v>
      </c>
      <c r="N308" s="7" t="s">
        <v>4442</v>
      </c>
      <c r="O308" s="7"/>
      <c r="P308" s="7" t="s">
        <v>4443</v>
      </c>
      <c r="Q308" s="2" t="n">
        <v>43030</v>
      </c>
      <c r="S308" s="0" t="n">
        <f aca="false">YEAR(Q308)</f>
        <v>2017</v>
      </c>
      <c r="T308" s="0" t="n">
        <f aca="false">MONTH(Q308)</f>
        <v>10</v>
      </c>
    </row>
    <row r="309" customFormat="false" ht="14.25" hidden="true" customHeight="false" outlineLevel="0" collapsed="false">
      <c r="A309" s="0" t="n">
        <v>308</v>
      </c>
      <c r="B309" s="1" t="s">
        <v>547</v>
      </c>
      <c r="C309" s="1" t="s">
        <v>1503</v>
      </c>
      <c r="D309" s="1" t="s">
        <v>1535</v>
      </c>
      <c r="E309" s="0" t="s">
        <v>44</v>
      </c>
      <c r="F309" s="0" t="s">
        <v>48</v>
      </c>
      <c r="G309" s="0" t="s">
        <v>4444</v>
      </c>
      <c r="I309" s="6" t="n">
        <v>0.53125</v>
      </c>
      <c r="J309" s="6" t="n">
        <v>0.555555555555556</v>
      </c>
      <c r="L309" s="0" t="n">
        <v>100</v>
      </c>
      <c r="M309" s="0" t="s">
        <v>4445</v>
      </c>
      <c r="N309" s="0" t="s">
        <v>4446</v>
      </c>
      <c r="P309" s="0" t="s">
        <v>4447</v>
      </c>
      <c r="Q309" s="2" t="n">
        <v>43032</v>
      </c>
      <c r="S309" s="0" t="n">
        <f aca="false">YEAR(Q309)</f>
        <v>2017</v>
      </c>
      <c r="T309" s="0" t="n">
        <f aca="false">MONTH(Q309)</f>
        <v>10</v>
      </c>
    </row>
    <row r="310" customFormat="false" ht="14.25" hidden="true" customHeight="false" outlineLevel="0" collapsed="false">
      <c r="A310" s="0" t="n">
        <v>309</v>
      </c>
      <c r="B310" s="1" t="s">
        <v>547</v>
      </c>
      <c r="C310" s="1" t="s">
        <v>1503</v>
      </c>
      <c r="D310" s="1" t="s">
        <v>1504</v>
      </c>
      <c r="E310" s="0" t="s">
        <v>4448</v>
      </c>
      <c r="F310" s="0" t="s">
        <v>49</v>
      </c>
      <c r="G310" s="0" t="s">
        <v>4449</v>
      </c>
      <c r="I310" s="6" t="n">
        <v>0.645833333333333</v>
      </c>
      <c r="J310" s="6" t="n">
        <v>0.666666666666667</v>
      </c>
      <c r="L310" s="0" t="n">
        <v>60</v>
      </c>
      <c r="M310" s="0" t="s">
        <v>4450</v>
      </c>
      <c r="N310" s="0" t="s">
        <v>4451</v>
      </c>
      <c r="P310" s="0" t="s">
        <v>4452</v>
      </c>
      <c r="Q310" s="2" t="n">
        <v>43032</v>
      </c>
      <c r="S310" s="0" t="n">
        <f aca="false">YEAR(Q310)</f>
        <v>2017</v>
      </c>
      <c r="T310" s="0" t="n">
        <f aca="false">MONTH(Q310)</f>
        <v>10</v>
      </c>
    </row>
    <row r="311" customFormat="false" ht="14.25" hidden="true" customHeight="false" outlineLevel="0" collapsed="false">
      <c r="A311" s="0" t="n">
        <v>310</v>
      </c>
      <c r="B311" s="1" t="s">
        <v>547</v>
      </c>
      <c r="C311" s="1" t="s">
        <v>1479</v>
      </c>
      <c r="D311" s="1" t="s">
        <v>1535</v>
      </c>
      <c r="E311" s="0" t="s">
        <v>1479</v>
      </c>
      <c r="G311" s="0" t="s">
        <v>4453</v>
      </c>
      <c r="I311" s="6" t="n">
        <v>0.822916666666667</v>
      </c>
      <c r="L311" s="0" t="n">
        <v>0</v>
      </c>
      <c r="M311" s="0" t="s">
        <v>4454</v>
      </c>
      <c r="N311" s="0" t="s">
        <v>4455</v>
      </c>
      <c r="P311" s="0" t="s">
        <v>4456</v>
      </c>
      <c r="Q311" s="2" t="n">
        <v>43032</v>
      </c>
      <c r="S311" s="0" t="n">
        <f aca="false">YEAR(Q311)</f>
        <v>2017</v>
      </c>
      <c r="T311" s="0" t="n">
        <f aca="false">MONTH(Q311)</f>
        <v>10</v>
      </c>
    </row>
    <row r="312" customFormat="false" ht="42.75" hidden="true" customHeight="false" outlineLevel="0" collapsed="false">
      <c r="A312" s="0" t="n">
        <v>311</v>
      </c>
      <c r="B312" s="1" t="s">
        <v>547</v>
      </c>
      <c r="C312" s="1" t="s">
        <v>1479</v>
      </c>
      <c r="D312" s="1" t="s">
        <v>1487</v>
      </c>
      <c r="E312" s="0" t="s">
        <v>1488</v>
      </c>
      <c r="F312" s="0" t="s">
        <v>50</v>
      </c>
      <c r="G312" s="0" t="s">
        <v>4457</v>
      </c>
      <c r="I312" s="6" t="n">
        <v>0.194444444444444</v>
      </c>
      <c r="J312" s="6" t="n">
        <v>0.211805555555556</v>
      </c>
      <c r="L312" s="0" t="n">
        <v>40</v>
      </c>
      <c r="M312" s="0" t="s">
        <v>4458</v>
      </c>
      <c r="N312" s="7" t="s">
        <v>4459</v>
      </c>
      <c r="O312" s="7"/>
      <c r="P312" s="7" t="s">
        <v>4460</v>
      </c>
      <c r="Q312" s="2" t="n">
        <v>43032</v>
      </c>
      <c r="S312" s="0" t="n">
        <f aca="false">YEAR(Q312)</f>
        <v>2017</v>
      </c>
      <c r="T312" s="0" t="n">
        <f aca="false">MONTH(Q312)</f>
        <v>10</v>
      </c>
    </row>
    <row r="313" customFormat="false" ht="14.25" hidden="true" customHeight="false" outlineLevel="0" collapsed="false">
      <c r="A313" s="0" t="n">
        <v>312</v>
      </c>
      <c r="B313" s="1" t="s">
        <v>550</v>
      </c>
      <c r="C313" s="1" t="s">
        <v>1503</v>
      </c>
      <c r="D313" s="1" t="s">
        <v>1504</v>
      </c>
      <c r="E313" s="0" t="s">
        <v>45</v>
      </c>
      <c r="F313" s="0" t="s">
        <v>48</v>
      </c>
      <c r="G313" s="0" t="s">
        <v>4461</v>
      </c>
      <c r="I313" s="6" t="n">
        <v>0.489583333333333</v>
      </c>
      <c r="J313" s="6" t="n">
        <v>0.513888888888889</v>
      </c>
      <c r="L313" s="0" t="n">
        <v>80</v>
      </c>
      <c r="M313" s="0" t="s">
        <v>4462</v>
      </c>
      <c r="N313" s="0" t="s">
        <v>4463</v>
      </c>
      <c r="P313" s="0" t="s">
        <v>4464</v>
      </c>
      <c r="Q313" s="2" t="n">
        <v>43031</v>
      </c>
      <c r="S313" s="0" t="n">
        <f aca="false">YEAR(Q313)</f>
        <v>2017</v>
      </c>
      <c r="T313" s="0" t="n">
        <f aca="false">MONTH(Q313)</f>
        <v>10</v>
      </c>
    </row>
    <row r="314" customFormat="false" ht="57" hidden="true" customHeight="false" outlineLevel="0" collapsed="false">
      <c r="A314" s="0" t="n">
        <v>313</v>
      </c>
      <c r="B314" s="1" t="s">
        <v>550</v>
      </c>
      <c r="C314" s="1" t="s">
        <v>1479</v>
      </c>
      <c r="D314" s="1" t="s">
        <v>1487</v>
      </c>
      <c r="E314" s="0" t="s">
        <v>1488</v>
      </c>
      <c r="F314" s="0" t="s">
        <v>50</v>
      </c>
      <c r="G314" s="0" t="s">
        <v>4465</v>
      </c>
      <c r="I314" s="6" t="n">
        <v>0.0256944444444444</v>
      </c>
      <c r="J314" s="6" t="n">
        <v>0.0555555555555556</v>
      </c>
      <c r="L314" s="0" t="n">
        <v>180</v>
      </c>
      <c r="M314" s="7" t="s">
        <v>4466</v>
      </c>
      <c r="N314" s="0" t="s">
        <v>4467</v>
      </c>
      <c r="P314" s="7" t="s">
        <v>4468</v>
      </c>
      <c r="Q314" s="2" t="n">
        <v>43031</v>
      </c>
      <c r="S314" s="0" t="n">
        <f aca="false">YEAR(Q314)</f>
        <v>2017</v>
      </c>
      <c r="T314" s="0" t="n">
        <f aca="false">MONTH(Q314)</f>
        <v>10</v>
      </c>
    </row>
    <row r="315" customFormat="false" ht="14.25" hidden="true" customHeight="false" outlineLevel="0" collapsed="false">
      <c r="A315" s="0" t="n">
        <v>314</v>
      </c>
      <c r="B315" s="1" t="s">
        <v>550</v>
      </c>
      <c r="C315" s="1" t="s">
        <v>1479</v>
      </c>
      <c r="D315" s="1" t="s">
        <v>1487</v>
      </c>
      <c r="E315" s="0" t="s">
        <v>1488</v>
      </c>
      <c r="F315" s="0" t="s">
        <v>49</v>
      </c>
      <c r="G315" s="0" t="s">
        <v>4469</v>
      </c>
      <c r="I315" s="6" t="n">
        <v>0.666666666666667</v>
      </c>
      <c r="J315" s="6" t="n">
        <v>0.683333333333333</v>
      </c>
      <c r="L315" s="0" t="n">
        <v>60</v>
      </c>
      <c r="M315" s="0" t="s">
        <v>4470</v>
      </c>
      <c r="N315" s="0" t="s">
        <v>4471</v>
      </c>
      <c r="P315" s="0" t="s">
        <v>4472</v>
      </c>
      <c r="Q315" s="2" t="n">
        <v>43031</v>
      </c>
      <c r="S315" s="0" t="n">
        <f aca="false">YEAR(Q315)</f>
        <v>2017</v>
      </c>
      <c r="T315" s="0" t="n">
        <f aca="false">MONTH(Q315)</f>
        <v>10</v>
      </c>
    </row>
    <row r="316" customFormat="false" ht="14.25" hidden="true" customHeight="false" outlineLevel="0" collapsed="false">
      <c r="A316" s="0" t="n">
        <v>315</v>
      </c>
      <c r="B316" s="1" t="s">
        <v>553</v>
      </c>
      <c r="C316" s="1" t="s">
        <v>1503</v>
      </c>
      <c r="D316" s="1" t="s">
        <v>1535</v>
      </c>
      <c r="E316" s="0" t="s">
        <v>44</v>
      </c>
      <c r="F316" s="0" t="s">
        <v>48</v>
      </c>
      <c r="G316" s="0" t="s">
        <v>4473</v>
      </c>
      <c r="I316" s="6" t="n">
        <v>0.236111111111111</v>
      </c>
      <c r="M316" s="0" t="s">
        <v>4474</v>
      </c>
      <c r="N316" s="0" t="s">
        <v>4475</v>
      </c>
      <c r="P316" s="0" t="s">
        <v>4476</v>
      </c>
      <c r="Q316" s="2" t="n">
        <v>43033</v>
      </c>
      <c r="S316" s="0" t="n">
        <f aca="false">YEAR(Q316)</f>
        <v>2017</v>
      </c>
      <c r="T316" s="0" t="n">
        <f aca="false">MONTH(Q316)</f>
        <v>10</v>
      </c>
    </row>
    <row r="317" customFormat="false" ht="14.25" hidden="true" customHeight="false" outlineLevel="0" collapsed="false">
      <c r="A317" s="0" t="n">
        <v>316</v>
      </c>
      <c r="B317" s="1" t="s">
        <v>555</v>
      </c>
      <c r="C317" s="1" t="s">
        <v>1479</v>
      </c>
      <c r="D317" s="1" t="s">
        <v>1487</v>
      </c>
      <c r="E317" s="0" t="s">
        <v>1488</v>
      </c>
      <c r="F317" s="0" t="s">
        <v>49</v>
      </c>
      <c r="G317" s="0" t="s">
        <v>4477</v>
      </c>
      <c r="I317" s="6" t="n">
        <v>0.104166666666667</v>
      </c>
      <c r="J317" s="6" t="n">
        <v>0.115972222222222</v>
      </c>
      <c r="L317" s="0" t="n">
        <v>120</v>
      </c>
      <c r="M317" s="0" t="s">
        <v>4478</v>
      </c>
      <c r="N317" s="0" t="s">
        <v>4479</v>
      </c>
      <c r="P317" s="0" t="s">
        <v>4480</v>
      </c>
      <c r="Q317" s="2" t="n">
        <v>43034</v>
      </c>
      <c r="S317" s="0" t="n">
        <f aca="false">YEAR(Q317)</f>
        <v>2017</v>
      </c>
      <c r="T317" s="0" t="n">
        <f aca="false">MONTH(Q317)</f>
        <v>10</v>
      </c>
    </row>
    <row r="318" customFormat="false" ht="14.25" hidden="true" customHeight="false" outlineLevel="0" collapsed="false">
      <c r="A318" s="0" t="n">
        <v>317</v>
      </c>
      <c r="B318" s="1" t="s">
        <v>555</v>
      </c>
      <c r="C318" s="1" t="s">
        <v>1479</v>
      </c>
      <c r="D318" s="1" t="s">
        <v>1496</v>
      </c>
      <c r="E318" s="0" t="s">
        <v>38</v>
      </c>
      <c r="F318" s="0" t="s">
        <v>49</v>
      </c>
      <c r="G318" s="0" t="s">
        <v>4481</v>
      </c>
      <c r="I318" s="6" t="n">
        <v>0.791666666666667</v>
      </c>
      <c r="J318" s="6" t="n">
        <v>0.909722222222222</v>
      </c>
      <c r="M318" s="0" t="s">
        <v>4482</v>
      </c>
      <c r="N318" s="0" t="s">
        <v>4483</v>
      </c>
      <c r="P318" s="0" t="s">
        <v>4484</v>
      </c>
      <c r="Q318" s="2" t="n">
        <v>43034</v>
      </c>
      <c r="S318" s="0" t="n">
        <f aca="false">YEAR(Q318)</f>
        <v>2017</v>
      </c>
      <c r="T318" s="0" t="n">
        <f aca="false">MONTH(Q318)</f>
        <v>10</v>
      </c>
    </row>
    <row r="319" customFormat="false" ht="14.25" hidden="true" customHeight="false" outlineLevel="0" collapsed="false">
      <c r="A319" s="0" t="n">
        <v>318</v>
      </c>
      <c r="B319" s="1" t="s">
        <v>555</v>
      </c>
      <c r="C319" s="1" t="s">
        <v>1479</v>
      </c>
      <c r="D319" s="1" t="s">
        <v>1487</v>
      </c>
      <c r="E319" s="0" t="s">
        <v>1488</v>
      </c>
      <c r="F319" s="0" t="s">
        <v>49</v>
      </c>
      <c r="G319" s="0" t="s">
        <v>4485</v>
      </c>
      <c r="I319" s="6" t="n">
        <v>0.902777777777778</v>
      </c>
      <c r="J319" s="6" t="n">
        <v>0.9125</v>
      </c>
      <c r="M319" s="0" t="s">
        <v>4486</v>
      </c>
      <c r="N319" s="0" t="s">
        <v>4487</v>
      </c>
      <c r="P319" s="0" t="s">
        <v>4488</v>
      </c>
      <c r="Q319" s="2" t="n">
        <v>43034</v>
      </c>
      <c r="S319" s="0" t="n">
        <f aca="false">YEAR(Q319)</f>
        <v>2017</v>
      </c>
      <c r="T319" s="0" t="n">
        <f aca="false">MONTH(Q319)</f>
        <v>10</v>
      </c>
    </row>
    <row r="320" customFormat="false" ht="14.25" hidden="true" customHeight="false" outlineLevel="0" collapsed="false">
      <c r="A320" s="0" t="n">
        <v>319</v>
      </c>
      <c r="B320" s="1" t="s">
        <v>555</v>
      </c>
      <c r="C320" s="1" t="s">
        <v>1479</v>
      </c>
      <c r="D320" s="1" t="s">
        <v>1535</v>
      </c>
      <c r="E320" s="0" t="s">
        <v>39</v>
      </c>
      <c r="F320" s="0" t="s">
        <v>50</v>
      </c>
      <c r="G320" s="0" t="s">
        <v>4489</v>
      </c>
      <c r="I320" s="6" t="n">
        <v>0.986111111111111</v>
      </c>
      <c r="J320" s="6" t="n">
        <v>0.0347222222222222</v>
      </c>
      <c r="M320" s="0" t="s">
        <v>4490</v>
      </c>
      <c r="N320" s="0" t="s">
        <v>3545</v>
      </c>
      <c r="P320" s="0" t="s">
        <v>3545</v>
      </c>
      <c r="Q320" s="2" t="n">
        <v>43034</v>
      </c>
      <c r="S320" s="0" t="n">
        <f aca="false">YEAR(Q320)</f>
        <v>2017</v>
      </c>
      <c r="T320" s="0" t="n">
        <f aca="false">MONTH(Q320)</f>
        <v>10</v>
      </c>
    </row>
    <row r="321" customFormat="false" ht="14.25" hidden="true" customHeight="false" outlineLevel="0" collapsed="false">
      <c r="A321" s="0" t="n">
        <v>320</v>
      </c>
      <c r="B321" s="1" t="s">
        <v>557</v>
      </c>
      <c r="C321" s="1" t="s">
        <v>1479</v>
      </c>
      <c r="D321" s="1" t="s">
        <v>1535</v>
      </c>
      <c r="E321" s="0" t="s">
        <v>39</v>
      </c>
      <c r="F321" s="0" t="s">
        <v>48</v>
      </c>
      <c r="G321" s="0" t="s">
        <v>4491</v>
      </c>
      <c r="I321" s="6" t="n">
        <v>0.402777777777778</v>
      </c>
      <c r="J321" s="6" t="n">
        <v>0.409722222222222</v>
      </c>
      <c r="L321" s="0" t="n">
        <v>45</v>
      </c>
      <c r="M321" s="0" t="s">
        <v>4492</v>
      </c>
      <c r="N321" s="0" t="s">
        <v>4493</v>
      </c>
      <c r="P321" s="0" t="s">
        <v>4494</v>
      </c>
      <c r="Q321" s="2" t="n">
        <v>43035</v>
      </c>
      <c r="S321" s="0" t="n">
        <f aca="false">YEAR(Q321)</f>
        <v>2017</v>
      </c>
      <c r="T321" s="0" t="n">
        <f aca="false">MONTH(Q321)</f>
        <v>10</v>
      </c>
    </row>
    <row r="322" customFormat="false" ht="14.25" hidden="true" customHeight="false" outlineLevel="0" collapsed="false">
      <c r="A322" s="0" t="n">
        <v>321</v>
      </c>
      <c r="B322" s="1" t="s">
        <v>557</v>
      </c>
      <c r="C322" s="1" t="s">
        <v>1479</v>
      </c>
      <c r="D322" s="1" t="s">
        <v>1535</v>
      </c>
      <c r="E322" s="0" t="s">
        <v>39</v>
      </c>
      <c r="F322" s="0" t="s">
        <v>49</v>
      </c>
      <c r="G322" s="0" t="s">
        <v>4495</v>
      </c>
      <c r="I322" s="6" t="n">
        <v>0.145833333333333</v>
      </c>
      <c r="J322" s="6" t="n">
        <v>0.157638888888889</v>
      </c>
      <c r="L322" s="0" t="n">
        <v>60</v>
      </c>
      <c r="M322" s="0" t="s">
        <v>4496</v>
      </c>
      <c r="N322" s="0" t="s">
        <v>4497</v>
      </c>
      <c r="P322" s="0" t="s">
        <v>4498</v>
      </c>
      <c r="Q322" s="2" t="n">
        <v>43035</v>
      </c>
      <c r="S322" s="0" t="n">
        <f aca="false">YEAR(Q322)</f>
        <v>2017</v>
      </c>
      <c r="T322" s="0" t="n">
        <f aca="false">MONTH(Q322)</f>
        <v>10</v>
      </c>
    </row>
    <row r="323" customFormat="false" ht="14.25" hidden="true" customHeight="false" outlineLevel="0" collapsed="false">
      <c r="A323" s="0" t="n">
        <v>322</v>
      </c>
      <c r="B323" s="1" t="s">
        <v>557</v>
      </c>
      <c r="F323" s="0" t="s">
        <v>49</v>
      </c>
      <c r="G323" s="0" t="s">
        <v>4499</v>
      </c>
      <c r="I323" s="6" t="n">
        <v>0.694444444444444</v>
      </c>
      <c r="J323" s="6" t="n">
        <v>0.729166666666667</v>
      </c>
      <c r="L323" s="0" t="n">
        <v>0</v>
      </c>
      <c r="M323" s="0" t="s">
        <v>4500</v>
      </c>
      <c r="N323" s="0" t="s">
        <v>4501</v>
      </c>
      <c r="P323" s="0" t="s">
        <v>4502</v>
      </c>
      <c r="Q323" s="2" t="n">
        <v>43035</v>
      </c>
      <c r="S323" s="0" t="n">
        <f aca="false">YEAR(Q323)</f>
        <v>2017</v>
      </c>
      <c r="T323" s="0" t="n">
        <f aca="false">MONTH(Q323)</f>
        <v>10</v>
      </c>
    </row>
    <row r="324" customFormat="false" ht="14.25" hidden="true" customHeight="false" outlineLevel="0" collapsed="false">
      <c r="A324" s="0" t="n">
        <v>323</v>
      </c>
      <c r="B324" s="1" t="s">
        <v>557</v>
      </c>
      <c r="C324" s="1" t="s">
        <v>1479</v>
      </c>
      <c r="D324" s="1" t="s">
        <v>1487</v>
      </c>
      <c r="E324" s="0" t="s">
        <v>1488</v>
      </c>
      <c r="F324" s="0" t="s">
        <v>49</v>
      </c>
      <c r="G324" s="0" t="s">
        <v>4503</v>
      </c>
      <c r="I324" s="6" t="n">
        <v>0.833333333333333</v>
      </c>
      <c r="J324" s="6" t="n">
        <v>0.895833333333333</v>
      </c>
      <c r="M324" s="0" t="s">
        <v>4504</v>
      </c>
      <c r="N324" s="0" t="s">
        <v>4505</v>
      </c>
      <c r="P324" s="0" t="s">
        <v>4506</v>
      </c>
      <c r="Q324" s="2" t="n">
        <v>43035</v>
      </c>
      <c r="S324" s="0" t="n">
        <f aca="false">YEAR(Q324)</f>
        <v>2017</v>
      </c>
      <c r="T324" s="0" t="n">
        <f aca="false">MONTH(Q324)</f>
        <v>10</v>
      </c>
    </row>
    <row r="325" customFormat="false" ht="42.75" hidden="true" customHeight="false" outlineLevel="0" collapsed="false">
      <c r="A325" s="0" t="n">
        <v>324</v>
      </c>
      <c r="B325" s="1" t="s">
        <v>557</v>
      </c>
      <c r="C325" s="1" t="s">
        <v>1479</v>
      </c>
      <c r="D325" s="1" t="s">
        <v>1496</v>
      </c>
      <c r="E325" s="0" t="s">
        <v>38</v>
      </c>
      <c r="F325" s="0" t="s">
        <v>50</v>
      </c>
      <c r="G325" s="0" t="s">
        <v>4507</v>
      </c>
      <c r="I325" s="6" t="n">
        <v>0.0972222222222222</v>
      </c>
      <c r="J325" s="6" t="n">
        <v>0.125</v>
      </c>
      <c r="K325" s="0" t="n">
        <v>30</v>
      </c>
      <c r="L325" s="0" t="n">
        <v>60</v>
      </c>
      <c r="M325" s="0" t="s">
        <v>4508</v>
      </c>
      <c r="N325" s="0" t="s">
        <v>4509</v>
      </c>
      <c r="P325" s="7" t="s">
        <v>4510</v>
      </c>
      <c r="Q325" s="2" t="n">
        <v>43035</v>
      </c>
      <c r="S325" s="0" t="n">
        <f aca="false">YEAR(Q325)</f>
        <v>2017</v>
      </c>
      <c r="T325" s="0" t="n">
        <f aca="false">MONTH(Q325)</f>
        <v>10</v>
      </c>
    </row>
    <row r="326" customFormat="false" ht="14.25" hidden="true" customHeight="false" outlineLevel="0" collapsed="false">
      <c r="A326" s="0" t="n">
        <v>325</v>
      </c>
      <c r="B326" s="1" t="s">
        <v>557</v>
      </c>
      <c r="C326" s="1" t="s">
        <v>1479</v>
      </c>
      <c r="D326" s="1" t="s">
        <v>1535</v>
      </c>
      <c r="E326" s="0" t="s">
        <v>39</v>
      </c>
      <c r="F326" s="0" t="s">
        <v>50</v>
      </c>
      <c r="G326" s="0" t="s">
        <v>3399</v>
      </c>
      <c r="I326" s="6" t="n">
        <v>0.25</v>
      </c>
      <c r="J326" s="6" t="n">
        <v>0.270833333333333</v>
      </c>
      <c r="L326" s="0" t="n">
        <v>40</v>
      </c>
      <c r="M326" s="0" t="s">
        <v>4511</v>
      </c>
      <c r="N326" s="0" t="s">
        <v>4512</v>
      </c>
      <c r="P326" s="0" t="s">
        <v>4513</v>
      </c>
      <c r="Q326" s="2" t="n">
        <v>43035</v>
      </c>
      <c r="S326" s="0" t="n">
        <f aca="false">YEAR(Q326)</f>
        <v>2017</v>
      </c>
      <c r="T326" s="0" t="n">
        <f aca="false">MONTH(Q326)</f>
        <v>10</v>
      </c>
    </row>
    <row r="327" customFormat="false" ht="42.75" hidden="true" customHeight="false" outlineLevel="0" collapsed="false">
      <c r="A327" s="0" t="n">
        <v>326</v>
      </c>
      <c r="B327" s="1" t="s">
        <v>562</v>
      </c>
      <c r="C327" s="1" t="s">
        <v>1479</v>
      </c>
      <c r="D327" s="1" t="s">
        <v>1496</v>
      </c>
      <c r="E327" s="0" t="s">
        <v>38</v>
      </c>
      <c r="F327" s="0" t="s">
        <v>50</v>
      </c>
      <c r="G327" s="0" t="s">
        <v>4514</v>
      </c>
      <c r="I327" s="6" t="n">
        <v>0.979166666666667</v>
      </c>
      <c r="J327" s="6" t="n">
        <v>0.986111111111111</v>
      </c>
      <c r="L327" s="0" t="n">
        <v>20</v>
      </c>
      <c r="M327" s="0" t="s">
        <v>4515</v>
      </c>
      <c r="N327" s="0" t="s">
        <v>4516</v>
      </c>
      <c r="P327" s="7" t="s">
        <v>4517</v>
      </c>
      <c r="Q327" s="2" t="n">
        <v>43037</v>
      </c>
      <c r="S327" s="0" t="n">
        <f aca="false">YEAR(Q327)</f>
        <v>2017</v>
      </c>
      <c r="T327" s="0" t="n">
        <f aca="false">MONTH(Q327)</f>
        <v>10</v>
      </c>
    </row>
    <row r="328" customFormat="false" ht="57" hidden="true" customHeight="false" outlineLevel="0" collapsed="false">
      <c r="A328" s="0" t="n">
        <v>327</v>
      </c>
      <c r="B328" s="1" t="s">
        <v>562</v>
      </c>
      <c r="C328" s="1" t="s">
        <v>1479</v>
      </c>
      <c r="D328" s="1" t="s">
        <v>1496</v>
      </c>
      <c r="E328" s="0" t="s">
        <v>38</v>
      </c>
      <c r="F328" s="0" t="s">
        <v>50</v>
      </c>
      <c r="G328" s="0" t="s">
        <v>4518</v>
      </c>
      <c r="J328" s="6" t="n">
        <v>0.986111111111111</v>
      </c>
      <c r="M328" s="0" t="s">
        <v>4519</v>
      </c>
      <c r="N328" s="0" t="s">
        <v>4520</v>
      </c>
      <c r="P328" s="7" t="s">
        <v>4521</v>
      </c>
      <c r="Q328" s="2" t="n">
        <v>43037</v>
      </c>
      <c r="S328" s="0" t="n">
        <f aca="false">YEAR(Q328)</f>
        <v>2017</v>
      </c>
      <c r="T328" s="0" t="n">
        <f aca="false">MONTH(Q328)</f>
        <v>10</v>
      </c>
    </row>
    <row r="329" customFormat="false" ht="14.25" hidden="true" customHeight="false" outlineLevel="0" collapsed="false">
      <c r="A329" s="0" t="n">
        <v>328</v>
      </c>
      <c r="B329" s="1" t="s">
        <v>563</v>
      </c>
      <c r="C329" s="1" t="s">
        <v>1503</v>
      </c>
      <c r="D329" s="1" t="s">
        <v>1504</v>
      </c>
      <c r="E329" s="0" t="s">
        <v>45</v>
      </c>
      <c r="F329" s="0" t="s">
        <v>48</v>
      </c>
      <c r="G329" s="0" t="s">
        <v>4522</v>
      </c>
      <c r="I329" s="6" t="n">
        <v>0.236111111111111</v>
      </c>
      <c r="J329" s="6" t="n">
        <v>0.263888888888889</v>
      </c>
      <c r="K329" s="0" t="n">
        <v>0</v>
      </c>
      <c r="L329" s="0" t="n">
        <v>30</v>
      </c>
      <c r="M329" s="0" t="s">
        <v>4523</v>
      </c>
      <c r="N329" s="0" t="s">
        <v>4524</v>
      </c>
      <c r="P329" s="0" t="s">
        <v>4525</v>
      </c>
      <c r="Q329" s="2" t="n">
        <v>43038</v>
      </c>
      <c r="S329" s="0" t="n">
        <f aca="false">YEAR(Q329)</f>
        <v>2017</v>
      </c>
      <c r="T329" s="0" t="n">
        <f aca="false">MONTH(Q329)</f>
        <v>10</v>
      </c>
    </row>
    <row r="330" customFormat="false" ht="14.25" hidden="true" customHeight="false" outlineLevel="0" collapsed="false">
      <c r="A330" s="0" t="n">
        <v>329</v>
      </c>
      <c r="B330" s="1" t="s">
        <v>563</v>
      </c>
      <c r="C330" s="1" t="s">
        <v>1479</v>
      </c>
      <c r="D330" s="1" t="s">
        <v>1496</v>
      </c>
      <c r="E330" s="0" t="s">
        <v>38</v>
      </c>
      <c r="F330" s="0" t="s">
        <v>48</v>
      </c>
      <c r="G330" s="0" t="s">
        <v>4526</v>
      </c>
      <c r="J330" s="6" t="n">
        <v>0.375</v>
      </c>
      <c r="K330" s="0" t="n">
        <v>0</v>
      </c>
      <c r="L330" s="0" t="n">
        <v>5</v>
      </c>
      <c r="M330" s="0" t="s">
        <v>4527</v>
      </c>
      <c r="N330" s="0" t="s">
        <v>4528</v>
      </c>
      <c r="P330" s="0" t="s">
        <v>4529</v>
      </c>
      <c r="Q330" s="2" t="n">
        <v>43038</v>
      </c>
      <c r="S330" s="0" t="n">
        <f aca="false">YEAR(Q330)</f>
        <v>2017</v>
      </c>
      <c r="T330" s="0" t="n">
        <f aca="false">MONTH(Q330)</f>
        <v>10</v>
      </c>
    </row>
    <row r="331" customFormat="false" ht="14.25" hidden="true" customHeight="false" outlineLevel="0" collapsed="false">
      <c r="A331" s="0" t="n">
        <v>330</v>
      </c>
      <c r="B331" s="1" t="s">
        <v>563</v>
      </c>
      <c r="C331" s="1" t="s">
        <v>1479</v>
      </c>
      <c r="D331" s="1" t="s">
        <v>1535</v>
      </c>
      <c r="E331" s="0" t="s">
        <v>39</v>
      </c>
      <c r="F331" s="0" t="s">
        <v>49</v>
      </c>
      <c r="G331" s="0" t="s">
        <v>4530</v>
      </c>
      <c r="I331" s="6" t="n">
        <v>0.78125</v>
      </c>
      <c r="J331" s="6" t="n">
        <v>0.791666666666667</v>
      </c>
      <c r="L331" s="0" t="n">
        <v>60</v>
      </c>
      <c r="M331" s="0" t="s">
        <v>4531</v>
      </c>
      <c r="N331" s="0" t="s">
        <v>4532</v>
      </c>
      <c r="P331" s="0" t="s">
        <v>4533</v>
      </c>
      <c r="Q331" s="2" t="n">
        <v>43038</v>
      </c>
      <c r="S331" s="0" t="n">
        <f aca="false">YEAR(Q331)</f>
        <v>2017</v>
      </c>
      <c r="T331" s="0" t="n">
        <f aca="false">MONTH(Q331)</f>
        <v>10</v>
      </c>
    </row>
    <row r="332" customFormat="false" ht="14.25" hidden="true" customHeight="false" outlineLevel="0" collapsed="false">
      <c r="A332" s="0" t="n">
        <v>331</v>
      </c>
      <c r="B332" s="1" t="s">
        <v>563</v>
      </c>
      <c r="C332" s="1" t="s">
        <v>1479</v>
      </c>
      <c r="D332" s="1" t="s">
        <v>1535</v>
      </c>
      <c r="E332" s="0" t="s">
        <v>39</v>
      </c>
      <c r="F332" s="0" t="s">
        <v>49</v>
      </c>
      <c r="G332" s="0" t="s">
        <v>4534</v>
      </c>
      <c r="I332" s="6" t="n">
        <v>0.75</v>
      </c>
      <c r="J332" s="6" t="n">
        <v>0.78125</v>
      </c>
      <c r="L332" s="0" t="n">
        <v>0</v>
      </c>
      <c r="M332" s="0" t="s">
        <v>4535</v>
      </c>
      <c r="N332" s="0" t="s">
        <v>4536</v>
      </c>
      <c r="P332" s="0" t="s">
        <v>4537</v>
      </c>
      <c r="Q332" s="2" t="n">
        <v>43038</v>
      </c>
      <c r="S332" s="0" t="n">
        <f aca="false">YEAR(Q332)</f>
        <v>2017</v>
      </c>
      <c r="T332" s="0" t="n">
        <f aca="false">MONTH(Q332)</f>
        <v>10</v>
      </c>
    </row>
    <row r="333" customFormat="false" ht="14.25" hidden="true" customHeight="false" outlineLevel="0" collapsed="false">
      <c r="A333" s="0" t="n">
        <v>332</v>
      </c>
      <c r="B333" s="1" t="s">
        <v>563</v>
      </c>
      <c r="C333" s="1" t="s">
        <v>1479</v>
      </c>
      <c r="D333" s="1" t="s">
        <v>1496</v>
      </c>
      <c r="E333" s="0" t="s">
        <v>38</v>
      </c>
      <c r="F333" s="0" t="s">
        <v>49</v>
      </c>
      <c r="G333" s="0" t="s">
        <v>4538</v>
      </c>
      <c r="I333" s="6" t="n">
        <v>0.9375</v>
      </c>
      <c r="J333" s="6" t="n">
        <v>0.947916666666667</v>
      </c>
      <c r="K333" s="0" t="n">
        <v>0</v>
      </c>
      <c r="M333" s="0" t="s">
        <v>4539</v>
      </c>
      <c r="N333" s="0" t="s">
        <v>4540</v>
      </c>
      <c r="P333" s="0" t="s">
        <v>4541</v>
      </c>
      <c r="Q333" s="2" t="n">
        <v>43038</v>
      </c>
      <c r="S333" s="0" t="n">
        <f aca="false">YEAR(Q333)</f>
        <v>2017</v>
      </c>
      <c r="T333" s="0" t="n">
        <f aca="false">MONTH(Q333)</f>
        <v>10</v>
      </c>
    </row>
    <row r="334" customFormat="false" ht="72" hidden="true" customHeight="false" outlineLevel="0" collapsed="false">
      <c r="A334" s="0" t="n">
        <v>333</v>
      </c>
      <c r="B334" s="1" t="s">
        <v>563</v>
      </c>
      <c r="C334" s="1" t="s">
        <v>1479</v>
      </c>
      <c r="D334" s="1" t="s">
        <v>1496</v>
      </c>
      <c r="E334" s="0" t="s">
        <v>38</v>
      </c>
      <c r="F334" s="0" t="s">
        <v>50</v>
      </c>
      <c r="G334" s="0" t="s">
        <v>4542</v>
      </c>
      <c r="I334" s="6" t="n">
        <v>0.982638888888889</v>
      </c>
      <c r="J334" s="6" t="n">
        <v>0.993055555555555</v>
      </c>
      <c r="K334" s="0" t="n">
        <v>9</v>
      </c>
      <c r="L334" s="0" t="n">
        <v>25</v>
      </c>
      <c r="M334" s="0" t="s">
        <v>4543</v>
      </c>
      <c r="N334" s="0" t="s">
        <v>4544</v>
      </c>
      <c r="P334" s="7" t="s">
        <v>4545</v>
      </c>
      <c r="Q334" s="2" t="n">
        <v>43038</v>
      </c>
      <c r="S334" s="0" t="n">
        <f aca="false">YEAR(Q334)</f>
        <v>2017</v>
      </c>
      <c r="T334" s="0" t="n">
        <f aca="false">MONTH(Q334)</f>
        <v>10</v>
      </c>
    </row>
    <row r="335" customFormat="false" ht="14.25" hidden="true" customHeight="false" outlineLevel="0" collapsed="false">
      <c r="A335" s="0" t="n">
        <v>334</v>
      </c>
      <c r="B335" s="1" t="s">
        <v>566</v>
      </c>
      <c r="C335" s="1" t="s">
        <v>1479</v>
      </c>
      <c r="D335" s="1" t="s">
        <v>1487</v>
      </c>
      <c r="E335" s="0" t="s">
        <v>1488</v>
      </c>
      <c r="F335" s="0" t="s">
        <v>48</v>
      </c>
      <c r="G335" s="0" t="s">
        <v>4546</v>
      </c>
      <c r="I335" s="6" t="n">
        <v>0.5</v>
      </c>
      <c r="J335" s="6" t="n">
        <v>0.517361111111111</v>
      </c>
      <c r="K335" s="0" t="n">
        <v>70</v>
      </c>
      <c r="L335" s="0" t="n">
        <v>70</v>
      </c>
      <c r="M335" s="0" t="s">
        <v>4547</v>
      </c>
      <c r="N335" s="0" t="s">
        <v>4548</v>
      </c>
      <c r="P335" s="0" t="s">
        <v>4549</v>
      </c>
      <c r="Q335" s="2" t="n">
        <v>43039</v>
      </c>
      <c r="S335" s="0" t="n">
        <f aca="false">YEAR(Q335)</f>
        <v>2017</v>
      </c>
      <c r="T335" s="0" t="n">
        <f aca="false">MONTH(Q335)</f>
        <v>10</v>
      </c>
    </row>
    <row r="336" customFormat="false" ht="14.25" hidden="true" customHeight="false" outlineLevel="0" collapsed="false">
      <c r="A336" s="0" t="n">
        <v>335</v>
      </c>
      <c r="B336" s="1" t="s">
        <v>566</v>
      </c>
      <c r="C336" s="1" t="s">
        <v>1479</v>
      </c>
      <c r="D336" s="1" t="s">
        <v>1487</v>
      </c>
      <c r="E336" s="0" t="s">
        <v>1488</v>
      </c>
      <c r="F336" s="0" t="s">
        <v>49</v>
      </c>
      <c r="G336" s="0" t="s">
        <v>4550</v>
      </c>
      <c r="I336" s="6" t="n">
        <v>0.614583333333333</v>
      </c>
      <c r="J336" s="6" t="n">
        <v>0.625</v>
      </c>
      <c r="L336" s="0" t="n">
        <v>30</v>
      </c>
      <c r="M336" s="0" t="s">
        <v>4551</v>
      </c>
      <c r="N336" s="0" t="s">
        <v>4552</v>
      </c>
      <c r="P336" s="0" t="s">
        <v>4553</v>
      </c>
      <c r="Q336" s="2" t="n">
        <v>43039</v>
      </c>
      <c r="S336" s="0" t="n">
        <f aca="false">YEAR(Q336)</f>
        <v>2017</v>
      </c>
      <c r="T336" s="0" t="n">
        <f aca="false">MONTH(Q336)</f>
        <v>10</v>
      </c>
    </row>
    <row r="337" customFormat="false" ht="14.25" hidden="true" customHeight="false" outlineLevel="0" collapsed="false">
      <c r="A337" s="0" t="n">
        <v>336</v>
      </c>
      <c r="B337" s="1" t="s">
        <v>566</v>
      </c>
      <c r="C337" s="1" t="s">
        <v>1479</v>
      </c>
      <c r="D337" s="1" t="s">
        <v>1487</v>
      </c>
      <c r="E337" s="0" t="s">
        <v>1488</v>
      </c>
      <c r="F337" s="0" t="s">
        <v>49</v>
      </c>
      <c r="G337" s="0" t="s">
        <v>4554</v>
      </c>
      <c r="I337" s="6" t="n">
        <v>0.708333333333333</v>
      </c>
      <c r="J337" s="6" t="n">
        <v>0.71875</v>
      </c>
      <c r="L337" s="0" t="n">
        <v>240</v>
      </c>
      <c r="M337" s="0" t="s">
        <v>4555</v>
      </c>
      <c r="N337" s="0" t="s">
        <v>4556</v>
      </c>
      <c r="P337" s="0" t="s">
        <v>4557</v>
      </c>
      <c r="Q337" s="2" t="n">
        <v>43039</v>
      </c>
      <c r="S337" s="0" t="n">
        <f aca="false">YEAR(Q337)</f>
        <v>2017</v>
      </c>
      <c r="T337" s="0" t="n">
        <f aca="false">MONTH(Q337)</f>
        <v>10</v>
      </c>
    </row>
    <row r="338" customFormat="false" ht="14.25" hidden="true" customHeight="false" outlineLevel="0" collapsed="false">
      <c r="A338" s="0" t="n">
        <v>337</v>
      </c>
      <c r="B338" s="1" t="s">
        <v>566</v>
      </c>
      <c r="C338" s="1" t="s">
        <v>1479</v>
      </c>
      <c r="D338" s="1" t="s">
        <v>1487</v>
      </c>
      <c r="E338" s="0" t="s">
        <v>1488</v>
      </c>
      <c r="F338" s="0" t="s">
        <v>49</v>
      </c>
      <c r="G338" s="0" t="s">
        <v>4558</v>
      </c>
      <c r="I338" s="6" t="n">
        <v>0.895833333333333</v>
      </c>
      <c r="J338" s="6" t="n">
        <v>0.910416666666667</v>
      </c>
      <c r="K338" s="0" t="n">
        <v>0</v>
      </c>
      <c r="M338" s="0" t="s">
        <v>4559</v>
      </c>
      <c r="N338" s="0" t="s">
        <v>4560</v>
      </c>
      <c r="P338" s="0" t="s">
        <v>4561</v>
      </c>
      <c r="Q338" s="2" t="n">
        <v>43039</v>
      </c>
      <c r="S338" s="0" t="n">
        <f aca="false">YEAR(Q338)</f>
        <v>2017</v>
      </c>
      <c r="T338" s="0" t="n">
        <f aca="false">MONTH(Q338)</f>
        <v>10</v>
      </c>
    </row>
    <row r="339" customFormat="false" ht="14.25" hidden="true" customHeight="false" outlineLevel="0" collapsed="false">
      <c r="A339" s="0" t="n">
        <v>338</v>
      </c>
      <c r="B339" s="1" t="s">
        <v>569</v>
      </c>
      <c r="C339" s="1" t="s">
        <v>1503</v>
      </c>
      <c r="D339" s="1" t="s">
        <v>1504</v>
      </c>
      <c r="E339" s="0" t="s">
        <v>45</v>
      </c>
      <c r="F339" s="0" t="s">
        <v>49</v>
      </c>
      <c r="G339" s="0" t="s">
        <v>4562</v>
      </c>
      <c r="I339" s="6" t="n">
        <v>0.684027777777778</v>
      </c>
      <c r="J339" s="6" t="n">
        <v>0.71875</v>
      </c>
      <c r="L339" s="0" t="n">
        <v>30</v>
      </c>
      <c r="M339" s="0" t="s">
        <v>4563</v>
      </c>
      <c r="N339" s="0" t="s">
        <v>4564</v>
      </c>
      <c r="P339" s="0" t="s">
        <v>4565</v>
      </c>
      <c r="Q339" s="2" t="n">
        <v>43040</v>
      </c>
      <c r="S339" s="0" t="n">
        <f aca="false">YEAR(Q339)</f>
        <v>2017</v>
      </c>
      <c r="T339" s="0" t="n">
        <f aca="false">MONTH(Q339)</f>
        <v>11</v>
      </c>
    </row>
    <row r="340" customFormat="false" ht="14.25" hidden="true" customHeight="false" outlineLevel="0" collapsed="false">
      <c r="A340" s="0" t="n">
        <v>339</v>
      </c>
      <c r="B340" s="1" t="s">
        <v>569</v>
      </c>
      <c r="C340" s="1" t="s">
        <v>1479</v>
      </c>
      <c r="D340" s="1" t="s">
        <v>1487</v>
      </c>
      <c r="E340" s="0" t="s">
        <v>1488</v>
      </c>
      <c r="F340" s="0" t="s">
        <v>49</v>
      </c>
      <c r="G340" s="0" t="s">
        <v>4554</v>
      </c>
      <c r="I340" s="6" t="n">
        <v>0.708333333333333</v>
      </c>
      <c r="J340" s="6" t="n">
        <v>0.729166666666667</v>
      </c>
      <c r="L340" s="0" t="n">
        <v>240</v>
      </c>
      <c r="M340" s="0" t="s">
        <v>4566</v>
      </c>
      <c r="N340" s="0" t="s">
        <v>4484</v>
      </c>
      <c r="P340" s="0" t="s">
        <v>4567</v>
      </c>
      <c r="Q340" s="2" t="n">
        <v>43040</v>
      </c>
      <c r="S340" s="0" t="n">
        <f aca="false">YEAR(Q340)</f>
        <v>2017</v>
      </c>
      <c r="T340" s="0" t="n">
        <f aca="false">MONTH(Q340)</f>
        <v>11</v>
      </c>
    </row>
    <row r="341" customFormat="false" ht="14.25" hidden="true" customHeight="false" outlineLevel="0" collapsed="false">
      <c r="A341" s="0" t="n">
        <v>340</v>
      </c>
      <c r="B341" s="1" t="s">
        <v>569</v>
      </c>
      <c r="C341" s="1" t="s">
        <v>1479</v>
      </c>
      <c r="D341" s="1" t="s">
        <v>1487</v>
      </c>
      <c r="E341" s="0" t="s">
        <v>1488</v>
      </c>
      <c r="F341" s="0" t="s">
        <v>49</v>
      </c>
      <c r="G341" s="0" t="s">
        <v>4558</v>
      </c>
      <c r="I341" s="6" t="n">
        <v>0.74375</v>
      </c>
      <c r="J341" s="6" t="n">
        <v>0.74375</v>
      </c>
      <c r="K341" s="0" t="n">
        <v>0</v>
      </c>
      <c r="M341" s="0" t="s">
        <v>4568</v>
      </c>
      <c r="N341" s="0" t="s">
        <v>4569</v>
      </c>
      <c r="P341" s="0" t="s">
        <v>4570</v>
      </c>
      <c r="Q341" s="2" t="n">
        <v>43040</v>
      </c>
      <c r="S341" s="0" t="n">
        <f aca="false">YEAR(Q341)</f>
        <v>2017</v>
      </c>
      <c r="T341" s="0" t="n">
        <f aca="false">MONTH(Q341)</f>
        <v>11</v>
      </c>
    </row>
    <row r="342" customFormat="false" ht="14.25" hidden="true" customHeight="false" outlineLevel="0" collapsed="false">
      <c r="A342" s="0" t="n">
        <v>341</v>
      </c>
      <c r="B342" s="1" t="s">
        <v>570</v>
      </c>
      <c r="C342" s="1" t="s">
        <v>1479</v>
      </c>
      <c r="D342" s="1" t="s">
        <v>1487</v>
      </c>
      <c r="E342" s="0" t="s">
        <v>1488</v>
      </c>
      <c r="F342" s="0" t="s">
        <v>50</v>
      </c>
      <c r="G342" s="0" t="s">
        <v>3680</v>
      </c>
      <c r="J342" s="6" t="n">
        <v>0.916666666666667</v>
      </c>
      <c r="K342" s="0" t="n">
        <v>0</v>
      </c>
      <c r="L342" s="0" t="n">
        <v>30</v>
      </c>
      <c r="M342" s="0" t="s">
        <v>4571</v>
      </c>
      <c r="N342" s="0" t="s">
        <v>4572</v>
      </c>
      <c r="P342" s="0" t="s">
        <v>4573</v>
      </c>
      <c r="Q342" s="2" t="n">
        <v>43044</v>
      </c>
      <c r="S342" s="0" t="n">
        <f aca="false">YEAR(Q342)</f>
        <v>2017</v>
      </c>
      <c r="T342" s="0" t="n">
        <f aca="false">MONTH(Q342)</f>
        <v>11</v>
      </c>
    </row>
    <row r="343" customFormat="false" ht="42.75" hidden="true" customHeight="false" outlineLevel="0" collapsed="false">
      <c r="A343" s="0" t="n">
        <v>342</v>
      </c>
      <c r="B343" s="1" t="s">
        <v>570</v>
      </c>
      <c r="C343" s="1" t="s">
        <v>1479</v>
      </c>
      <c r="D343" s="1" t="s">
        <v>1487</v>
      </c>
      <c r="E343" s="4" t="s">
        <v>1488</v>
      </c>
      <c r="F343" s="0" t="s">
        <v>50</v>
      </c>
      <c r="G343" s="0" t="s">
        <v>4574</v>
      </c>
      <c r="I343" s="6" t="n">
        <v>0.921527777777778</v>
      </c>
      <c r="J343" s="6" t="n">
        <v>0.930555555555555</v>
      </c>
      <c r="K343" s="0" t="n">
        <v>10</v>
      </c>
      <c r="L343" s="0" t="n">
        <v>31</v>
      </c>
      <c r="M343" s="0" t="s">
        <v>4575</v>
      </c>
      <c r="N343" s="0" t="s">
        <v>4576</v>
      </c>
      <c r="P343" s="7" t="s">
        <v>4577</v>
      </c>
      <c r="Q343" s="2" t="n">
        <v>43044</v>
      </c>
      <c r="S343" s="0" t="n">
        <f aca="false">YEAR(Q343)</f>
        <v>2017</v>
      </c>
      <c r="T343" s="0" t="n">
        <f aca="false">MONTH(Q343)</f>
        <v>11</v>
      </c>
    </row>
    <row r="344" customFormat="false" ht="86.25" hidden="true" customHeight="false" outlineLevel="0" collapsed="false">
      <c r="A344" s="0" t="n">
        <v>343</v>
      </c>
      <c r="B344" s="1" t="s">
        <v>570</v>
      </c>
      <c r="C344" s="1" t="s">
        <v>1479</v>
      </c>
      <c r="D344" s="1" t="s">
        <v>1487</v>
      </c>
      <c r="E344" s="4" t="s">
        <v>1488</v>
      </c>
      <c r="F344" s="0" t="s">
        <v>50</v>
      </c>
      <c r="G344" s="0" t="s">
        <v>4578</v>
      </c>
      <c r="I344" s="6" t="n">
        <v>0.921527777777778</v>
      </c>
      <c r="J344" s="6" t="n">
        <v>0.9375</v>
      </c>
      <c r="K344" s="0" t="n">
        <v>10</v>
      </c>
      <c r="L344" s="0" t="n">
        <v>38</v>
      </c>
      <c r="M344" s="0" t="s">
        <v>4579</v>
      </c>
      <c r="N344" s="0" t="s">
        <v>4580</v>
      </c>
      <c r="P344" s="7" t="s">
        <v>4581</v>
      </c>
      <c r="Q344" s="2" t="n">
        <v>43044</v>
      </c>
      <c r="S344" s="0" t="n">
        <f aca="false">YEAR(Q344)</f>
        <v>2017</v>
      </c>
      <c r="T344" s="0" t="n">
        <f aca="false">MONTH(Q344)</f>
        <v>11</v>
      </c>
    </row>
    <row r="345" customFormat="false" ht="72" hidden="true" customHeight="false" outlineLevel="0" collapsed="false">
      <c r="A345" s="0" t="n">
        <v>344</v>
      </c>
      <c r="B345" s="1" t="s">
        <v>570</v>
      </c>
      <c r="C345" s="1" t="s">
        <v>1479</v>
      </c>
      <c r="D345" s="1" t="s">
        <v>1496</v>
      </c>
      <c r="E345" s="0" t="s">
        <v>38</v>
      </c>
      <c r="F345" s="0" t="s">
        <v>50</v>
      </c>
      <c r="G345" s="0" t="s">
        <v>4582</v>
      </c>
      <c r="I345" s="6" t="n">
        <v>0.923611111111111</v>
      </c>
      <c r="J345" s="6" t="n">
        <v>0.965277777777778</v>
      </c>
      <c r="L345" s="0" t="n">
        <v>45</v>
      </c>
      <c r="M345" s="0" t="s">
        <v>4583</v>
      </c>
      <c r="N345" s="0" t="s">
        <v>4584</v>
      </c>
      <c r="P345" s="7" t="s">
        <v>4585</v>
      </c>
      <c r="Q345" s="2" t="n">
        <v>43044</v>
      </c>
      <c r="S345" s="0" t="n">
        <f aca="false">YEAR(Q345)</f>
        <v>2017</v>
      </c>
      <c r="T345" s="0" t="n">
        <f aca="false">MONTH(Q345)</f>
        <v>11</v>
      </c>
    </row>
    <row r="346" customFormat="false" ht="14.25" hidden="true" customHeight="false" outlineLevel="0" collapsed="false">
      <c r="A346" s="0" t="n">
        <v>345</v>
      </c>
      <c r="B346" s="1" t="s">
        <v>571</v>
      </c>
      <c r="C346" s="1" t="s">
        <v>1479</v>
      </c>
      <c r="D346" s="1" t="s">
        <v>1496</v>
      </c>
      <c r="E346" s="0" t="s">
        <v>38</v>
      </c>
      <c r="F346" s="0" t="s">
        <v>48</v>
      </c>
      <c r="G346" s="0" t="s">
        <v>4586</v>
      </c>
      <c r="I346" s="6" t="n">
        <v>0.352083333333333</v>
      </c>
      <c r="J346" s="6" t="n">
        <v>0.442361111111111</v>
      </c>
      <c r="K346" s="0" t="n">
        <v>164</v>
      </c>
      <c r="L346" s="0" t="n">
        <v>130</v>
      </c>
      <c r="M346" s="0" t="s">
        <v>4587</v>
      </c>
      <c r="N346" s="0" t="s">
        <v>4588</v>
      </c>
      <c r="P346" s="0" t="s">
        <v>4589</v>
      </c>
      <c r="Q346" s="2" t="n">
        <v>43045</v>
      </c>
      <c r="S346" s="0" t="n">
        <f aca="false">YEAR(Q346)</f>
        <v>2017</v>
      </c>
      <c r="T346" s="0" t="n">
        <f aca="false">MONTH(Q346)</f>
        <v>11</v>
      </c>
    </row>
    <row r="347" customFormat="false" ht="14.25" hidden="true" customHeight="false" outlineLevel="0" collapsed="false">
      <c r="A347" s="0" t="n">
        <v>346</v>
      </c>
      <c r="B347" s="1" t="s">
        <v>572</v>
      </c>
      <c r="C347" s="1" t="s">
        <v>1479</v>
      </c>
      <c r="D347" s="1" t="s">
        <v>1496</v>
      </c>
      <c r="E347" s="0" t="s">
        <v>38</v>
      </c>
      <c r="F347" s="0" t="s">
        <v>49</v>
      </c>
      <c r="G347" s="0" t="s">
        <v>4590</v>
      </c>
      <c r="I347" s="6" t="n">
        <v>0.809027777777778</v>
      </c>
      <c r="J347" s="6" t="n">
        <v>0.84375</v>
      </c>
      <c r="L347" s="0" t="n">
        <v>120</v>
      </c>
      <c r="M347" s="0" t="s">
        <v>4591</v>
      </c>
      <c r="N347" s="0" t="s">
        <v>4592</v>
      </c>
      <c r="P347" s="0" t="s">
        <v>4593</v>
      </c>
      <c r="Q347" s="2" t="n">
        <v>43046</v>
      </c>
      <c r="S347" s="0" t="n">
        <f aca="false">YEAR(Q347)</f>
        <v>2017</v>
      </c>
      <c r="T347" s="0" t="n">
        <f aca="false">MONTH(Q347)</f>
        <v>11</v>
      </c>
    </row>
    <row r="348" customFormat="false" ht="57" hidden="true" customHeight="false" outlineLevel="0" collapsed="false">
      <c r="A348" s="0" t="n">
        <v>347</v>
      </c>
      <c r="B348" s="1" t="s">
        <v>572</v>
      </c>
      <c r="C348" s="1" t="s">
        <v>1479</v>
      </c>
      <c r="D348" s="1" t="s">
        <v>1487</v>
      </c>
      <c r="E348" s="0" t="s">
        <v>1488</v>
      </c>
      <c r="F348" s="0" t="s">
        <v>50</v>
      </c>
      <c r="G348" s="0" t="s">
        <v>4594</v>
      </c>
      <c r="I348" s="6" t="n">
        <v>0.106944444444444</v>
      </c>
      <c r="J348" s="6" t="n">
        <v>0.11875</v>
      </c>
      <c r="L348" s="0" t="n">
        <v>47</v>
      </c>
      <c r="M348" s="0" t="s">
        <v>4595</v>
      </c>
      <c r="N348" s="0" t="s">
        <v>4596</v>
      </c>
      <c r="P348" s="7" t="s">
        <v>4597</v>
      </c>
      <c r="Q348" s="2" t="n">
        <v>43046</v>
      </c>
      <c r="S348" s="0" t="n">
        <f aca="false">YEAR(Q348)</f>
        <v>2017</v>
      </c>
      <c r="T348" s="0" t="n">
        <f aca="false">MONTH(Q348)</f>
        <v>11</v>
      </c>
    </row>
    <row r="349" customFormat="false" ht="14.25" hidden="true" customHeight="false" outlineLevel="0" collapsed="false">
      <c r="A349" s="0" t="n">
        <v>348</v>
      </c>
      <c r="B349" s="1" t="s">
        <v>577</v>
      </c>
      <c r="C349" s="1" t="s">
        <v>1503</v>
      </c>
      <c r="D349" s="1" t="s">
        <v>1535</v>
      </c>
      <c r="E349" s="0" t="s">
        <v>44</v>
      </c>
      <c r="F349" s="0" t="s">
        <v>48</v>
      </c>
      <c r="G349" s="0" t="s">
        <v>4598</v>
      </c>
      <c r="I349" s="6" t="n">
        <v>0.25</v>
      </c>
      <c r="J349" s="6" t="n">
        <v>0.354166666666667</v>
      </c>
      <c r="K349" s="0" t="n">
        <v>0</v>
      </c>
      <c r="L349" s="0" t="n">
        <v>10</v>
      </c>
      <c r="M349" s="0" t="s">
        <v>4599</v>
      </c>
      <c r="N349" s="0" t="s">
        <v>4600</v>
      </c>
      <c r="P349" s="0" t="s">
        <v>4601</v>
      </c>
      <c r="Q349" s="2" t="n">
        <v>43047</v>
      </c>
      <c r="S349" s="0" t="n">
        <f aca="false">YEAR(Q349)</f>
        <v>2017</v>
      </c>
      <c r="T349" s="0" t="n">
        <f aca="false">MONTH(Q349)</f>
        <v>11</v>
      </c>
    </row>
    <row r="350" customFormat="false" ht="14.25" hidden="true" customHeight="false" outlineLevel="0" collapsed="false">
      <c r="A350" s="0" t="n">
        <v>349</v>
      </c>
      <c r="B350" s="1" t="s">
        <v>577</v>
      </c>
      <c r="C350" s="1" t="s">
        <v>1495</v>
      </c>
      <c r="D350" s="1" t="s">
        <v>1496</v>
      </c>
      <c r="E350" s="0" t="s">
        <v>41</v>
      </c>
      <c r="F350" s="0" t="s">
        <v>48</v>
      </c>
      <c r="G350" s="0" t="s">
        <v>4602</v>
      </c>
      <c r="I350" s="6" t="n">
        <v>0.534722222222222</v>
      </c>
      <c r="J350" s="6" t="n">
        <v>0.5625</v>
      </c>
      <c r="L350" s="0" t="n">
        <v>40</v>
      </c>
      <c r="M350" s="0" t="s">
        <v>4603</v>
      </c>
      <c r="N350" s="0" t="s">
        <v>4604</v>
      </c>
      <c r="P350" s="0" t="s">
        <v>4605</v>
      </c>
      <c r="Q350" s="2" t="n">
        <v>43047</v>
      </c>
      <c r="S350" s="0" t="n">
        <f aca="false">YEAR(Q350)</f>
        <v>2017</v>
      </c>
      <c r="T350" s="0" t="n">
        <f aca="false">MONTH(Q350)</f>
        <v>11</v>
      </c>
    </row>
    <row r="351" customFormat="false" ht="14.25" hidden="true" customHeight="false" outlineLevel="0" collapsed="false">
      <c r="A351" s="0" t="n">
        <v>350</v>
      </c>
      <c r="B351" s="1" t="s">
        <v>577</v>
      </c>
      <c r="C351" s="1" t="s">
        <v>1479</v>
      </c>
      <c r="D351" s="1" t="s">
        <v>1496</v>
      </c>
      <c r="E351" s="0" t="s">
        <v>38</v>
      </c>
      <c r="F351" s="0" t="s">
        <v>49</v>
      </c>
      <c r="G351" s="0" t="s">
        <v>4606</v>
      </c>
      <c r="I351" s="6" t="n">
        <v>0.809027777777778</v>
      </c>
      <c r="J351" s="6" t="n">
        <v>0.854166666666667</v>
      </c>
      <c r="M351" s="0" t="s">
        <v>4607</v>
      </c>
      <c r="N351" s="0" t="s">
        <v>4608</v>
      </c>
      <c r="P351" s="0" t="s">
        <v>4609</v>
      </c>
      <c r="Q351" s="2" t="n">
        <v>43047</v>
      </c>
      <c r="S351" s="0" t="n">
        <f aca="false">YEAR(Q351)</f>
        <v>2017</v>
      </c>
      <c r="T351" s="0" t="n">
        <f aca="false">MONTH(Q351)</f>
        <v>11</v>
      </c>
    </row>
    <row r="352" customFormat="false" ht="14.25" hidden="true" customHeight="false" outlineLevel="0" collapsed="false">
      <c r="A352" s="0" t="n">
        <v>351</v>
      </c>
      <c r="B352" s="1" t="s">
        <v>580</v>
      </c>
      <c r="C352" s="1" t="s">
        <v>1479</v>
      </c>
      <c r="D352" s="1" t="s">
        <v>1487</v>
      </c>
      <c r="E352" s="4" t="s">
        <v>1488</v>
      </c>
      <c r="F352" s="0" t="s">
        <v>50</v>
      </c>
      <c r="G352" s="0" t="s">
        <v>4610</v>
      </c>
      <c r="K352" s="0" t="n">
        <v>13</v>
      </c>
      <c r="L352" s="0" t="n">
        <v>27</v>
      </c>
      <c r="M352" s="0" t="s">
        <v>3556</v>
      </c>
      <c r="N352" s="0" t="s">
        <v>4611</v>
      </c>
      <c r="P352" s="0" t="s">
        <v>4612</v>
      </c>
      <c r="Q352" s="2" t="n">
        <v>43051</v>
      </c>
      <c r="S352" s="0" t="n">
        <f aca="false">YEAR(Q352)</f>
        <v>2017</v>
      </c>
      <c r="T352" s="0" t="n">
        <f aca="false">MONTH(Q352)</f>
        <v>11</v>
      </c>
    </row>
    <row r="353" customFormat="false" ht="14.25" hidden="true" customHeight="false" outlineLevel="0" collapsed="false">
      <c r="A353" s="0" t="n">
        <v>352</v>
      </c>
      <c r="B353" s="1" t="s">
        <v>582</v>
      </c>
      <c r="C353" s="1" t="s">
        <v>1479</v>
      </c>
      <c r="D353" s="1" t="s">
        <v>1487</v>
      </c>
      <c r="E353" s="0" t="s">
        <v>1488</v>
      </c>
      <c r="F353" s="0" t="s">
        <v>49</v>
      </c>
      <c r="G353" s="0" t="s">
        <v>4613</v>
      </c>
      <c r="I353" s="6" t="n">
        <v>0.527777777777778</v>
      </c>
      <c r="J353" s="6" t="n">
        <v>0.560416666666667</v>
      </c>
      <c r="L353" s="0" t="n">
        <v>60</v>
      </c>
      <c r="M353" s="0" t="s">
        <v>4614</v>
      </c>
      <c r="N353" s="0" t="s">
        <v>4615</v>
      </c>
      <c r="P353" s="0" t="s">
        <v>4616</v>
      </c>
      <c r="Q353" s="2" t="n">
        <v>43050</v>
      </c>
      <c r="S353" s="0" t="n">
        <f aca="false">YEAR(Q353)</f>
        <v>2017</v>
      </c>
      <c r="T353" s="0" t="n">
        <f aca="false">MONTH(Q353)</f>
        <v>11</v>
      </c>
    </row>
    <row r="354" customFormat="false" ht="14.25" hidden="true" customHeight="false" outlineLevel="0" collapsed="false">
      <c r="A354" s="0" t="n">
        <v>353</v>
      </c>
      <c r="B354" s="1" t="s">
        <v>582</v>
      </c>
      <c r="C354" s="1" t="s">
        <v>1479</v>
      </c>
      <c r="D354" s="1" t="s">
        <v>1496</v>
      </c>
      <c r="E354" s="0" t="s">
        <v>38</v>
      </c>
      <c r="F354" s="0" t="s">
        <v>49</v>
      </c>
      <c r="G354" s="0" t="s">
        <v>4617</v>
      </c>
      <c r="J354" s="6" t="n">
        <v>0.671527777777778</v>
      </c>
      <c r="M354" s="0" t="s">
        <v>4618</v>
      </c>
      <c r="N354" s="0" t="s">
        <v>4619</v>
      </c>
      <c r="P354" s="0" t="s">
        <v>4620</v>
      </c>
      <c r="Q354" s="2" t="n">
        <v>43050</v>
      </c>
      <c r="S354" s="0" t="n">
        <f aca="false">YEAR(Q354)</f>
        <v>2017</v>
      </c>
      <c r="T354" s="0" t="n">
        <f aca="false">MONTH(Q354)</f>
        <v>11</v>
      </c>
    </row>
    <row r="355" customFormat="false" ht="14.25" hidden="true" customHeight="false" outlineLevel="0" collapsed="false">
      <c r="A355" s="0" t="n">
        <v>354</v>
      </c>
      <c r="B355" s="1" t="s">
        <v>582</v>
      </c>
      <c r="C355" s="1" t="s">
        <v>1479</v>
      </c>
      <c r="D355" s="1" t="s">
        <v>1487</v>
      </c>
      <c r="E355" s="0" t="s">
        <v>1488</v>
      </c>
      <c r="F355" s="0" t="s">
        <v>49</v>
      </c>
      <c r="G355" s="0" t="s">
        <v>4621</v>
      </c>
      <c r="I355" s="6" t="n">
        <v>0.716666666666667</v>
      </c>
      <c r="J355" s="6" t="n">
        <v>0.739583333333333</v>
      </c>
      <c r="L355" s="0" t="n">
        <v>45</v>
      </c>
      <c r="M355" s="0" t="s">
        <v>4622</v>
      </c>
      <c r="N355" s="0" t="s">
        <v>4623</v>
      </c>
      <c r="P355" s="0" t="s">
        <v>4624</v>
      </c>
      <c r="Q355" s="2" t="n">
        <v>43050</v>
      </c>
      <c r="S355" s="0" t="n">
        <f aca="false">YEAR(Q355)</f>
        <v>2017</v>
      </c>
      <c r="T355" s="0" t="n">
        <f aca="false">MONTH(Q355)</f>
        <v>11</v>
      </c>
    </row>
    <row r="356" customFormat="false" ht="14.25" hidden="true" customHeight="false" outlineLevel="0" collapsed="false">
      <c r="A356" s="0" t="n">
        <v>355</v>
      </c>
      <c r="B356" s="1" t="s">
        <v>583</v>
      </c>
      <c r="C356" s="1" t="s">
        <v>1479</v>
      </c>
      <c r="D356" s="1" t="s">
        <v>1535</v>
      </c>
      <c r="E356" s="0" t="s">
        <v>39</v>
      </c>
      <c r="F356" s="0" t="s">
        <v>48</v>
      </c>
      <c r="G356" s="0" t="s">
        <v>4625</v>
      </c>
      <c r="I356" s="6" t="n">
        <v>0.385416666666667</v>
      </c>
      <c r="Q356" s="2" t="n">
        <v>43049</v>
      </c>
      <c r="S356" s="0" t="n">
        <f aca="false">YEAR(Q356)</f>
        <v>2017</v>
      </c>
      <c r="T356" s="0" t="n">
        <f aca="false">MONTH(Q356)</f>
        <v>11</v>
      </c>
    </row>
    <row r="357" customFormat="false" ht="14.25" hidden="true" customHeight="false" outlineLevel="0" collapsed="false">
      <c r="A357" s="0" t="n">
        <v>356</v>
      </c>
      <c r="B357" s="1" t="s">
        <v>583</v>
      </c>
      <c r="C357" s="1" t="s">
        <v>1495</v>
      </c>
      <c r="D357" s="1" t="s">
        <v>1535</v>
      </c>
      <c r="E357" s="0" t="s">
        <v>42</v>
      </c>
      <c r="F357" s="0" t="s">
        <v>48</v>
      </c>
      <c r="G357" s="0" t="s">
        <v>4626</v>
      </c>
      <c r="I357" s="6" t="n">
        <v>0.364583333333333</v>
      </c>
      <c r="Q357" s="2" t="n">
        <v>43049</v>
      </c>
      <c r="S357" s="0" t="n">
        <f aca="false">YEAR(Q357)</f>
        <v>2017</v>
      </c>
      <c r="T357" s="0" t="n">
        <f aca="false">MONTH(Q357)</f>
        <v>11</v>
      </c>
    </row>
    <row r="358" customFormat="false" ht="14.25" hidden="true" customHeight="false" outlineLevel="0" collapsed="false">
      <c r="A358" s="0" t="n">
        <v>357</v>
      </c>
      <c r="B358" s="1" t="s">
        <v>583</v>
      </c>
      <c r="C358" s="1" t="s">
        <v>1479</v>
      </c>
      <c r="D358" s="1" t="s">
        <v>1535</v>
      </c>
      <c r="E358" s="0" t="s">
        <v>39</v>
      </c>
      <c r="F358" s="0" t="s">
        <v>49</v>
      </c>
      <c r="G358" s="0" t="s">
        <v>4626</v>
      </c>
      <c r="I358" s="6" t="n">
        <v>0.725694444444444</v>
      </c>
      <c r="Q358" s="2" t="n">
        <v>43049</v>
      </c>
      <c r="S358" s="0" t="n">
        <f aca="false">YEAR(Q358)</f>
        <v>2017</v>
      </c>
      <c r="T358" s="0" t="n">
        <f aca="false">MONTH(Q358)</f>
        <v>11</v>
      </c>
    </row>
    <row r="359" customFormat="false" ht="14.25" hidden="true" customHeight="false" outlineLevel="0" collapsed="false">
      <c r="A359" s="0" t="n">
        <v>358</v>
      </c>
      <c r="B359" s="1" t="s">
        <v>583</v>
      </c>
      <c r="C359" s="1" t="s">
        <v>1479</v>
      </c>
      <c r="D359" s="1" t="s">
        <v>1496</v>
      </c>
      <c r="E359" s="0" t="s">
        <v>38</v>
      </c>
      <c r="F359" s="0" t="s">
        <v>49</v>
      </c>
      <c r="G359" s="0" t="s">
        <v>4627</v>
      </c>
      <c r="L359" s="0" t="n">
        <v>15</v>
      </c>
      <c r="M359" s="0" t="s">
        <v>4628</v>
      </c>
      <c r="N359" s="0" t="s">
        <v>4629</v>
      </c>
      <c r="P359" s="0" t="s">
        <v>4630</v>
      </c>
      <c r="Q359" s="2" t="n">
        <v>43049</v>
      </c>
      <c r="S359" s="0" t="n">
        <f aca="false">YEAR(Q359)</f>
        <v>2017</v>
      </c>
      <c r="T359" s="0" t="n">
        <f aca="false">MONTH(Q359)</f>
        <v>11</v>
      </c>
    </row>
    <row r="360" customFormat="false" ht="14.25" hidden="true" customHeight="false" outlineLevel="0" collapsed="false">
      <c r="A360" s="0" t="n">
        <v>359</v>
      </c>
      <c r="B360" s="1" t="s">
        <v>585</v>
      </c>
      <c r="C360" s="1" t="s">
        <v>1479</v>
      </c>
      <c r="D360" s="1" t="s">
        <v>1535</v>
      </c>
      <c r="E360" s="0" t="s">
        <v>39</v>
      </c>
      <c r="F360" s="0" t="s">
        <v>48</v>
      </c>
      <c r="G360" s="0" t="s">
        <v>4631</v>
      </c>
      <c r="I360" s="6" t="n">
        <v>0.259722222222222</v>
      </c>
      <c r="J360" s="6" t="n">
        <v>0.263888888888889</v>
      </c>
      <c r="K360" s="0" t="n">
        <v>10</v>
      </c>
      <c r="L360" s="0" t="n">
        <v>10</v>
      </c>
      <c r="M360" s="0" t="s">
        <v>4632</v>
      </c>
      <c r="N360" s="0" t="s">
        <v>4633</v>
      </c>
      <c r="P360" s="0" t="s">
        <v>4634</v>
      </c>
      <c r="Q360" s="2" t="n">
        <v>43048</v>
      </c>
      <c r="S360" s="0" t="n">
        <f aca="false">YEAR(Q360)</f>
        <v>2017</v>
      </c>
      <c r="T360" s="0" t="n">
        <f aca="false">MONTH(Q360)</f>
        <v>11</v>
      </c>
    </row>
    <row r="361" customFormat="false" ht="14.25" hidden="true" customHeight="false" outlineLevel="0" collapsed="false">
      <c r="A361" s="0" t="n">
        <v>360</v>
      </c>
      <c r="B361" s="1" t="s">
        <v>585</v>
      </c>
      <c r="C361" s="1" t="s">
        <v>1479</v>
      </c>
      <c r="D361" s="1" t="s">
        <v>1487</v>
      </c>
      <c r="E361" s="0" t="s">
        <v>1488</v>
      </c>
      <c r="F361" s="0" t="s">
        <v>48</v>
      </c>
      <c r="G361" s="0" t="s">
        <v>4635</v>
      </c>
      <c r="I361" s="6" t="n">
        <v>0.458333333333333</v>
      </c>
      <c r="J361" s="6" t="n">
        <v>0.465277777777778</v>
      </c>
      <c r="K361" s="0" t="n">
        <v>0</v>
      </c>
      <c r="L361" s="0" t="n">
        <v>15</v>
      </c>
      <c r="M361" s="0" t="s">
        <v>4636</v>
      </c>
      <c r="N361" s="0" t="s">
        <v>4637</v>
      </c>
      <c r="P361" s="0" t="s">
        <v>4638</v>
      </c>
      <c r="Q361" s="2" t="n">
        <v>43048</v>
      </c>
      <c r="S361" s="0" t="n">
        <f aca="false">YEAR(Q361)</f>
        <v>2017</v>
      </c>
      <c r="T361" s="0" t="n">
        <f aca="false">MONTH(Q361)</f>
        <v>11</v>
      </c>
    </row>
    <row r="362" customFormat="false" ht="14.25" hidden="true" customHeight="false" outlineLevel="0" collapsed="false">
      <c r="A362" s="0" t="n">
        <v>361</v>
      </c>
      <c r="B362" s="1" t="s">
        <v>585</v>
      </c>
      <c r="C362" s="1" t="s">
        <v>1479</v>
      </c>
      <c r="D362" s="1" t="s">
        <v>1496</v>
      </c>
      <c r="E362" s="0" t="s">
        <v>38</v>
      </c>
      <c r="F362" s="0" t="s">
        <v>48</v>
      </c>
      <c r="G362" s="0" t="s">
        <v>4639</v>
      </c>
      <c r="I362" s="6" t="n">
        <v>0.479166666666667</v>
      </c>
      <c r="J362" s="6" t="n">
        <v>0.493055555555556</v>
      </c>
      <c r="L362" s="0" t="n">
        <v>19</v>
      </c>
      <c r="M362" s="0" t="s">
        <v>4640</v>
      </c>
      <c r="N362" s="0" t="s">
        <v>4641</v>
      </c>
      <c r="P362" s="0" t="s">
        <v>4642</v>
      </c>
      <c r="Q362" s="2" t="n">
        <v>43048</v>
      </c>
      <c r="S362" s="0" t="n">
        <f aca="false">YEAR(Q362)</f>
        <v>2017</v>
      </c>
      <c r="T362" s="0" t="n">
        <f aca="false">MONTH(Q362)</f>
        <v>11</v>
      </c>
    </row>
    <row r="363" customFormat="false" ht="14.25" hidden="true" customHeight="false" outlineLevel="0" collapsed="false">
      <c r="A363" s="0" t="n">
        <v>362</v>
      </c>
      <c r="B363" s="1" t="s">
        <v>585</v>
      </c>
      <c r="C363" s="1" t="s">
        <v>1479</v>
      </c>
      <c r="D363" s="1" t="s">
        <v>1535</v>
      </c>
      <c r="E363" s="0" t="s">
        <v>39</v>
      </c>
      <c r="F363" s="0" t="s">
        <v>48</v>
      </c>
      <c r="G363" s="0" t="s">
        <v>4643</v>
      </c>
      <c r="I363" s="6" t="n">
        <v>0.513888888888889</v>
      </c>
      <c r="J363" s="6" t="n">
        <v>0.520833333333333</v>
      </c>
      <c r="K363" s="0" t="n">
        <v>0</v>
      </c>
      <c r="L363" s="0" t="n">
        <v>30</v>
      </c>
      <c r="M363" s="0" t="s">
        <v>4644</v>
      </c>
      <c r="N363" s="0" t="s">
        <v>4645</v>
      </c>
      <c r="P363" s="0" t="s">
        <v>4646</v>
      </c>
      <c r="Q363" s="2" t="n">
        <v>43048</v>
      </c>
      <c r="S363" s="0" t="n">
        <f aca="false">YEAR(Q363)</f>
        <v>2017</v>
      </c>
      <c r="T363" s="0" t="n">
        <f aca="false">MONTH(Q363)</f>
        <v>11</v>
      </c>
    </row>
    <row r="364" customFormat="false" ht="14.25" hidden="true" customHeight="false" outlineLevel="0" collapsed="false">
      <c r="A364" s="0" t="n">
        <v>363</v>
      </c>
      <c r="B364" s="1" t="s">
        <v>585</v>
      </c>
      <c r="C364" s="1" t="s">
        <v>1479</v>
      </c>
      <c r="D364" s="1" t="s">
        <v>1487</v>
      </c>
      <c r="E364" s="0" t="s">
        <v>1488</v>
      </c>
      <c r="F364" s="0" t="s">
        <v>49</v>
      </c>
      <c r="G364" s="0" t="s">
        <v>4647</v>
      </c>
      <c r="I364" s="6" t="n">
        <v>0.614583333333333</v>
      </c>
      <c r="J364" s="6" t="n">
        <v>0.711805555555555</v>
      </c>
      <c r="M364" s="0" t="s">
        <v>4648</v>
      </c>
      <c r="N364" s="0" t="s">
        <v>4649</v>
      </c>
      <c r="P364" s="0" t="s">
        <v>4650</v>
      </c>
      <c r="Q364" s="2" t="n">
        <v>43048</v>
      </c>
      <c r="S364" s="0" t="n">
        <f aca="false">YEAR(Q364)</f>
        <v>2017</v>
      </c>
      <c r="T364" s="0" t="n">
        <f aca="false">MONTH(Q364)</f>
        <v>11</v>
      </c>
    </row>
    <row r="365" customFormat="false" ht="14.25" hidden="true" customHeight="false" outlineLevel="0" collapsed="false">
      <c r="A365" s="0" t="n">
        <v>364</v>
      </c>
      <c r="B365" s="1" t="s">
        <v>585</v>
      </c>
      <c r="C365" s="1" t="s">
        <v>1479</v>
      </c>
      <c r="D365" s="1" t="s">
        <v>1496</v>
      </c>
      <c r="E365" s="0" t="s">
        <v>38</v>
      </c>
      <c r="F365" s="0" t="s">
        <v>49</v>
      </c>
      <c r="G365" s="0" t="s">
        <v>4651</v>
      </c>
      <c r="I365" s="6" t="n">
        <v>0.729166666666667</v>
      </c>
      <c r="J365" s="6" t="n">
        <v>0.770833333333333</v>
      </c>
      <c r="M365" s="0" t="s">
        <v>4652</v>
      </c>
      <c r="N365" s="0" t="s">
        <v>4653</v>
      </c>
      <c r="P365" s="0" t="s">
        <v>4654</v>
      </c>
      <c r="Q365" s="2" t="n">
        <v>43048</v>
      </c>
      <c r="S365" s="0" t="n">
        <f aca="false">YEAR(Q365)</f>
        <v>2017</v>
      </c>
      <c r="T365" s="0" t="n">
        <f aca="false">MONTH(Q365)</f>
        <v>11</v>
      </c>
    </row>
    <row r="366" customFormat="false" ht="14.25" hidden="true" customHeight="false" outlineLevel="0" collapsed="false">
      <c r="A366" s="0" t="n">
        <v>365</v>
      </c>
      <c r="B366" s="1" t="s">
        <v>585</v>
      </c>
      <c r="C366" s="1" t="s">
        <v>1479</v>
      </c>
      <c r="D366" s="1" t="s">
        <v>1535</v>
      </c>
      <c r="E366" s="0" t="s">
        <v>39</v>
      </c>
      <c r="F366" s="0" t="s">
        <v>49</v>
      </c>
      <c r="G366" s="0" t="s">
        <v>4655</v>
      </c>
      <c r="I366" s="6" t="n">
        <v>0.8125</v>
      </c>
      <c r="J366" s="6" t="n">
        <v>0.833333333333333</v>
      </c>
      <c r="L366" s="0" t="n">
        <v>120</v>
      </c>
      <c r="M366" s="0" t="s">
        <v>4656</v>
      </c>
      <c r="N366" s="0" t="s">
        <v>4657</v>
      </c>
      <c r="P366" s="0" t="s">
        <v>4658</v>
      </c>
      <c r="Q366" s="2" t="n">
        <v>43048</v>
      </c>
      <c r="S366" s="0" t="n">
        <f aca="false">YEAR(Q366)</f>
        <v>2017</v>
      </c>
      <c r="T366" s="0" t="n">
        <f aca="false">MONTH(Q366)</f>
        <v>11</v>
      </c>
    </row>
    <row r="367" customFormat="false" ht="57" hidden="true" customHeight="false" outlineLevel="0" collapsed="false">
      <c r="A367" s="0" t="n">
        <v>366</v>
      </c>
      <c r="B367" s="1" t="s">
        <v>585</v>
      </c>
      <c r="C367" s="1" t="s">
        <v>1479</v>
      </c>
      <c r="D367" s="1" t="s">
        <v>1496</v>
      </c>
      <c r="E367" s="0" t="s">
        <v>38</v>
      </c>
      <c r="F367" s="0" t="s">
        <v>50</v>
      </c>
      <c r="G367" s="0" t="s">
        <v>4659</v>
      </c>
      <c r="K367" s="0" t="n">
        <v>0</v>
      </c>
      <c r="M367" s="0" t="s">
        <v>4660</v>
      </c>
      <c r="N367" s="0" t="s">
        <v>4661</v>
      </c>
      <c r="P367" s="7" t="s">
        <v>4662</v>
      </c>
      <c r="Q367" s="2" t="n">
        <v>43048</v>
      </c>
      <c r="S367" s="0" t="n">
        <f aca="false">YEAR(Q367)</f>
        <v>2017</v>
      </c>
      <c r="T367" s="0" t="n">
        <f aca="false">MONTH(Q367)</f>
        <v>11</v>
      </c>
    </row>
    <row r="368" customFormat="false" ht="14.25" hidden="true" customHeight="false" outlineLevel="0" collapsed="false">
      <c r="A368" s="0" t="n">
        <v>367</v>
      </c>
      <c r="B368" s="1" t="s">
        <v>587</v>
      </c>
      <c r="C368" s="1" t="s">
        <v>1503</v>
      </c>
      <c r="D368" s="1" t="s">
        <v>1535</v>
      </c>
      <c r="E368" s="0" t="s">
        <v>44</v>
      </c>
      <c r="F368" s="0" t="s">
        <v>48</v>
      </c>
      <c r="G368" s="0" t="s">
        <v>4663</v>
      </c>
      <c r="I368" s="6" t="n">
        <v>0.520833333333333</v>
      </c>
      <c r="J368" s="6" t="n">
        <v>0.541666666666667</v>
      </c>
      <c r="L368" s="0" t="n">
        <v>30</v>
      </c>
      <c r="M368" s="0" t="s">
        <v>4664</v>
      </c>
      <c r="N368" s="0" t="s">
        <v>4665</v>
      </c>
      <c r="P368" s="0" t="s">
        <v>4666</v>
      </c>
      <c r="Q368" s="2" t="n">
        <v>43052</v>
      </c>
      <c r="S368" s="0" t="n">
        <f aca="false">YEAR(Q368)</f>
        <v>2017</v>
      </c>
      <c r="T368" s="0" t="n">
        <f aca="false">MONTH(Q368)</f>
        <v>11</v>
      </c>
    </row>
    <row r="369" customFormat="false" ht="14.25" hidden="true" customHeight="false" outlineLevel="0" collapsed="false">
      <c r="A369" s="0" t="n">
        <v>368</v>
      </c>
      <c r="B369" s="1" t="s">
        <v>587</v>
      </c>
      <c r="C369" s="1" t="s">
        <v>1479</v>
      </c>
      <c r="D369" s="1" t="s">
        <v>1496</v>
      </c>
      <c r="E369" s="0" t="s">
        <v>38</v>
      </c>
      <c r="F369" s="0" t="s">
        <v>49</v>
      </c>
      <c r="G369" s="0" t="s">
        <v>4667</v>
      </c>
      <c r="I369" s="6" t="n">
        <v>0.625</v>
      </c>
      <c r="M369" s="0" t="s">
        <v>4668</v>
      </c>
      <c r="N369" s="0" t="s">
        <v>4669</v>
      </c>
      <c r="P369" s="0" t="s">
        <v>4670</v>
      </c>
      <c r="Q369" s="2" t="n">
        <v>43052</v>
      </c>
      <c r="S369" s="0" t="n">
        <f aca="false">YEAR(Q369)</f>
        <v>2017</v>
      </c>
      <c r="T369" s="0" t="n">
        <f aca="false">MONTH(Q369)</f>
        <v>11</v>
      </c>
    </row>
    <row r="370" customFormat="false" ht="42.75" hidden="true" customHeight="false" outlineLevel="0" collapsed="false">
      <c r="A370" s="0" t="n">
        <v>369</v>
      </c>
      <c r="B370" s="1" t="s">
        <v>587</v>
      </c>
      <c r="C370" s="1" t="s">
        <v>1479</v>
      </c>
      <c r="D370" s="1" t="s">
        <v>1487</v>
      </c>
      <c r="E370" s="0" t="s">
        <v>1488</v>
      </c>
      <c r="F370" s="0" t="s">
        <v>50</v>
      </c>
      <c r="G370" s="0" t="s">
        <v>4671</v>
      </c>
      <c r="J370" s="6" t="n">
        <v>0.979166666666667</v>
      </c>
      <c r="M370" s="0" t="s">
        <v>4672</v>
      </c>
      <c r="N370" s="0" t="s">
        <v>4673</v>
      </c>
      <c r="P370" s="7" t="s">
        <v>4674</v>
      </c>
      <c r="Q370" s="2" t="n">
        <v>43052</v>
      </c>
      <c r="S370" s="0" t="n">
        <f aca="false">YEAR(Q370)</f>
        <v>2017</v>
      </c>
      <c r="T370" s="0" t="n">
        <f aca="false">MONTH(Q370)</f>
        <v>11</v>
      </c>
    </row>
    <row r="371" customFormat="false" ht="14.25" hidden="true" customHeight="false" outlineLevel="0" collapsed="false">
      <c r="A371" s="0" t="n">
        <v>370</v>
      </c>
      <c r="B371" s="1" t="s">
        <v>588</v>
      </c>
      <c r="C371" s="1" t="s">
        <v>1479</v>
      </c>
      <c r="D371" s="1" t="s">
        <v>1535</v>
      </c>
      <c r="E371" s="0" t="s">
        <v>39</v>
      </c>
      <c r="F371" s="0" t="s">
        <v>48</v>
      </c>
      <c r="G371" s="0" t="s">
        <v>4675</v>
      </c>
      <c r="I371" s="6" t="n">
        <v>0.145833333333333</v>
      </c>
      <c r="J371" s="6" t="n">
        <v>0.236111111111111</v>
      </c>
      <c r="K371" s="0" t="n">
        <v>0</v>
      </c>
      <c r="L371" s="0" t="n">
        <v>270</v>
      </c>
      <c r="M371" s="0" t="s">
        <v>4676</v>
      </c>
      <c r="N371" s="0" t="s">
        <v>4677</v>
      </c>
      <c r="P371" s="0" t="s">
        <v>4678</v>
      </c>
      <c r="Q371" s="2" t="n">
        <v>43054</v>
      </c>
      <c r="S371" s="0" t="n">
        <f aca="false">YEAR(Q371)</f>
        <v>2017</v>
      </c>
      <c r="T371" s="0" t="n">
        <f aca="false">MONTH(Q371)</f>
        <v>11</v>
      </c>
    </row>
    <row r="372" customFormat="false" ht="42.75" hidden="true" customHeight="false" outlineLevel="0" collapsed="false">
      <c r="A372" s="0" t="n">
        <v>371</v>
      </c>
      <c r="B372" s="1" t="s">
        <v>588</v>
      </c>
      <c r="C372" s="1" t="s">
        <v>1479</v>
      </c>
      <c r="D372" s="1" t="s">
        <v>1487</v>
      </c>
      <c r="E372" s="0" t="s">
        <v>1488</v>
      </c>
      <c r="F372" s="0" t="s">
        <v>49</v>
      </c>
      <c r="G372" s="0" t="s">
        <v>4679</v>
      </c>
      <c r="I372" s="6" t="n">
        <v>0.611111111111111</v>
      </c>
      <c r="L372" s="0" t="n">
        <v>26</v>
      </c>
      <c r="M372" s="0" t="s">
        <v>4680</v>
      </c>
      <c r="N372" s="7" t="s">
        <v>4681</v>
      </c>
      <c r="O372" s="7"/>
      <c r="P372" s="7" t="s">
        <v>4682</v>
      </c>
      <c r="Q372" s="2" t="n">
        <v>43054</v>
      </c>
      <c r="S372" s="0" t="n">
        <f aca="false">YEAR(Q372)</f>
        <v>2017</v>
      </c>
      <c r="T372" s="0" t="n">
        <f aca="false">MONTH(Q372)</f>
        <v>11</v>
      </c>
    </row>
    <row r="373" customFormat="false" ht="14.25" hidden="true" customHeight="false" outlineLevel="0" collapsed="false">
      <c r="A373" s="0" t="n">
        <v>372</v>
      </c>
      <c r="B373" s="1" t="s">
        <v>588</v>
      </c>
      <c r="C373" s="1" t="s">
        <v>1479</v>
      </c>
      <c r="D373" s="1" t="s">
        <v>1535</v>
      </c>
      <c r="E373" s="0" t="s">
        <v>39</v>
      </c>
      <c r="F373" s="0" t="s">
        <v>49</v>
      </c>
      <c r="G373" s="0" t="s">
        <v>4683</v>
      </c>
      <c r="I373" s="6" t="n">
        <v>0.625</v>
      </c>
      <c r="J373" s="6" t="n">
        <v>0.628472222222222</v>
      </c>
      <c r="M373" s="0" t="s">
        <v>4684</v>
      </c>
      <c r="N373" s="0" t="s">
        <v>4685</v>
      </c>
      <c r="P373" s="0" t="s">
        <v>4686</v>
      </c>
      <c r="Q373" s="2" t="n">
        <v>43054</v>
      </c>
      <c r="S373" s="0" t="n">
        <f aca="false">YEAR(Q373)</f>
        <v>2017</v>
      </c>
      <c r="T373" s="0" t="n">
        <f aca="false">MONTH(Q373)</f>
        <v>11</v>
      </c>
    </row>
    <row r="374" customFormat="false" ht="42.75" hidden="true" customHeight="false" outlineLevel="0" collapsed="false">
      <c r="A374" s="0" t="n">
        <v>373</v>
      </c>
      <c r="B374" s="1" t="s">
        <v>588</v>
      </c>
      <c r="C374" s="1" t="s">
        <v>1479</v>
      </c>
      <c r="D374" s="1" t="s">
        <v>1535</v>
      </c>
      <c r="E374" s="0" t="s">
        <v>39</v>
      </c>
      <c r="F374" s="0" t="s">
        <v>49</v>
      </c>
      <c r="G374" s="0" t="s">
        <v>4687</v>
      </c>
      <c r="I374" s="6" t="n">
        <v>0.666666666666667</v>
      </c>
      <c r="J374" s="6" t="n">
        <v>0.666666666666667</v>
      </c>
      <c r="M374" s="0" t="s">
        <v>4688</v>
      </c>
      <c r="N374" s="7" t="s">
        <v>4689</v>
      </c>
      <c r="O374" s="7"/>
      <c r="P374" s="7" t="s">
        <v>4690</v>
      </c>
      <c r="Q374" s="2" t="n">
        <v>43054</v>
      </c>
      <c r="S374" s="0" t="n">
        <f aca="false">YEAR(Q374)</f>
        <v>2017</v>
      </c>
      <c r="T374" s="0" t="n">
        <f aca="false">MONTH(Q374)</f>
        <v>11</v>
      </c>
    </row>
    <row r="375" customFormat="false" ht="72" hidden="true" customHeight="false" outlineLevel="0" collapsed="false">
      <c r="A375" s="0" t="n">
        <v>374</v>
      </c>
      <c r="B375" s="1" t="s">
        <v>588</v>
      </c>
      <c r="C375" s="1" t="s">
        <v>1479</v>
      </c>
      <c r="D375" s="1" t="s">
        <v>1535</v>
      </c>
      <c r="E375" s="0" t="s">
        <v>39</v>
      </c>
      <c r="F375" s="0" t="s">
        <v>50</v>
      </c>
      <c r="G375" s="0" t="s">
        <v>3583</v>
      </c>
      <c r="I375" s="6" t="n">
        <v>0.0138888888888889</v>
      </c>
      <c r="J375" s="6" t="n">
        <v>0.0243055555555556</v>
      </c>
      <c r="K375" s="0" t="n">
        <v>5</v>
      </c>
      <c r="L375" s="0" t="n">
        <v>10</v>
      </c>
      <c r="M375" s="0" t="s">
        <v>4691</v>
      </c>
      <c r="N375" s="0" t="s">
        <v>4692</v>
      </c>
      <c r="P375" s="7" t="s">
        <v>4693</v>
      </c>
      <c r="Q375" s="2" t="n">
        <v>43054</v>
      </c>
      <c r="S375" s="0" t="n">
        <f aca="false">YEAR(Q375)</f>
        <v>2017</v>
      </c>
      <c r="T375" s="0" t="n">
        <f aca="false">MONTH(Q375)</f>
        <v>11</v>
      </c>
    </row>
    <row r="376" customFormat="false" ht="14.25" hidden="true" customHeight="false" outlineLevel="0" collapsed="false">
      <c r="A376" s="0" t="n">
        <v>375</v>
      </c>
      <c r="B376" s="1" t="s">
        <v>589</v>
      </c>
      <c r="C376" s="1" t="s">
        <v>1479</v>
      </c>
      <c r="D376" s="1" t="s">
        <v>1535</v>
      </c>
      <c r="E376" s="0" t="s">
        <v>39</v>
      </c>
      <c r="F376" s="0" t="s">
        <v>48</v>
      </c>
      <c r="G376" s="0" t="s">
        <v>4643</v>
      </c>
      <c r="I376" s="6" t="n">
        <v>0.364583333333333</v>
      </c>
      <c r="J376" s="6" t="n">
        <v>0.375</v>
      </c>
      <c r="K376" s="0" t="n">
        <v>7</v>
      </c>
      <c r="L376" s="0" t="n">
        <v>30</v>
      </c>
      <c r="M376" s="0" t="s">
        <v>4694</v>
      </c>
      <c r="N376" s="0" t="s">
        <v>4695</v>
      </c>
      <c r="P376" s="0" t="s">
        <v>4696</v>
      </c>
      <c r="Q376" s="2" t="n">
        <v>43053</v>
      </c>
      <c r="S376" s="0" t="n">
        <f aca="false">YEAR(Q376)</f>
        <v>2017</v>
      </c>
      <c r="T376" s="0" t="n">
        <f aca="false">MONTH(Q376)</f>
        <v>11</v>
      </c>
    </row>
    <row r="377" customFormat="false" ht="14.25" hidden="true" customHeight="false" outlineLevel="0" collapsed="false">
      <c r="A377" s="0" t="n">
        <v>376</v>
      </c>
      <c r="B377" s="1" t="s">
        <v>589</v>
      </c>
      <c r="C377" s="1" t="s">
        <v>1479</v>
      </c>
      <c r="D377" s="1" t="s">
        <v>1863</v>
      </c>
      <c r="E377" s="0" t="s">
        <v>1863</v>
      </c>
      <c r="F377" s="0" t="s">
        <v>48</v>
      </c>
      <c r="G377" s="0" t="s">
        <v>4697</v>
      </c>
      <c r="I377" s="6" t="n">
        <v>0.444444444444444</v>
      </c>
      <c r="J377" s="6" t="n">
        <v>0.541666666666667</v>
      </c>
      <c r="L377" s="0" t="n">
        <v>300</v>
      </c>
      <c r="M377" s="0" t="s">
        <v>4698</v>
      </c>
      <c r="N377" s="0" t="s">
        <v>4699</v>
      </c>
      <c r="P377" s="0" t="s">
        <v>4700</v>
      </c>
      <c r="Q377" s="2" t="n">
        <v>43053</v>
      </c>
      <c r="S377" s="0" t="n">
        <f aca="false">YEAR(Q377)</f>
        <v>2017</v>
      </c>
      <c r="T377" s="0" t="n">
        <f aca="false">MONTH(Q377)</f>
        <v>11</v>
      </c>
    </row>
    <row r="378" customFormat="false" ht="14.25" hidden="true" customHeight="false" outlineLevel="0" collapsed="false">
      <c r="A378" s="0" t="n">
        <v>377</v>
      </c>
      <c r="B378" s="1" t="s">
        <v>589</v>
      </c>
      <c r="C378" s="1" t="s">
        <v>1479</v>
      </c>
      <c r="D378" s="1" t="s">
        <v>1863</v>
      </c>
      <c r="E378" s="0" t="s">
        <v>1863</v>
      </c>
      <c r="F378" s="0" t="s">
        <v>49</v>
      </c>
      <c r="G378" s="0" t="s">
        <v>4701</v>
      </c>
      <c r="M378" s="0" t="s">
        <v>4702</v>
      </c>
      <c r="P378" s="0" t="s">
        <v>4703</v>
      </c>
      <c r="Q378" s="2" t="n">
        <v>43053</v>
      </c>
      <c r="S378" s="0" t="n">
        <f aca="false">YEAR(Q378)</f>
        <v>2017</v>
      </c>
      <c r="T378" s="0" t="n">
        <f aca="false">MONTH(Q378)</f>
        <v>11</v>
      </c>
    </row>
    <row r="379" customFormat="false" ht="14.25" hidden="true" customHeight="false" outlineLevel="0" collapsed="false">
      <c r="A379" s="0" t="n">
        <v>378</v>
      </c>
      <c r="B379" s="1" t="s">
        <v>589</v>
      </c>
      <c r="C379" s="1" t="s">
        <v>1479</v>
      </c>
      <c r="D379" s="1" t="s">
        <v>1496</v>
      </c>
      <c r="E379" s="0" t="s">
        <v>38</v>
      </c>
      <c r="F379" s="0" t="s">
        <v>49</v>
      </c>
      <c r="G379" s="0" t="s">
        <v>4704</v>
      </c>
      <c r="I379" s="6" t="n">
        <v>0.875</v>
      </c>
      <c r="J379" s="6" t="n">
        <v>0.65625</v>
      </c>
      <c r="M379" s="0" t="s">
        <v>4705</v>
      </c>
      <c r="N379" s="0" t="s">
        <v>4706</v>
      </c>
      <c r="P379" s="0" t="s">
        <v>4707</v>
      </c>
      <c r="Q379" s="2" t="n">
        <v>43053</v>
      </c>
      <c r="S379" s="0" t="n">
        <f aca="false">YEAR(Q379)</f>
        <v>2017</v>
      </c>
      <c r="T379" s="0" t="n">
        <f aca="false">MONTH(Q379)</f>
        <v>11</v>
      </c>
    </row>
    <row r="380" customFormat="false" ht="14.25" hidden="true" customHeight="false" outlineLevel="0" collapsed="false">
      <c r="A380" s="0" t="n">
        <v>379</v>
      </c>
      <c r="B380" s="1" t="s">
        <v>589</v>
      </c>
      <c r="C380" s="1" t="s">
        <v>1479</v>
      </c>
      <c r="D380" s="1" t="s">
        <v>1496</v>
      </c>
      <c r="E380" s="0" t="s">
        <v>38</v>
      </c>
      <c r="F380" s="0" t="s">
        <v>49</v>
      </c>
      <c r="G380" s="0" t="s">
        <v>4708</v>
      </c>
      <c r="I380" s="6" t="n">
        <v>0.854166666666667</v>
      </c>
      <c r="J380" s="6" t="n">
        <v>0.864583333333333</v>
      </c>
      <c r="M380" s="0" t="s">
        <v>4709</v>
      </c>
      <c r="N380" s="0" t="s">
        <v>4710</v>
      </c>
      <c r="P380" s="0" t="s">
        <v>4711</v>
      </c>
      <c r="Q380" s="2" t="n">
        <v>43053</v>
      </c>
      <c r="S380" s="0" t="n">
        <f aca="false">YEAR(Q380)</f>
        <v>2017</v>
      </c>
      <c r="T380" s="0" t="n">
        <f aca="false">MONTH(Q380)</f>
        <v>11</v>
      </c>
    </row>
    <row r="381" customFormat="false" ht="14.25" hidden="true" customHeight="false" outlineLevel="0" collapsed="false">
      <c r="A381" s="0" t="n">
        <v>380</v>
      </c>
      <c r="B381" s="1" t="s">
        <v>589</v>
      </c>
      <c r="C381" s="1" t="s">
        <v>1479</v>
      </c>
      <c r="D381" s="1" t="s">
        <v>1535</v>
      </c>
      <c r="E381" s="0" t="s">
        <v>39</v>
      </c>
      <c r="F381" s="0" t="s">
        <v>50</v>
      </c>
      <c r="G381" s="0" t="s">
        <v>4675</v>
      </c>
      <c r="I381" s="6" t="n">
        <v>0.145833333333333</v>
      </c>
      <c r="L381" s="0" t="n">
        <v>270</v>
      </c>
      <c r="M381" s="0" t="s">
        <v>4712</v>
      </c>
      <c r="N381" s="0" t="s">
        <v>4677</v>
      </c>
      <c r="P381" s="0" t="s">
        <v>4678</v>
      </c>
      <c r="Q381" s="2" t="n">
        <v>43053</v>
      </c>
      <c r="S381" s="0" t="n">
        <f aca="false">YEAR(Q381)</f>
        <v>2017</v>
      </c>
      <c r="T381" s="0" t="n">
        <f aca="false">MONTH(Q381)</f>
        <v>11</v>
      </c>
    </row>
    <row r="382" customFormat="false" ht="42.75" hidden="true" customHeight="false" outlineLevel="0" collapsed="false">
      <c r="A382" s="0" t="n">
        <v>381</v>
      </c>
      <c r="B382" s="1" t="s">
        <v>591</v>
      </c>
      <c r="C382" s="1" t="s">
        <v>1503</v>
      </c>
      <c r="D382" s="1" t="s">
        <v>1535</v>
      </c>
      <c r="E382" s="0" t="s">
        <v>44</v>
      </c>
      <c r="F382" s="0" t="s">
        <v>50</v>
      </c>
      <c r="G382" s="0" t="s">
        <v>4713</v>
      </c>
      <c r="J382" s="6" t="n">
        <v>0.916666666666667</v>
      </c>
      <c r="K382" s="0" t="n">
        <v>0</v>
      </c>
      <c r="M382" s="0" t="s">
        <v>4714</v>
      </c>
      <c r="N382" s="0" t="s">
        <v>4715</v>
      </c>
      <c r="P382" s="7" t="s">
        <v>4716</v>
      </c>
      <c r="Q382" s="2" t="n">
        <v>43058</v>
      </c>
      <c r="S382" s="0" t="n">
        <f aca="false">YEAR(Q382)</f>
        <v>2017</v>
      </c>
      <c r="T382" s="0" t="n">
        <f aca="false">MONTH(Q382)</f>
        <v>11</v>
      </c>
    </row>
    <row r="383" customFormat="false" ht="42.75" hidden="true" customHeight="false" outlineLevel="0" collapsed="false">
      <c r="A383" s="0" t="n">
        <v>382</v>
      </c>
      <c r="B383" s="1" t="s">
        <v>591</v>
      </c>
      <c r="C383" s="1" t="s">
        <v>1479</v>
      </c>
      <c r="D383" s="1" t="s">
        <v>1496</v>
      </c>
      <c r="E383" s="0" t="s">
        <v>38</v>
      </c>
      <c r="F383" s="0" t="s">
        <v>50</v>
      </c>
      <c r="G383" s="0" t="s">
        <v>4717</v>
      </c>
      <c r="J383" s="6" t="n">
        <v>0.958333333333333</v>
      </c>
      <c r="K383" s="0" t="n">
        <v>0</v>
      </c>
      <c r="M383" s="7" t="s">
        <v>4718</v>
      </c>
      <c r="N383" s="0" t="s">
        <v>4719</v>
      </c>
      <c r="P383" s="0" t="s">
        <v>4720</v>
      </c>
      <c r="Q383" s="2" t="n">
        <v>43058</v>
      </c>
      <c r="S383" s="0" t="n">
        <f aca="false">YEAR(Q383)</f>
        <v>2017</v>
      </c>
      <c r="T383" s="0" t="n">
        <f aca="false">MONTH(Q383)</f>
        <v>11</v>
      </c>
    </row>
    <row r="384" customFormat="false" ht="72" hidden="true" customHeight="false" outlineLevel="0" collapsed="false">
      <c r="A384" s="0" t="n">
        <v>383</v>
      </c>
      <c r="B384" s="1" t="s">
        <v>591</v>
      </c>
      <c r="C384" s="1" t="s">
        <v>1479</v>
      </c>
      <c r="D384" s="1" t="s">
        <v>1535</v>
      </c>
      <c r="E384" s="0" t="s">
        <v>39</v>
      </c>
      <c r="F384" s="0" t="s">
        <v>50</v>
      </c>
      <c r="G384" s="0" t="s">
        <v>4721</v>
      </c>
      <c r="I384" s="6" t="n">
        <v>0.958333333333333</v>
      </c>
      <c r="J384" s="6" t="n">
        <v>0.979166666666667</v>
      </c>
      <c r="L384" s="0" t="n">
        <v>300</v>
      </c>
      <c r="M384" s="0" t="s">
        <v>4722</v>
      </c>
      <c r="N384" s="7" t="s">
        <v>4723</v>
      </c>
      <c r="O384" s="7"/>
      <c r="P384" s="7" t="s">
        <v>4724</v>
      </c>
      <c r="Q384" s="2" t="n">
        <v>43058</v>
      </c>
      <c r="S384" s="0" t="n">
        <f aca="false">YEAR(Q384)</f>
        <v>2017</v>
      </c>
      <c r="T384" s="0" t="n">
        <f aca="false">MONTH(Q384)</f>
        <v>11</v>
      </c>
    </row>
    <row r="385" customFormat="false" ht="14.25" hidden="true" customHeight="false" outlineLevel="0" collapsed="false">
      <c r="A385" s="0" t="n">
        <v>384</v>
      </c>
      <c r="B385" s="1" t="s">
        <v>592</v>
      </c>
      <c r="C385" s="1" t="s">
        <v>1479</v>
      </c>
      <c r="D385" s="1" t="s">
        <v>1487</v>
      </c>
      <c r="E385" s="0" t="s">
        <v>1488</v>
      </c>
      <c r="F385" s="0" t="s">
        <v>48</v>
      </c>
      <c r="G385" s="0" t="s">
        <v>4725</v>
      </c>
      <c r="I385" s="6" t="n">
        <v>0.309027777777778</v>
      </c>
      <c r="J385" s="6" t="n">
        <v>0.319444444444444</v>
      </c>
      <c r="K385" s="0" t="n">
        <v>0</v>
      </c>
      <c r="L385" s="0" t="n">
        <v>30</v>
      </c>
      <c r="M385" s="0" t="s">
        <v>4726</v>
      </c>
      <c r="N385" s="0" t="s">
        <v>4727</v>
      </c>
      <c r="P385" s="0" t="s">
        <v>4728</v>
      </c>
      <c r="Q385" s="2" t="n">
        <v>43056</v>
      </c>
      <c r="S385" s="0" t="n">
        <f aca="false">YEAR(Q385)</f>
        <v>2017</v>
      </c>
      <c r="T385" s="0" t="n">
        <f aca="false">MONTH(Q385)</f>
        <v>11</v>
      </c>
    </row>
    <row r="386" customFormat="false" ht="14.25" hidden="true" customHeight="false" outlineLevel="0" collapsed="false">
      <c r="A386" s="0" t="n">
        <v>385</v>
      </c>
      <c r="B386" s="1" t="s">
        <v>592</v>
      </c>
      <c r="C386" s="1" t="s">
        <v>1479</v>
      </c>
      <c r="D386" s="1" t="s">
        <v>1487</v>
      </c>
      <c r="E386" s="0" t="s">
        <v>1488</v>
      </c>
      <c r="F386" s="0" t="s">
        <v>48</v>
      </c>
      <c r="G386" s="0" t="s">
        <v>4729</v>
      </c>
      <c r="J386" s="6" t="n">
        <v>0.340277777777778</v>
      </c>
      <c r="K386" s="0" t="n">
        <v>0</v>
      </c>
      <c r="L386" s="0" t="n">
        <v>15</v>
      </c>
      <c r="M386" s="0" t="s">
        <v>4730</v>
      </c>
      <c r="N386" s="0" t="s">
        <v>4731</v>
      </c>
      <c r="P386" s="0" t="s">
        <v>4732</v>
      </c>
      <c r="Q386" s="2" t="n">
        <v>43056</v>
      </c>
      <c r="S386" s="0" t="n">
        <f aca="false">YEAR(Q386)</f>
        <v>2017</v>
      </c>
      <c r="T386" s="0" t="n">
        <f aca="false">MONTH(Q386)</f>
        <v>11</v>
      </c>
    </row>
    <row r="387" customFormat="false" ht="14.25" hidden="true" customHeight="false" outlineLevel="0" collapsed="false">
      <c r="A387" s="0" t="n">
        <v>386</v>
      </c>
      <c r="B387" s="1" t="s">
        <v>592</v>
      </c>
      <c r="C387" s="1" t="s">
        <v>1479</v>
      </c>
      <c r="D387" s="1" t="s">
        <v>1535</v>
      </c>
      <c r="E387" s="0" t="s">
        <v>39</v>
      </c>
      <c r="F387" s="0" t="s">
        <v>49</v>
      </c>
      <c r="G387" s="0" t="s">
        <v>4733</v>
      </c>
      <c r="M387" s="0" t="s">
        <v>4734</v>
      </c>
      <c r="N387" s="0" t="s">
        <v>4735</v>
      </c>
      <c r="P387" s="0" t="s">
        <v>4736</v>
      </c>
      <c r="Q387" s="2" t="n">
        <v>43056</v>
      </c>
      <c r="S387" s="0" t="n">
        <f aca="false">YEAR(Q387)</f>
        <v>2017</v>
      </c>
      <c r="T387" s="0" t="n">
        <f aca="false">MONTH(Q387)</f>
        <v>11</v>
      </c>
    </row>
    <row r="388" customFormat="false" ht="14.25" hidden="true" customHeight="false" outlineLevel="0" collapsed="false">
      <c r="A388" s="0" t="n">
        <v>387</v>
      </c>
      <c r="B388" s="1" t="s">
        <v>592</v>
      </c>
      <c r="C388" s="1" t="s">
        <v>1479</v>
      </c>
      <c r="D388" s="1" t="s">
        <v>1535</v>
      </c>
      <c r="E388" s="0" t="s">
        <v>39</v>
      </c>
      <c r="F388" s="0" t="s">
        <v>49</v>
      </c>
      <c r="G388" s="0" t="s">
        <v>4737</v>
      </c>
      <c r="I388" s="6" t="n">
        <v>0.666666666666667</v>
      </c>
      <c r="M388" s="0" t="s">
        <v>4738</v>
      </c>
      <c r="N388" s="0" t="s">
        <v>4739</v>
      </c>
      <c r="Q388" s="2" t="n">
        <v>43056</v>
      </c>
      <c r="S388" s="0" t="n">
        <f aca="false">YEAR(Q388)</f>
        <v>2017</v>
      </c>
      <c r="T388" s="0" t="n">
        <f aca="false">MONTH(Q388)</f>
        <v>11</v>
      </c>
    </row>
    <row r="389" customFormat="false" ht="14.25" hidden="true" customHeight="false" outlineLevel="0" collapsed="false">
      <c r="A389" s="0" t="n">
        <v>388</v>
      </c>
      <c r="B389" s="1" t="s">
        <v>595</v>
      </c>
      <c r="C389" s="1" t="s">
        <v>1479</v>
      </c>
      <c r="D389" s="1" t="s">
        <v>1535</v>
      </c>
      <c r="E389" s="0" t="s">
        <v>39</v>
      </c>
      <c r="F389" s="0" t="s">
        <v>48</v>
      </c>
      <c r="G389" s="0" t="s">
        <v>4740</v>
      </c>
      <c r="I389" s="6" t="n">
        <v>0.324305555555556</v>
      </c>
      <c r="J389" s="6" t="n">
        <v>0.326388888888889</v>
      </c>
      <c r="K389" s="0" t="n">
        <v>2</v>
      </c>
      <c r="L389" s="0" t="n">
        <v>120</v>
      </c>
      <c r="M389" s="0" t="s">
        <v>4741</v>
      </c>
      <c r="N389" s="0" t="s">
        <v>4742</v>
      </c>
      <c r="P389" s="0" t="s">
        <v>4743</v>
      </c>
      <c r="Q389" s="2" t="n">
        <v>43055</v>
      </c>
      <c r="S389" s="0" t="n">
        <f aca="false">YEAR(Q389)</f>
        <v>2017</v>
      </c>
      <c r="T389" s="0" t="n">
        <f aca="false">MONTH(Q389)</f>
        <v>11</v>
      </c>
    </row>
    <row r="390" customFormat="false" ht="14.25" hidden="true" customHeight="false" outlineLevel="0" collapsed="false">
      <c r="A390" s="0" t="n">
        <v>389</v>
      </c>
      <c r="B390" s="1" t="s">
        <v>595</v>
      </c>
      <c r="C390" s="1" t="s">
        <v>1479</v>
      </c>
      <c r="D390" s="1" t="s">
        <v>1496</v>
      </c>
      <c r="E390" s="0" t="s">
        <v>38</v>
      </c>
      <c r="F390" s="0" t="s">
        <v>48</v>
      </c>
      <c r="G390" s="0" t="s">
        <v>4744</v>
      </c>
      <c r="J390" s="6" t="n">
        <v>0.489583333333333</v>
      </c>
      <c r="K390" s="0" t="n">
        <v>0</v>
      </c>
      <c r="L390" s="0" t="n">
        <v>90</v>
      </c>
      <c r="M390" s="0" t="s">
        <v>4745</v>
      </c>
      <c r="N390" s="0" t="s">
        <v>4746</v>
      </c>
      <c r="P390" s="0" t="s">
        <v>4747</v>
      </c>
      <c r="Q390" s="2" t="n">
        <v>43055</v>
      </c>
      <c r="S390" s="0" t="n">
        <f aca="false">YEAR(Q390)</f>
        <v>2017</v>
      </c>
      <c r="T390" s="0" t="n">
        <f aca="false">MONTH(Q390)</f>
        <v>11</v>
      </c>
    </row>
    <row r="391" customFormat="false" ht="14.25" hidden="true" customHeight="false" outlineLevel="0" collapsed="false">
      <c r="A391" s="0" t="n">
        <v>390</v>
      </c>
      <c r="B391" s="1" t="s">
        <v>595</v>
      </c>
      <c r="C391" s="1" t="s">
        <v>1479</v>
      </c>
      <c r="D391" s="1" t="s">
        <v>1487</v>
      </c>
      <c r="E391" s="0" t="s">
        <v>1488</v>
      </c>
      <c r="F391" s="0" t="s">
        <v>49</v>
      </c>
      <c r="G391" s="0" t="s">
        <v>4748</v>
      </c>
      <c r="I391" s="6" t="n">
        <v>0.625</v>
      </c>
      <c r="J391" s="6" t="n">
        <v>0.645833333333333</v>
      </c>
      <c r="M391" s="0" t="s">
        <v>4749</v>
      </c>
      <c r="N391" s="0" t="s">
        <v>4750</v>
      </c>
      <c r="P391" s="0" t="s">
        <v>4751</v>
      </c>
      <c r="Q391" s="2" t="n">
        <v>43055</v>
      </c>
      <c r="S391" s="0" t="n">
        <f aca="false">YEAR(Q391)</f>
        <v>2017</v>
      </c>
      <c r="T391" s="0" t="n">
        <f aca="false">MONTH(Q391)</f>
        <v>11</v>
      </c>
    </row>
    <row r="392" customFormat="false" ht="14.25" hidden="true" customHeight="false" outlineLevel="0" collapsed="false">
      <c r="A392" s="0" t="n">
        <v>391</v>
      </c>
      <c r="B392" s="1" t="s">
        <v>595</v>
      </c>
      <c r="C392" s="1" t="s">
        <v>1479</v>
      </c>
      <c r="D392" s="1" t="s">
        <v>1535</v>
      </c>
      <c r="E392" s="0" t="s">
        <v>39</v>
      </c>
      <c r="F392" s="0" t="s">
        <v>49</v>
      </c>
      <c r="G392" s="0" t="s">
        <v>4752</v>
      </c>
      <c r="I392" s="6" t="n">
        <v>0.625</v>
      </c>
      <c r="M392" s="0" t="s">
        <v>4753</v>
      </c>
      <c r="N392" s="0" t="s">
        <v>4754</v>
      </c>
      <c r="P392" s="0" t="s">
        <v>4755</v>
      </c>
      <c r="Q392" s="2" t="n">
        <v>43055</v>
      </c>
      <c r="S392" s="0" t="n">
        <f aca="false">YEAR(Q392)</f>
        <v>2017</v>
      </c>
      <c r="T392" s="0" t="n">
        <f aca="false">MONTH(Q392)</f>
        <v>11</v>
      </c>
    </row>
    <row r="393" customFormat="false" ht="14.25" hidden="true" customHeight="false" outlineLevel="0" collapsed="false">
      <c r="A393" s="0" t="n">
        <v>392</v>
      </c>
      <c r="B393" s="1" t="s">
        <v>595</v>
      </c>
      <c r="C393" s="1" t="s">
        <v>1479</v>
      </c>
      <c r="D393" s="1" t="s">
        <v>1487</v>
      </c>
      <c r="E393" s="0" t="s">
        <v>1488</v>
      </c>
      <c r="F393" s="0" t="s">
        <v>49</v>
      </c>
      <c r="G393" s="0" t="s">
        <v>4756</v>
      </c>
      <c r="I393" s="6" t="n">
        <v>0.602083333333333</v>
      </c>
      <c r="M393" s="0" t="s">
        <v>4757</v>
      </c>
      <c r="N393" s="0" t="s">
        <v>4758</v>
      </c>
      <c r="P393" s="0" t="s">
        <v>4759</v>
      </c>
      <c r="Q393" s="2" t="n">
        <v>43055</v>
      </c>
      <c r="S393" s="0" t="n">
        <f aca="false">YEAR(Q393)</f>
        <v>2017</v>
      </c>
      <c r="T393" s="0" t="n">
        <f aca="false">MONTH(Q393)</f>
        <v>11</v>
      </c>
    </row>
    <row r="394" customFormat="false" ht="57" hidden="true" customHeight="false" outlineLevel="0" collapsed="false">
      <c r="A394" s="0" t="n">
        <v>393</v>
      </c>
      <c r="B394" s="1" t="s">
        <v>595</v>
      </c>
      <c r="C394" s="1" t="s">
        <v>1479</v>
      </c>
      <c r="D394" s="1" t="s">
        <v>1487</v>
      </c>
      <c r="E394" s="0" t="s">
        <v>1488</v>
      </c>
      <c r="F394" s="0" t="s">
        <v>50</v>
      </c>
      <c r="G394" s="0" t="s">
        <v>4760</v>
      </c>
      <c r="I394" s="6" t="n">
        <v>0.943055555555556</v>
      </c>
      <c r="J394" s="6" t="n">
        <v>0.96875</v>
      </c>
      <c r="K394" s="0" t="n">
        <v>65</v>
      </c>
      <c r="L394" s="0" t="n">
        <v>60</v>
      </c>
      <c r="M394" s="0" t="s">
        <v>4761</v>
      </c>
      <c r="N394" s="0" t="s">
        <v>4762</v>
      </c>
      <c r="P394" s="7" t="s">
        <v>4763</v>
      </c>
      <c r="Q394" s="2" t="n">
        <v>43055</v>
      </c>
      <c r="S394" s="0" t="n">
        <f aca="false">YEAR(Q394)</f>
        <v>2017</v>
      </c>
      <c r="T394" s="0" t="n">
        <f aca="false">MONTH(Q394)</f>
        <v>11</v>
      </c>
    </row>
    <row r="395" customFormat="false" ht="14.25" hidden="true" customHeight="false" outlineLevel="0" collapsed="false">
      <c r="A395" s="0" t="n">
        <v>394</v>
      </c>
      <c r="B395" s="1" t="s">
        <v>595</v>
      </c>
      <c r="C395" s="1" t="s">
        <v>1479</v>
      </c>
      <c r="D395" s="1" t="s">
        <v>1535</v>
      </c>
      <c r="E395" s="0" t="s">
        <v>39</v>
      </c>
      <c r="F395" s="0" t="s">
        <v>50</v>
      </c>
      <c r="G395" s="0" t="s">
        <v>3583</v>
      </c>
      <c r="I395" s="6" t="n">
        <v>0.113888888888889</v>
      </c>
      <c r="K395" s="0" t="n">
        <v>0</v>
      </c>
      <c r="L395" s="0" t="n">
        <v>10</v>
      </c>
      <c r="M395" s="0" t="s">
        <v>4764</v>
      </c>
      <c r="N395" s="0" t="s">
        <v>4765</v>
      </c>
      <c r="P395" s="0" t="s">
        <v>4766</v>
      </c>
      <c r="Q395" s="2" t="n">
        <v>43055</v>
      </c>
      <c r="S395" s="0" t="n">
        <f aca="false">YEAR(Q395)</f>
        <v>2017</v>
      </c>
      <c r="T395" s="0" t="n">
        <f aca="false">MONTH(Q395)</f>
        <v>11</v>
      </c>
    </row>
    <row r="396" customFormat="false" ht="14.25" hidden="true" customHeight="false" outlineLevel="0" collapsed="false">
      <c r="A396" s="0" t="n">
        <v>395</v>
      </c>
      <c r="B396" s="1" t="s">
        <v>599</v>
      </c>
      <c r="C396" s="1" t="s">
        <v>1503</v>
      </c>
      <c r="D396" s="1" t="s">
        <v>1535</v>
      </c>
      <c r="E396" s="0" t="s">
        <v>44</v>
      </c>
      <c r="F396" s="0" t="s">
        <v>48</v>
      </c>
      <c r="G396" s="0" t="s">
        <v>4767</v>
      </c>
      <c r="I396" s="6" t="n">
        <v>0.236111111111111</v>
      </c>
      <c r="J396" s="6" t="n">
        <v>0.291666666666667</v>
      </c>
      <c r="K396" s="0" t="n">
        <v>0</v>
      </c>
      <c r="L396" s="0" t="n">
        <v>180</v>
      </c>
      <c r="M396" s="0" t="s">
        <v>4768</v>
      </c>
      <c r="N396" s="0" t="s">
        <v>4769</v>
      </c>
      <c r="P396" s="0" t="s">
        <v>4770</v>
      </c>
      <c r="Q396" s="19" t="s">
        <v>602</v>
      </c>
      <c r="S396" s="0" t="n">
        <f aca="false">YEAR(Q396)</f>
        <v>1201</v>
      </c>
      <c r="T396" s="0" t="n">
        <f aca="false">MONTH(Q396)</f>
        <v>11</v>
      </c>
    </row>
    <row r="397" customFormat="false" ht="14.25" hidden="true" customHeight="false" outlineLevel="0" collapsed="false">
      <c r="A397" s="0" t="n">
        <v>396</v>
      </c>
      <c r="B397" s="1" t="s">
        <v>599</v>
      </c>
      <c r="C397" s="1" t="s">
        <v>1479</v>
      </c>
      <c r="D397" s="1" t="s">
        <v>1535</v>
      </c>
      <c r="E397" s="0" t="s">
        <v>39</v>
      </c>
      <c r="F397" s="0" t="s">
        <v>48</v>
      </c>
      <c r="G397" s="0" t="s">
        <v>4771</v>
      </c>
      <c r="I397" s="6" t="n">
        <v>0.236111111111111</v>
      </c>
      <c r="J397" s="6" t="n">
        <v>0.354166666666667</v>
      </c>
      <c r="K397" s="0" t="n">
        <v>0</v>
      </c>
      <c r="L397" s="0" t="n">
        <v>300</v>
      </c>
      <c r="M397" s="0" t="s">
        <v>4772</v>
      </c>
      <c r="N397" s="0" t="s">
        <v>4773</v>
      </c>
      <c r="P397" s="0" t="s">
        <v>4774</v>
      </c>
      <c r="Q397" s="2" t="s">
        <v>602</v>
      </c>
      <c r="S397" s="0" t="n">
        <f aca="false">YEAR(Q397)</f>
        <v>1201</v>
      </c>
      <c r="T397" s="0" t="n">
        <f aca="false">MONTH(Q397)</f>
        <v>11</v>
      </c>
    </row>
    <row r="398" customFormat="false" ht="14.25" hidden="true" customHeight="false" outlineLevel="0" collapsed="false">
      <c r="A398" s="0" t="n">
        <v>397</v>
      </c>
      <c r="B398" s="1" t="s">
        <v>599</v>
      </c>
      <c r="C398" s="1" t="s">
        <v>1503</v>
      </c>
      <c r="D398" s="1" t="s">
        <v>1535</v>
      </c>
      <c r="E398" s="0" t="s">
        <v>44</v>
      </c>
      <c r="F398" s="0" t="s">
        <v>48</v>
      </c>
      <c r="G398" s="0" t="s">
        <v>3839</v>
      </c>
      <c r="I398" s="6" t="n">
        <v>0.527777777777778</v>
      </c>
      <c r="J398" s="6" t="n">
        <v>0.548611111111111</v>
      </c>
      <c r="K398" s="0" t="n">
        <v>0</v>
      </c>
      <c r="L398" s="0" t="n">
        <v>40</v>
      </c>
      <c r="M398" s="0" t="s">
        <v>4775</v>
      </c>
      <c r="N398" s="0" t="s">
        <v>4776</v>
      </c>
      <c r="P398" s="0" t="s">
        <v>4777</v>
      </c>
      <c r="Q398" s="2" t="s">
        <v>602</v>
      </c>
      <c r="S398" s="0" t="n">
        <f aca="false">YEAR(Q398)</f>
        <v>1201</v>
      </c>
      <c r="T398" s="0" t="n">
        <f aca="false">MONTH(Q398)</f>
        <v>11</v>
      </c>
    </row>
    <row r="399" customFormat="false" ht="14.25" hidden="true" customHeight="false" outlineLevel="0" collapsed="false">
      <c r="A399" s="0" t="n">
        <v>398</v>
      </c>
      <c r="B399" s="1" t="s">
        <v>599</v>
      </c>
      <c r="C399" s="1" t="s">
        <v>1479</v>
      </c>
      <c r="D399" s="1" t="s">
        <v>1535</v>
      </c>
      <c r="E399" s="0" t="s">
        <v>39</v>
      </c>
      <c r="F399" s="0" t="s">
        <v>49</v>
      </c>
      <c r="G399" s="0" t="s">
        <v>4778</v>
      </c>
      <c r="I399" s="6" t="n">
        <v>0.875</v>
      </c>
      <c r="L399" s="0" t="n">
        <v>60</v>
      </c>
      <c r="M399" s="0" t="s">
        <v>4779</v>
      </c>
      <c r="N399" s="0" t="s">
        <v>4780</v>
      </c>
      <c r="P399" s="0" t="s">
        <v>4781</v>
      </c>
      <c r="Q399" s="2" t="s">
        <v>602</v>
      </c>
      <c r="S399" s="0" t="n">
        <f aca="false">YEAR(Q399)</f>
        <v>1201</v>
      </c>
      <c r="T399" s="0" t="n">
        <f aca="false">MONTH(Q399)</f>
        <v>11</v>
      </c>
    </row>
    <row r="400" customFormat="false" ht="72" hidden="true" customHeight="false" outlineLevel="0" collapsed="false">
      <c r="A400" s="0" t="n">
        <v>399</v>
      </c>
      <c r="B400" s="1" t="s">
        <v>599</v>
      </c>
      <c r="C400" s="1" t="s">
        <v>1479</v>
      </c>
      <c r="D400" s="1" t="s">
        <v>1535</v>
      </c>
      <c r="E400" s="0" t="s">
        <v>39</v>
      </c>
      <c r="F400" s="0" t="s">
        <v>50</v>
      </c>
      <c r="G400" s="0" t="s">
        <v>4782</v>
      </c>
      <c r="I400" s="6" t="n">
        <v>0.1875</v>
      </c>
      <c r="K400" s="0" t="n">
        <v>4</v>
      </c>
      <c r="L400" s="0" t="n">
        <v>5</v>
      </c>
      <c r="M400" s="0" t="s">
        <v>4783</v>
      </c>
      <c r="N400" s="0" t="s">
        <v>4784</v>
      </c>
      <c r="P400" s="7" t="s">
        <v>4785</v>
      </c>
      <c r="Q400" s="2" t="s">
        <v>602</v>
      </c>
      <c r="S400" s="0" t="n">
        <f aca="false">YEAR(Q400)</f>
        <v>1201</v>
      </c>
      <c r="T400" s="0" t="n">
        <f aca="false">MONTH(Q400)</f>
        <v>11</v>
      </c>
    </row>
    <row r="401" customFormat="false" ht="14.25" hidden="true" customHeight="false" outlineLevel="0" collapsed="false">
      <c r="A401" s="0" t="n">
        <v>400</v>
      </c>
      <c r="B401" s="1" t="s">
        <v>603</v>
      </c>
      <c r="C401" s="1" t="s">
        <v>1503</v>
      </c>
      <c r="D401" s="1" t="s">
        <v>1535</v>
      </c>
      <c r="E401" s="0" t="s">
        <v>44</v>
      </c>
      <c r="F401" s="0" t="s">
        <v>48</v>
      </c>
      <c r="G401" s="0" t="s">
        <v>4786</v>
      </c>
      <c r="I401" s="6" t="n">
        <v>0.236111111111111</v>
      </c>
      <c r="J401" s="6" t="n">
        <v>0.291666666666667</v>
      </c>
      <c r="K401" s="0" t="n">
        <v>0</v>
      </c>
      <c r="M401" s="0" t="s">
        <v>4787</v>
      </c>
      <c r="N401" s="0" t="s">
        <v>4788</v>
      </c>
      <c r="P401" s="0" t="s">
        <v>4789</v>
      </c>
      <c r="Q401" s="2" t="n">
        <v>43060</v>
      </c>
      <c r="S401" s="0" t="n">
        <f aca="false">YEAR(Q401)</f>
        <v>2017</v>
      </c>
      <c r="T401" s="0" t="n">
        <f aca="false">MONTH(Q401)</f>
        <v>11</v>
      </c>
    </row>
    <row r="402" customFormat="false" ht="14.25" hidden="true" customHeight="false" outlineLevel="0" collapsed="false">
      <c r="A402" s="0" t="n">
        <v>401</v>
      </c>
      <c r="B402" s="1" t="s">
        <v>603</v>
      </c>
      <c r="C402" s="1" t="s">
        <v>1479</v>
      </c>
      <c r="D402" s="1" t="s">
        <v>1535</v>
      </c>
      <c r="E402" s="0" t="s">
        <v>39</v>
      </c>
      <c r="F402" s="0" t="s">
        <v>48</v>
      </c>
      <c r="G402" s="0" t="s">
        <v>4790</v>
      </c>
      <c r="J402" s="6" t="n">
        <v>0.354166666666667</v>
      </c>
      <c r="K402" s="0" t="n">
        <v>0</v>
      </c>
      <c r="L402" s="0" t="n">
        <v>300</v>
      </c>
      <c r="M402" s="0" t="s">
        <v>4791</v>
      </c>
      <c r="N402" s="0" t="s">
        <v>4792</v>
      </c>
      <c r="P402" s="0" t="s">
        <v>4793</v>
      </c>
      <c r="Q402" s="2" t="n">
        <v>43060</v>
      </c>
      <c r="S402" s="0" t="n">
        <f aca="false">YEAR(Q402)</f>
        <v>2017</v>
      </c>
      <c r="T402" s="0" t="n">
        <f aca="false">MONTH(Q402)</f>
        <v>11</v>
      </c>
    </row>
    <row r="403" customFormat="false" ht="14.25" hidden="true" customHeight="false" outlineLevel="0" collapsed="false">
      <c r="A403" s="0" t="n">
        <v>402</v>
      </c>
      <c r="B403" s="1" t="s">
        <v>603</v>
      </c>
      <c r="C403" s="1" t="s">
        <v>1503</v>
      </c>
      <c r="D403" s="1" t="s">
        <v>1535</v>
      </c>
      <c r="E403" s="0" t="s">
        <v>44</v>
      </c>
      <c r="F403" s="0" t="s">
        <v>48</v>
      </c>
      <c r="G403" s="0" t="s">
        <v>4794</v>
      </c>
      <c r="J403" s="6" t="n">
        <v>0.541666666666667</v>
      </c>
      <c r="M403" s="0" t="s">
        <v>4795</v>
      </c>
      <c r="N403" s="0" t="s">
        <v>4796</v>
      </c>
      <c r="P403" s="0" t="s">
        <v>4797</v>
      </c>
      <c r="Q403" s="2" t="n">
        <v>43060</v>
      </c>
      <c r="S403" s="0" t="n">
        <f aca="false">YEAR(Q403)</f>
        <v>2017</v>
      </c>
      <c r="T403" s="0" t="n">
        <f aca="false">MONTH(Q403)</f>
        <v>11</v>
      </c>
    </row>
    <row r="404" customFormat="false" ht="14.25" hidden="true" customHeight="false" outlineLevel="0" collapsed="false">
      <c r="A404" s="0" t="n">
        <v>403</v>
      </c>
      <c r="B404" s="1" t="s">
        <v>603</v>
      </c>
      <c r="C404" s="1" t="s">
        <v>1479</v>
      </c>
      <c r="D404" s="1" t="s">
        <v>1487</v>
      </c>
      <c r="E404" s="0" t="s">
        <v>1488</v>
      </c>
      <c r="F404" s="0" t="s">
        <v>49</v>
      </c>
      <c r="G404" s="0" t="s">
        <v>4798</v>
      </c>
      <c r="I404" s="6" t="n">
        <v>0.597222222222222</v>
      </c>
      <c r="J404" s="6" t="n">
        <v>0.611111111111111</v>
      </c>
      <c r="L404" s="0" t="n">
        <v>3</v>
      </c>
      <c r="M404" s="0" t="s">
        <v>4799</v>
      </c>
      <c r="N404" s="0" t="s">
        <v>4800</v>
      </c>
      <c r="P404" s="0" t="s">
        <v>4801</v>
      </c>
      <c r="Q404" s="2" t="n">
        <v>43060</v>
      </c>
      <c r="S404" s="0" t="n">
        <f aca="false">YEAR(Q404)</f>
        <v>2017</v>
      </c>
      <c r="T404" s="0" t="n">
        <f aca="false">MONTH(Q404)</f>
        <v>11</v>
      </c>
    </row>
    <row r="405" customFormat="false" ht="14.25" hidden="true" customHeight="false" outlineLevel="0" collapsed="false">
      <c r="A405" s="0" t="n">
        <v>404</v>
      </c>
      <c r="B405" s="1" t="s">
        <v>603</v>
      </c>
      <c r="C405" s="1" t="s">
        <v>1479</v>
      </c>
      <c r="D405" s="1" t="s">
        <v>1535</v>
      </c>
      <c r="E405" s="0" t="s">
        <v>39</v>
      </c>
      <c r="F405" s="0" t="s">
        <v>49</v>
      </c>
      <c r="G405" s="0" t="s">
        <v>4802</v>
      </c>
      <c r="I405" s="6" t="n">
        <v>0.638888888888889</v>
      </c>
      <c r="J405" s="6" t="n">
        <v>0.6875</v>
      </c>
      <c r="L405" s="0" t="n">
        <v>0</v>
      </c>
      <c r="M405" s="0" t="s">
        <v>4803</v>
      </c>
      <c r="N405" s="0" t="s">
        <v>4804</v>
      </c>
      <c r="P405" s="0" t="s">
        <v>4805</v>
      </c>
      <c r="Q405" s="2" t="n">
        <v>43060</v>
      </c>
      <c r="S405" s="0" t="n">
        <f aca="false">YEAR(Q405)</f>
        <v>2017</v>
      </c>
      <c r="T405" s="0" t="n">
        <f aca="false">MONTH(Q405)</f>
        <v>11</v>
      </c>
    </row>
    <row r="406" customFormat="false" ht="14.25" hidden="true" customHeight="false" outlineLevel="0" collapsed="false">
      <c r="A406" s="0" t="n">
        <v>405</v>
      </c>
      <c r="B406" s="1" t="s">
        <v>603</v>
      </c>
      <c r="C406" s="1" t="s">
        <v>1479</v>
      </c>
      <c r="D406" s="1" t="s">
        <v>1535</v>
      </c>
      <c r="E406" s="0" t="s">
        <v>39</v>
      </c>
      <c r="F406" s="0" t="s">
        <v>49</v>
      </c>
      <c r="G406" s="0" t="s">
        <v>4806</v>
      </c>
      <c r="I406" s="6" t="n">
        <v>0.666666666666667</v>
      </c>
      <c r="M406" s="0" t="s">
        <v>4807</v>
      </c>
      <c r="N406" s="0" t="s">
        <v>4484</v>
      </c>
      <c r="P406" s="0" t="s">
        <v>4808</v>
      </c>
      <c r="Q406" s="2" t="n">
        <v>43060</v>
      </c>
      <c r="S406" s="0" t="n">
        <f aca="false">YEAR(Q406)</f>
        <v>2017</v>
      </c>
      <c r="T406" s="0" t="n">
        <f aca="false">MONTH(Q406)</f>
        <v>11</v>
      </c>
    </row>
    <row r="407" customFormat="false" ht="14.25" hidden="true" customHeight="false" outlineLevel="0" collapsed="false">
      <c r="A407" s="0" t="n">
        <v>406</v>
      </c>
      <c r="B407" s="1" t="s">
        <v>603</v>
      </c>
      <c r="C407" s="1" t="s">
        <v>1479</v>
      </c>
      <c r="D407" s="1" t="s">
        <v>1535</v>
      </c>
      <c r="E407" s="0" t="s">
        <v>39</v>
      </c>
      <c r="F407" s="0" t="s">
        <v>50</v>
      </c>
      <c r="G407" s="0" t="s">
        <v>4809</v>
      </c>
      <c r="I407" s="6" t="n">
        <v>0.958333333333333</v>
      </c>
      <c r="L407" s="0" t="n">
        <v>420</v>
      </c>
      <c r="M407" s="0" t="s">
        <v>4810</v>
      </c>
      <c r="N407" s="0" t="s">
        <v>4811</v>
      </c>
      <c r="P407" s="0" t="s">
        <v>4812</v>
      </c>
      <c r="Q407" s="2" t="n">
        <v>43060</v>
      </c>
      <c r="S407" s="0" t="n">
        <f aca="false">YEAR(Q407)</f>
        <v>2017</v>
      </c>
      <c r="T407" s="0" t="n">
        <f aca="false">MONTH(Q407)</f>
        <v>11</v>
      </c>
    </row>
    <row r="408" customFormat="false" ht="14.25" hidden="true" customHeight="false" outlineLevel="0" collapsed="false">
      <c r="A408" s="0" t="n">
        <v>407</v>
      </c>
      <c r="B408" s="1" t="s">
        <v>603</v>
      </c>
      <c r="C408" s="1" t="s">
        <v>1479</v>
      </c>
      <c r="D408" s="1" t="s">
        <v>1535</v>
      </c>
      <c r="E408" s="0" t="s">
        <v>39</v>
      </c>
      <c r="F408" s="0" t="s">
        <v>50</v>
      </c>
      <c r="G408" s="0" t="s">
        <v>4812</v>
      </c>
      <c r="I408" s="6" t="n">
        <v>0.986111111111111</v>
      </c>
      <c r="K408" s="0" t="n">
        <v>87</v>
      </c>
      <c r="L408" s="0" t="n">
        <v>110</v>
      </c>
      <c r="M408" s="0" t="s">
        <v>4813</v>
      </c>
      <c r="N408" s="0" t="s">
        <v>4814</v>
      </c>
      <c r="P408" s="0" t="s">
        <v>4815</v>
      </c>
      <c r="Q408" s="2" t="n">
        <v>43060</v>
      </c>
      <c r="S408" s="0" t="n">
        <f aca="false">YEAR(Q408)</f>
        <v>2017</v>
      </c>
      <c r="T408" s="0" t="n">
        <f aca="false">MONTH(Q408)</f>
        <v>11</v>
      </c>
    </row>
    <row r="409" customFormat="false" ht="14.25" hidden="true" customHeight="false" outlineLevel="0" collapsed="false">
      <c r="A409" s="0" t="n">
        <v>408</v>
      </c>
      <c r="B409" s="1" t="s">
        <v>607</v>
      </c>
      <c r="C409" s="1" t="s">
        <v>1503</v>
      </c>
      <c r="D409" s="1" t="s">
        <v>1535</v>
      </c>
      <c r="E409" s="0" t="s">
        <v>44</v>
      </c>
      <c r="F409" s="0" t="s">
        <v>48</v>
      </c>
      <c r="G409" s="0" t="s">
        <v>4816</v>
      </c>
      <c r="I409" s="6" t="n">
        <v>0.489583333333333</v>
      </c>
      <c r="J409" s="6" t="n">
        <v>0.5</v>
      </c>
      <c r="K409" s="0" t="n">
        <v>0</v>
      </c>
      <c r="L409" s="0" t="n">
        <v>45</v>
      </c>
      <c r="M409" s="0" t="s">
        <v>4817</v>
      </c>
      <c r="N409" s="0" t="s">
        <v>4818</v>
      </c>
      <c r="P409" s="0" t="s">
        <v>4819</v>
      </c>
      <c r="Q409" s="2" t="n">
        <v>43061</v>
      </c>
      <c r="S409" s="0" t="n">
        <f aca="false">YEAR(Q409)</f>
        <v>2017</v>
      </c>
      <c r="T409" s="0" t="n">
        <f aca="false">MONTH(Q409)</f>
        <v>11</v>
      </c>
    </row>
    <row r="410" customFormat="false" ht="14.25" hidden="true" customHeight="false" outlineLevel="0" collapsed="false">
      <c r="A410" s="0" t="n">
        <v>409</v>
      </c>
      <c r="B410" s="1" t="s">
        <v>607</v>
      </c>
      <c r="C410" s="1" t="s">
        <v>1503</v>
      </c>
      <c r="D410" s="1" t="s">
        <v>1535</v>
      </c>
      <c r="E410" s="0" t="s">
        <v>44</v>
      </c>
      <c r="F410" s="0" t="s">
        <v>49</v>
      </c>
      <c r="G410" s="0" t="s">
        <v>4820</v>
      </c>
      <c r="I410" s="6" t="n">
        <v>0.770833333333333</v>
      </c>
      <c r="J410" s="6" t="n">
        <v>0.791666666666667</v>
      </c>
      <c r="L410" s="0" t="n">
        <v>3</v>
      </c>
      <c r="M410" s="0" t="s">
        <v>4821</v>
      </c>
      <c r="N410" s="0" t="s">
        <v>4822</v>
      </c>
      <c r="P410" s="0" t="s">
        <v>4823</v>
      </c>
      <c r="Q410" s="2" t="n">
        <v>43061</v>
      </c>
      <c r="S410" s="0" t="n">
        <f aca="false">YEAR(Q410)</f>
        <v>2017</v>
      </c>
      <c r="T410" s="0" t="n">
        <f aca="false">MONTH(Q410)</f>
        <v>11</v>
      </c>
    </row>
    <row r="411" customFormat="false" ht="14.25" hidden="true" customHeight="false" outlineLevel="0" collapsed="false">
      <c r="A411" s="0" t="n">
        <v>410</v>
      </c>
      <c r="B411" s="1" t="s">
        <v>609</v>
      </c>
      <c r="C411" s="1" t="s">
        <v>1479</v>
      </c>
      <c r="D411" s="1" t="s">
        <v>1496</v>
      </c>
      <c r="E411" s="0" t="s">
        <v>38</v>
      </c>
      <c r="F411" s="0" t="s">
        <v>48</v>
      </c>
      <c r="G411" s="0" t="s">
        <v>4824</v>
      </c>
      <c r="I411" s="6" t="n">
        <v>0.25</v>
      </c>
      <c r="J411" s="6" t="n">
        <v>0.25</v>
      </c>
      <c r="L411" s="0" t="n">
        <v>7</v>
      </c>
      <c r="M411" s="0" t="s">
        <v>4825</v>
      </c>
      <c r="N411" s="0" t="s">
        <v>4826</v>
      </c>
      <c r="P411" s="0" t="s">
        <v>4827</v>
      </c>
      <c r="Q411" s="2" t="n">
        <v>43062</v>
      </c>
      <c r="S411" s="0" t="n">
        <f aca="false">YEAR(Q411)</f>
        <v>2017</v>
      </c>
      <c r="T411" s="0" t="n">
        <f aca="false">MONTH(Q411)</f>
        <v>11</v>
      </c>
    </row>
    <row r="412" customFormat="false" ht="14.25" hidden="true" customHeight="false" outlineLevel="0" collapsed="false">
      <c r="A412" s="0" t="n">
        <v>411</v>
      </c>
      <c r="B412" s="1" t="s">
        <v>609</v>
      </c>
      <c r="C412" s="1" t="s">
        <v>1503</v>
      </c>
      <c r="D412" s="1" t="s">
        <v>1504</v>
      </c>
      <c r="E412" s="0" t="s">
        <v>45</v>
      </c>
      <c r="F412" s="0" t="s">
        <v>48</v>
      </c>
      <c r="G412" s="0" t="s">
        <v>4828</v>
      </c>
      <c r="J412" s="6" t="n">
        <v>0.388888888888889</v>
      </c>
      <c r="L412" s="0" t="n">
        <v>500</v>
      </c>
      <c r="M412" s="0" t="s">
        <v>4829</v>
      </c>
      <c r="N412" s="0" t="s">
        <v>4830</v>
      </c>
      <c r="P412" s="0" t="s">
        <v>4831</v>
      </c>
      <c r="Q412" s="2" t="n">
        <v>43062</v>
      </c>
      <c r="S412" s="0" t="n">
        <f aca="false">YEAR(Q412)</f>
        <v>2017</v>
      </c>
      <c r="T412" s="0" t="n">
        <f aca="false">MONTH(Q412)</f>
        <v>11</v>
      </c>
    </row>
    <row r="413" customFormat="false" ht="14.25" hidden="true" customHeight="false" outlineLevel="0" collapsed="false">
      <c r="A413" s="0" t="n">
        <v>412</v>
      </c>
      <c r="B413" s="1" t="s">
        <v>609</v>
      </c>
      <c r="C413" s="1" t="s">
        <v>1479</v>
      </c>
      <c r="D413" s="1" t="s">
        <v>1480</v>
      </c>
      <c r="E413" s="0" t="s">
        <v>43</v>
      </c>
      <c r="F413" s="0" t="s">
        <v>48</v>
      </c>
      <c r="G413" s="0" t="s">
        <v>4031</v>
      </c>
      <c r="I413" s="6" t="n">
        <v>0.253472222222222</v>
      </c>
      <c r="J413" s="6" t="n">
        <v>0.5</v>
      </c>
      <c r="L413" s="0" t="n">
        <v>20</v>
      </c>
      <c r="M413" s="0" t="s">
        <v>4832</v>
      </c>
      <c r="N413" s="0" t="s">
        <v>4833</v>
      </c>
      <c r="P413" s="0" t="s">
        <v>4834</v>
      </c>
      <c r="Q413" s="2" t="n">
        <v>43062</v>
      </c>
      <c r="S413" s="0" t="n">
        <f aca="false">YEAR(Q413)</f>
        <v>2017</v>
      </c>
      <c r="T413" s="0" t="n">
        <f aca="false">MONTH(Q413)</f>
        <v>11</v>
      </c>
    </row>
    <row r="414" customFormat="false" ht="14.25" hidden="true" customHeight="false" outlineLevel="0" collapsed="false">
      <c r="A414" s="0" t="n">
        <v>413</v>
      </c>
      <c r="B414" s="1" t="s">
        <v>609</v>
      </c>
      <c r="C414" s="1" t="s">
        <v>1479</v>
      </c>
      <c r="D414" s="1" t="s">
        <v>1535</v>
      </c>
      <c r="E414" s="0" t="s">
        <v>39</v>
      </c>
      <c r="F414" s="0" t="s">
        <v>48</v>
      </c>
      <c r="G414" s="0" t="s">
        <v>4835</v>
      </c>
      <c r="I414" s="6" t="n">
        <v>0.527777777777778</v>
      </c>
      <c r="J414" s="6" t="n">
        <v>0.555555555555556</v>
      </c>
      <c r="L414" s="0" t="n">
        <v>105</v>
      </c>
      <c r="M414" s="0" t="s">
        <v>4836</v>
      </c>
      <c r="N414" s="0" t="s">
        <v>4837</v>
      </c>
      <c r="P414" s="0" t="s">
        <v>4838</v>
      </c>
      <c r="Q414" s="2" t="n">
        <v>43062</v>
      </c>
      <c r="S414" s="0" t="n">
        <f aca="false">YEAR(Q414)</f>
        <v>2017</v>
      </c>
      <c r="T414" s="0" t="n">
        <f aca="false">MONTH(Q414)</f>
        <v>11</v>
      </c>
    </row>
    <row r="415" customFormat="false" ht="14.25" hidden="true" customHeight="false" outlineLevel="0" collapsed="false">
      <c r="A415" s="0" t="n">
        <v>414</v>
      </c>
      <c r="B415" s="1" t="s">
        <v>609</v>
      </c>
      <c r="C415" s="1" t="s">
        <v>1479</v>
      </c>
      <c r="D415" s="1" t="s">
        <v>1487</v>
      </c>
      <c r="E415" s="0" t="s">
        <v>1488</v>
      </c>
      <c r="F415" s="0" t="s">
        <v>49</v>
      </c>
      <c r="G415" s="0" t="s">
        <v>4839</v>
      </c>
      <c r="I415" s="6" t="n">
        <v>0.916666666666667</v>
      </c>
      <c r="J415" s="6" t="n">
        <v>0.920138888888889</v>
      </c>
      <c r="K415" s="0" t="n">
        <v>0</v>
      </c>
      <c r="L415" s="0" t="n">
        <v>30</v>
      </c>
      <c r="M415" s="0" t="s">
        <v>4840</v>
      </c>
      <c r="N415" s="0" t="s">
        <v>4841</v>
      </c>
      <c r="P415" s="0" t="s">
        <v>4842</v>
      </c>
      <c r="Q415" s="2" t="n">
        <v>43062</v>
      </c>
      <c r="S415" s="0" t="n">
        <f aca="false">YEAR(Q415)</f>
        <v>2017</v>
      </c>
      <c r="T415" s="0" t="n">
        <f aca="false">MONTH(Q415)</f>
        <v>11</v>
      </c>
    </row>
    <row r="416" customFormat="false" ht="42.75" hidden="true" customHeight="false" outlineLevel="0" collapsed="false">
      <c r="A416" s="0" t="n">
        <v>415</v>
      </c>
      <c r="B416" s="1" t="s">
        <v>609</v>
      </c>
      <c r="C416" s="1" t="s">
        <v>1479</v>
      </c>
      <c r="D416" s="1" t="s">
        <v>1496</v>
      </c>
      <c r="E416" s="0" t="s">
        <v>38</v>
      </c>
      <c r="F416" s="0" t="s">
        <v>49</v>
      </c>
      <c r="G416" s="0" t="s">
        <v>4843</v>
      </c>
      <c r="I416" s="6" t="n">
        <v>0.932638888888889</v>
      </c>
      <c r="J416" s="6" t="n">
        <v>0.9375</v>
      </c>
      <c r="K416" s="0" t="n">
        <v>58</v>
      </c>
      <c r="L416" s="0" t="n">
        <v>58</v>
      </c>
      <c r="M416" s="7" t="s">
        <v>4844</v>
      </c>
      <c r="N416" s="7" t="s">
        <v>4845</v>
      </c>
      <c r="O416" s="7"/>
      <c r="P416" s="7" t="s">
        <v>4846</v>
      </c>
      <c r="Q416" s="2" t="n">
        <v>43062</v>
      </c>
      <c r="S416" s="0" t="n">
        <f aca="false">YEAR(Q416)</f>
        <v>2017</v>
      </c>
      <c r="T416" s="0" t="n">
        <f aca="false">MONTH(Q416)</f>
        <v>11</v>
      </c>
    </row>
    <row r="417" customFormat="false" ht="86.25" hidden="true" customHeight="false" outlineLevel="0" collapsed="false">
      <c r="A417" s="0" t="n">
        <v>416</v>
      </c>
      <c r="B417" s="1" t="s">
        <v>609</v>
      </c>
      <c r="C417" s="1" t="s">
        <v>1479</v>
      </c>
      <c r="D417" s="1" t="s">
        <v>1496</v>
      </c>
      <c r="E417" s="0" t="s">
        <v>38</v>
      </c>
      <c r="F417" s="0" t="s">
        <v>50</v>
      </c>
      <c r="G417" s="0" t="s">
        <v>4847</v>
      </c>
      <c r="I417" s="6" t="n">
        <v>0.932638888888889</v>
      </c>
      <c r="J417" s="6" t="n">
        <v>0</v>
      </c>
      <c r="K417" s="0" t="n">
        <v>0</v>
      </c>
      <c r="M417" s="0" t="s">
        <v>4848</v>
      </c>
      <c r="N417" s="0" t="s">
        <v>4849</v>
      </c>
      <c r="P417" s="7" t="s">
        <v>4850</v>
      </c>
      <c r="Q417" s="2" t="n">
        <v>43062</v>
      </c>
      <c r="S417" s="0" t="n">
        <f aca="false">YEAR(Q417)</f>
        <v>2017</v>
      </c>
      <c r="T417" s="0" t="n">
        <f aca="false">MONTH(Q417)</f>
        <v>11</v>
      </c>
    </row>
    <row r="418" customFormat="false" ht="14.25" hidden="true" customHeight="false" outlineLevel="0" collapsed="false">
      <c r="A418" s="0" t="n">
        <v>417</v>
      </c>
      <c r="B418" s="1" t="s">
        <v>614</v>
      </c>
      <c r="C418" s="1" t="s">
        <v>1503</v>
      </c>
      <c r="D418" s="1" t="s">
        <v>1535</v>
      </c>
      <c r="E418" s="0" t="s">
        <v>44</v>
      </c>
      <c r="F418" s="0" t="s">
        <v>48</v>
      </c>
      <c r="G418" s="0" t="s">
        <v>4851</v>
      </c>
      <c r="I418" s="6" t="n">
        <v>0.3125</v>
      </c>
      <c r="J418" s="6" t="n">
        <v>0.3125</v>
      </c>
      <c r="L418" s="0" t="n">
        <v>0</v>
      </c>
      <c r="M418" s="0" t="s">
        <v>4852</v>
      </c>
      <c r="N418" s="0" t="s">
        <v>4853</v>
      </c>
      <c r="P418" s="0" t="s">
        <v>4854</v>
      </c>
      <c r="Q418" s="2" t="n">
        <v>43063</v>
      </c>
      <c r="S418" s="0" t="n">
        <f aca="false">YEAR(Q418)</f>
        <v>2017</v>
      </c>
      <c r="T418" s="0" t="n">
        <f aca="false">MONTH(Q418)</f>
        <v>11</v>
      </c>
    </row>
    <row r="419" customFormat="false" ht="14.25" hidden="true" customHeight="false" outlineLevel="0" collapsed="false">
      <c r="A419" s="0" t="n">
        <v>418</v>
      </c>
      <c r="B419" s="1" t="s">
        <v>614</v>
      </c>
      <c r="C419" s="1" t="s">
        <v>1503</v>
      </c>
      <c r="D419" s="1" t="s">
        <v>1535</v>
      </c>
      <c r="E419" s="0" t="s">
        <v>44</v>
      </c>
      <c r="F419" s="0" t="s">
        <v>48</v>
      </c>
      <c r="G419" s="0" t="s">
        <v>4855</v>
      </c>
      <c r="I419" s="6" t="n">
        <v>0.4375</v>
      </c>
      <c r="J419" s="6" t="n">
        <v>0.444444444444444</v>
      </c>
      <c r="L419" s="0" t="n">
        <v>5</v>
      </c>
      <c r="M419" s="0" t="s">
        <v>4856</v>
      </c>
      <c r="N419" s="0" t="s">
        <v>4857</v>
      </c>
      <c r="P419" s="0" t="s">
        <v>4858</v>
      </c>
      <c r="Q419" s="2" t="n">
        <v>43063</v>
      </c>
      <c r="S419" s="0" t="n">
        <f aca="false">YEAR(Q419)</f>
        <v>2017</v>
      </c>
      <c r="T419" s="0" t="n">
        <f aca="false">MONTH(Q419)</f>
        <v>11</v>
      </c>
    </row>
    <row r="420" customFormat="false" ht="14.25" hidden="true" customHeight="false" outlineLevel="0" collapsed="false">
      <c r="A420" s="0" t="n">
        <v>419</v>
      </c>
      <c r="B420" s="1" t="s">
        <v>614</v>
      </c>
      <c r="C420" s="1" t="s">
        <v>1479</v>
      </c>
      <c r="D420" s="1" t="s">
        <v>1487</v>
      </c>
      <c r="E420" s="0" t="s">
        <v>1488</v>
      </c>
      <c r="F420" s="0" t="s">
        <v>48</v>
      </c>
      <c r="G420" s="0" t="s">
        <v>4859</v>
      </c>
      <c r="I420" s="6" t="n">
        <v>0.5</v>
      </c>
      <c r="J420" s="6" t="n">
        <v>0.506944444444444</v>
      </c>
      <c r="L420" s="0" t="n">
        <v>22</v>
      </c>
      <c r="M420" s="0" t="s">
        <v>4860</v>
      </c>
      <c r="N420" s="0" t="s">
        <v>4861</v>
      </c>
      <c r="P420" s="0" t="s">
        <v>4862</v>
      </c>
      <c r="Q420" s="2" t="n">
        <v>43063</v>
      </c>
      <c r="S420" s="0" t="n">
        <f aca="false">YEAR(Q420)</f>
        <v>2017</v>
      </c>
      <c r="T420" s="0" t="n">
        <f aca="false">MONTH(Q420)</f>
        <v>11</v>
      </c>
    </row>
    <row r="421" customFormat="false" ht="14.25" hidden="true" customHeight="false" outlineLevel="0" collapsed="false">
      <c r="A421" s="0" t="n">
        <v>420</v>
      </c>
      <c r="B421" s="1" t="s">
        <v>619</v>
      </c>
      <c r="C421" s="1" t="s">
        <v>1479</v>
      </c>
      <c r="D421" s="1" t="s">
        <v>1487</v>
      </c>
      <c r="E421" s="0" t="s">
        <v>1488</v>
      </c>
      <c r="F421" s="0" t="s">
        <v>48</v>
      </c>
      <c r="G421" s="0" t="s">
        <v>4863</v>
      </c>
      <c r="I421" s="6" t="n">
        <v>0.28125</v>
      </c>
      <c r="J421" s="6" t="n">
        <v>0.284722222222222</v>
      </c>
      <c r="L421" s="0" t="n">
        <v>20</v>
      </c>
      <c r="M421" s="0" t="s">
        <v>4864</v>
      </c>
      <c r="N421" s="0" t="s">
        <v>4865</v>
      </c>
      <c r="P421" s="0" t="s">
        <v>4866</v>
      </c>
      <c r="Q421" s="2" t="n">
        <v>43064</v>
      </c>
      <c r="S421" s="0" t="n">
        <f aca="false">YEAR(Q421)</f>
        <v>2017</v>
      </c>
      <c r="T421" s="0" t="n">
        <f aca="false">MONTH(Q421)</f>
        <v>11</v>
      </c>
    </row>
    <row r="422" customFormat="false" ht="14.25" hidden="true" customHeight="false" outlineLevel="0" collapsed="false">
      <c r="A422" s="0" t="n">
        <v>421</v>
      </c>
      <c r="B422" s="1" t="s">
        <v>619</v>
      </c>
      <c r="C422" s="1" t="s">
        <v>1479</v>
      </c>
      <c r="D422" s="1" t="s">
        <v>1487</v>
      </c>
      <c r="E422" s="0" t="s">
        <v>1488</v>
      </c>
      <c r="F422" s="0" t="s">
        <v>48</v>
      </c>
      <c r="G422" s="0" t="s">
        <v>4867</v>
      </c>
      <c r="I422" s="6" t="n">
        <v>0.291666666666667</v>
      </c>
      <c r="J422" s="6" t="n">
        <v>0.298611111111111</v>
      </c>
      <c r="L422" s="0" t="n">
        <v>45</v>
      </c>
      <c r="M422" s="0" t="s">
        <v>4868</v>
      </c>
      <c r="P422" s="0" t="s">
        <v>4869</v>
      </c>
      <c r="Q422" s="2" t="n">
        <v>43064</v>
      </c>
      <c r="S422" s="0" t="n">
        <f aca="false">YEAR(Q422)</f>
        <v>2017</v>
      </c>
      <c r="T422" s="0" t="n">
        <f aca="false">MONTH(Q422)</f>
        <v>11</v>
      </c>
    </row>
    <row r="423" customFormat="false" ht="14.25" hidden="true" customHeight="false" outlineLevel="0" collapsed="false">
      <c r="A423" s="0" t="n">
        <v>422</v>
      </c>
      <c r="B423" s="1" t="s">
        <v>619</v>
      </c>
      <c r="C423" s="1" t="s">
        <v>1479</v>
      </c>
      <c r="D423" s="1" t="s">
        <v>1535</v>
      </c>
      <c r="E423" s="0" t="s">
        <v>39</v>
      </c>
      <c r="F423" s="0" t="s">
        <v>48</v>
      </c>
      <c r="G423" s="0" t="s">
        <v>4870</v>
      </c>
      <c r="I423" s="6" t="n">
        <v>0.4375</v>
      </c>
      <c r="J423" s="6" t="n">
        <v>0.4375</v>
      </c>
      <c r="K423" s="0" t="n">
        <v>9</v>
      </c>
      <c r="L423" s="0" t="n">
        <v>15</v>
      </c>
      <c r="M423" s="0" t="s">
        <v>4871</v>
      </c>
      <c r="N423" s="0" t="s">
        <v>4872</v>
      </c>
      <c r="P423" s="0" t="s">
        <v>4873</v>
      </c>
      <c r="Q423" s="2" t="n">
        <v>43064</v>
      </c>
      <c r="S423" s="0" t="n">
        <f aca="false">YEAR(Q423)</f>
        <v>2017</v>
      </c>
      <c r="T423" s="0" t="n">
        <f aca="false">MONTH(Q423)</f>
        <v>11</v>
      </c>
    </row>
    <row r="424" customFormat="false" ht="14.25" hidden="true" customHeight="false" outlineLevel="0" collapsed="false">
      <c r="A424" s="0" t="n">
        <v>423</v>
      </c>
      <c r="B424" s="1" t="s">
        <v>619</v>
      </c>
      <c r="C424" s="1" t="s">
        <v>1479</v>
      </c>
      <c r="D424" s="1" t="s">
        <v>1535</v>
      </c>
      <c r="E424" s="0" t="s">
        <v>39</v>
      </c>
      <c r="F424" s="0" t="s">
        <v>49</v>
      </c>
      <c r="G424" s="0" t="s">
        <v>4874</v>
      </c>
      <c r="I424" s="6" t="n">
        <v>0.679861111111111</v>
      </c>
      <c r="J424" s="6" t="n">
        <v>0.680555555555555</v>
      </c>
      <c r="K424" s="0" t="n">
        <v>6</v>
      </c>
      <c r="M424" s="0" t="s">
        <v>4875</v>
      </c>
      <c r="N424" s="0" t="s">
        <v>4876</v>
      </c>
      <c r="P424" s="0" t="s">
        <v>4877</v>
      </c>
      <c r="Q424" s="2" t="n">
        <v>43064</v>
      </c>
      <c r="S424" s="0" t="n">
        <f aca="false">YEAR(Q424)</f>
        <v>2017</v>
      </c>
      <c r="T424" s="0" t="n">
        <f aca="false">MONTH(Q424)</f>
        <v>11</v>
      </c>
    </row>
    <row r="425" customFormat="false" ht="14.25" hidden="true" customHeight="false" outlineLevel="0" collapsed="false">
      <c r="A425" s="0" t="n">
        <v>424</v>
      </c>
      <c r="B425" s="1" t="s">
        <v>619</v>
      </c>
      <c r="C425" s="1" t="s">
        <v>1479</v>
      </c>
      <c r="D425" s="1" t="s">
        <v>1535</v>
      </c>
      <c r="E425" s="0" t="s">
        <v>39</v>
      </c>
      <c r="F425" s="0" t="s">
        <v>49</v>
      </c>
      <c r="G425" s="0" t="s">
        <v>4878</v>
      </c>
      <c r="I425" s="6" t="n">
        <v>0.695833333333333</v>
      </c>
      <c r="J425" s="6" t="n">
        <v>0.697916666666667</v>
      </c>
      <c r="K425" s="0" t="n">
        <v>18</v>
      </c>
      <c r="L425" s="0" t="n">
        <v>27</v>
      </c>
      <c r="M425" s="0" t="s">
        <v>4879</v>
      </c>
      <c r="N425" s="0" t="s">
        <v>4880</v>
      </c>
      <c r="P425" s="0" t="s">
        <v>4881</v>
      </c>
      <c r="Q425" s="2" t="n">
        <v>43064</v>
      </c>
      <c r="S425" s="0" t="n">
        <f aca="false">YEAR(Q425)</f>
        <v>2017</v>
      </c>
      <c r="T425" s="0" t="n">
        <f aca="false">MONTH(Q425)</f>
        <v>11</v>
      </c>
    </row>
    <row r="426" customFormat="false" ht="14.25" hidden="true" customHeight="false" outlineLevel="0" collapsed="false">
      <c r="A426" s="0" t="n">
        <v>425</v>
      </c>
      <c r="B426" s="1" t="s">
        <v>619</v>
      </c>
      <c r="C426" s="1" t="s">
        <v>1479</v>
      </c>
      <c r="D426" s="1" t="s">
        <v>1535</v>
      </c>
      <c r="E426" s="0" t="s">
        <v>39</v>
      </c>
      <c r="F426" s="0" t="s">
        <v>49</v>
      </c>
      <c r="G426" s="0" t="s">
        <v>4882</v>
      </c>
      <c r="I426" s="6" t="n">
        <v>0.6875</v>
      </c>
      <c r="K426" s="0" t="n">
        <v>0</v>
      </c>
      <c r="M426" s="0" t="s">
        <v>4883</v>
      </c>
      <c r="N426" s="0" t="s">
        <v>4884</v>
      </c>
      <c r="P426" s="0" t="s">
        <v>4885</v>
      </c>
      <c r="Q426" s="2" t="n">
        <v>43064</v>
      </c>
      <c r="S426" s="0" t="n">
        <f aca="false">YEAR(Q426)</f>
        <v>2017</v>
      </c>
      <c r="T426" s="0" t="n">
        <f aca="false">MONTH(Q426)</f>
        <v>11</v>
      </c>
    </row>
    <row r="427" customFormat="false" ht="14.25" hidden="true" customHeight="false" outlineLevel="0" collapsed="false">
      <c r="A427" s="0" t="n">
        <v>426</v>
      </c>
      <c r="B427" s="1" t="s">
        <v>620</v>
      </c>
      <c r="C427" s="1" t="s">
        <v>1479</v>
      </c>
      <c r="D427" s="1" t="s">
        <v>1535</v>
      </c>
      <c r="E427" s="0" t="s">
        <v>39</v>
      </c>
      <c r="F427" s="0" t="s">
        <v>50</v>
      </c>
      <c r="G427" s="0" t="s">
        <v>4886</v>
      </c>
      <c r="I427" s="6" t="n">
        <v>0.921527777777778</v>
      </c>
      <c r="J427" s="6" t="n">
        <v>0.923611111111111</v>
      </c>
      <c r="K427" s="0" t="n">
        <v>4</v>
      </c>
      <c r="L427" s="0" t="n">
        <v>5</v>
      </c>
      <c r="M427" s="0" t="s">
        <v>4887</v>
      </c>
      <c r="N427" s="0" t="s">
        <v>4888</v>
      </c>
      <c r="P427" s="0" t="s">
        <v>4889</v>
      </c>
      <c r="Q427" s="2" t="n">
        <v>43065</v>
      </c>
      <c r="S427" s="0" t="n">
        <f aca="false">YEAR(Q427)</f>
        <v>2017</v>
      </c>
      <c r="T427" s="0" t="n">
        <f aca="false">MONTH(Q427)</f>
        <v>11</v>
      </c>
    </row>
    <row r="428" customFormat="false" ht="14.25" hidden="true" customHeight="false" outlineLevel="0" collapsed="false">
      <c r="A428" s="0" t="n">
        <v>427</v>
      </c>
      <c r="B428" s="1" t="s">
        <v>620</v>
      </c>
      <c r="C428" s="1" t="s">
        <v>1479</v>
      </c>
      <c r="D428" s="1" t="s">
        <v>1487</v>
      </c>
      <c r="E428" s="0" t="s">
        <v>1488</v>
      </c>
      <c r="F428" s="0" t="s">
        <v>50</v>
      </c>
      <c r="G428" s="0" t="s">
        <v>4890</v>
      </c>
      <c r="I428" s="6" t="n">
        <v>0.927083333333333</v>
      </c>
      <c r="J428" s="6" t="n">
        <v>0.944444444444444</v>
      </c>
      <c r="L428" s="0" t="n">
        <v>30</v>
      </c>
      <c r="M428" s="0" t="s">
        <v>4891</v>
      </c>
      <c r="N428" s="0" t="s">
        <v>4892</v>
      </c>
      <c r="P428" s="0" t="s">
        <v>4893</v>
      </c>
      <c r="Q428" s="2" t="n">
        <v>43065</v>
      </c>
      <c r="S428" s="0" t="n">
        <f aca="false">YEAR(Q428)</f>
        <v>2017</v>
      </c>
      <c r="T428" s="0" t="n">
        <f aca="false">MONTH(Q428)</f>
        <v>11</v>
      </c>
    </row>
    <row r="429" customFormat="false" ht="14.25" hidden="true" customHeight="false" outlineLevel="0" collapsed="false">
      <c r="A429" s="0" t="n">
        <v>428</v>
      </c>
      <c r="B429" s="1" t="s">
        <v>622</v>
      </c>
      <c r="C429" s="1" t="s">
        <v>1495</v>
      </c>
      <c r="D429" s="1" t="s">
        <v>1487</v>
      </c>
      <c r="E429" s="0" t="s">
        <v>40</v>
      </c>
      <c r="F429" s="0" t="s">
        <v>48</v>
      </c>
      <c r="G429" s="0" t="s">
        <v>4894</v>
      </c>
      <c r="I429" s="6" t="n">
        <v>0.236111111111111</v>
      </c>
      <c r="J429" s="6" t="n">
        <v>0.277777777777778</v>
      </c>
      <c r="L429" s="0" t="n">
        <v>0</v>
      </c>
      <c r="M429" s="0" t="s">
        <v>4895</v>
      </c>
      <c r="N429" s="0" t="s">
        <v>4896</v>
      </c>
      <c r="P429" s="0" t="s">
        <v>4897</v>
      </c>
      <c r="Q429" s="2" t="n">
        <v>43066</v>
      </c>
      <c r="S429" s="0" t="n">
        <f aca="false">YEAR(Q429)</f>
        <v>2017</v>
      </c>
      <c r="T429" s="0" t="n">
        <f aca="false">MONTH(Q429)</f>
        <v>11</v>
      </c>
    </row>
    <row r="430" customFormat="false" ht="14.25" hidden="true" customHeight="false" outlineLevel="0" collapsed="false">
      <c r="A430" s="0" t="n">
        <v>429</v>
      </c>
      <c r="B430" s="1" t="s">
        <v>622</v>
      </c>
      <c r="C430" s="1" t="s">
        <v>1503</v>
      </c>
      <c r="D430" s="1" t="s">
        <v>1535</v>
      </c>
      <c r="E430" s="0" t="s">
        <v>44</v>
      </c>
      <c r="F430" s="0" t="s">
        <v>48</v>
      </c>
      <c r="G430" s="0" t="s">
        <v>4898</v>
      </c>
      <c r="I430" s="6" t="n">
        <v>0.534722222222222</v>
      </c>
      <c r="J430" s="6" t="n">
        <v>0.555555555555556</v>
      </c>
      <c r="L430" s="0" t="n">
        <v>45</v>
      </c>
      <c r="M430" s="0" t="s">
        <v>4899</v>
      </c>
      <c r="N430" s="0" t="s">
        <v>4900</v>
      </c>
      <c r="P430" s="0" t="s">
        <v>4901</v>
      </c>
      <c r="Q430" s="2" t="n">
        <v>43066</v>
      </c>
      <c r="S430" s="0" t="n">
        <f aca="false">YEAR(Q430)</f>
        <v>2017</v>
      </c>
      <c r="T430" s="0" t="n">
        <f aca="false">MONTH(Q430)</f>
        <v>11</v>
      </c>
    </row>
    <row r="431" customFormat="false" ht="14.25" hidden="true" customHeight="false" outlineLevel="0" collapsed="false">
      <c r="A431" s="0" t="n">
        <v>430</v>
      </c>
      <c r="B431" s="1" t="s">
        <v>622</v>
      </c>
      <c r="C431" s="1" t="s">
        <v>1479</v>
      </c>
      <c r="D431" s="1" t="s">
        <v>1480</v>
      </c>
      <c r="E431" s="0" t="s">
        <v>43</v>
      </c>
      <c r="F431" s="0" t="s">
        <v>49</v>
      </c>
      <c r="G431" s="0" t="s">
        <v>4902</v>
      </c>
      <c r="I431" s="6" t="n">
        <v>0.645833333333333</v>
      </c>
      <c r="J431" s="6" t="n">
        <v>0.708333333333333</v>
      </c>
      <c r="L431" s="0" t="n">
        <v>180</v>
      </c>
      <c r="M431" s="0" t="s">
        <v>4903</v>
      </c>
      <c r="N431" s="0" t="s">
        <v>4904</v>
      </c>
      <c r="P431" s="0" t="s">
        <v>4905</v>
      </c>
      <c r="Q431" s="2" t="n">
        <v>43066</v>
      </c>
      <c r="S431" s="0" t="n">
        <f aca="false">YEAR(Q431)</f>
        <v>2017</v>
      </c>
      <c r="T431" s="0" t="n">
        <f aca="false">MONTH(Q431)</f>
        <v>11</v>
      </c>
    </row>
    <row r="432" customFormat="false" ht="14.25" hidden="true" customHeight="false" outlineLevel="0" collapsed="false">
      <c r="A432" s="0" t="n">
        <v>431</v>
      </c>
      <c r="B432" s="1" t="s">
        <v>622</v>
      </c>
      <c r="C432" s="1" t="s">
        <v>1479</v>
      </c>
      <c r="D432" s="1" t="s">
        <v>1496</v>
      </c>
      <c r="E432" s="0" t="s">
        <v>38</v>
      </c>
      <c r="F432" s="0" t="s">
        <v>49</v>
      </c>
      <c r="G432" s="0" t="s">
        <v>4906</v>
      </c>
      <c r="J432" s="6" t="n">
        <v>0.75</v>
      </c>
      <c r="K432" s="0" t="n">
        <v>0</v>
      </c>
      <c r="L432" s="0" t="n">
        <v>0</v>
      </c>
      <c r="M432" s="0" t="s">
        <v>4907</v>
      </c>
      <c r="N432" s="0" t="s">
        <v>4908</v>
      </c>
      <c r="P432" s="0" t="s">
        <v>4909</v>
      </c>
      <c r="Q432" s="2" t="n">
        <v>43066</v>
      </c>
      <c r="S432" s="0" t="n">
        <f aca="false">YEAR(Q432)</f>
        <v>2017</v>
      </c>
      <c r="T432" s="0" t="n">
        <f aca="false">MONTH(Q432)</f>
        <v>11</v>
      </c>
    </row>
    <row r="433" customFormat="false" ht="42.75" hidden="true" customHeight="false" outlineLevel="0" collapsed="false">
      <c r="A433" s="0" t="n">
        <v>432</v>
      </c>
      <c r="B433" s="1" t="s">
        <v>622</v>
      </c>
      <c r="C433" s="1" t="s">
        <v>1479</v>
      </c>
      <c r="D433" s="1" t="s">
        <v>1535</v>
      </c>
      <c r="E433" s="0" t="s">
        <v>39</v>
      </c>
      <c r="F433" s="0" t="s">
        <v>50</v>
      </c>
      <c r="G433" s="0" t="s">
        <v>4910</v>
      </c>
      <c r="I433" s="6" t="n">
        <v>0.0222222222222222</v>
      </c>
      <c r="J433" s="6" t="n">
        <v>0.0354166666666667</v>
      </c>
      <c r="K433" s="0" t="n">
        <v>30</v>
      </c>
      <c r="L433" s="0" t="n">
        <v>31</v>
      </c>
      <c r="M433" s="7" t="s">
        <v>4911</v>
      </c>
      <c r="N433" s="0" t="s">
        <v>4912</v>
      </c>
      <c r="P433" s="0" t="s">
        <v>4913</v>
      </c>
      <c r="Q433" s="2" t="n">
        <v>43066</v>
      </c>
      <c r="S433" s="0" t="n">
        <f aca="false">YEAR(Q433)</f>
        <v>2017</v>
      </c>
      <c r="T433" s="0" t="n">
        <f aca="false">MONTH(Q433)</f>
        <v>11</v>
      </c>
    </row>
    <row r="434" customFormat="false" ht="86.25" hidden="true" customHeight="false" outlineLevel="0" collapsed="false">
      <c r="A434" s="0" t="n">
        <v>433</v>
      </c>
      <c r="B434" s="1" t="s">
        <v>622</v>
      </c>
      <c r="C434" s="1" t="s">
        <v>1479</v>
      </c>
      <c r="D434" s="1" t="s">
        <v>1535</v>
      </c>
      <c r="E434" s="0" t="s">
        <v>39</v>
      </c>
      <c r="F434" s="0" t="s">
        <v>50</v>
      </c>
      <c r="G434" s="0" t="s">
        <v>4914</v>
      </c>
      <c r="I434" s="6" t="n">
        <v>0.101388888888889</v>
      </c>
      <c r="K434" s="0" t="n">
        <v>3</v>
      </c>
      <c r="L434" s="0" t="n">
        <v>7</v>
      </c>
      <c r="M434" s="0" t="s">
        <v>4915</v>
      </c>
      <c r="N434" s="7" t="s">
        <v>4916</v>
      </c>
      <c r="O434" s="7"/>
      <c r="P434" s="0" t="s">
        <v>4917</v>
      </c>
      <c r="Q434" s="2" t="n">
        <v>43066</v>
      </c>
      <c r="S434" s="0" t="n">
        <f aca="false">YEAR(Q434)</f>
        <v>2017</v>
      </c>
      <c r="T434" s="0" t="n">
        <f aca="false">MONTH(Q434)</f>
        <v>11</v>
      </c>
    </row>
    <row r="435" customFormat="false" ht="14.25" hidden="true" customHeight="false" outlineLevel="0" collapsed="false">
      <c r="A435" s="0" t="n">
        <v>434</v>
      </c>
      <c r="B435" s="1" t="s">
        <v>624</v>
      </c>
      <c r="C435" s="1" t="s">
        <v>1479</v>
      </c>
      <c r="D435" s="1" t="s">
        <v>1496</v>
      </c>
      <c r="E435" s="0" t="s">
        <v>38</v>
      </c>
      <c r="F435" s="0" t="s">
        <v>48</v>
      </c>
      <c r="G435" s="0" t="s">
        <v>4918</v>
      </c>
      <c r="J435" s="6" t="n">
        <v>0.25</v>
      </c>
      <c r="K435" s="0" t="n">
        <v>0</v>
      </c>
      <c r="L435" s="0" t="n">
        <v>0</v>
      </c>
      <c r="M435" s="0" t="s">
        <v>4919</v>
      </c>
      <c r="N435" s="0" t="s">
        <v>4920</v>
      </c>
      <c r="P435" s="0" t="s">
        <v>4921</v>
      </c>
      <c r="Q435" s="2" t="n">
        <v>43067</v>
      </c>
      <c r="S435" s="0" t="n">
        <f aca="false">YEAR(Q435)</f>
        <v>2017</v>
      </c>
      <c r="T435" s="0" t="n">
        <f aca="false">MONTH(Q435)</f>
        <v>11</v>
      </c>
    </row>
    <row r="436" customFormat="false" ht="14.25" hidden="true" customHeight="false" outlineLevel="0" collapsed="false">
      <c r="A436" s="0" t="n">
        <v>435</v>
      </c>
      <c r="B436" s="1" t="s">
        <v>624</v>
      </c>
      <c r="C436" s="1" t="s">
        <v>1503</v>
      </c>
      <c r="D436" s="1" t="s">
        <v>1504</v>
      </c>
      <c r="E436" s="0" t="s">
        <v>45</v>
      </c>
      <c r="F436" s="0" t="s">
        <v>48</v>
      </c>
      <c r="G436" s="0" t="s">
        <v>4922</v>
      </c>
      <c r="J436" s="6" t="n">
        <v>0.444444444444444</v>
      </c>
      <c r="K436" s="0" t="n">
        <v>0</v>
      </c>
      <c r="M436" s="0" t="s">
        <v>4923</v>
      </c>
      <c r="N436" s="0" t="s">
        <v>4924</v>
      </c>
      <c r="P436" s="0" t="s">
        <v>4925</v>
      </c>
      <c r="Q436" s="2" t="n">
        <v>43067</v>
      </c>
      <c r="S436" s="0" t="n">
        <f aca="false">YEAR(Q436)</f>
        <v>2017</v>
      </c>
      <c r="T436" s="0" t="n">
        <f aca="false">MONTH(Q436)</f>
        <v>11</v>
      </c>
    </row>
    <row r="437" customFormat="false" ht="14.25" hidden="true" customHeight="false" outlineLevel="0" collapsed="false">
      <c r="A437" s="0" t="n">
        <v>436</v>
      </c>
      <c r="B437" s="1" t="s">
        <v>624</v>
      </c>
      <c r="C437" s="1" t="s">
        <v>1479</v>
      </c>
      <c r="D437" s="1" t="s">
        <v>1487</v>
      </c>
      <c r="E437" s="0" t="s">
        <v>1488</v>
      </c>
      <c r="F437" s="0" t="s">
        <v>49</v>
      </c>
      <c r="G437" s="0" t="s">
        <v>4926</v>
      </c>
      <c r="I437" s="6" t="n">
        <v>0.629861111111111</v>
      </c>
      <c r="J437" s="6" t="n">
        <v>0.638888888888889</v>
      </c>
      <c r="L437" s="0" t="n">
        <v>60</v>
      </c>
      <c r="M437" s="0" t="s">
        <v>4927</v>
      </c>
      <c r="N437" s="0" t="s">
        <v>4928</v>
      </c>
      <c r="P437" s="0" t="s">
        <v>4929</v>
      </c>
      <c r="Q437" s="2" t="n">
        <v>43067</v>
      </c>
      <c r="S437" s="0" t="n">
        <f aca="false">YEAR(Q437)</f>
        <v>2017</v>
      </c>
      <c r="T437" s="0" t="n">
        <f aca="false">MONTH(Q437)</f>
        <v>11</v>
      </c>
    </row>
    <row r="438" customFormat="false" ht="14.25" hidden="true" customHeight="false" outlineLevel="0" collapsed="false">
      <c r="A438" s="0" t="n">
        <v>437</v>
      </c>
      <c r="B438" s="1" t="s">
        <v>624</v>
      </c>
      <c r="C438" s="1" t="s">
        <v>1479</v>
      </c>
      <c r="D438" s="1" t="s">
        <v>1535</v>
      </c>
      <c r="E438" s="0" t="s">
        <v>39</v>
      </c>
      <c r="F438" s="0" t="s">
        <v>50</v>
      </c>
      <c r="G438" s="0" t="s">
        <v>4930</v>
      </c>
      <c r="I438" s="6" t="n">
        <v>0.0625</v>
      </c>
      <c r="J438" s="6" t="n">
        <v>0.0694444444444444</v>
      </c>
      <c r="K438" s="0" t="n">
        <v>0</v>
      </c>
      <c r="L438" s="0" t="n">
        <v>30</v>
      </c>
      <c r="M438" s="0" t="s">
        <v>4931</v>
      </c>
      <c r="N438" s="0" t="s">
        <v>4932</v>
      </c>
      <c r="P438" s="0" t="s">
        <v>4933</v>
      </c>
      <c r="Q438" s="2" t="n">
        <v>43067</v>
      </c>
      <c r="S438" s="0" t="n">
        <f aca="false">YEAR(Q438)</f>
        <v>2017</v>
      </c>
      <c r="T438" s="0" t="n">
        <f aca="false">MONTH(Q438)</f>
        <v>11</v>
      </c>
    </row>
    <row r="439" customFormat="false" ht="42.75" hidden="true" customHeight="false" outlineLevel="0" collapsed="false">
      <c r="A439" s="0" t="n">
        <v>438</v>
      </c>
      <c r="B439" s="1" t="s">
        <v>624</v>
      </c>
      <c r="C439" s="1" t="s">
        <v>1479</v>
      </c>
      <c r="D439" s="1" t="s">
        <v>1535</v>
      </c>
      <c r="E439" s="0" t="s">
        <v>39</v>
      </c>
      <c r="F439" s="0" t="s">
        <v>50</v>
      </c>
      <c r="G439" s="0" t="s">
        <v>4400</v>
      </c>
      <c r="J439" s="6" t="n">
        <v>0.180555555555556</v>
      </c>
      <c r="K439" s="0" t="n">
        <v>0</v>
      </c>
      <c r="M439" s="0" t="s">
        <v>4934</v>
      </c>
      <c r="N439" s="0" t="s">
        <v>4935</v>
      </c>
      <c r="P439" s="7" t="s">
        <v>4936</v>
      </c>
      <c r="Q439" s="2" t="n">
        <v>43067</v>
      </c>
      <c r="S439" s="0" t="n">
        <f aca="false">YEAR(Q439)</f>
        <v>2017</v>
      </c>
      <c r="T439" s="0" t="n">
        <f aca="false">MONTH(Q439)</f>
        <v>11</v>
      </c>
    </row>
    <row r="440" customFormat="false" ht="14.25" hidden="true" customHeight="false" outlineLevel="0" collapsed="false">
      <c r="A440" s="0" t="n">
        <v>439</v>
      </c>
      <c r="B440" s="1" t="s">
        <v>626</v>
      </c>
      <c r="C440" s="1" t="s">
        <v>1503</v>
      </c>
      <c r="D440" s="1" t="s">
        <v>1535</v>
      </c>
      <c r="E440" s="0" t="s">
        <v>44</v>
      </c>
      <c r="F440" s="0" t="s">
        <v>48</v>
      </c>
      <c r="G440" s="0" t="s">
        <v>4937</v>
      </c>
      <c r="I440" s="6" t="n">
        <v>0.236111111111111</v>
      </c>
      <c r="J440" s="6" t="n">
        <v>0.25</v>
      </c>
      <c r="L440" s="0" t="n">
        <v>30</v>
      </c>
      <c r="M440" s="0" t="s">
        <v>4938</v>
      </c>
      <c r="N440" s="0" t="s">
        <v>4939</v>
      </c>
      <c r="P440" s="0" t="s">
        <v>4940</v>
      </c>
      <c r="Q440" s="2" t="n">
        <v>43068</v>
      </c>
      <c r="S440" s="0" t="n">
        <f aca="false">YEAR(Q440)</f>
        <v>2017</v>
      </c>
      <c r="T440" s="0" t="n">
        <f aca="false">MONTH(Q440)</f>
        <v>11</v>
      </c>
    </row>
    <row r="441" customFormat="false" ht="14.25" hidden="true" customHeight="false" outlineLevel="0" collapsed="false">
      <c r="A441" s="0" t="n">
        <v>440</v>
      </c>
      <c r="B441" s="1" t="s">
        <v>626</v>
      </c>
      <c r="C441" s="1" t="s">
        <v>1503</v>
      </c>
      <c r="D441" s="1" t="s">
        <v>1535</v>
      </c>
      <c r="E441" s="0" t="s">
        <v>44</v>
      </c>
      <c r="F441" s="0" t="s">
        <v>48</v>
      </c>
      <c r="G441" s="0" t="s">
        <v>4941</v>
      </c>
      <c r="I441" s="6" t="n">
        <v>0.291666666666667</v>
      </c>
      <c r="J441" s="6" t="n">
        <v>0.291666666666667</v>
      </c>
      <c r="L441" s="0" t="n">
        <v>10</v>
      </c>
      <c r="M441" s="0" t="s">
        <v>4942</v>
      </c>
      <c r="N441" s="0" t="s">
        <v>4943</v>
      </c>
      <c r="P441" s="0" t="s">
        <v>4944</v>
      </c>
      <c r="Q441" s="2" t="n">
        <v>43068</v>
      </c>
      <c r="S441" s="0" t="n">
        <f aca="false">YEAR(Q441)</f>
        <v>2017</v>
      </c>
      <c r="T441" s="0" t="n">
        <f aca="false">MONTH(Q441)</f>
        <v>11</v>
      </c>
    </row>
    <row r="442" customFormat="false" ht="14.25" hidden="true" customHeight="false" outlineLevel="0" collapsed="false">
      <c r="A442" s="0" t="n">
        <v>441</v>
      </c>
      <c r="B442" s="1" t="s">
        <v>626</v>
      </c>
      <c r="C442" s="1" t="s">
        <v>1479</v>
      </c>
      <c r="D442" s="1" t="s">
        <v>1535</v>
      </c>
      <c r="E442" s="0" t="s">
        <v>39</v>
      </c>
      <c r="F442" s="0" t="s">
        <v>48</v>
      </c>
      <c r="G442" s="0" t="s">
        <v>4945</v>
      </c>
      <c r="I442" s="6" t="n">
        <v>0.375</v>
      </c>
      <c r="J442" s="6" t="n">
        <v>0.378472222222222</v>
      </c>
      <c r="L442" s="0" t="n">
        <v>5</v>
      </c>
      <c r="M442" s="0" t="s">
        <v>4946</v>
      </c>
      <c r="N442" s="0" t="s">
        <v>4947</v>
      </c>
      <c r="P442" s="0" t="s">
        <v>4948</v>
      </c>
      <c r="Q442" s="2" t="n">
        <v>43068</v>
      </c>
      <c r="S442" s="0" t="n">
        <f aca="false">YEAR(Q442)</f>
        <v>2017</v>
      </c>
      <c r="T442" s="0" t="n">
        <f aca="false">MONTH(Q442)</f>
        <v>11</v>
      </c>
    </row>
    <row r="443" customFormat="false" ht="14.25" hidden="true" customHeight="false" outlineLevel="0" collapsed="false">
      <c r="A443" s="0" t="n">
        <v>442</v>
      </c>
      <c r="B443" s="1" t="s">
        <v>626</v>
      </c>
      <c r="C443" s="1" t="s">
        <v>1479</v>
      </c>
      <c r="D443" s="1" t="s">
        <v>1487</v>
      </c>
      <c r="E443" s="0" t="s">
        <v>1488</v>
      </c>
      <c r="F443" s="0" t="s">
        <v>49</v>
      </c>
      <c r="G443" s="0" t="s">
        <v>4926</v>
      </c>
      <c r="I443" s="6" t="n">
        <v>0.629861111111111</v>
      </c>
      <c r="J443" s="6" t="n">
        <v>0.651388888888889</v>
      </c>
      <c r="L443" s="0" t="n">
        <v>60</v>
      </c>
      <c r="M443" s="0" t="s">
        <v>4949</v>
      </c>
      <c r="N443" s="0" t="s">
        <v>4950</v>
      </c>
      <c r="P443" s="0" t="s">
        <v>4951</v>
      </c>
      <c r="Q443" s="2" t="n">
        <v>43068</v>
      </c>
      <c r="S443" s="0" t="n">
        <f aca="false">YEAR(Q443)</f>
        <v>2017</v>
      </c>
      <c r="T443" s="0" t="n">
        <f aca="false">MONTH(Q443)</f>
        <v>11</v>
      </c>
    </row>
    <row r="444" customFormat="false" ht="14.25" hidden="true" customHeight="false" outlineLevel="0" collapsed="false">
      <c r="A444" s="0" t="n">
        <v>443</v>
      </c>
      <c r="B444" s="1" t="s">
        <v>626</v>
      </c>
      <c r="C444" s="1" t="s">
        <v>1479</v>
      </c>
      <c r="D444" s="1" t="s">
        <v>1535</v>
      </c>
      <c r="E444" s="0" t="s">
        <v>39</v>
      </c>
      <c r="F444" s="0" t="s">
        <v>49</v>
      </c>
      <c r="G444" s="0" t="s">
        <v>4952</v>
      </c>
      <c r="I444" s="6" t="n">
        <v>0.677083333333333</v>
      </c>
      <c r="L444" s="0" t="n">
        <v>60</v>
      </c>
      <c r="M444" s="0" t="s">
        <v>4953</v>
      </c>
      <c r="N444" s="0" t="s">
        <v>4954</v>
      </c>
      <c r="P444" s="0" t="s">
        <v>4955</v>
      </c>
      <c r="Q444" s="2" t="n">
        <v>43068</v>
      </c>
      <c r="S444" s="0" t="n">
        <f aca="false">YEAR(Q444)</f>
        <v>2017</v>
      </c>
      <c r="T444" s="0" t="n">
        <f aca="false">MONTH(Q444)</f>
        <v>11</v>
      </c>
    </row>
    <row r="445" customFormat="false" ht="14.25" hidden="true" customHeight="false" outlineLevel="0" collapsed="false">
      <c r="A445" s="0" t="n">
        <v>444</v>
      </c>
      <c r="B445" s="1" t="s">
        <v>626</v>
      </c>
      <c r="C445" s="1" t="s">
        <v>1479</v>
      </c>
      <c r="D445" s="1" t="s">
        <v>1487</v>
      </c>
      <c r="E445" s="0" t="s">
        <v>1488</v>
      </c>
      <c r="F445" s="0" t="s">
        <v>50</v>
      </c>
      <c r="G445" s="0" t="s">
        <v>4956</v>
      </c>
      <c r="I445" s="6" t="n">
        <v>0.916666666666667</v>
      </c>
      <c r="K445" s="0" t="n">
        <v>150</v>
      </c>
      <c r="L445" s="0" t="n">
        <v>270</v>
      </c>
      <c r="M445" s="0" t="s">
        <v>4957</v>
      </c>
      <c r="N445" s="0" t="s">
        <v>4958</v>
      </c>
      <c r="P445" s="0" t="s">
        <v>4959</v>
      </c>
      <c r="Q445" s="2" t="n">
        <v>43068</v>
      </c>
      <c r="S445" s="0" t="n">
        <f aca="false">YEAR(Q445)</f>
        <v>2017</v>
      </c>
      <c r="T445" s="0" t="n">
        <f aca="false">MONTH(Q445)</f>
        <v>11</v>
      </c>
    </row>
    <row r="446" customFormat="false" ht="14.25" hidden="true" customHeight="false" outlineLevel="0" collapsed="false">
      <c r="A446" s="0" t="n">
        <v>445</v>
      </c>
      <c r="B446" s="1" t="s">
        <v>626</v>
      </c>
      <c r="C446" s="1" t="s">
        <v>1479</v>
      </c>
      <c r="D446" s="1" t="s">
        <v>1535</v>
      </c>
      <c r="E446" s="0" t="s">
        <v>39</v>
      </c>
      <c r="F446" s="0" t="s">
        <v>50</v>
      </c>
      <c r="G446" s="0" t="s">
        <v>3583</v>
      </c>
      <c r="I446" s="6" t="n">
        <v>0.104166666666667</v>
      </c>
      <c r="J446" s="6" t="n">
        <v>0.131944444444444</v>
      </c>
      <c r="K446" s="0" t="n">
        <v>50</v>
      </c>
      <c r="M446" s="0" t="s">
        <v>4960</v>
      </c>
      <c r="N446" s="0" t="s">
        <v>4961</v>
      </c>
      <c r="Q446" s="2" t="n">
        <v>43068</v>
      </c>
      <c r="S446" s="0" t="n">
        <f aca="false">YEAR(Q446)</f>
        <v>2017</v>
      </c>
      <c r="T446" s="0" t="n">
        <f aca="false">MONTH(Q446)</f>
        <v>11</v>
      </c>
    </row>
    <row r="447" customFormat="false" ht="42.75" hidden="true" customHeight="false" outlineLevel="0" collapsed="false">
      <c r="A447" s="0" t="n">
        <v>446</v>
      </c>
      <c r="B447" s="1" t="s">
        <v>628</v>
      </c>
      <c r="C447" s="1" t="s">
        <v>1479</v>
      </c>
      <c r="D447" s="1" t="s">
        <v>1487</v>
      </c>
      <c r="E447" s="0" t="s">
        <v>1488</v>
      </c>
      <c r="F447" s="0" t="s">
        <v>50</v>
      </c>
      <c r="G447" s="0" t="s">
        <v>4962</v>
      </c>
      <c r="I447" s="6" t="n">
        <v>0.921527777777778</v>
      </c>
      <c r="J447" s="6" t="n">
        <v>0.927083333333333</v>
      </c>
      <c r="K447" s="0" t="n">
        <v>0</v>
      </c>
      <c r="L447" s="0" t="n">
        <v>40</v>
      </c>
      <c r="M447" s="7" t="s">
        <v>4963</v>
      </c>
      <c r="N447" s="7" t="s">
        <v>4964</v>
      </c>
      <c r="O447" s="7"/>
      <c r="P447" s="7" t="s">
        <v>4965</v>
      </c>
      <c r="Q447" s="2" t="n">
        <v>43072</v>
      </c>
      <c r="S447" s="0" t="n">
        <f aca="false">YEAR(Q447)</f>
        <v>2017</v>
      </c>
      <c r="T447" s="0" t="n">
        <f aca="false">MONTH(Q447)</f>
        <v>12</v>
      </c>
    </row>
    <row r="448" customFormat="false" ht="72" hidden="true" customHeight="false" outlineLevel="0" collapsed="false">
      <c r="A448" s="0" t="n">
        <v>447</v>
      </c>
      <c r="B448" s="1" t="s">
        <v>628</v>
      </c>
      <c r="C448" s="1" t="s">
        <v>1479</v>
      </c>
      <c r="D448" s="1" t="s">
        <v>1487</v>
      </c>
      <c r="E448" s="0" t="s">
        <v>1488</v>
      </c>
      <c r="F448" s="0" t="s">
        <v>50</v>
      </c>
      <c r="G448" s="0" t="s">
        <v>4966</v>
      </c>
      <c r="I448" s="6" t="n">
        <v>0.921527777777778</v>
      </c>
      <c r="J448" s="6" t="n">
        <v>0.944444444444444</v>
      </c>
      <c r="K448" s="0" t="n">
        <v>70</v>
      </c>
      <c r="L448" s="0" t="n">
        <v>200</v>
      </c>
      <c r="M448" s="0" t="s">
        <v>3387</v>
      </c>
      <c r="N448" s="7" t="s">
        <v>4967</v>
      </c>
      <c r="O448" s="7"/>
      <c r="P448" s="7" t="s">
        <v>4968</v>
      </c>
      <c r="Q448" s="2" t="n">
        <v>43072</v>
      </c>
      <c r="S448" s="0" t="n">
        <f aca="false">YEAR(Q448)</f>
        <v>2017</v>
      </c>
      <c r="T448" s="0" t="n">
        <f aca="false">MONTH(Q448)</f>
        <v>12</v>
      </c>
    </row>
    <row r="449" customFormat="false" ht="14.25" hidden="true" customHeight="false" outlineLevel="0" collapsed="false">
      <c r="A449" s="0" t="n">
        <v>448</v>
      </c>
      <c r="B449" s="1" t="s">
        <v>628</v>
      </c>
      <c r="C449" s="1" t="s">
        <v>1479</v>
      </c>
      <c r="D449" s="1" t="s">
        <v>1487</v>
      </c>
      <c r="E449" s="0" t="s">
        <v>1488</v>
      </c>
      <c r="F449" s="0" t="s">
        <v>50</v>
      </c>
      <c r="G449" s="0" t="s">
        <v>4969</v>
      </c>
      <c r="I449" s="6" t="n">
        <v>0.0743055555555556</v>
      </c>
      <c r="J449" s="6" t="n">
        <v>0.0833333333333333</v>
      </c>
      <c r="L449" s="0" t="n">
        <v>48</v>
      </c>
      <c r="M449" s="0" t="s">
        <v>4970</v>
      </c>
      <c r="N449" s="0" t="s">
        <v>4971</v>
      </c>
      <c r="P449" s="0" t="s">
        <v>4972</v>
      </c>
      <c r="Q449" s="2" t="n">
        <v>43072</v>
      </c>
      <c r="S449" s="0" t="n">
        <f aca="false">YEAR(Q449)</f>
        <v>2017</v>
      </c>
      <c r="T449" s="0" t="n">
        <f aca="false">MONTH(Q449)</f>
        <v>12</v>
      </c>
    </row>
    <row r="450" customFormat="false" ht="14.25" hidden="true" customHeight="false" outlineLevel="0" collapsed="false">
      <c r="A450" s="0" t="n">
        <v>449</v>
      </c>
      <c r="B450" s="1" t="s">
        <v>629</v>
      </c>
      <c r="C450" s="1" t="s">
        <v>1479</v>
      </c>
      <c r="D450" s="1" t="s">
        <v>1480</v>
      </c>
      <c r="E450" s="0" t="s">
        <v>43</v>
      </c>
      <c r="F450" s="0" t="s">
        <v>48</v>
      </c>
      <c r="G450" s="0" t="s">
        <v>4973</v>
      </c>
      <c r="J450" s="6" t="n">
        <v>0.333333333333333</v>
      </c>
      <c r="K450" s="0" t="n">
        <v>0</v>
      </c>
      <c r="L450" s="0" t="n">
        <v>100</v>
      </c>
      <c r="M450" s="0" t="s">
        <v>4974</v>
      </c>
      <c r="N450" s="0" t="s">
        <v>4975</v>
      </c>
      <c r="P450" s="0" t="s">
        <v>4976</v>
      </c>
      <c r="Q450" s="2" t="n">
        <v>43070</v>
      </c>
      <c r="S450" s="0" t="n">
        <f aca="false">YEAR(Q450)</f>
        <v>2017</v>
      </c>
      <c r="T450" s="0" t="n">
        <f aca="false">MONTH(Q450)</f>
        <v>12</v>
      </c>
    </row>
    <row r="451" customFormat="false" ht="14.25" hidden="true" customHeight="false" outlineLevel="0" collapsed="false">
      <c r="A451" s="0" t="n">
        <v>450</v>
      </c>
      <c r="B451" s="1" t="s">
        <v>629</v>
      </c>
      <c r="C451" s="1" t="s">
        <v>1495</v>
      </c>
      <c r="D451" s="1" t="s">
        <v>1496</v>
      </c>
      <c r="E451" s="0" t="s">
        <v>41</v>
      </c>
      <c r="F451" s="0" t="s">
        <v>48</v>
      </c>
      <c r="G451" s="0" t="s">
        <v>1564</v>
      </c>
      <c r="I451" s="6" t="n">
        <v>0.402777777777778</v>
      </c>
      <c r="J451" s="6" t="n">
        <v>0.416666666666667</v>
      </c>
      <c r="K451" s="0" t="n">
        <v>0</v>
      </c>
      <c r="L451" s="0" t="n">
        <v>30</v>
      </c>
      <c r="M451" s="0" t="s">
        <v>4977</v>
      </c>
      <c r="N451" s="0" t="s">
        <v>4978</v>
      </c>
      <c r="P451" s="0" t="s">
        <v>4979</v>
      </c>
      <c r="Q451" s="2" t="n">
        <v>43070</v>
      </c>
      <c r="S451" s="0" t="n">
        <f aca="false">YEAR(Q451)</f>
        <v>2017</v>
      </c>
      <c r="T451" s="0" t="n">
        <f aca="false">MONTH(Q451)</f>
        <v>12</v>
      </c>
    </row>
    <row r="452" customFormat="false" ht="14.25" hidden="true" customHeight="false" outlineLevel="0" collapsed="false">
      <c r="A452" s="0" t="n">
        <v>451</v>
      </c>
      <c r="B452" s="1" t="s">
        <v>629</v>
      </c>
      <c r="C452" s="1" t="s">
        <v>1495</v>
      </c>
      <c r="D452" s="1" t="s">
        <v>1487</v>
      </c>
      <c r="E452" s="0" t="s">
        <v>40</v>
      </c>
      <c r="F452" s="0" t="s">
        <v>49</v>
      </c>
      <c r="G452" s="0" t="s">
        <v>4980</v>
      </c>
      <c r="I452" s="6" t="n">
        <v>0.5625</v>
      </c>
      <c r="J452" s="6" t="n">
        <v>0.651388888888889</v>
      </c>
      <c r="L452" s="0" t="n">
        <v>240</v>
      </c>
      <c r="M452" s="0" t="s">
        <v>4981</v>
      </c>
      <c r="N452" s="0" t="s">
        <v>4982</v>
      </c>
      <c r="P452" s="0" t="s">
        <v>4983</v>
      </c>
      <c r="Q452" s="2" t="n">
        <v>43070</v>
      </c>
      <c r="S452" s="0" t="n">
        <f aca="false">YEAR(Q452)</f>
        <v>2017</v>
      </c>
      <c r="T452" s="0" t="n">
        <f aca="false">MONTH(Q452)</f>
        <v>12</v>
      </c>
    </row>
    <row r="453" customFormat="false" ht="14.25" hidden="true" customHeight="false" outlineLevel="0" collapsed="false">
      <c r="A453" s="0" t="n">
        <v>452</v>
      </c>
      <c r="B453" s="1" t="s">
        <v>629</v>
      </c>
      <c r="C453" s="1" t="s">
        <v>1479</v>
      </c>
      <c r="D453" s="1" t="s">
        <v>1535</v>
      </c>
      <c r="E453" s="0" t="s">
        <v>39</v>
      </c>
      <c r="F453" s="0" t="s">
        <v>49</v>
      </c>
      <c r="G453" s="0" t="s">
        <v>4952</v>
      </c>
      <c r="I453" s="6" t="n">
        <v>0.710416666666667</v>
      </c>
      <c r="K453" s="0" t="n">
        <v>8</v>
      </c>
      <c r="L453" s="0" t="n">
        <v>60</v>
      </c>
      <c r="M453" s="0" t="s">
        <v>4984</v>
      </c>
      <c r="N453" s="0" t="s">
        <v>4985</v>
      </c>
      <c r="P453" s="0" t="s">
        <v>4986</v>
      </c>
      <c r="Q453" s="2" t="n">
        <v>43070</v>
      </c>
      <c r="S453" s="0" t="n">
        <f aca="false">YEAR(Q453)</f>
        <v>2017</v>
      </c>
      <c r="T453" s="0" t="n">
        <f aca="false">MONTH(Q453)</f>
        <v>12</v>
      </c>
    </row>
    <row r="454" customFormat="false" ht="14.25" hidden="true" customHeight="false" outlineLevel="0" collapsed="false">
      <c r="A454" s="0" t="n">
        <v>453</v>
      </c>
      <c r="B454" s="1" t="s">
        <v>633</v>
      </c>
      <c r="C454" s="1" t="s">
        <v>1479</v>
      </c>
      <c r="D454" s="1" t="s">
        <v>1535</v>
      </c>
      <c r="E454" s="0" t="s">
        <v>39</v>
      </c>
      <c r="F454" s="0" t="s">
        <v>48</v>
      </c>
      <c r="G454" s="0" t="s">
        <v>3583</v>
      </c>
      <c r="I454" s="6" t="n">
        <v>0.298611111111111</v>
      </c>
      <c r="J454" s="6" t="n">
        <v>0.305555555555555</v>
      </c>
      <c r="K454" s="0" t="n">
        <v>36</v>
      </c>
      <c r="L454" s="0" t="n">
        <v>40</v>
      </c>
      <c r="M454" s="0" t="s">
        <v>4987</v>
      </c>
      <c r="N454" s="0" t="s">
        <v>4988</v>
      </c>
      <c r="P454" s="0" t="s">
        <v>4989</v>
      </c>
      <c r="Q454" s="2" t="n">
        <v>43069</v>
      </c>
      <c r="S454" s="0" t="n">
        <f aca="false">YEAR(Q454)</f>
        <v>2017</v>
      </c>
      <c r="T454" s="0" t="n">
        <f aca="false">MONTH(Q454)</f>
        <v>11</v>
      </c>
    </row>
    <row r="455" customFormat="false" ht="14.25" hidden="true" customHeight="false" outlineLevel="0" collapsed="false">
      <c r="A455" s="0" t="n">
        <v>454</v>
      </c>
      <c r="B455" s="1" t="s">
        <v>633</v>
      </c>
      <c r="C455" s="1" t="s">
        <v>1479</v>
      </c>
      <c r="D455" s="1" t="s">
        <v>1535</v>
      </c>
      <c r="E455" s="0" t="s">
        <v>39</v>
      </c>
      <c r="F455" s="0" t="s">
        <v>48</v>
      </c>
      <c r="G455" s="0" t="s">
        <v>4990</v>
      </c>
      <c r="K455" s="0" t="n">
        <v>100</v>
      </c>
      <c r="M455" s="0" t="s">
        <v>4991</v>
      </c>
      <c r="N455" s="0" t="s">
        <v>4992</v>
      </c>
      <c r="P455" s="0" t="s">
        <v>4993</v>
      </c>
      <c r="Q455" s="2" t="n">
        <v>43069</v>
      </c>
      <c r="S455" s="0" t="n">
        <f aca="false">YEAR(Q455)</f>
        <v>2017</v>
      </c>
      <c r="T455" s="0" t="n">
        <f aca="false">MONTH(Q455)</f>
        <v>11</v>
      </c>
    </row>
    <row r="456" customFormat="false" ht="14.25" hidden="true" customHeight="false" outlineLevel="0" collapsed="false">
      <c r="A456" s="0" t="n">
        <v>455</v>
      </c>
      <c r="B456" s="1" t="s">
        <v>633</v>
      </c>
      <c r="C456" s="1" t="s">
        <v>1479</v>
      </c>
      <c r="D456" s="1" t="s">
        <v>1496</v>
      </c>
      <c r="E456" s="0" t="s">
        <v>38</v>
      </c>
      <c r="F456" s="0" t="s">
        <v>49</v>
      </c>
      <c r="G456" s="0" t="s">
        <v>4994</v>
      </c>
      <c r="I456" s="6" t="n">
        <v>0.666666666666667</v>
      </c>
      <c r="J456" s="6" t="n">
        <v>0.667361111111111</v>
      </c>
      <c r="L456" s="0" t="n">
        <v>60</v>
      </c>
      <c r="M456" s="0" t="s">
        <v>4995</v>
      </c>
      <c r="N456" s="0" t="s">
        <v>4484</v>
      </c>
      <c r="P456" s="0" t="s">
        <v>4996</v>
      </c>
      <c r="Q456" s="2" t="n">
        <v>43069</v>
      </c>
      <c r="S456" s="0" t="n">
        <f aca="false">YEAR(Q456)</f>
        <v>2017</v>
      </c>
      <c r="T456" s="0" t="n">
        <f aca="false">MONTH(Q456)</f>
        <v>11</v>
      </c>
    </row>
    <row r="457" customFormat="false" ht="14.25" hidden="true" customHeight="false" outlineLevel="0" collapsed="false">
      <c r="A457" s="0" t="n">
        <v>456</v>
      </c>
      <c r="B457" s="1" t="s">
        <v>633</v>
      </c>
      <c r="C457" s="1" t="s">
        <v>1479</v>
      </c>
      <c r="D457" s="1" t="s">
        <v>1487</v>
      </c>
      <c r="E457" s="0" t="s">
        <v>1488</v>
      </c>
      <c r="F457" s="0" t="s">
        <v>49</v>
      </c>
      <c r="G457" s="0" t="s">
        <v>4997</v>
      </c>
      <c r="I457" s="6" t="n">
        <v>0.75</v>
      </c>
      <c r="J457" s="6" t="n">
        <v>0.756944444444444</v>
      </c>
      <c r="L457" s="0" t="n">
        <v>60</v>
      </c>
      <c r="M457" s="0" t="s">
        <v>4998</v>
      </c>
      <c r="N457" s="0" t="s">
        <v>4999</v>
      </c>
      <c r="P457" s="0" t="s">
        <v>5000</v>
      </c>
      <c r="Q457" s="2" t="n">
        <v>43069</v>
      </c>
      <c r="S457" s="0" t="n">
        <f aca="false">YEAR(Q457)</f>
        <v>2017</v>
      </c>
      <c r="T457" s="0" t="n">
        <f aca="false">MONTH(Q457)</f>
        <v>11</v>
      </c>
    </row>
    <row r="458" customFormat="false" ht="14.25" hidden="true" customHeight="false" outlineLevel="0" collapsed="false">
      <c r="A458" s="0" t="n">
        <v>457</v>
      </c>
      <c r="B458" s="1" t="s">
        <v>633</v>
      </c>
      <c r="C458" s="1" t="s">
        <v>1479</v>
      </c>
      <c r="D458" s="1" t="s">
        <v>1535</v>
      </c>
      <c r="E458" s="0" t="s">
        <v>39</v>
      </c>
      <c r="F458" s="0" t="s">
        <v>49</v>
      </c>
      <c r="G458" s="0" t="s">
        <v>5001</v>
      </c>
      <c r="I458" s="6" t="n">
        <v>0.766666666666667</v>
      </c>
      <c r="J458" s="6" t="n">
        <v>0.875</v>
      </c>
      <c r="L458" s="0" t="n">
        <v>180</v>
      </c>
      <c r="M458" s="0" t="s">
        <v>5002</v>
      </c>
      <c r="N458" s="0" t="s">
        <v>4669</v>
      </c>
      <c r="P458" s="0" t="s">
        <v>5003</v>
      </c>
      <c r="Q458" s="2" t="n">
        <v>43069</v>
      </c>
      <c r="S458" s="0" t="n">
        <f aca="false">YEAR(Q458)</f>
        <v>2017</v>
      </c>
      <c r="T458" s="0" t="n">
        <f aca="false">MONTH(Q458)</f>
        <v>11</v>
      </c>
    </row>
    <row r="459" customFormat="false" ht="14.25" hidden="true" customHeight="false" outlineLevel="0" collapsed="false">
      <c r="A459" s="0" t="n">
        <v>458</v>
      </c>
      <c r="B459" s="1" t="s">
        <v>633</v>
      </c>
      <c r="C459" s="1" t="s">
        <v>1479</v>
      </c>
      <c r="D459" s="1" t="s">
        <v>1487</v>
      </c>
      <c r="E459" s="0" t="s">
        <v>1488</v>
      </c>
      <c r="F459" s="0" t="s">
        <v>49</v>
      </c>
      <c r="G459" s="0" t="s">
        <v>4388</v>
      </c>
      <c r="I459" s="6" t="n">
        <v>0.947916666666667</v>
      </c>
      <c r="J459" s="6" t="n">
        <v>0.954861111111111</v>
      </c>
      <c r="M459" s="0" t="s">
        <v>5004</v>
      </c>
      <c r="N459" s="0" t="s">
        <v>4484</v>
      </c>
      <c r="Q459" s="2" t="n">
        <v>43069</v>
      </c>
      <c r="S459" s="0" t="n">
        <f aca="false">YEAR(Q459)</f>
        <v>2017</v>
      </c>
      <c r="T459" s="0" t="n">
        <f aca="false">MONTH(Q459)</f>
        <v>11</v>
      </c>
    </row>
    <row r="460" customFormat="false" ht="86.25" hidden="true" customHeight="false" outlineLevel="0" collapsed="false">
      <c r="A460" s="0" t="n">
        <v>459</v>
      </c>
      <c r="B460" s="1" t="s">
        <v>633</v>
      </c>
      <c r="C460" s="1" t="s">
        <v>1479</v>
      </c>
      <c r="D460" s="1" t="s">
        <v>1487</v>
      </c>
      <c r="E460" s="4" t="s">
        <v>1488</v>
      </c>
      <c r="F460" s="0" t="s">
        <v>50</v>
      </c>
      <c r="G460" s="0" t="s">
        <v>5005</v>
      </c>
      <c r="I460" s="6" t="n">
        <v>0.932638888888889</v>
      </c>
      <c r="K460" s="0" t="n">
        <v>88</v>
      </c>
      <c r="L460" s="0" t="n">
        <v>80</v>
      </c>
      <c r="M460" s="0" t="s">
        <v>5006</v>
      </c>
      <c r="N460" s="0" t="s">
        <v>5007</v>
      </c>
      <c r="P460" s="7" t="s">
        <v>5008</v>
      </c>
      <c r="Q460" s="2" t="n">
        <v>43069</v>
      </c>
      <c r="S460" s="0" t="n">
        <f aca="false">YEAR(Q460)</f>
        <v>2017</v>
      </c>
      <c r="T460" s="0" t="n">
        <f aca="false">MONTH(Q460)</f>
        <v>11</v>
      </c>
    </row>
    <row r="461" customFormat="false" ht="14.25" hidden="true" customHeight="false" outlineLevel="0" collapsed="false">
      <c r="A461" s="0" t="n">
        <v>460</v>
      </c>
      <c r="B461" s="1" t="s">
        <v>633</v>
      </c>
      <c r="C461" s="1" t="s">
        <v>1479</v>
      </c>
      <c r="D461" s="1" t="s">
        <v>1535</v>
      </c>
      <c r="E461" s="0" t="s">
        <v>39</v>
      </c>
      <c r="F461" s="0" t="s">
        <v>50</v>
      </c>
      <c r="G461" s="0" t="s">
        <v>3583</v>
      </c>
      <c r="I461" s="6" t="n">
        <v>0.0388888888888889</v>
      </c>
      <c r="J461" s="6" t="n">
        <v>0.0416666666666667</v>
      </c>
      <c r="K461" s="0" t="n">
        <v>0</v>
      </c>
      <c r="L461" s="0" t="n">
        <v>8</v>
      </c>
      <c r="M461" s="0" t="s">
        <v>5009</v>
      </c>
      <c r="N461" s="0" t="s">
        <v>5010</v>
      </c>
      <c r="P461" s="0" t="s">
        <v>5011</v>
      </c>
      <c r="Q461" s="2" t="n">
        <v>43069</v>
      </c>
      <c r="S461" s="0" t="n">
        <f aca="false">YEAR(Q461)</f>
        <v>2017</v>
      </c>
      <c r="T461" s="0" t="n">
        <f aca="false">MONTH(Q461)</f>
        <v>11</v>
      </c>
    </row>
    <row r="462" customFormat="false" ht="14.25" hidden="true" customHeight="false" outlineLevel="0" collapsed="false">
      <c r="A462" s="0" t="n">
        <v>461</v>
      </c>
      <c r="B462" s="1" t="s">
        <v>637</v>
      </c>
      <c r="C462" s="1" t="s">
        <v>1503</v>
      </c>
      <c r="D462" s="1" t="s">
        <v>1535</v>
      </c>
      <c r="E462" s="0" t="s">
        <v>44</v>
      </c>
      <c r="F462" s="0" t="s">
        <v>48</v>
      </c>
      <c r="G462" s="0" t="s">
        <v>4767</v>
      </c>
      <c r="I462" s="6" t="n">
        <v>0.236111111111111</v>
      </c>
      <c r="J462" s="6" t="n">
        <v>0.277777777777778</v>
      </c>
      <c r="K462" s="0" t="n">
        <v>0</v>
      </c>
      <c r="L462" s="0" t="n">
        <v>200</v>
      </c>
      <c r="M462" s="0" t="s">
        <v>5012</v>
      </c>
      <c r="N462" s="0" t="s">
        <v>5013</v>
      </c>
      <c r="P462" s="0" t="s">
        <v>5014</v>
      </c>
      <c r="Q462" s="2" t="n">
        <v>43073</v>
      </c>
      <c r="S462" s="0" t="n">
        <f aca="false">YEAR(Q462)</f>
        <v>2017</v>
      </c>
      <c r="T462" s="0" t="n">
        <f aca="false">MONTH(Q462)</f>
        <v>12</v>
      </c>
    </row>
    <row r="463" customFormat="false" ht="14.25" hidden="true" customHeight="false" outlineLevel="0" collapsed="false">
      <c r="A463" s="0" t="n">
        <v>462</v>
      </c>
      <c r="B463" s="1" t="s">
        <v>637</v>
      </c>
      <c r="C463" s="1" t="s">
        <v>1503</v>
      </c>
      <c r="D463" s="1" t="s">
        <v>1535</v>
      </c>
      <c r="E463" s="0" t="s">
        <v>44</v>
      </c>
      <c r="F463" s="0" t="s">
        <v>48</v>
      </c>
      <c r="G463" s="0" t="s">
        <v>5015</v>
      </c>
      <c r="I463" s="6" t="n">
        <v>0.569444444444444</v>
      </c>
      <c r="J463" s="6" t="n">
        <v>0.579861111111111</v>
      </c>
      <c r="L463" s="0" t="n">
        <v>15</v>
      </c>
      <c r="M463" s="0" t="s">
        <v>5016</v>
      </c>
      <c r="N463" s="0" t="s">
        <v>5017</v>
      </c>
      <c r="P463" s="0" t="s">
        <v>5018</v>
      </c>
      <c r="Q463" s="2" t="n">
        <v>43073</v>
      </c>
      <c r="S463" s="0" t="n">
        <f aca="false">YEAR(Q463)</f>
        <v>2017</v>
      </c>
      <c r="T463" s="0" t="n">
        <f aca="false">MONTH(Q463)</f>
        <v>12</v>
      </c>
    </row>
    <row r="464" customFormat="false" ht="14.25" hidden="true" customHeight="false" outlineLevel="0" collapsed="false">
      <c r="A464" s="0" t="n">
        <v>463</v>
      </c>
      <c r="B464" s="1" t="s">
        <v>637</v>
      </c>
      <c r="C464" s="1" t="s">
        <v>1503</v>
      </c>
      <c r="D464" s="1" t="s">
        <v>1535</v>
      </c>
      <c r="E464" s="0" t="s">
        <v>44</v>
      </c>
      <c r="F464" s="0" t="s">
        <v>49</v>
      </c>
      <c r="G464" s="0" t="s">
        <v>5019</v>
      </c>
      <c r="I464" s="6" t="n">
        <v>0.6875</v>
      </c>
      <c r="J464" s="6" t="n">
        <v>0.708333333333333</v>
      </c>
      <c r="L464" s="0" t="n">
        <v>60</v>
      </c>
      <c r="M464" s="0" t="s">
        <v>5020</v>
      </c>
      <c r="N464" s="0" t="s">
        <v>5021</v>
      </c>
      <c r="P464" s="0" t="s">
        <v>5022</v>
      </c>
      <c r="Q464" s="2" t="n">
        <v>43073</v>
      </c>
      <c r="S464" s="0" t="n">
        <f aca="false">YEAR(Q464)</f>
        <v>2017</v>
      </c>
      <c r="T464" s="0" t="n">
        <f aca="false">MONTH(Q464)</f>
        <v>12</v>
      </c>
    </row>
    <row r="465" customFormat="false" ht="14.25" hidden="true" customHeight="false" outlineLevel="0" collapsed="false">
      <c r="A465" s="0" t="n">
        <v>464</v>
      </c>
      <c r="B465" s="1" t="s">
        <v>637</v>
      </c>
      <c r="C465" s="1" t="s">
        <v>1479</v>
      </c>
      <c r="D465" s="1" t="s">
        <v>1487</v>
      </c>
      <c r="E465" s="0" t="s">
        <v>1488</v>
      </c>
      <c r="F465" s="0" t="s">
        <v>49</v>
      </c>
      <c r="G465" s="0" t="s">
        <v>5023</v>
      </c>
      <c r="I465" s="6" t="n">
        <v>0.729166666666667</v>
      </c>
      <c r="J465" s="6" t="n">
        <v>0.739583333333333</v>
      </c>
      <c r="L465" s="0" t="n">
        <v>180</v>
      </c>
      <c r="M465" s="0" t="s">
        <v>5024</v>
      </c>
      <c r="N465" s="0" t="s">
        <v>5025</v>
      </c>
      <c r="P465" s="0" t="s">
        <v>5026</v>
      </c>
      <c r="Q465" s="2" t="n">
        <v>43073</v>
      </c>
      <c r="S465" s="0" t="n">
        <f aca="false">YEAR(Q465)</f>
        <v>2017</v>
      </c>
      <c r="T465" s="0" t="n">
        <f aca="false">MONTH(Q465)</f>
        <v>12</v>
      </c>
    </row>
    <row r="466" customFormat="false" ht="14.25" hidden="true" customHeight="false" outlineLevel="0" collapsed="false">
      <c r="A466" s="0" t="n">
        <v>465</v>
      </c>
      <c r="B466" s="1" t="s">
        <v>637</v>
      </c>
      <c r="C466" s="1" t="s">
        <v>1503</v>
      </c>
      <c r="D466" s="1" t="s">
        <v>1535</v>
      </c>
      <c r="E466" s="0" t="s">
        <v>44</v>
      </c>
      <c r="F466" s="0" t="s">
        <v>49</v>
      </c>
      <c r="G466" s="0" t="s">
        <v>5027</v>
      </c>
      <c r="I466" s="6" t="n">
        <v>0.833333333333333</v>
      </c>
      <c r="J466" s="6" t="n">
        <v>0.875</v>
      </c>
      <c r="M466" s="0" t="s">
        <v>5028</v>
      </c>
      <c r="N466" s="0" t="s">
        <v>5029</v>
      </c>
      <c r="P466" s="0" t="s">
        <v>5030</v>
      </c>
      <c r="Q466" s="2" t="n">
        <v>43073</v>
      </c>
      <c r="S466" s="0" t="n">
        <f aca="false">YEAR(Q466)</f>
        <v>2017</v>
      </c>
      <c r="T466" s="0" t="n">
        <f aca="false">MONTH(Q466)</f>
        <v>12</v>
      </c>
    </row>
    <row r="467" customFormat="false" ht="14.25" hidden="true" customHeight="false" outlineLevel="0" collapsed="false">
      <c r="A467" s="0" t="n">
        <v>466</v>
      </c>
      <c r="B467" s="1" t="s">
        <v>640</v>
      </c>
      <c r="C467" s="1" t="s">
        <v>1479</v>
      </c>
      <c r="D467" s="1" t="s">
        <v>1487</v>
      </c>
      <c r="E467" s="4" t="s">
        <v>1488</v>
      </c>
      <c r="F467" s="0" t="s">
        <v>48</v>
      </c>
      <c r="G467" s="0" t="s">
        <v>5031</v>
      </c>
      <c r="I467" s="6" t="n">
        <v>0.509027777777778</v>
      </c>
      <c r="J467" s="6" t="n">
        <v>0.520833333333333</v>
      </c>
      <c r="K467" s="0" t="n">
        <v>20</v>
      </c>
      <c r="L467" s="0" t="n">
        <v>30</v>
      </c>
      <c r="M467" s="0" t="s">
        <v>5032</v>
      </c>
      <c r="N467" s="0" t="s">
        <v>5033</v>
      </c>
      <c r="P467" s="0" t="s">
        <v>5034</v>
      </c>
      <c r="Q467" s="2" t="n">
        <v>43074</v>
      </c>
      <c r="S467" s="0" t="n">
        <f aca="false">YEAR(Q467)</f>
        <v>2017</v>
      </c>
      <c r="T467" s="0" t="n">
        <f aca="false">MONTH(Q467)</f>
        <v>12</v>
      </c>
    </row>
    <row r="468" customFormat="false" ht="14.25" hidden="true" customHeight="false" outlineLevel="0" collapsed="false">
      <c r="A468" s="0" t="n">
        <v>467</v>
      </c>
      <c r="B468" s="1" t="s">
        <v>640</v>
      </c>
      <c r="C468" s="1" t="s">
        <v>1479</v>
      </c>
      <c r="D468" s="1" t="s">
        <v>1496</v>
      </c>
      <c r="E468" s="0" t="s">
        <v>38</v>
      </c>
      <c r="F468" s="0" t="s">
        <v>49</v>
      </c>
      <c r="G468" s="0" t="s">
        <v>4704</v>
      </c>
      <c r="I468" s="6" t="n">
        <v>0.909722222222222</v>
      </c>
      <c r="J468" s="6" t="n">
        <v>0.916666666666667</v>
      </c>
      <c r="L468" s="0" t="n">
        <v>30</v>
      </c>
      <c r="M468" s="0" t="s">
        <v>5035</v>
      </c>
      <c r="N468" s="0" t="s">
        <v>5036</v>
      </c>
      <c r="P468" s="0" t="s">
        <v>5037</v>
      </c>
      <c r="Q468" s="2" t="n">
        <v>43074</v>
      </c>
      <c r="S468" s="0" t="n">
        <f aca="false">YEAR(Q468)</f>
        <v>2017</v>
      </c>
      <c r="T468" s="0" t="n">
        <f aca="false">MONTH(Q468)</f>
        <v>12</v>
      </c>
    </row>
    <row r="469" customFormat="false" ht="14.25" hidden="true" customHeight="false" outlineLevel="0" collapsed="false">
      <c r="A469" s="0" t="n">
        <v>468</v>
      </c>
      <c r="B469" s="1" t="s">
        <v>640</v>
      </c>
      <c r="C469" s="1" t="s">
        <v>1479</v>
      </c>
      <c r="D469" s="1" t="s">
        <v>1487</v>
      </c>
      <c r="E469" s="0" t="s">
        <v>1488</v>
      </c>
      <c r="F469" s="0" t="s">
        <v>50</v>
      </c>
      <c r="G469" s="0" t="s">
        <v>5038</v>
      </c>
      <c r="I469" s="6" t="n">
        <v>0.118055555555556</v>
      </c>
      <c r="J469" s="6" t="n">
        <v>0.138888888888889</v>
      </c>
      <c r="K469" s="0" t="n">
        <v>0</v>
      </c>
      <c r="L469" s="0" t="n">
        <v>30</v>
      </c>
      <c r="M469" s="0" t="s">
        <v>5039</v>
      </c>
      <c r="N469" s="0" t="s">
        <v>5040</v>
      </c>
      <c r="P469" s="0" t="s">
        <v>5041</v>
      </c>
      <c r="Q469" s="2" t="n">
        <v>43074</v>
      </c>
      <c r="S469" s="0" t="n">
        <f aca="false">YEAR(Q469)</f>
        <v>2017</v>
      </c>
      <c r="T469" s="0" t="n">
        <f aca="false">MONTH(Q469)</f>
        <v>12</v>
      </c>
    </row>
    <row r="470" customFormat="false" ht="42.75" hidden="true" customHeight="false" outlineLevel="0" collapsed="false">
      <c r="A470" s="0" t="n">
        <v>469</v>
      </c>
      <c r="B470" s="1" t="s">
        <v>640</v>
      </c>
      <c r="C470" s="1" t="s">
        <v>1479</v>
      </c>
      <c r="D470" s="1" t="s">
        <v>1535</v>
      </c>
      <c r="E470" s="0" t="s">
        <v>39</v>
      </c>
      <c r="F470" s="0" t="s">
        <v>50</v>
      </c>
      <c r="G470" s="0" t="s">
        <v>5042</v>
      </c>
      <c r="I470" s="6" t="n">
        <v>0.18125</v>
      </c>
      <c r="K470" s="0" t="n">
        <v>4</v>
      </c>
      <c r="L470" s="0" t="n">
        <v>4</v>
      </c>
      <c r="M470" s="0" t="s">
        <v>5043</v>
      </c>
      <c r="N470" s="7" t="s">
        <v>5044</v>
      </c>
      <c r="O470" s="7"/>
      <c r="P470" s="0" t="s">
        <v>5045</v>
      </c>
      <c r="Q470" s="2" t="n">
        <v>43074</v>
      </c>
      <c r="S470" s="0" t="n">
        <f aca="false">YEAR(Q470)</f>
        <v>2017</v>
      </c>
      <c r="T470" s="0" t="n">
        <f aca="false">MONTH(Q470)</f>
        <v>12</v>
      </c>
    </row>
    <row r="471" customFormat="false" ht="14.25" hidden="true" customHeight="false" outlineLevel="0" collapsed="false">
      <c r="A471" s="0" t="n">
        <v>470</v>
      </c>
      <c r="B471" s="1" t="s">
        <v>641</v>
      </c>
      <c r="C471" s="1" t="s">
        <v>1479</v>
      </c>
      <c r="D471" s="1" t="s">
        <v>1487</v>
      </c>
      <c r="E471" s="0" t="s">
        <v>1488</v>
      </c>
      <c r="F471" s="0" t="s">
        <v>48</v>
      </c>
      <c r="G471" s="0" t="s">
        <v>5046</v>
      </c>
      <c r="I471" s="6" t="n">
        <v>0.304861111111111</v>
      </c>
      <c r="J471" s="6" t="n">
        <v>0.319444444444444</v>
      </c>
      <c r="L471" s="0" t="n">
        <v>20</v>
      </c>
      <c r="M471" s="0" t="s">
        <v>5047</v>
      </c>
      <c r="N471" s="0" t="s">
        <v>5048</v>
      </c>
      <c r="P471" s="0" t="s">
        <v>5049</v>
      </c>
      <c r="Q471" s="2" t="n">
        <v>43075</v>
      </c>
      <c r="S471" s="0" t="n">
        <f aca="false">YEAR(Q471)</f>
        <v>2017</v>
      </c>
      <c r="T471" s="0" t="n">
        <f aca="false">MONTH(Q471)</f>
        <v>12</v>
      </c>
    </row>
    <row r="472" customFormat="false" ht="14.25" hidden="true" customHeight="false" outlineLevel="0" collapsed="false">
      <c r="A472" s="0" t="n">
        <v>471</v>
      </c>
      <c r="B472" s="1" t="s">
        <v>641</v>
      </c>
      <c r="C472" s="1" t="s">
        <v>1479</v>
      </c>
      <c r="D472" s="1" t="s">
        <v>1863</v>
      </c>
      <c r="E472" s="0" t="s">
        <v>3799</v>
      </c>
      <c r="F472" s="0" t="s">
        <v>48</v>
      </c>
      <c r="G472" s="0" t="s">
        <v>5050</v>
      </c>
      <c r="I472" s="6" t="n">
        <v>0.365277777777778</v>
      </c>
      <c r="J472" s="6" t="n">
        <v>0.444444444444444</v>
      </c>
      <c r="K472" s="0" t="n">
        <v>0</v>
      </c>
      <c r="L472" s="0" t="n">
        <v>95</v>
      </c>
      <c r="M472" s="0" t="s">
        <v>5051</v>
      </c>
      <c r="N472" s="0" t="s">
        <v>5052</v>
      </c>
      <c r="P472" s="0" t="s">
        <v>5053</v>
      </c>
      <c r="Q472" s="2" t="n">
        <v>43075</v>
      </c>
      <c r="S472" s="0" t="n">
        <f aca="false">YEAR(Q472)</f>
        <v>2017</v>
      </c>
      <c r="T472" s="0" t="n">
        <f aca="false">MONTH(Q472)</f>
        <v>12</v>
      </c>
    </row>
    <row r="473" customFormat="false" ht="14.25" hidden="true" customHeight="false" outlineLevel="0" collapsed="false">
      <c r="A473" s="0" t="n">
        <v>472</v>
      </c>
      <c r="B473" s="1" t="s">
        <v>641</v>
      </c>
      <c r="C473" s="1" t="s">
        <v>1503</v>
      </c>
      <c r="D473" s="1" t="s">
        <v>1535</v>
      </c>
      <c r="E473" s="0" t="s">
        <v>44</v>
      </c>
      <c r="F473" s="0" t="s">
        <v>48</v>
      </c>
      <c r="G473" s="0" t="s">
        <v>5054</v>
      </c>
      <c r="I473" s="6" t="n">
        <v>0.5</v>
      </c>
      <c r="J473" s="6" t="n">
        <v>0.506944444444444</v>
      </c>
      <c r="L473" s="0" t="n">
        <v>15</v>
      </c>
      <c r="M473" s="0" t="s">
        <v>5055</v>
      </c>
      <c r="N473" s="0" t="s">
        <v>5056</v>
      </c>
      <c r="P473" s="0" t="s">
        <v>5057</v>
      </c>
      <c r="Q473" s="2" t="n">
        <v>43075</v>
      </c>
      <c r="S473" s="0" t="n">
        <f aca="false">YEAR(Q473)</f>
        <v>2017</v>
      </c>
      <c r="T473" s="0" t="n">
        <f aca="false">MONTH(Q473)</f>
        <v>12</v>
      </c>
    </row>
    <row r="474" customFormat="false" ht="14.25" hidden="true" customHeight="false" outlineLevel="0" collapsed="false">
      <c r="A474" s="0" t="n">
        <v>473</v>
      </c>
      <c r="B474" s="1" t="s">
        <v>641</v>
      </c>
      <c r="C474" s="1" t="s">
        <v>1479</v>
      </c>
      <c r="D474" s="1" t="s">
        <v>1487</v>
      </c>
      <c r="E474" s="0" t="s">
        <v>1488</v>
      </c>
      <c r="F474" s="0" t="s">
        <v>49</v>
      </c>
      <c r="G474" s="0" t="s">
        <v>5058</v>
      </c>
      <c r="I474" s="6" t="n">
        <v>0.784722222222222</v>
      </c>
      <c r="J474" s="6" t="n">
        <v>0.791666666666667</v>
      </c>
      <c r="L474" s="0" t="n">
        <v>60</v>
      </c>
      <c r="M474" s="0" t="s">
        <v>5059</v>
      </c>
      <c r="N474" s="0" t="s">
        <v>5060</v>
      </c>
      <c r="P474" s="0" t="s">
        <v>5061</v>
      </c>
      <c r="Q474" s="2" t="n">
        <v>43075</v>
      </c>
      <c r="S474" s="0" t="n">
        <f aca="false">YEAR(Q474)</f>
        <v>2017</v>
      </c>
      <c r="T474" s="0" t="n">
        <f aca="false">MONTH(Q474)</f>
        <v>12</v>
      </c>
    </row>
    <row r="475" customFormat="false" ht="14.25" hidden="true" customHeight="false" outlineLevel="0" collapsed="false">
      <c r="A475" s="0" t="n">
        <v>474</v>
      </c>
      <c r="B475" s="1" t="s">
        <v>641</v>
      </c>
      <c r="C475" s="1" t="s">
        <v>1479</v>
      </c>
      <c r="D475" s="1" t="s">
        <v>1863</v>
      </c>
      <c r="E475" s="0" t="s">
        <v>3799</v>
      </c>
      <c r="F475" s="0" t="s">
        <v>49</v>
      </c>
      <c r="G475" s="0" t="s">
        <v>5062</v>
      </c>
      <c r="J475" s="6" t="n">
        <v>0.875</v>
      </c>
      <c r="M475" s="0" t="s">
        <v>5063</v>
      </c>
      <c r="N475" s="0" t="s">
        <v>5064</v>
      </c>
      <c r="P475" s="0" t="s">
        <v>5065</v>
      </c>
      <c r="Q475" s="2" t="n">
        <v>43075</v>
      </c>
      <c r="S475" s="0" t="n">
        <f aca="false">YEAR(Q475)</f>
        <v>2017</v>
      </c>
      <c r="T475" s="0" t="n">
        <f aca="false">MONTH(Q475)</f>
        <v>12</v>
      </c>
    </row>
    <row r="476" customFormat="false" ht="14.25" hidden="true" customHeight="false" outlineLevel="0" collapsed="false">
      <c r="A476" s="0" t="n">
        <v>475</v>
      </c>
      <c r="B476" s="1" t="s">
        <v>641</v>
      </c>
      <c r="C476" s="1" t="s">
        <v>1503</v>
      </c>
      <c r="D476" s="1" t="s">
        <v>1504</v>
      </c>
      <c r="E476" s="0" t="s">
        <v>45</v>
      </c>
      <c r="F476" s="0" t="s">
        <v>50</v>
      </c>
      <c r="G476" s="0" t="s">
        <v>3495</v>
      </c>
      <c r="J476" s="6" t="n">
        <v>0.0486111111111111</v>
      </c>
      <c r="L476" s="0" t="n">
        <v>120</v>
      </c>
      <c r="M476" s="0" t="s">
        <v>5066</v>
      </c>
      <c r="N476" s="0" t="s">
        <v>5067</v>
      </c>
      <c r="P476" s="0" t="s">
        <v>5068</v>
      </c>
      <c r="Q476" s="2" t="n">
        <v>43075</v>
      </c>
      <c r="S476" s="0" t="n">
        <f aca="false">YEAR(Q476)</f>
        <v>2017</v>
      </c>
      <c r="T476" s="0" t="n">
        <f aca="false">MONTH(Q476)</f>
        <v>12</v>
      </c>
    </row>
    <row r="477" customFormat="false" ht="14.25" hidden="true" customHeight="false" outlineLevel="0" collapsed="false">
      <c r="A477" s="0" t="n">
        <v>476</v>
      </c>
      <c r="B477" s="1" t="s">
        <v>645</v>
      </c>
      <c r="C477" s="1" t="s">
        <v>1503</v>
      </c>
      <c r="D477" s="1" t="s">
        <v>1504</v>
      </c>
      <c r="E477" s="0" t="s">
        <v>45</v>
      </c>
      <c r="F477" s="0" t="s">
        <v>49</v>
      </c>
      <c r="G477" s="0" t="s">
        <v>5069</v>
      </c>
      <c r="I477" s="6" t="n">
        <v>0.555555555555556</v>
      </c>
      <c r="J477" s="6" t="n">
        <v>0.638888888888889</v>
      </c>
      <c r="L477" s="0" t="n">
        <v>480</v>
      </c>
      <c r="M477" s="0" t="s">
        <v>5070</v>
      </c>
      <c r="N477" s="0" t="s">
        <v>5071</v>
      </c>
      <c r="P477" s="0" t="s">
        <v>5072</v>
      </c>
      <c r="Q477" s="2" t="n">
        <v>43077</v>
      </c>
      <c r="S477" s="0" t="n">
        <f aca="false">YEAR(Q477)</f>
        <v>2017</v>
      </c>
      <c r="T477" s="0" t="n">
        <f aca="false">MONTH(Q477)</f>
        <v>12</v>
      </c>
    </row>
    <row r="478" customFormat="false" ht="14.25" hidden="true" customHeight="false" outlineLevel="0" collapsed="false">
      <c r="A478" s="0" t="n">
        <v>477</v>
      </c>
      <c r="B478" s="1" t="s">
        <v>645</v>
      </c>
      <c r="C478" s="1" t="s">
        <v>1479</v>
      </c>
      <c r="D478" s="1" t="s">
        <v>1487</v>
      </c>
      <c r="E478" s="0" t="s">
        <v>1488</v>
      </c>
      <c r="F478" s="0" t="s">
        <v>49</v>
      </c>
      <c r="G478" s="0" t="s">
        <v>5073</v>
      </c>
      <c r="I478" s="6" t="n">
        <v>0.708333333333333</v>
      </c>
      <c r="J478" s="6" t="n">
        <v>0.75</v>
      </c>
      <c r="L478" s="0" t="n">
        <v>100</v>
      </c>
      <c r="M478" s="0" t="s">
        <v>5074</v>
      </c>
      <c r="N478" s="0" t="s">
        <v>4484</v>
      </c>
      <c r="P478" s="0" t="s">
        <v>5075</v>
      </c>
      <c r="Q478" s="2" t="n">
        <v>43077</v>
      </c>
      <c r="S478" s="0" t="n">
        <f aca="false">YEAR(Q478)</f>
        <v>2017</v>
      </c>
      <c r="T478" s="0" t="n">
        <f aca="false">MONTH(Q478)</f>
        <v>12</v>
      </c>
    </row>
    <row r="479" customFormat="false" ht="14.25" hidden="true" customHeight="false" outlineLevel="0" collapsed="false">
      <c r="A479" s="0" t="n">
        <v>478</v>
      </c>
      <c r="B479" s="1" t="s">
        <v>645</v>
      </c>
      <c r="C479" s="1" t="s">
        <v>1479</v>
      </c>
      <c r="D479" s="1" t="s">
        <v>1496</v>
      </c>
      <c r="E479" s="0" t="s">
        <v>38</v>
      </c>
      <c r="F479" s="0" t="s">
        <v>49</v>
      </c>
      <c r="G479" s="0" t="s">
        <v>4704</v>
      </c>
      <c r="I479" s="6" t="n">
        <v>0.864583333333333</v>
      </c>
      <c r="J479" s="6" t="n">
        <v>0.875</v>
      </c>
      <c r="L479" s="0" t="n">
        <v>60</v>
      </c>
      <c r="M479" s="0" t="s">
        <v>5076</v>
      </c>
      <c r="N479" s="0" t="s">
        <v>5077</v>
      </c>
      <c r="P479" s="0" t="s">
        <v>5078</v>
      </c>
      <c r="Q479" s="2" t="n">
        <v>43077</v>
      </c>
      <c r="S479" s="0" t="n">
        <f aca="false">YEAR(Q479)</f>
        <v>2017</v>
      </c>
      <c r="T479" s="0" t="n">
        <f aca="false">MONTH(Q479)</f>
        <v>12</v>
      </c>
    </row>
    <row r="480" customFormat="false" ht="14.25" hidden="true" customHeight="false" outlineLevel="0" collapsed="false">
      <c r="A480" s="0" t="n">
        <v>479</v>
      </c>
      <c r="B480" s="1" t="s">
        <v>645</v>
      </c>
      <c r="C480" s="1" t="s">
        <v>1479</v>
      </c>
      <c r="D480" s="1" t="s">
        <v>1535</v>
      </c>
      <c r="E480" s="0" t="s">
        <v>39</v>
      </c>
      <c r="F480" s="0" t="s">
        <v>49</v>
      </c>
      <c r="G480" s="0" t="s">
        <v>4756</v>
      </c>
      <c r="I480" s="6" t="n">
        <v>0.84375</v>
      </c>
      <c r="M480" s="0" t="s">
        <v>5079</v>
      </c>
      <c r="N480" s="0" t="s">
        <v>5080</v>
      </c>
      <c r="Q480" s="2" t="n">
        <v>43077</v>
      </c>
      <c r="S480" s="0" t="n">
        <f aca="false">YEAR(Q480)</f>
        <v>2017</v>
      </c>
      <c r="T480" s="0" t="n">
        <f aca="false">MONTH(Q480)</f>
        <v>12</v>
      </c>
    </row>
    <row r="481" customFormat="false" ht="42.75" hidden="true" customHeight="false" outlineLevel="0" collapsed="false">
      <c r="A481" s="0" t="n">
        <v>480</v>
      </c>
      <c r="B481" s="1" t="s">
        <v>645</v>
      </c>
      <c r="C481" s="1" t="s">
        <v>1479</v>
      </c>
      <c r="D481" s="1" t="s">
        <v>1535</v>
      </c>
      <c r="E481" s="0" t="s">
        <v>39</v>
      </c>
      <c r="F481" s="0" t="s">
        <v>50</v>
      </c>
      <c r="G481" s="0" t="s">
        <v>5081</v>
      </c>
      <c r="I481" s="6" t="n">
        <v>0.0208333333333333</v>
      </c>
      <c r="K481" s="0" t="n">
        <v>0</v>
      </c>
      <c r="L481" s="0" t="n">
        <v>10</v>
      </c>
      <c r="M481" s="0" t="s">
        <v>5082</v>
      </c>
      <c r="N481" s="0" t="s">
        <v>5083</v>
      </c>
      <c r="P481" s="7" t="s">
        <v>5084</v>
      </c>
      <c r="Q481" s="2" t="n">
        <v>43077</v>
      </c>
      <c r="S481" s="0" t="n">
        <f aca="false">YEAR(Q481)</f>
        <v>2017</v>
      </c>
      <c r="T481" s="0" t="n">
        <f aca="false">MONTH(Q481)</f>
        <v>12</v>
      </c>
    </row>
    <row r="482" customFormat="false" ht="14.25" hidden="true" customHeight="false" outlineLevel="0" collapsed="false">
      <c r="A482" s="0" t="n">
        <v>481</v>
      </c>
      <c r="B482" s="1" t="s">
        <v>645</v>
      </c>
      <c r="C482" s="1" t="s">
        <v>1479</v>
      </c>
      <c r="D482" s="1" t="s">
        <v>1487</v>
      </c>
      <c r="E482" s="0" t="s">
        <v>1488</v>
      </c>
      <c r="F482" s="0" t="s">
        <v>50</v>
      </c>
      <c r="G482" s="0" t="s">
        <v>5085</v>
      </c>
      <c r="I482" s="6" t="n">
        <v>0.225694444444444</v>
      </c>
      <c r="J482" s="6" t="n">
        <v>0.260416666666667</v>
      </c>
      <c r="L482" s="0" t="n">
        <v>62</v>
      </c>
      <c r="M482" s="0" t="s">
        <v>5086</v>
      </c>
      <c r="N482" s="0" t="s">
        <v>5087</v>
      </c>
      <c r="P482" s="0" t="s">
        <v>5088</v>
      </c>
      <c r="Q482" s="2" t="n">
        <v>43077</v>
      </c>
      <c r="S482" s="0" t="n">
        <f aca="false">YEAR(Q482)</f>
        <v>2017</v>
      </c>
      <c r="T482" s="0" t="n">
        <f aca="false">MONTH(Q482)</f>
        <v>12</v>
      </c>
    </row>
    <row r="483" customFormat="false" ht="14.25" hidden="true" customHeight="false" outlineLevel="0" collapsed="false">
      <c r="A483" s="0" t="n">
        <v>482</v>
      </c>
      <c r="B483" s="1" t="s">
        <v>647</v>
      </c>
      <c r="C483" s="1" t="s">
        <v>1479</v>
      </c>
      <c r="D483" s="1" t="s">
        <v>1535</v>
      </c>
      <c r="E483" s="0" t="s">
        <v>39</v>
      </c>
      <c r="F483" s="0" t="s">
        <v>48</v>
      </c>
      <c r="G483" s="0" t="s">
        <v>3583</v>
      </c>
      <c r="I483" s="6" t="n">
        <v>0.298611111111111</v>
      </c>
      <c r="J483" s="6" t="n">
        <v>0.305555555555555</v>
      </c>
      <c r="K483" s="0" t="n">
        <v>7</v>
      </c>
      <c r="L483" s="0" t="n">
        <v>10</v>
      </c>
      <c r="M483" s="0" t="s">
        <v>5089</v>
      </c>
      <c r="N483" s="0" t="s">
        <v>5090</v>
      </c>
      <c r="P483" s="0" t="s">
        <v>5091</v>
      </c>
      <c r="Q483" s="2" t="n">
        <v>43076</v>
      </c>
      <c r="S483" s="0" t="n">
        <f aca="false">YEAR(Q483)</f>
        <v>2017</v>
      </c>
      <c r="T483" s="0" t="n">
        <f aca="false">MONTH(Q483)</f>
        <v>12</v>
      </c>
    </row>
    <row r="484" customFormat="false" ht="14.25" hidden="true" customHeight="false" outlineLevel="0" collapsed="false">
      <c r="A484" s="0" t="n">
        <v>483</v>
      </c>
      <c r="B484" s="1" t="s">
        <v>647</v>
      </c>
      <c r="C484" s="1" t="s">
        <v>1479</v>
      </c>
      <c r="D484" s="1" t="s">
        <v>1480</v>
      </c>
      <c r="E484" s="0" t="s">
        <v>43</v>
      </c>
      <c r="F484" s="0" t="s">
        <v>48</v>
      </c>
      <c r="G484" s="0" t="s">
        <v>1569</v>
      </c>
      <c r="I484" s="6" t="n">
        <v>0.0763888888888889</v>
      </c>
      <c r="J484" s="6" t="n">
        <v>0.3125</v>
      </c>
      <c r="L484" s="0" t="n">
        <v>420</v>
      </c>
      <c r="M484" s="0" t="s">
        <v>5092</v>
      </c>
      <c r="N484" s="0" t="s">
        <v>5093</v>
      </c>
      <c r="P484" s="0" t="s">
        <v>5094</v>
      </c>
      <c r="Q484" s="2" t="n">
        <v>43076</v>
      </c>
      <c r="S484" s="0" t="n">
        <f aca="false">YEAR(Q484)</f>
        <v>2017</v>
      </c>
      <c r="T484" s="0" t="n">
        <f aca="false">MONTH(Q484)</f>
        <v>12</v>
      </c>
    </row>
    <row r="485" customFormat="false" ht="14.25" hidden="true" customHeight="false" outlineLevel="0" collapsed="false">
      <c r="A485" s="0" t="n">
        <v>484</v>
      </c>
      <c r="B485" s="1" t="s">
        <v>647</v>
      </c>
      <c r="C485" s="1" t="s">
        <v>1479</v>
      </c>
      <c r="D485" s="1" t="s">
        <v>1535</v>
      </c>
      <c r="E485" s="0" t="s">
        <v>39</v>
      </c>
      <c r="F485" s="0" t="s">
        <v>48</v>
      </c>
      <c r="G485" s="0" t="s">
        <v>5095</v>
      </c>
      <c r="I485" s="6" t="n">
        <v>0.390972222222222</v>
      </c>
      <c r="J485" s="6" t="n">
        <v>0.398611111111111</v>
      </c>
      <c r="L485" s="0" t="n">
        <v>88</v>
      </c>
      <c r="M485" s="0" t="s">
        <v>5096</v>
      </c>
      <c r="N485" s="0" t="s">
        <v>5097</v>
      </c>
      <c r="P485" s="0" t="s">
        <v>4078</v>
      </c>
      <c r="Q485" s="2" t="n">
        <v>43076</v>
      </c>
      <c r="S485" s="0" t="n">
        <f aca="false">YEAR(Q485)</f>
        <v>2017</v>
      </c>
      <c r="T485" s="0" t="n">
        <f aca="false">MONTH(Q485)</f>
        <v>12</v>
      </c>
    </row>
    <row r="486" customFormat="false" ht="14.25" hidden="true" customHeight="false" outlineLevel="0" collapsed="false">
      <c r="A486" s="0" t="n">
        <v>485</v>
      </c>
      <c r="B486" s="1" t="s">
        <v>647</v>
      </c>
      <c r="C486" s="1" t="s">
        <v>1479</v>
      </c>
      <c r="D486" s="1" t="s">
        <v>1487</v>
      </c>
      <c r="E486" s="0" t="s">
        <v>1488</v>
      </c>
      <c r="F486" s="0" t="s">
        <v>48</v>
      </c>
      <c r="G486" s="0" t="s">
        <v>5098</v>
      </c>
      <c r="I486" s="6" t="n">
        <v>0.236111111111111</v>
      </c>
      <c r="J486" s="6" t="n">
        <v>0.402777777777778</v>
      </c>
      <c r="L486" s="0" t="n">
        <v>30</v>
      </c>
      <c r="M486" s="0" t="s">
        <v>5099</v>
      </c>
      <c r="N486" s="0" t="s">
        <v>5100</v>
      </c>
      <c r="P486" s="0" t="s">
        <v>5101</v>
      </c>
      <c r="Q486" s="2" t="n">
        <v>43076</v>
      </c>
      <c r="S486" s="0" t="n">
        <f aca="false">YEAR(Q486)</f>
        <v>2017</v>
      </c>
      <c r="T486" s="0" t="n">
        <f aca="false">MONTH(Q486)</f>
        <v>12</v>
      </c>
    </row>
    <row r="487" customFormat="false" ht="14.25" hidden="true" customHeight="false" outlineLevel="0" collapsed="false">
      <c r="A487" s="0" t="n">
        <v>486</v>
      </c>
      <c r="B487" s="1" t="s">
        <v>647</v>
      </c>
      <c r="C487" s="1" t="s">
        <v>1479</v>
      </c>
      <c r="D487" s="1" t="s">
        <v>1496</v>
      </c>
      <c r="E487" s="0" t="s">
        <v>38</v>
      </c>
      <c r="F487" s="0" t="s">
        <v>49</v>
      </c>
      <c r="G487" s="0" t="s">
        <v>5102</v>
      </c>
      <c r="I487" s="6" t="n">
        <v>0.777777777777778</v>
      </c>
      <c r="J487" s="6" t="n">
        <v>0.784722222222222</v>
      </c>
      <c r="L487" s="0" t="n">
        <v>18</v>
      </c>
      <c r="M487" s="0" t="s">
        <v>5103</v>
      </c>
      <c r="N487" s="0" t="s">
        <v>5104</v>
      </c>
      <c r="P487" s="0" t="s">
        <v>5105</v>
      </c>
      <c r="Q487" s="2" t="n">
        <v>43076</v>
      </c>
      <c r="S487" s="0" t="n">
        <f aca="false">YEAR(Q487)</f>
        <v>2017</v>
      </c>
      <c r="T487" s="0" t="n">
        <f aca="false">MONTH(Q487)</f>
        <v>12</v>
      </c>
    </row>
    <row r="488" customFormat="false" ht="14.25" hidden="true" customHeight="false" outlineLevel="0" collapsed="false">
      <c r="A488" s="0" t="n">
        <v>487</v>
      </c>
      <c r="B488" s="1" t="s">
        <v>649</v>
      </c>
      <c r="C488" s="1" t="s">
        <v>1503</v>
      </c>
      <c r="D488" s="1" t="s">
        <v>1504</v>
      </c>
      <c r="E488" s="0" t="s">
        <v>45</v>
      </c>
      <c r="F488" s="0" t="s">
        <v>48</v>
      </c>
      <c r="G488" s="0" t="s">
        <v>5106</v>
      </c>
      <c r="J488" s="6" t="n">
        <v>0.270833333333333</v>
      </c>
      <c r="K488" s="0" t="n">
        <v>0</v>
      </c>
      <c r="L488" s="0" t="n">
        <v>0</v>
      </c>
      <c r="M488" s="0" t="s">
        <v>5107</v>
      </c>
      <c r="N488" s="0" t="s">
        <v>5108</v>
      </c>
      <c r="P488" s="0" t="s">
        <v>5109</v>
      </c>
      <c r="Q488" s="2" t="n">
        <v>43080</v>
      </c>
      <c r="S488" s="0" t="n">
        <f aca="false">YEAR(Q488)</f>
        <v>2017</v>
      </c>
      <c r="T488" s="0" t="n">
        <f aca="false">MONTH(Q488)</f>
        <v>12</v>
      </c>
    </row>
    <row r="489" customFormat="false" ht="14.25" hidden="true" customHeight="false" outlineLevel="0" collapsed="false">
      <c r="A489" s="0" t="n">
        <v>488</v>
      </c>
      <c r="B489" s="1" t="s">
        <v>649</v>
      </c>
      <c r="C489" s="1" t="s">
        <v>1479</v>
      </c>
      <c r="D489" s="1" t="s">
        <v>1535</v>
      </c>
      <c r="E489" s="0" t="s">
        <v>39</v>
      </c>
      <c r="F489" s="0" t="s">
        <v>48</v>
      </c>
      <c r="G489" s="0" t="s">
        <v>5110</v>
      </c>
      <c r="J489" s="6" t="n">
        <v>0.458333333333333</v>
      </c>
      <c r="K489" s="0" t="n">
        <v>0</v>
      </c>
      <c r="L489" s="0" t="n">
        <v>0</v>
      </c>
      <c r="M489" s="0" t="s">
        <v>5111</v>
      </c>
      <c r="N489" s="0" t="s">
        <v>5112</v>
      </c>
      <c r="P489" s="0" t="s">
        <v>5113</v>
      </c>
      <c r="Q489" s="2" t="n">
        <v>43080</v>
      </c>
      <c r="S489" s="0" t="n">
        <f aca="false">YEAR(Q489)</f>
        <v>2017</v>
      </c>
      <c r="T489" s="0" t="n">
        <f aca="false">MONTH(Q489)</f>
        <v>12</v>
      </c>
    </row>
    <row r="490" customFormat="false" ht="14.25" hidden="true" customHeight="false" outlineLevel="0" collapsed="false">
      <c r="A490" s="0" t="n">
        <v>489</v>
      </c>
      <c r="B490" s="1" t="s">
        <v>649</v>
      </c>
      <c r="C490" s="1" t="s">
        <v>1479</v>
      </c>
      <c r="D490" s="1" t="s">
        <v>1535</v>
      </c>
      <c r="E490" s="0" t="s">
        <v>39</v>
      </c>
      <c r="F490" s="0" t="s">
        <v>49</v>
      </c>
      <c r="G490" s="0" t="s">
        <v>5114</v>
      </c>
      <c r="I490" s="6" t="n">
        <v>0.5</v>
      </c>
      <c r="J490" s="6" t="n">
        <v>0.614583333333333</v>
      </c>
      <c r="M490" s="0" t="s">
        <v>5115</v>
      </c>
      <c r="N490" s="0" t="s">
        <v>5116</v>
      </c>
      <c r="P490" s="0" t="s">
        <v>5117</v>
      </c>
      <c r="Q490" s="2" t="n">
        <v>43080</v>
      </c>
      <c r="S490" s="0" t="n">
        <f aca="false">YEAR(Q490)</f>
        <v>2017</v>
      </c>
      <c r="T490" s="0" t="n">
        <f aca="false">MONTH(Q490)</f>
        <v>12</v>
      </c>
    </row>
    <row r="491" customFormat="false" ht="14.25" hidden="true" customHeight="false" outlineLevel="0" collapsed="false">
      <c r="A491" s="0" t="n">
        <v>490</v>
      </c>
      <c r="B491" s="1" t="s">
        <v>649</v>
      </c>
      <c r="C491" s="1" t="s">
        <v>1479</v>
      </c>
      <c r="D491" s="1" t="s">
        <v>1487</v>
      </c>
      <c r="E491" s="0" t="s">
        <v>1488</v>
      </c>
      <c r="F491" s="0" t="s">
        <v>49</v>
      </c>
      <c r="G491" s="0" t="s">
        <v>5118</v>
      </c>
      <c r="J491" s="6" t="n">
        <v>0.791666666666667</v>
      </c>
      <c r="M491" s="0" t="s">
        <v>5119</v>
      </c>
      <c r="N491" s="0" t="s">
        <v>5120</v>
      </c>
      <c r="P491" s="0" t="s">
        <v>5121</v>
      </c>
      <c r="Q491" s="2" t="n">
        <v>43080</v>
      </c>
      <c r="S491" s="0" t="n">
        <f aca="false">YEAR(Q491)</f>
        <v>2017</v>
      </c>
      <c r="T491" s="0" t="n">
        <f aca="false">MONTH(Q491)</f>
        <v>12</v>
      </c>
    </row>
    <row r="492" customFormat="false" ht="14.25" hidden="true" customHeight="false" outlineLevel="0" collapsed="false">
      <c r="A492" s="0" t="n">
        <v>491</v>
      </c>
      <c r="B492" s="1" t="s">
        <v>649</v>
      </c>
      <c r="C492" s="1" t="s">
        <v>1479</v>
      </c>
      <c r="D492" s="1" t="s">
        <v>1487</v>
      </c>
      <c r="E492" s="0" t="s">
        <v>1488</v>
      </c>
      <c r="F492" s="0" t="s">
        <v>49</v>
      </c>
      <c r="G492" s="0" t="s">
        <v>5122</v>
      </c>
      <c r="I492" s="6" t="n">
        <v>0.805555555555555</v>
      </c>
      <c r="J492" s="6" t="n">
        <v>0.822916666666667</v>
      </c>
      <c r="M492" s="0" t="s">
        <v>5123</v>
      </c>
      <c r="N492" s="0" t="s">
        <v>4484</v>
      </c>
      <c r="P492" s="0" t="s">
        <v>5124</v>
      </c>
      <c r="Q492" s="2" t="n">
        <v>43080</v>
      </c>
      <c r="S492" s="0" t="n">
        <f aca="false">YEAR(Q492)</f>
        <v>2017</v>
      </c>
      <c r="T492" s="0" t="n">
        <f aca="false">MONTH(Q492)</f>
        <v>12</v>
      </c>
    </row>
    <row r="493" customFormat="false" ht="14.25" hidden="true" customHeight="false" outlineLevel="0" collapsed="false">
      <c r="A493" s="0" t="n">
        <v>492</v>
      </c>
      <c r="B493" s="1" t="s">
        <v>651</v>
      </c>
      <c r="C493" s="1" t="s">
        <v>1503</v>
      </c>
      <c r="D493" s="1" t="s">
        <v>1535</v>
      </c>
      <c r="E493" s="0" t="s">
        <v>44</v>
      </c>
      <c r="F493" s="0" t="s">
        <v>48</v>
      </c>
      <c r="G493" s="0" t="s">
        <v>5125</v>
      </c>
      <c r="J493" s="6" t="n">
        <v>0.395833333333333</v>
      </c>
      <c r="K493" s="0" t="n">
        <v>0</v>
      </c>
      <c r="M493" s="0" t="s">
        <v>5126</v>
      </c>
      <c r="N493" s="0" t="s">
        <v>5127</v>
      </c>
      <c r="P493" s="0" t="s">
        <v>5128</v>
      </c>
      <c r="Q493" s="2" t="n">
        <v>43081</v>
      </c>
      <c r="S493" s="0" t="n">
        <f aca="false">YEAR(Q493)</f>
        <v>2017</v>
      </c>
      <c r="T493" s="0" t="n">
        <f aca="false">MONTH(Q493)</f>
        <v>12</v>
      </c>
    </row>
    <row r="494" customFormat="false" ht="14.25" hidden="true" customHeight="false" outlineLevel="0" collapsed="false">
      <c r="A494" s="0" t="n">
        <v>493</v>
      </c>
      <c r="B494" s="1" t="s">
        <v>651</v>
      </c>
      <c r="C494" s="1" t="s">
        <v>1479</v>
      </c>
      <c r="D494" s="1" t="s">
        <v>1496</v>
      </c>
      <c r="E494" s="0" t="s">
        <v>38</v>
      </c>
      <c r="F494" s="0" t="s">
        <v>49</v>
      </c>
      <c r="G494" s="0" t="s">
        <v>5129</v>
      </c>
      <c r="I494" s="6" t="n">
        <v>0.784722222222222</v>
      </c>
      <c r="J494" s="6" t="n">
        <v>0.791666666666667</v>
      </c>
      <c r="L494" s="0" t="n">
        <v>30</v>
      </c>
      <c r="M494" s="0" t="s">
        <v>5130</v>
      </c>
      <c r="N494" s="0" t="s">
        <v>5131</v>
      </c>
      <c r="P494" s="0" t="s">
        <v>5132</v>
      </c>
      <c r="Q494" s="2" t="n">
        <v>43081</v>
      </c>
      <c r="S494" s="0" t="n">
        <f aca="false">YEAR(Q494)</f>
        <v>2017</v>
      </c>
      <c r="T494" s="0" t="n">
        <f aca="false">MONTH(Q494)</f>
        <v>12</v>
      </c>
    </row>
    <row r="495" customFormat="false" ht="14.25" hidden="true" customHeight="false" outlineLevel="0" collapsed="false">
      <c r="A495" s="0" t="n">
        <v>494</v>
      </c>
      <c r="B495" s="1" t="s">
        <v>651</v>
      </c>
      <c r="C495" s="1" t="s">
        <v>1479</v>
      </c>
      <c r="D495" s="1" t="s">
        <v>1535</v>
      </c>
      <c r="E495" s="0" t="s">
        <v>39</v>
      </c>
      <c r="F495" s="0" t="s">
        <v>50</v>
      </c>
      <c r="G495" s="0" t="s">
        <v>5133</v>
      </c>
      <c r="J495" s="6" t="n">
        <v>0.0486111111111111</v>
      </c>
      <c r="K495" s="0" t="n">
        <v>0</v>
      </c>
      <c r="M495" s="0" t="s">
        <v>5134</v>
      </c>
      <c r="N495" s="0" t="s">
        <v>5135</v>
      </c>
      <c r="P495" s="0" t="s">
        <v>5136</v>
      </c>
      <c r="Q495" s="2" t="n">
        <v>43081</v>
      </c>
      <c r="S495" s="0" t="n">
        <f aca="false">YEAR(Q495)</f>
        <v>2017</v>
      </c>
      <c r="T495" s="0" t="n">
        <f aca="false">MONTH(Q495)</f>
        <v>12</v>
      </c>
    </row>
    <row r="496" customFormat="false" ht="14.25" hidden="true" customHeight="false" outlineLevel="0" collapsed="false">
      <c r="A496" s="0" t="n">
        <v>495</v>
      </c>
      <c r="B496" s="1" t="s">
        <v>654</v>
      </c>
      <c r="C496" s="1" t="s">
        <v>1503</v>
      </c>
      <c r="D496" s="1" t="s">
        <v>1535</v>
      </c>
      <c r="E496" s="0" t="s">
        <v>44</v>
      </c>
      <c r="F496" s="0" t="s">
        <v>48</v>
      </c>
      <c r="G496" s="0" t="s">
        <v>5137</v>
      </c>
      <c r="I496" s="6" t="n">
        <v>0.395833333333333</v>
      </c>
      <c r="J496" s="6" t="n">
        <v>0.409722222222222</v>
      </c>
      <c r="L496" s="0" t="n">
        <v>120</v>
      </c>
      <c r="M496" s="0" t="s">
        <v>5138</v>
      </c>
      <c r="N496" s="0" t="s">
        <v>5139</v>
      </c>
      <c r="P496" s="0" t="s">
        <v>5140</v>
      </c>
      <c r="Q496" s="2" t="n">
        <v>43082</v>
      </c>
      <c r="S496" s="0" t="n">
        <f aca="false">YEAR(Q496)</f>
        <v>2017</v>
      </c>
      <c r="T496" s="0" t="n">
        <f aca="false">MONTH(Q496)</f>
        <v>12</v>
      </c>
    </row>
    <row r="497" customFormat="false" ht="14.25" hidden="true" customHeight="false" outlineLevel="0" collapsed="false">
      <c r="A497" s="0" t="n">
        <v>496</v>
      </c>
      <c r="B497" s="1" t="s">
        <v>654</v>
      </c>
      <c r="C497" s="1" t="s">
        <v>1479</v>
      </c>
      <c r="D497" s="1" t="s">
        <v>1496</v>
      </c>
      <c r="E497" s="0" t="s">
        <v>38</v>
      </c>
      <c r="F497" s="0" t="s">
        <v>48</v>
      </c>
      <c r="G497" s="0" t="s">
        <v>5141</v>
      </c>
      <c r="I497" s="6" t="n">
        <v>0.496527777777778</v>
      </c>
      <c r="J497" s="6" t="n">
        <v>0.527777777777778</v>
      </c>
      <c r="K497" s="0" t="n">
        <v>109</v>
      </c>
      <c r="L497" s="0" t="n">
        <v>112</v>
      </c>
      <c r="M497" s="0" t="s">
        <v>5142</v>
      </c>
      <c r="N497" s="0" t="s">
        <v>5143</v>
      </c>
      <c r="P497" s="0" t="s">
        <v>5144</v>
      </c>
      <c r="Q497" s="2" t="n">
        <v>43082</v>
      </c>
      <c r="S497" s="0" t="n">
        <f aca="false">YEAR(Q497)</f>
        <v>2017</v>
      </c>
      <c r="T497" s="0" t="n">
        <f aca="false">MONTH(Q497)</f>
        <v>12</v>
      </c>
    </row>
    <row r="498" customFormat="false" ht="14.25" hidden="true" customHeight="false" outlineLevel="0" collapsed="false">
      <c r="A498" s="0" t="n">
        <v>497</v>
      </c>
      <c r="B498" s="1" t="s">
        <v>660</v>
      </c>
      <c r="C498" s="1" t="s">
        <v>1479</v>
      </c>
      <c r="D498" s="1" t="s">
        <v>1535</v>
      </c>
      <c r="E498" s="0" t="s">
        <v>39</v>
      </c>
      <c r="F498" s="0" t="s">
        <v>48</v>
      </c>
      <c r="G498" s="0" t="s">
        <v>5145</v>
      </c>
      <c r="I498" s="6" t="n">
        <v>0.25</v>
      </c>
      <c r="J498" s="6" t="n">
        <v>0.25</v>
      </c>
      <c r="L498" s="0" t="n">
        <v>20</v>
      </c>
      <c r="M498" s="0" t="s">
        <v>5146</v>
      </c>
      <c r="N498" s="0" t="s">
        <v>5147</v>
      </c>
      <c r="P498" s="0" t="s">
        <v>5148</v>
      </c>
      <c r="Q498" s="2" t="n">
        <v>42751</v>
      </c>
      <c r="S498" s="0" t="n">
        <f aca="false">YEAR(Q498)</f>
        <v>2017</v>
      </c>
      <c r="T498" s="0" t="n">
        <f aca="false">MONTH(Q498)</f>
        <v>1</v>
      </c>
    </row>
    <row r="499" customFormat="false" ht="14.25" hidden="true" customHeight="false" outlineLevel="0" collapsed="false">
      <c r="A499" s="0" t="n">
        <v>498</v>
      </c>
      <c r="B499" s="1" t="s">
        <v>660</v>
      </c>
      <c r="C499" s="1" t="s">
        <v>1479</v>
      </c>
      <c r="D499" s="1" t="s">
        <v>1535</v>
      </c>
      <c r="E499" s="0" t="s">
        <v>39</v>
      </c>
      <c r="F499" s="0" t="s">
        <v>48</v>
      </c>
      <c r="G499" s="0" t="s">
        <v>5149</v>
      </c>
      <c r="I499" s="6" t="n">
        <v>0.3125</v>
      </c>
      <c r="J499" s="6" t="n">
        <v>0.3125</v>
      </c>
      <c r="L499" s="0" t="n">
        <v>30</v>
      </c>
      <c r="M499" s="0" t="s">
        <v>5150</v>
      </c>
      <c r="N499" s="0" t="s">
        <v>5151</v>
      </c>
      <c r="P499" s="0" t="s">
        <v>5152</v>
      </c>
      <c r="Q499" s="2" t="n">
        <v>42751</v>
      </c>
      <c r="S499" s="0" t="n">
        <f aca="false">YEAR(Q499)</f>
        <v>2017</v>
      </c>
      <c r="T499" s="0" t="n">
        <f aca="false">MONTH(Q499)</f>
        <v>1</v>
      </c>
    </row>
    <row r="500" customFormat="false" ht="14.25" hidden="true" customHeight="false" outlineLevel="0" collapsed="false">
      <c r="A500" s="0" t="n">
        <v>499</v>
      </c>
      <c r="B500" s="1" t="s">
        <v>660</v>
      </c>
      <c r="C500" s="1" t="s">
        <v>1479</v>
      </c>
      <c r="D500" s="1" t="s">
        <v>1535</v>
      </c>
      <c r="E500" s="0" t="s">
        <v>39</v>
      </c>
      <c r="F500" s="0" t="s">
        <v>48</v>
      </c>
      <c r="G500" s="0" t="s">
        <v>5153</v>
      </c>
      <c r="I500" s="6" t="n">
        <v>0.4375</v>
      </c>
      <c r="J500" s="6" t="n">
        <v>0.458333333333333</v>
      </c>
      <c r="K500" s="0" t="n">
        <v>0</v>
      </c>
      <c r="L500" s="0" t="n">
        <v>0</v>
      </c>
      <c r="M500" s="0" t="s">
        <v>5154</v>
      </c>
      <c r="N500" s="0" t="s">
        <v>5155</v>
      </c>
      <c r="P500" s="0" t="s">
        <v>5156</v>
      </c>
      <c r="Q500" s="2" t="n">
        <v>42751</v>
      </c>
      <c r="S500" s="0" t="n">
        <f aca="false">YEAR(Q500)</f>
        <v>2017</v>
      </c>
      <c r="T500" s="0" t="n">
        <f aca="false">MONTH(Q500)</f>
        <v>1</v>
      </c>
    </row>
    <row r="501" customFormat="false" ht="14.25" hidden="true" customHeight="false" outlineLevel="0" collapsed="false">
      <c r="A501" s="0" t="n">
        <v>500</v>
      </c>
      <c r="B501" s="1" t="s">
        <v>660</v>
      </c>
      <c r="C501" s="1" t="s">
        <v>1503</v>
      </c>
      <c r="D501" s="1" t="s">
        <v>1504</v>
      </c>
      <c r="E501" s="0" t="s">
        <v>5157</v>
      </c>
      <c r="F501" s="0" t="s">
        <v>48</v>
      </c>
      <c r="G501" s="0" t="s">
        <v>5158</v>
      </c>
      <c r="J501" s="6" t="n">
        <v>0.541666666666667</v>
      </c>
      <c r="K501" s="0" t="n">
        <v>0</v>
      </c>
      <c r="M501" s="0" t="s">
        <v>5159</v>
      </c>
      <c r="N501" s="0" t="s">
        <v>5160</v>
      </c>
      <c r="P501" s="0" t="s">
        <v>5161</v>
      </c>
      <c r="Q501" s="2" t="n">
        <v>42751</v>
      </c>
      <c r="S501" s="0" t="n">
        <f aca="false">YEAR(Q501)</f>
        <v>2017</v>
      </c>
      <c r="T501" s="0" t="n">
        <f aca="false">MONTH(Q501)</f>
        <v>1</v>
      </c>
    </row>
    <row r="502" customFormat="false" ht="14.25" hidden="true" customHeight="false" outlineLevel="0" collapsed="false">
      <c r="A502" s="0" t="n">
        <v>501</v>
      </c>
      <c r="B502" s="1" t="s">
        <v>660</v>
      </c>
      <c r="C502" s="1" t="s">
        <v>1479</v>
      </c>
      <c r="D502" s="1" t="s">
        <v>1535</v>
      </c>
      <c r="E502" s="0" t="s">
        <v>39</v>
      </c>
      <c r="F502" s="0" t="s">
        <v>49</v>
      </c>
      <c r="G502" s="0" t="s">
        <v>5162</v>
      </c>
      <c r="I502" s="6" t="n">
        <v>0.604166666666667</v>
      </c>
      <c r="J502" s="6" t="n">
        <v>0.611111111111111</v>
      </c>
      <c r="M502" s="0" t="s">
        <v>5163</v>
      </c>
      <c r="N502" s="0" t="s">
        <v>5164</v>
      </c>
      <c r="P502" s="0" t="s">
        <v>5165</v>
      </c>
      <c r="Q502" s="2" t="n">
        <v>42751</v>
      </c>
      <c r="S502" s="0" t="n">
        <f aca="false">YEAR(Q502)</f>
        <v>2017</v>
      </c>
      <c r="T502" s="0" t="n">
        <f aca="false">MONTH(Q502)</f>
        <v>1</v>
      </c>
    </row>
    <row r="503" customFormat="false" ht="14.25" hidden="true" customHeight="false" outlineLevel="0" collapsed="false">
      <c r="A503" s="0" t="n">
        <v>502</v>
      </c>
      <c r="B503" s="1" t="s">
        <v>660</v>
      </c>
      <c r="C503" s="1" t="s">
        <v>1479</v>
      </c>
      <c r="D503" s="1" t="s">
        <v>1487</v>
      </c>
      <c r="E503" s="0" t="s">
        <v>1488</v>
      </c>
      <c r="F503" s="0" t="s">
        <v>50</v>
      </c>
      <c r="G503" s="0" t="s">
        <v>5166</v>
      </c>
      <c r="I503" s="6" t="n">
        <v>0.0347222222222222</v>
      </c>
      <c r="J503" s="6" t="n">
        <v>0.0347222222222222</v>
      </c>
      <c r="L503" s="0" t="n">
        <v>0</v>
      </c>
      <c r="M503" s="0" t="s">
        <v>5167</v>
      </c>
      <c r="N503" s="0" t="s">
        <v>5168</v>
      </c>
      <c r="P503" s="0" t="s">
        <v>5169</v>
      </c>
      <c r="Q503" s="2" t="n">
        <v>42751</v>
      </c>
      <c r="S503" s="0" t="n">
        <f aca="false">YEAR(Q503)</f>
        <v>2017</v>
      </c>
      <c r="T503" s="0" t="n">
        <f aca="false">MONTH(Q503)</f>
        <v>1</v>
      </c>
    </row>
    <row r="504" customFormat="false" ht="14.25" hidden="true" customHeight="false" outlineLevel="0" collapsed="false">
      <c r="A504" s="0" t="n">
        <v>503</v>
      </c>
      <c r="B504" s="1" t="s">
        <v>660</v>
      </c>
      <c r="C504" s="1" t="s">
        <v>1503</v>
      </c>
      <c r="D504" s="1" t="s">
        <v>1535</v>
      </c>
      <c r="E504" s="0" t="s">
        <v>44</v>
      </c>
      <c r="F504" s="0" t="s">
        <v>49</v>
      </c>
      <c r="G504" s="0" t="s">
        <v>5170</v>
      </c>
      <c r="I504" s="6" t="n">
        <v>0.666666666666667</v>
      </c>
      <c r="J504" s="6" t="n">
        <v>0.673611111111111</v>
      </c>
      <c r="M504" s="0" t="s">
        <v>5171</v>
      </c>
      <c r="N504" s="0" t="s">
        <v>5172</v>
      </c>
      <c r="P504" s="0" t="s">
        <v>5173</v>
      </c>
      <c r="Q504" s="2" t="n">
        <v>42751</v>
      </c>
      <c r="S504" s="0" t="n">
        <f aca="false">YEAR(Q504)</f>
        <v>2017</v>
      </c>
      <c r="T504" s="0" t="n">
        <f aca="false">MONTH(Q504)</f>
        <v>1</v>
      </c>
    </row>
    <row r="505" customFormat="false" ht="14.25" hidden="true" customHeight="false" outlineLevel="0" collapsed="false">
      <c r="A505" s="0" t="n">
        <v>504</v>
      </c>
      <c r="B505" s="1" t="s">
        <v>660</v>
      </c>
      <c r="C505" s="1" t="s">
        <v>1503</v>
      </c>
      <c r="D505" s="1" t="s">
        <v>1535</v>
      </c>
      <c r="E505" s="0" t="s">
        <v>44</v>
      </c>
      <c r="F505" s="0" t="s">
        <v>49</v>
      </c>
      <c r="G505" s="0" t="s">
        <v>5174</v>
      </c>
      <c r="I505" s="6" t="n">
        <v>0.708333333333333</v>
      </c>
      <c r="J505" s="6" t="n">
        <v>0.708333333333333</v>
      </c>
      <c r="M505" s="0" t="s">
        <v>5175</v>
      </c>
      <c r="N505" s="0" t="s">
        <v>5176</v>
      </c>
      <c r="P505" s="0" t="s">
        <v>5177</v>
      </c>
      <c r="Q505" s="2" t="n">
        <v>42751</v>
      </c>
      <c r="S505" s="0" t="n">
        <f aca="false">YEAR(Q505)</f>
        <v>2017</v>
      </c>
      <c r="T505" s="0" t="n">
        <f aca="false">MONTH(Q505)</f>
        <v>1</v>
      </c>
    </row>
    <row r="506" customFormat="false" ht="14.25" hidden="true" customHeight="false" outlineLevel="0" collapsed="false">
      <c r="A506" s="0" t="n">
        <v>505</v>
      </c>
      <c r="B506" s="1" t="s">
        <v>660</v>
      </c>
      <c r="C506" s="1" t="s">
        <v>1503</v>
      </c>
      <c r="D506" s="1" t="s">
        <v>1504</v>
      </c>
      <c r="E506" s="0" t="s">
        <v>45</v>
      </c>
      <c r="F506" s="0" t="s">
        <v>49</v>
      </c>
      <c r="G506" s="0" t="s">
        <v>5178</v>
      </c>
      <c r="I506" s="6" t="n">
        <v>0.770833333333333</v>
      </c>
      <c r="J506" s="6" t="n">
        <v>0.777777777777778</v>
      </c>
      <c r="M506" s="0" t="s">
        <v>5179</v>
      </c>
      <c r="N506" s="0" t="s">
        <v>5180</v>
      </c>
      <c r="P506" s="0" t="s">
        <v>5181</v>
      </c>
      <c r="Q506" s="2" t="n">
        <v>42751</v>
      </c>
      <c r="S506" s="0" t="n">
        <f aca="false">YEAR(Q506)</f>
        <v>2017</v>
      </c>
      <c r="T506" s="0" t="n">
        <f aca="false">MONTH(Q506)</f>
        <v>1</v>
      </c>
    </row>
    <row r="507" customFormat="false" ht="14.25" hidden="true" customHeight="false" outlineLevel="0" collapsed="false">
      <c r="A507" s="0" t="n">
        <v>506</v>
      </c>
      <c r="B507" s="1" t="s">
        <v>660</v>
      </c>
      <c r="C507" s="1" t="s">
        <v>1479</v>
      </c>
      <c r="D507" s="1" t="s">
        <v>1487</v>
      </c>
      <c r="E507" s="0" t="s">
        <v>1488</v>
      </c>
      <c r="F507" s="0" t="s">
        <v>49</v>
      </c>
      <c r="G507" s="0" t="s">
        <v>5178</v>
      </c>
      <c r="I507" s="6" t="n">
        <v>0.777777777777778</v>
      </c>
      <c r="J507" s="6" t="n">
        <v>0.784722222222222</v>
      </c>
      <c r="M507" s="0" t="s">
        <v>5182</v>
      </c>
      <c r="N507" s="0" t="s">
        <v>5183</v>
      </c>
      <c r="P507" s="0" t="s">
        <v>5184</v>
      </c>
      <c r="Q507" s="2" t="n">
        <v>42751</v>
      </c>
      <c r="S507" s="0" t="n">
        <f aca="false">YEAR(Q507)</f>
        <v>2017</v>
      </c>
      <c r="T507" s="0" t="n">
        <f aca="false">MONTH(Q507)</f>
        <v>1</v>
      </c>
    </row>
    <row r="508" customFormat="false" ht="14.25" hidden="true" customHeight="false" outlineLevel="0" collapsed="false">
      <c r="A508" s="0" t="n">
        <v>507</v>
      </c>
      <c r="B508" s="1" t="s">
        <v>660</v>
      </c>
      <c r="C508" s="1" t="s">
        <v>1503</v>
      </c>
      <c r="D508" s="1" t="s">
        <v>1535</v>
      </c>
      <c r="E508" s="0" t="s">
        <v>44</v>
      </c>
      <c r="F508" s="0" t="s">
        <v>49</v>
      </c>
      <c r="G508" s="0" t="s">
        <v>5185</v>
      </c>
      <c r="I508" s="6" t="n">
        <v>0.854166666666667</v>
      </c>
      <c r="J508" s="6" t="n">
        <v>0.861111111111111</v>
      </c>
      <c r="M508" s="0" t="s">
        <v>5186</v>
      </c>
      <c r="N508" s="0" t="s">
        <v>5187</v>
      </c>
      <c r="P508" s="0" t="s">
        <v>5188</v>
      </c>
      <c r="Q508" s="2" t="n">
        <v>42751</v>
      </c>
      <c r="S508" s="0" t="n">
        <f aca="false">YEAR(Q508)</f>
        <v>2017</v>
      </c>
      <c r="T508" s="0" t="n">
        <f aca="false">MONTH(Q508)</f>
        <v>1</v>
      </c>
    </row>
    <row r="509" customFormat="false" ht="14.25" hidden="true" customHeight="false" outlineLevel="0" collapsed="false">
      <c r="A509" s="0" t="n">
        <v>508</v>
      </c>
      <c r="B509" s="1" t="s">
        <v>660</v>
      </c>
      <c r="C509" s="1" t="s">
        <v>1503</v>
      </c>
      <c r="D509" s="1" t="s">
        <v>1535</v>
      </c>
      <c r="E509" s="0" t="s">
        <v>44</v>
      </c>
      <c r="F509" s="0" t="s">
        <v>49</v>
      </c>
      <c r="G509" s="0" t="s">
        <v>5189</v>
      </c>
      <c r="I509" s="6" t="n">
        <v>0.888888888888889</v>
      </c>
      <c r="J509" s="6" t="n">
        <v>0.888888888888889</v>
      </c>
      <c r="M509" s="0" t="s">
        <v>5190</v>
      </c>
      <c r="N509" s="0" t="s">
        <v>5191</v>
      </c>
      <c r="P509" s="0" t="s">
        <v>5192</v>
      </c>
      <c r="Q509" s="2" t="n">
        <v>42751</v>
      </c>
      <c r="S509" s="0" t="n">
        <f aca="false">YEAR(Q509)</f>
        <v>2017</v>
      </c>
      <c r="T509" s="0" t="n">
        <f aca="false">MONTH(Q509)</f>
        <v>1</v>
      </c>
    </row>
    <row r="510" customFormat="false" ht="14.25" hidden="true" customHeight="false" outlineLevel="0" collapsed="false">
      <c r="A510" s="0" t="n">
        <v>509</v>
      </c>
      <c r="B510" s="1" t="s">
        <v>660</v>
      </c>
      <c r="C510" s="1" t="s">
        <v>1479</v>
      </c>
      <c r="D510" s="1" t="s">
        <v>1535</v>
      </c>
      <c r="E510" s="0" t="s">
        <v>39</v>
      </c>
      <c r="F510" s="0" t="s">
        <v>49</v>
      </c>
      <c r="G510" s="0" t="s">
        <v>5193</v>
      </c>
      <c r="I510" s="6" t="n">
        <v>0.875</v>
      </c>
      <c r="J510" s="6" t="n">
        <v>0.916666666666667</v>
      </c>
      <c r="M510" s="0" t="s">
        <v>5194</v>
      </c>
      <c r="N510" s="0" t="s">
        <v>5195</v>
      </c>
      <c r="P510" s="0" t="s">
        <v>5196</v>
      </c>
      <c r="Q510" s="2" t="n">
        <v>42751</v>
      </c>
      <c r="S510" s="0" t="n">
        <f aca="false">YEAR(Q510)</f>
        <v>2017</v>
      </c>
      <c r="T510" s="0" t="n">
        <f aca="false">MONTH(Q510)</f>
        <v>1</v>
      </c>
    </row>
    <row r="511" customFormat="false" ht="14.25" hidden="true" customHeight="false" outlineLevel="0" collapsed="false">
      <c r="A511" s="0" t="n">
        <v>510</v>
      </c>
      <c r="B511" s="1" t="s">
        <v>660</v>
      </c>
      <c r="C511" s="1" t="s">
        <v>1479</v>
      </c>
      <c r="D511" s="1" t="s">
        <v>1487</v>
      </c>
      <c r="E511" s="0" t="s">
        <v>1488</v>
      </c>
      <c r="F511" s="0" t="s">
        <v>50</v>
      </c>
      <c r="G511" s="0" t="s">
        <v>5197</v>
      </c>
      <c r="I511" s="6" t="n">
        <v>0.988194444444444</v>
      </c>
      <c r="J511" s="6" t="n">
        <v>0.00347222222222222</v>
      </c>
      <c r="K511" s="0" t="n">
        <v>0</v>
      </c>
      <c r="L511" s="0" t="n">
        <v>35</v>
      </c>
      <c r="M511" s="0" t="s">
        <v>5198</v>
      </c>
      <c r="N511" s="0" t="s">
        <v>5199</v>
      </c>
      <c r="P511" s="0" t="s">
        <v>5200</v>
      </c>
      <c r="Q511" s="2" t="n">
        <v>42751</v>
      </c>
      <c r="S511" s="0" t="n">
        <f aca="false">YEAR(Q511)</f>
        <v>2017</v>
      </c>
      <c r="T511" s="0" t="n">
        <f aca="false">MONTH(Q511)</f>
        <v>1</v>
      </c>
    </row>
    <row r="512" customFormat="false" ht="14.25" hidden="true" customHeight="false" outlineLevel="0" collapsed="false">
      <c r="A512" s="0" t="n">
        <v>511</v>
      </c>
      <c r="B512" s="1" t="s">
        <v>666</v>
      </c>
      <c r="C512" s="1" t="s">
        <v>1495</v>
      </c>
      <c r="D512" s="1" t="s">
        <v>1487</v>
      </c>
      <c r="E512" s="0" t="s">
        <v>40</v>
      </c>
      <c r="F512" s="0" t="s">
        <v>48</v>
      </c>
      <c r="G512" s="0" t="s">
        <v>5201</v>
      </c>
      <c r="I512" s="6" t="n">
        <v>0.378472222222222</v>
      </c>
      <c r="J512" s="6" t="n">
        <v>0.4375</v>
      </c>
      <c r="L512" s="0" t="n">
        <v>200</v>
      </c>
      <c r="M512" s="0" t="s">
        <v>5202</v>
      </c>
      <c r="N512" s="0" t="s">
        <v>5203</v>
      </c>
      <c r="P512" s="0" t="s">
        <v>5204</v>
      </c>
      <c r="Q512" s="2" t="n">
        <v>43117</v>
      </c>
      <c r="S512" s="0" t="n">
        <f aca="false">YEAR(Q512)</f>
        <v>2018</v>
      </c>
      <c r="T512" s="0" t="n">
        <f aca="false">MONTH(Q512)</f>
        <v>1</v>
      </c>
    </row>
    <row r="513" customFormat="false" ht="14.25" hidden="true" customHeight="false" outlineLevel="0" collapsed="false">
      <c r="A513" s="0" t="n">
        <v>512</v>
      </c>
      <c r="B513" s="1" t="s">
        <v>666</v>
      </c>
      <c r="C513" s="1" t="s">
        <v>1479</v>
      </c>
      <c r="D513" s="1" t="s">
        <v>1487</v>
      </c>
      <c r="E513" s="0" t="s">
        <v>1488</v>
      </c>
      <c r="F513" s="0" t="s">
        <v>48</v>
      </c>
      <c r="G513" s="0" t="s">
        <v>3940</v>
      </c>
      <c r="I513" s="6" t="n">
        <v>0.525694444444444</v>
      </c>
      <c r="J513" s="6" t="n">
        <v>0.541666666666667</v>
      </c>
      <c r="L513" s="0" t="n">
        <v>24</v>
      </c>
      <c r="M513" s="0" t="s">
        <v>5205</v>
      </c>
      <c r="N513" s="0" t="s">
        <v>5206</v>
      </c>
      <c r="P513" s="0" t="s">
        <v>5207</v>
      </c>
      <c r="Q513" s="2" t="n">
        <v>43117</v>
      </c>
      <c r="S513" s="0" t="n">
        <f aca="false">YEAR(Q513)</f>
        <v>2018</v>
      </c>
      <c r="T513" s="0" t="n">
        <f aca="false">MONTH(Q513)</f>
        <v>1</v>
      </c>
    </row>
    <row r="514" customFormat="false" ht="14.25" hidden="true" customHeight="false" outlineLevel="0" collapsed="false">
      <c r="A514" s="0" t="n">
        <v>513</v>
      </c>
      <c r="B514" s="1" t="s">
        <v>666</v>
      </c>
      <c r="C514" s="1" t="s">
        <v>1479</v>
      </c>
      <c r="D514" s="1" t="s">
        <v>1487</v>
      </c>
      <c r="E514" s="0" t="s">
        <v>1488</v>
      </c>
      <c r="F514" s="0" t="s">
        <v>49</v>
      </c>
      <c r="G514" s="0" t="s">
        <v>5208</v>
      </c>
      <c r="I514" s="6" t="n">
        <v>0.602083333333333</v>
      </c>
      <c r="J514" s="6" t="n">
        <v>0.625</v>
      </c>
      <c r="M514" s="0" t="s">
        <v>5209</v>
      </c>
      <c r="N514" s="0" t="s">
        <v>5210</v>
      </c>
      <c r="P514" s="0" t="s">
        <v>5211</v>
      </c>
      <c r="Q514" s="2" t="n">
        <v>43117</v>
      </c>
      <c r="S514" s="0" t="n">
        <f aca="false">YEAR(Q514)</f>
        <v>2018</v>
      </c>
      <c r="T514" s="0" t="n">
        <f aca="false">MONTH(Q514)</f>
        <v>1</v>
      </c>
    </row>
    <row r="515" customFormat="false" ht="14.25" hidden="true" customHeight="false" outlineLevel="0" collapsed="false">
      <c r="A515" s="0" t="n">
        <v>514</v>
      </c>
      <c r="B515" s="1" t="s">
        <v>666</v>
      </c>
      <c r="C515" s="1" t="s">
        <v>1479</v>
      </c>
      <c r="D515" s="1" t="s">
        <v>1535</v>
      </c>
      <c r="E515" s="0" t="s">
        <v>39</v>
      </c>
      <c r="F515" s="0" t="s">
        <v>49</v>
      </c>
      <c r="G515" s="0" t="s">
        <v>5212</v>
      </c>
      <c r="J515" s="6" t="n">
        <v>0.875</v>
      </c>
      <c r="M515" s="0" t="s">
        <v>5213</v>
      </c>
      <c r="N515" s="0" t="s">
        <v>4484</v>
      </c>
      <c r="P515" s="0" t="s">
        <v>5214</v>
      </c>
      <c r="Q515" s="2" t="n">
        <v>43117</v>
      </c>
      <c r="S515" s="0" t="n">
        <f aca="false">YEAR(Q515)</f>
        <v>2018</v>
      </c>
      <c r="T515" s="0" t="n">
        <f aca="false">MONTH(Q515)</f>
        <v>1</v>
      </c>
    </row>
    <row r="516" customFormat="false" ht="14.25" hidden="true" customHeight="false" outlineLevel="0" collapsed="false">
      <c r="A516" s="0" t="n">
        <v>515</v>
      </c>
      <c r="B516" s="1" t="s">
        <v>666</v>
      </c>
      <c r="C516" s="1" t="s">
        <v>1503</v>
      </c>
      <c r="D516" s="1" t="s">
        <v>1535</v>
      </c>
      <c r="E516" s="0" t="s">
        <v>44</v>
      </c>
      <c r="F516" s="0" t="s">
        <v>49</v>
      </c>
      <c r="G516" s="0" t="s">
        <v>5178</v>
      </c>
      <c r="I516" s="6" t="n">
        <v>0.666666666666667</v>
      </c>
      <c r="J516" s="6" t="n">
        <v>0.673611111111111</v>
      </c>
      <c r="M516" s="0" t="s">
        <v>5215</v>
      </c>
      <c r="N516" s="0" t="s">
        <v>5216</v>
      </c>
      <c r="P516" s="0" t="s">
        <v>5216</v>
      </c>
      <c r="Q516" s="2" t="n">
        <v>43117</v>
      </c>
      <c r="S516" s="0" t="n">
        <f aca="false">YEAR(Q516)</f>
        <v>2018</v>
      </c>
      <c r="T516" s="0" t="n">
        <f aca="false">MONTH(Q516)</f>
        <v>1</v>
      </c>
    </row>
    <row r="517" customFormat="false" ht="14.25" hidden="true" customHeight="false" outlineLevel="0" collapsed="false">
      <c r="A517" s="0" t="n">
        <v>516</v>
      </c>
      <c r="B517" s="1" t="s">
        <v>666</v>
      </c>
      <c r="C517" s="1" t="s">
        <v>1503</v>
      </c>
      <c r="D517" s="1" t="s">
        <v>1504</v>
      </c>
      <c r="E517" s="0" t="s">
        <v>5217</v>
      </c>
      <c r="F517" s="0" t="s">
        <v>50</v>
      </c>
      <c r="G517" s="0" t="s">
        <v>5218</v>
      </c>
      <c r="J517" s="6" t="n">
        <v>0.75</v>
      </c>
      <c r="L517" s="0" t="n">
        <v>480</v>
      </c>
      <c r="M517" s="0" t="s">
        <v>5219</v>
      </c>
      <c r="N517" s="0" t="s">
        <v>5220</v>
      </c>
      <c r="P517" s="0" t="s">
        <v>5221</v>
      </c>
      <c r="Q517" s="2" t="n">
        <v>43117</v>
      </c>
      <c r="S517" s="0" t="n">
        <f aca="false">YEAR(Q517)</f>
        <v>2018</v>
      </c>
      <c r="T517" s="0" t="n">
        <f aca="false">MONTH(Q517)</f>
        <v>1</v>
      </c>
    </row>
    <row r="518" customFormat="false" ht="14.25" hidden="true" customHeight="false" outlineLevel="0" collapsed="false">
      <c r="A518" s="0" t="n">
        <v>517</v>
      </c>
      <c r="B518" s="1" t="s">
        <v>666</v>
      </c>
      <c r="C518" s="1" t="s">
        <v>1479</v>
      </c>
      <c r="D518" s="1" t="s">
        <v>1487</v>
      </c>
      <c r="E518" s="0" t="s">
        <v>1488</v>
      </c>
      <c r="F518" s="0" t="s">
        <v>50</v>
      </c>
      <c r="G518" s="0" t="s">
        <v>5222</v>
      </c>
      <c r="I518" s="6" t="n">
        <v>0.204861111111111</v>
      </c>
      <c r="J518" s="6" t="n">
        <v>0.211805555555556</v>
      </c>
      <c r="L518" s="0" t="n">
        <v>10</v>
      </c>
      <c r="M518" s="0" t="s">
        <v>5223</v>
      </c>
      <c r="N518" s="0" t="s">
        <v>5224</v>
      </c>
      <c r="P518" s="0" t="s">
        <v>5225</v>
      </c>
      <c r="Q518" s="2" t="n">
        <v>43117</v>
      </c>
      <c r="S518" s="0" t="n">
        <f aca="false">YEAR(Q518)</f>
        <v>2018</v>
      </c>
      <c r="T518" s="0" t="n">
        <f aca="false">MONTH(Q518)</f>
        <v>1</v>
      </c>
    </row>
    <row r="519" customFormat="false" ht="14.25" hidden="true" customHeight="false" outlineLevel="0" collapsed="false">
      <c r="A519" s="0" t="n">
        <v>518</v>
      </c>
      <c r="B519" s="1" t="s">
        <v>669</v>
      </c>
      <c r="C519" s="1" t="s">
        <v>1479</v>
      </c>
      <c r="D519" s="1" t="s">
        <v>1535</v>
      </c>
      <c r="E519" s="0" t="s">
        <v>39</v>
      </c>
      <c r="F519" s="0" t="s">
        <v>50</v>
      </c>
      <c r="G519" s="0" t="s">
        <v>5226</v>
      </c>
      <c r="I519" s="6" t="n">
        <v>0.0319444444444444</v>
      </c>
      <c r="J519" s="6" t="n">
        <v>0.0319444444444444</v>
      </c>
      <c r="K519" s="0" t="n">
        <v>10</v>
      </c>
      <c r="L519" s="0" t="n">
        <v>10</v>
      </c>
      <c r="M519" s="0" t="s">
        <v>5227</v>
      </c>
      <c r="N519" s="0" t="s">
        <v>5228</v>
      </c>
      <c r="P519" s="0" t="s">
        <v>5229</v>
      </c>
      <c r="Q519" s="2" t="n">
        <v>43121</v>
      </c>
      <c r="S519" s="0" t="n">
        <f aca="false">YEAR(Q519)</f>
        <v>2018</v>
      </c>
      <c r="T519" s="0" t="n">
        <f aca="false">MONTH(Q519)</f>
        <v>1</v>
      </c>
    </row>
    <row r="520" customFormat="false" ht="14.25" hidden="true" customHeight="false" outlineLevel="0" collapsed="false">
      <c r="A520" s="0" t="n">
        <v>519</v>
      </c>
      <c r="B520" s="1" t="s">
        <v>669</v>
      </c>
      <c r="C520" s="1" t="s">
        <v>1479</v>
      </c>
      <c r="D520" s="1" t="s">
        <v>1535</v>
      </c>
      <c r="E520" s="0" t="s">
        <v>39</v>
      </c>
      <c r="F520" s="0" t="s">
        <v>50</v>
      </c>
      <c r="G520" s="0" t="s">
        <v>5230</v>
      </c>
      <c r="I520" s="6" t="n">
        <v>0.166666666666667</v>
      </c>
      <c r="J520" s="6" t="n">
        <v>0.166666666666667</v>
      </c>
      <c r="K520" s="0" t="n">
        <v>0</v>
      </c>
      <c r="L520" s="0" t="n">
        <v>5</v>
      </c>
      <c r="M520" s="0" t="s">
        <v>5231</v>
      </c>
      <c r="N520" s="0" t="s">
        <v>5232</v>
      </c>
      <c r="P520" s="0" t="s">
        <v>5233</v>
      </c>
      <c r="Q520" s="2" t="n">
        <v>43121</v>
      </c>
      <c r="S520" s="0" t="n">
        <f aca="false">YEAR(Q520)</f>
        <v>2018</v>
      </c>
      <c r="T520" s="0" t="n">
        <f aca="false">MONTH(Q520)</f>
        <v>1</v>
      </c>
    </row>
    <row r="521" customFormat="false" ht="14.25" hidden="true" customHeight="false" outlineLevel="0" collapsed="false">
      <c r="A521" s="0" t="n">
        <v>520</v>
      </c>
      <c r="B521" s="1" t="s">
        <v>669</v>
      </c>
      <c r="C521" s="1" t="s">
        <v>1479</v>
      </c>
      <c r="D521" s="1" t="s">
        <v>1496</v>
      </c>
      <c r="E521" s="0" t="s">
        <v>38</v>
      </c>
      <c r="F521" s="0" t="s">
        <v>50</v>
      </c>
      <c r="G521" s="0" t="s">
        <v>5234</v>
      </c>
      <c r="I521" s="6" t="n">
        <v>0.202083333333333</v>
      </c>
      <c r="J521" s="6" t="n">
        <v>0.204861111111111</v>
      </c>
      <c r="K521" s="0" t="n">
        <v>13</v>
      </c>
      <c r="L521" s="0" t="n">
        <v>0</v>
      </c>
      <c r="M521" s="0" t="s">
        <v>5235</v>
      </c>
      <c r="N521" s="0" t="s">
        <v>5236</v>
      </c>
      <c r="P521" s="0" t="s">
        <v>5237</v>
      </c>
      <c r="Q521" s="2" t="n">
        <v>43121</v>
      </c>
      <c r="S521" s="0" t="n">
        <f aca="false">YEAR(Q521)</f>
        <v>2018</v>
      </c>
      <c r="T521" s="0" t="n">
        <f aca="false">MONTH(Q521)</f>
        <v>1</v>
      </c>
    </row>
    <row r="522" customFormat="false" ht="14.25" hidden="true" customHeight="false" outlineLevel="0" collapsed="false">
      <c r="A522" s="0" t="n">
        <v>521</v>
      </c>
      <c r="B522" s="1" t="s">
        <v>670</v>
      </c>
      <c r="C522" s="1" t="s">
        <v>1479</v>
      </c>
      <c r="D522" s="1" t="s">
        <v>1535</v>
      </c>
      <c r="E522" s="0" t="s">
        <v>39</v>
      </c>
      <c r="F522" s="0" t="s">
        <v>48</v>
      </c>
      <c r="G522" s="0" t="s">
        <v>5238</v>
      </c>
      <c r="I522" s="6" t="n">
        <v>0.265277777777778</v>
      </c>
      <c r="J522" s="6" t="n">
        <v>0.291666666666667</v>
      </c>
      <c r="L522" s="0" t="n">
        <v>360</v>
      </c>
      <c r="M522" s="0" t="s">
        <v>4437</v>
      </c>
      <c r="N522" s="0" t="s">
        <v>5239</v>
      </c>
      <c r="P522" s="0" t="s">
        <v>5240</v>
      </c>
      <c r="Q522" s="2" t="n">
        <v>43119</v>
      </c>
      <c r="S522" s="0" t="n">
        <f aca="false">YEAR(Q522)</f>
        <v>2018</v>
      </c>
      <c r="T522" s="0" t="n">
        <f aca="false">MONTH(Q522)</f>
        <v>1</v>
      </c>
    </row>
    <row r="523" customFormat="false" ht="14.25" hidden="true" customHeight="false" outlineLevel="0" collapsed="false">
      <c r="A523" s="0" t="n">
        <v>522</v>
      </c>
      <c r="B523" s="1" t="s">
        <v>670</v>
      </c>
      <c r="C523" s="1" t="s">
        <v>1479</v>
      </c>
      <c r="D523" s="1" t="s">
        <v>1487</v>
      </c>
      <c r="E523" s="0" t="s">
        <v>1488</v>
      </c>
      <c r="F523" s="0" t="s">
        <v>49</v>
      </c>
      <c r="G523" s="0" t="s">
        <v>5241</v>
      </c>
      <c r="I523" s="6" t="n">
        <v>0.916666666666667</v>
      </c>
      <c r="J523" s="6" t="n">
        <v>0.923611111111111</v>
      </c>
      <c r="M523" s="0" t="s">
        <v>5242</v>
      </c>
      <c r="N523" s="0" t="s">
        <v>5243</v>
      </c>
      <c r="P523" s="0" t="s">
        <v>5244</v>
      </c>
      <c r="Q523" s="2" t="n">
        <v>43119</v>
      </c>
      <c r="S523" s="0" t="n">
        <f aca="false">YEAR(Q523)</f>
        <v>2018</v>
      </c>
      <c r="T523" s="0" t="n">
        <f aca="false">MONTH(Q523)</f>
        <v>1</v>
      </c>
    </row>
    <row r="524" customFormat="false" ht="14.25" hidden="true" customHeight="false" outlineLevel="0" collapsed="false">
      <c r="A524" s="0" t="n">
        <v>523</v>
      </c>
      <c r="B524" s="1" t="s">
        <v>674</v>
      </c>
      <c r="C524" s="1" t="s">
        <v>1503</v>
      </c>
      <c r="D524" s="1" t="s">
        <v>1535</v>
      </c>
      <c r="E524" s="0" t="s">
        <v>44</v>
      </c>
      <c r="F524" s="0" t="s">
        <v>48</v>
      </c>
      <c r="G524" s="0" t="s">
        <v>5245</v>
      </c>
      <c r="I524" s="6" t="n">
        <v>0.5</v>
      </c>
      <c r="J524" s="6" t="n">
        <v>0.513888888888889</v>
      </c>
      <c r="L524" s="0" t="n">
        <v>30</v>
      </c>
      <c r="M524" s="0" t="s">
        <v>5246</v>
      </c>
      <c r="N524" s="0" t="s">
        <v>5247</v>
      </c>
      <c r="P524" s="0" t="s">
        <v>5248</v>
      </c>
      <c r="Q524" s="2" t="n">
        <v>43118</v>
      </c>
      <c r="S524" s="0" t="n">
        <f aca="false">YEAR(Q524)</f>
        <v>2018</v>
      </c>
      <c r="T524" s="0" t="n">
        <f aca="false">MONTH(Q524)</f>
        <v>1</v>
      </c>
    </row>
    <row r="525" customFormat="false" ht="14.25" hidden="true" customHeight="false" outlineLevel="0" collapsed="false">
      <c r="A525" s="0" t="n">
        <v>524</v>
      </c>
      <c r="B525" s="1" t="s">
        <v>674</v>
      </c>
      <c r="C525" s="1" t="s">
        <v>1503</v>
      </c>
      <c r="D525" s="1" t="s">
        <v>1535</v>
      </c>
      <c r="E525" s="0" t="s">
        <v>44</v>
      </c>
      <c r="F525" s="0" t="s">
        <v>48</v>
      </c>
      <c r="G525" s="0" t="s">
        <v>4922</v>
      </c>
      <c r="J525" s="6" t="n">
        <v>0.541666666666667</v>
      </c>
      <c r="L525" s="0" t="n">
        <v>5</v>
      </c>
      <c r="M525" s="0" t="s">
        <v>5249</v>
      </c>
      <c r="N525" s="0" t="s">
        <v>5250</v>
      </c>
      <c r="P525" s="0" t="s">
        <v>5251</v>
      </c>
      <c r="Q525" s="2" t="n">
        <v>43118</v>
      </c>
      <c r="S525" s="0" t="n">
        <f aca="false">YEAR(Q525)</f>
        <v>2018</v>
      </c>
      <c r="T525" s="0" t="n">
        <f aca="false">MONTH(Q525)</f>
        <v>1</v>
      </c>
    </row>
    <row r="526" customFormat="false" ht="14.25" hidden="true" customHeight="false" outlineLevel="0" collapsed="false">
      <c r="A526" s="0" t="n">
        <v>525</v>
      </c>
      <c r="B526" s="1" t="s">
        <v>674</v>
      </c>
      <c r="C526" s="1" t="s">
        <v>1479</v>
      </c>
      <c r="D526" s="1" t="s">
        <v>1535</v>
      </c>
      <c r="E526" s="0" t="s">
        <v>39</v>
      </c>
      <c r="F526" s="0" t="s">
        <v>49</v>
      </c>
      <c r="G526" s="0" t="s">
        <v>5252</v>
      </c>
      <c r="M526" s="0" t="s">
        <v>5253</v>
      </c>
      <c r="N526" s="0" t="s">
        <v>4484</v>
      </c>
      <c r="P526" s="0" t="s">
        <v>5254</v>
      </c>
      <c r="Q526" s="2" t="n">
        <v>43118</v>
      </c>
      <c r="S526" s="0" t="n">
        <f aca="false">YEAR(Q526)</f>
        <v>2018</v>
      </c>
      <c r="T526" s="0" t="n">
        <f aca="false">MONTH(Q526)</f>
        <v>1</v>
      </c>
    </row>
    <row r="527" customFormat="false" ht="14.25" hidden="true" customHeight="false" outlineLevel="0" collapsed="false">
      <c r="A527" s="0" t="n">
        <v>526</v>
      </c>
      <c r="B527" s="1" t="s">
        <v>674</v>
      </c>
      <c r="C527" s="1" t="s">
        <v>1479</v>
      </c>
      <c r="D527" s="1" t="s">
        <v>1535</v>
      </c>
      <c r="E527" s="0" t="s">
        <v>39</v>
      </c>
      <c r="F527" s="0" t="s">
        <v>49</v>
      </c>
      <c r="G527" s="0" t="s">
        <v>5255</v>
      </c>
      <c r="I527" s="6" t="n">
        <v>0.770833333333333</v>
      </c>
      <c r="J527" s="6" t="n">
        <v>0.777777777777778</v>
      </c>
      <c r="L527" s="0" t="n">
        <v>30</v>
      </c>
      <c r="M527" s="0" t="s">
        <v>5256</v>
      </c>
      <c r="N527" s="0" t="s">
        <v>4484</v>
      </c>
      <c r="P527" s="0" t="s">
        <v>5257</v>
      </c>
      <c r="Q527" s="2" t="n">
        <v>43118</v>
      </c>
      <c r="S527" s="0" t="n">
        <f aca="false">YEAR(Q527)</f>
        <v>2018</v>
      </c>
      <c r="T527" s="0" t="n">
        <f aca="false">MONTH(Q527)</f>
        <v>1</v>
      </c>
    </row>
    <row r="528" customFormat="false" ht="14.25" hidden="true" customHeight="false" outlineLevel="0" collapsed="false">
      <c r="A528" s="0" t="n">
        <v>527</v>
      </c>
      <c r="B528" s="1" t="s">
        <v>674</v>
      </c>
      <c r="C528" s="1" t="s">
        <v>1479</v>
      </c>
      <c r="D528" s="1" t="s">
        <v>1863</v>
      </c>
      <c r="E528" s="0" t="s">
        <v>1863</v>
      </c>
      <c r="F528" s="0" t="s">
        <v>49</v>
      </c>
      <c r="G528" s="0" t="s">
        <v>5258</v>
      </c>
      <c r="I528" s="6" t="n">
        <v>0.791666666666667</v>
      </c>
      <c r="J528" s="6" t="n">
        <v>0.819444444444444</v>
      </c>
      <c r="L528" s="0" t="n">
        <v>60</v>
      </c>
      <c r="M528" s="0" t="s">
        <v>5259</v>
      </c>
      <c r="N528" s="0" t="s">
        <v>5260</v>
      </c>
      <c r="P528" s="0" t="s">
        <v>5261</v>
      </c>
      <c r="Q528" s="2" t="n">
        <v>43118</v>
      </c>
      <c r="S528" s="0" t="n">
        <f aca="false">YEAR(Q528)</f>
        <v>2018</v>
      </c>
      <c r="T528" s="0" t="n">
        <f aca="false">MONTH(Q528)</f>
        <v>1</v>
      </c>
    </row>
    <row r="529" customFormat="false" ht="42.75" hidden="true" customHeight="false" outlineLevel="0" collapsed="false">
      <c r="A529" s="0" t="n">
        <v>528</v>
      </c>
      <c r="B529" s="1" t="s">
        <v>674</v>
      </c>
      <c r="C529" s="1" t="s">
        <v>1479</v>
      </c>
      <c r="D529" s="1" t="s">
        <v>1535</v>
      </c>
      <c r="E529" s="0" t="s">
        <v>39</v>
      </c>
      <c r="F529" s="0" t="s">
        <v>50</v>
      </c>
      <c r="G529" s="0" t="s">
        <v>4233</v>
      </c>
      <c r="I529" s="6" t="n">
        <v>0.00416666666666667</v>
      </c>
      <c r="J529" s="6" t="n">
        <v>0.00694444444444444</v>
      </c>
      <c r="K529" s="0" t="n">
        <v>25</v>
      </c>
      <c r="L529" s="0" t="n">
        <v>12</v>
      </c>
      <c r="M529" s="0" t="s">
        <v>5262</v>
      </c>
      <c r="N529" s="7" t="s">
        <v>5263</v>
      </c>
      <c r="O529" s="7"/>
      <c r="P529" s="7" t="s">
        <v>5264</v>
      </c>
      <c r="Q529" s="2" t="n">
        <v>43118</v>
      </c>
      <c r="S529" s="0" t="n">
        <f aca="false">YEAR(Q529)</f>
        <v>2018</v>
      </c>
      <c r="T529" s="0" t="n">
        <f aca="false">MONTH(Q529)</f>
        <v>1</v>
      </c>
    </row>
    <row r="530" customFormat="false" ht="42.75" hidden="true" customHeight="false" outlineLevel="0" collapsed="false">
      <c r="A530" s="0" t="n">
        <v>529</v>
      </c>
      <c r="B530" s="1" t="s">
        <v>674</v>
      </c>
      <c r="C530" s="1" t="s">
        <v>1479</v>
      </c>
      <c r="D530" s="1" t="s">
        <v>1487</v>
      </c>
      <c r="E530" s="4" t="s">
        <v>1488</v>
      </c>
      <c r="F530" s="0" t="s">
        <v>50</v>
      </c>
      <c r="G530" s="0" t="s">
        <v>5265</v>
      </c>
      <c r="I530" s="6" t="n">
        <v>0.108333333333333</v>
      </c>
      <c r="J530" s="6" t="n">
        <v>0.118055555555556</v>
      </c>
      <c r="K530" s="0" t="n">
        <v>30</v>
      </c>
      <c r="L530" s="0" t="n">
        <v>33</v>
      </c>
      <c r="M530" s="0" t="s">
        <v>5266</v>
      </c>
      <c r="N530" s="0" t="s">
        <v>5267</v>
      </c>
      <c r="P530" s="7" t="s">
        <v>5268</v>
      </c>
      <c r="Q530" s="2" t="n">
        <v>43118</v>
      </c>
      <c r="S530" s="0" t="n">
        <f aca="false">YEAR(Q530)</f>
        <v>2018</v>
      </c>
      <c r="T530" s="0" t="n">
        <f aca="false">MONTH(Q530)</f>
        <v>1</v>
      </c>
    </row>
    <row r="531" customFormat="false" ht="14.25" hidden="true" customHeight="false" outlineLevel="0" collapsed="false">
      <c r="A531" s="0" t="n">
        <v>530</v>
      </c>
      <c r="B531" s="1" t="s">
        <v>677</v>
      </c>
      <c r="C531" s="1" t="s">
        <v>1503</v>
      </c>
      <c r="D531" s="1" t="s">
        <v>1535</v>
      </c>
      <c r="E531" s="0" t="s">
        <v>44</v>
      </c>
      <c r="F531" s="0" t="s">
        <v>48</v>
      </c>
      <c r="G531" s="0" t="s">
        <v>5269</v>
      </c>
      <c r="I531" s="6" t="n">
        <v>0.236111111111111</v>
      </c>
      <c r="J531" s="6" t="n">
        <v>0.25</v>
      </c>
      <c r="L531" s="0" t="n">
        <v>20</v>
      </c>
      <c r="M531" s="0" t="s">
        <v>5270</v>
      </c>
      <c r="N531" s="0" t="s">
        <v>5271</v>
      </c>
      <c r="P531" s="0" t="s">
        <v>5272</v>
      </c>
      <c r="Q531" s="2" t="n">
        <v>43122</v>
      </c>
      <c r="S531" s="0" t="n">
        <f aca="false">YEAR(Q531)</f>
        <v>2018</v>
      </c>
      <c r="T531" s="0" t="n">
        <f aca="false">MONTH(Q531)</f>
        <v>1</v>
      </c>
    </row>
    <row r="532" customFormat="false" ht="14.25" hidden="true" customHeight="false" outlineLevel="0" collapsed="false">
      <c r="A532" s="0" t="n">
        <v>531</v>
      </c>
      <c r="B532" s="1" t="s">
        <v>677</v>
      </c>
      <c r="C532" s="1" t="s">
        <v>1503</v>
      </c>
      <c r="D532" s="1" t="s">
        <v>1535</v>
      </c>
      <c r="E532" s="0" t="s">
        <v>44</v>
      </c>
      <c r="F532" s="0" t="s">
        <v>48</v>
      </c>
      <c r="G532" s="0" t="s">
        <v>5273</v>
      </c>
      <c r="I532" s="6" t="n">
        <v>0.3125</v>
      </c>
      <c r="J532" s="6" t="n">
        <v>0.322916666666667</v>
      </c>
      <c r="L532" s="0" t="n">
        <v>30</v>
      </c>
      <c r="M532" s="0" t="s">
        <v>5274</v>
      </c>
      <c r="N532" s="0" t="s">
        <v>5275</v>
      </c>
      <c r="P532" s="0" t="s">
        <v>5276</v>
      </c>
      <c r="Q532" s="2" t="n">
        <v>43122</v>
      </c>
      <c r="S532" s="0" t="n">
        <f aca="false">YEAR(Q532)</f>
        <v>2018</v>
      </c>
      <c r="T532" s="0" t="n">
        <f aca="false">MONTH(Q532)</f>
        <v>1</v>
      </c>
    </row>
    <row r="533" customFormat="false" ht="14.25" hidden="true" customHeight="false" outlineLevel="0" collapsed="false">
      <c r="A533" s="0" t="n">
        <v>532</v>
      </c>
      <c r="B533" s="1" t="s">
        <v>677</v>
      </c>
      <c r="C533" s="1" t="s">
        <v>1479</v>
      </c>
      <c r="D533" s="1" t="s">
        <v>1487</v>
      </c>
      <c r="E533" s="0" t="s">
        <v>1488</v>
      </c>
      <c r="F533" s="0" t="s">
        <v>49</v>
      </c>
      <c r="G533" s="0" t="s">
        <v>5277</v>
      </c>
      <c r="I533" s="6" t="n">
        <v>0.638888888888889</v>
      </c>
      <c r="J533" s="6" t="n">
        <v>0.626388888888889</v>
      </c>
      <c r="M533" s="0" t="s">
        <v>5278</v>
      </c>
      <c r="N533" s="0" t="s">
        <v>5279</v>
      </c>
      <c r="P533" s="0" t="s">
        <v>5280</v>
      </c>
      <c r="Q533" s="2" t="n">
        <v>43122</v>
      </c>
      <c r="S533" s="0" t="n">
        <f aca="false">YEAR(Q533)</f>
        <v>2018</v>
      </c>
      <c r="T533" s="0" t="n">
        <f aca="false">MONTH(Q533)</f>
        <v>1</v>
      </c>
    </row>
    <row r="534" customFormat="false" ht="14.25" hidden="true" customHeight="false" outlineLevel="0" collapsed="false">
      <c r="A534" s="0" t="n">
        <v>533</v>
      </c>
      <c r="B534" s="1" t="s">
        <v>677</v>
      </c>
      <c r="C534" s="1" t="s">
        <v>1479</v>
      </c>
      <c r="D534" s="1" t="s">
        <v>1535</v>
      </c>
      <c r="E534" s="0" t="s">
        <v>39</v>
      </c>
      <c r="F534" s="0" t="s">
        <v>49</v>
      </c>
      <c r="G534" s="0" t="s">
        <v>5281</v>
      </c>
      <c r="I534" s="6" t="n">
        <v>0.701388888888889</v>
      </c>
      <c r="J534" s="6" t="n">
        <v>0.708333333333333</v>
      </c>
      <c r="L534" s="0" t="n">
        <v>60</v>
      </c>
      <c r="M534" s="0" t="s">
        <v>5282</v>
      </c>
      <c r="N534" s="0" t="s">
        <v>5283</v>
      </c>
      <c r="P534" s="0" t="s">
        <v>5284</v>
      </c>
      <c r="Q534" s="2" t="n">
        <v>43122</v>
      </c>
      <c r="S534" s="0" t="n">
        <f aca="false">YEAR(Q534)</f>
        <v>2018</v>
      </c>
      <c r="T534" s="0" t="n">
        <f aca="false">MONTH(Q534)</f>
        <v>1</v>
      </c>
    </row>
    <row r="535" customFormat="false" ht="14.25" hidden="true" customHeight="false" outlineLevel="0" collapsed="false">
      <c r="A535" s="0" t="n">
        <v>534</v>
      </c>
      <c r="B535" s="1" t="s">
        <v>677</v>
      </c>
      <c r="C535" s="1" t="s">
        <v>1503</v>
      </c>
      <c r="D535" s="1" t="s">
        <v>1504</v>
      </c>
      <c r="E535" s="0" t="s">
        <v>45</v>
      </c>
      <c r="F535" s="0" t="s">
        <v>49</v>
      </c>
      <c r="G535" s="0" t="s">
        <v>5285</v>
      </c>
      <c r="I535" s="6" t="n">
        <v>0.6875</v>
      </c>
      <c r="J535" s="6" t="n">
        <v>0.694444444444444</v>
      </c>
      <c r="M535" s="0" t="s">
        <v>5286</v>
      </c>
      <c r="N535" s="0" t="s">
        <v>4484</v>
      </c>
      <c r="P535" s="0" t="s">
        <v>5287</v>
      </c>
      <c r="Q535" s="2" t="n">
        <v>43122</v>
      </c>
      <c r="S535" s="0" t="n">
        <f aca="false">YEAR(Q535)</f>
        <v>2018</v>
      </c>
      <c r="T535" s="0" t="n">
        <f aca="false">MONTH(Q535)</f>
        <v>1</v>
      </c>
    </row>
    <row r="536" customFormat="false" ht="14.25" hidden="true" customHeight="false" outlineLevel="0" collapsed="false">
      <c r="A536" s="0" t="n">
        <v>535</v>
      </c>
      <c r="B536" s="1" t="s">
        <v>677</v>
      </c>
      <c r="C536" s="1" t="s">
        <v>1479</v>
      </c>
      <c r="D536" s="1" t="s">
        <v>1535</v>
      </c>
      <c r="E536" s="0" t="s">
        <v>39</v>
      </c>
      <c r="F536" s="0" t="s">
        <v>49</v>
      </c>
      <c r="G536" s="0" t="s">
        <v>5288</v>
      </c>
      <c r="I536" s="6" t="n">
        <v>0.895833333333333</v>
      </c>
      <c r="J536" s="6" t="n">
        <v>0.902777777777778</v>
      </c>
      <c r="M536" s="0" t="s">
        <v>5289</v>
      </c>
      <c r="N536" s="0" t="s">
        <v>5290</v>
      </c>
      <c r="P536" s="0" t="s">
        <v>5291</v>
      </c>
      <c r="Q536" s="2" t="n">
        <v>43122</v>
      </c>
      <c r="S536" s="0" t="n">
        <f aca="false">YEAR(Q536)</f>
        <v>2018</v>
      </c>
      <c r="T536" s="0" t="n">
        <f aca="false">MONTH(Q536)</f>
        <v>1</v>
      </c>
    </row>
    <row r="537" customFormat="false" ht="42.75" hidden="true" customHeight="false" outlineLevel="0" collapsed="false">
      <c r="A537" s="0" t="n">
        <v>536</v>
      </c>
      <c r="B537" s="1" t="s">
        <v>677</v>
      </c>
      <c r="C537" s="1" t="s">
        <v>1479</v>
      </c>
      <c r="D537" s="1" t="s">
        <v>1487</v>
      </c>
      <c r="E537" s="0" t="s">
        <v>1488</v>
      </c>
      <c r="F537" s="0" t="s">
        <v>50</v>
      </c>
      <c r="G537" s="0" t="s">
        <v>5292</v>
      </c>
      <c r="I537" s="6" t="n">
        <v>0.0347222222222222</v>
      </c>
      <c r="J537" s="6" t="n">
        <v>0.0625</v>
      </c>
      <c r="K537" s="0" t="n">
        <v>150</v>
      </c>
      <c r="L537" s="0" t="n">
        <v>150</v>
      </c>
      <c r="M537" s="0" t="s">
        <v>5293</v>
      </c>
      <c r="N537" s="7" t="s">
        <v>5294</v>
      </c>
      <c r="O537" s="7"/>
      <c r="P537" s="0" t="s">
        <v>5295</v>
      </c>
      <c r="Q537" s="2" t="n">
        <v>43122</v>
      </c>
      <c r="S537" s="0" t="n">
        <f aca="false">YEAR(Q537)</f>
        <v>2018</v>
      </c>
      <c r="T537" s="0" t="n">
        <f aca="false">MONTH(Q537)</f>
        <v>1</v>
      </c>
    </row>
    <row r="538" customFormat="false" ht="14.25" hidden="true" customHeight="false" outlineLevel="0" collapsed="false">
      <c r="A538" s="0" t="n">
        <v>537</v>
      </c>
      <c r="B538" s="1" t="s">
        <v>680</v>
      </c>
      <c r="C538" s="1" t="s">
        <v>1479</v>
      </c>
      <c r="D538" s="1" t="s">
        <v>1487</v>
      </c>
      <c r="E538" s="0" t="s">
        <v>1488</v>
      </c>
      <c r="F538" s="0" t="s">
        <v>48</v>
      </c>
      <c r="G538" s="0" t="s">
        <v>5296</v>
      </c>
      <c r="J538" s="6" t="n">
        <v>0.305555555555555</v>
      </c>
      <c r="K538" s="0" t="n">
        <v>0</v>
      </c>
      <c r="M538" s="0" t="s">
        <v>5297</v>
      </c>
      <c r="N538" s="0" t="s">
        <v>5298</v>
      </c>
      <c r="P538" s="0" t="s">
        <v>3545</v>
      </c>
      <c r="Q538" s="2" t="n">
        <v>43123</v>
      </c>
      <c r="S538" s="0" t="n">
        <f aca="false">YEAR(Q538)</f>
        <v>2018</v>
      </c>
      <c r="T538" s="0" t="n">
        <f aca="false">MONTH(Q538)</f>
        <v>1</v>
      </c>
    </row>
    <row r="539" customFormat="false" ht="14.25" hidden="true" customHeight="false" outlineLevel="0" collapsed="false">
      <c r="A539" s="0" t="n">
        <v>538</v>
      </c>
      <c r="B539" s="1" t="s">
        <v>680</v>
      </c>
      <c r="C539" s="1" t="s">
        <v>1479</v>
      </c>
      <c r="D539" s="1" t="s">
        <v>1487</v>
      </c>
      <c r="E539" s="0" t="s">
        <v>1488</v>
      </c>
      <c r="F539" s="0" t="s">
        <v>49</v>
      </c>
      <c r="G539" s="0" t="s">
        <v>5299</v>
      </c>
      <c r="I539" s="6" t="n">
        <v>0.618055555555556</v>
      </c>
      <c r="J539" s="6" t="n">
        <v>0.625</v>
      </c>
      <c r="M539" s="0" t="s">
        <v>5300</v>
      </c>
      <c r="N539" s="0" t="s">
        <v>5301</v>
      </c>
      <c r="P539" s="0" t="s">
        <v>5302</v>
      </c>
      <c r="Q539" s="2" t="n">
        <v>43123</v>
      </c>
      <c r="S539" s="0" t="n">
        <f aca="false">YEAR(Q539)</f>
        <v>2018</v>
      </c>
      <c r="T539" s="0" t="n">
        <f aca="false">MONTH(Q539)</f>
        <v>1</v>
      </c>
    </row>
    <row r="540" customFormat="false" ht="14.25" hidden="true" customHeight="false" outlineLevel="0" collapsed="false">
      <c r="A540" s="0" t="n">
        <v>539</v>
      </c>
      <c r="B540" s="1" t="s">
        <v>680</v>
      </c>
      <c r="C540" s="1" t="s">
        <v>1479</v>
      </c>
      <c r="D540" s="1" t="s">
        <v>1535</v>
      </c>
      <c r="E540" s="0" t="s">
        <v>39</v>
      </c>
      <c r="F540" s="0" t="s">
        <v>49</v>
      </c>
      <c r="G540" s="0" t="s">
        <v>5281</v>
      </c>
      <c r="I540" s="6" t="n">
        <v>0.701388888888889</v>
      </c>
      <c r="J540" s="6" t="n">
        <v>0.708333333333333</v>
      </c>
      <c r="L540" s="0" t="n">
        <v>60</v>
      </c>
      <c r="M540" s="0" t="s">
        <v>5282</v>
      </c>
      <c r="N540" s="0" t="s">
        <v>5303</v>
      </c>
      <c r="P540" s="0" t="s">
        <v>5304</v>
      </c>
      <c r="Q540" s="2" t="n">
        <v>43123</v>
      </c>
      <c r="S540" s="0" t="n">
        <f aca="false">YEAR(Q540)</f>
        <v>2018</v>
      </c>
      <c r="T540" s="0" t="n">
        <f aca="false">MONTH(Q540)</f>
        <v>1</v>
      </c>
    </row>
    <row r="541" customFormat="false" ht="14.25" hidden="true" customHeight="false" outlineLevel="0" collapsed="false">
      <c r="A541" s="0" t="n">
        <v>540</v>
      </c>
      <c r="B541" s="1" t="s">
        <v>680</v>
      </c>
      <c r="C541" s="1" t="s">
        <v>1479</v>
      </c>
      <c r="D541" s="1" t="s">
        <v>1535</v>
      </c>
      <c r="E541" s="0" t="s">
        <v>39</v>
      </c>
      <c r="F541" s="0" t="s">
        <v>49</v>
      </c>
      <c r="G541" s="0" t="s">
        <v>5162</v>
      </c>
      <c r="I541" s="6" t="n">
        <v>0.770833333333333</v>
      </c>
      <c r="J541" s="6" t="n">
        <v>0.770833333333333</v>
      </c>
      <c r="M541" s="0" t="s">
        <v>5305</v>
      </c>
      <c r="N541" s="0" t="s">
        <v>4669</v>
      </c>
      <c r="P541" s="0" t="s">
        <v>5306</v>
      </c>
      <c r="Q541" s="2" t="n">
        <v>43123</v>
      </c>
      <c r="S541" s="0" t="n">
        <f aca="false">YEAR(Q541)</f>
        <v>2018</v>
      </c>
      <c r="T541" s="0" t="n">
        <f aca="false">MONTH(Q541)</f>
        <v>1</v>
      </c>
    </row>
    <row r="542" customFormat="false" ht="14.25" hidden="true" customHeight="false" outlineLevel="0" collapsed="false">
      <c r="A542" s="0" t="n">
        <v>541</v>
      </c>
      <c r="B542" s="1" t="s">
        <v>680</v>
      </c>
      <c r="C542" s="1" t="s">
        <v>1479</v>
      </c>
      <c r="D542" s="1" t="s">
        <v>1535</v>
      </c>
      <c r="E542" s="0" t="s">
        <v>39</v>
      </c>
      <c r="F542" s="0" t="s">
        <v>49</v>
      </c>
      <c r="G542" s="0" t="s">
        <v>5307</v>
      </c>
      <c r="M542" s="0" t="s">
        <v>5253</v>
      </c>
      <c r="N542" s="0" t="s">
        <v>5308</v>
      </c>
      <c r="P542" s="0" t="s">
        <v>5309</v>
      </c>
      <c r="Q542" s="2" t="n">
        <v>43123</v>
      </c>
      <c r="S542" s="0" t="n">
        <f aca="false">YEAR(Q542)</f>
        <v>2018</v>
      </c>
      <c r="T542" s="0" t="n">
        <f aca="false">MONTH(Q542)</f>
        <v>1</v>
      </c>
    </row>
    <row r="543" customFormat="false" ht="14.25" hidden="true" customHeight="false" outlineLevel="0" collapsed="false">
      <c r="A543" s="0" t="n">
        <v>542</v>
      </c>
      <c r="B543" s="1" t="s">
        <v>680</v>
      </c>
      <c r="C543" s="1" t="s">
        <v>1479</v>
      </c>
      <c r="D543" s="1" t="s">
        <v>1535</v>
      </c>
      <c r="E543" s="0" t="s">
        <v>39</v>
      </c>
      <c r="F543" s="0" t="s">
        <v>50</v>
      </c>
      <c r="G543" s="0" t="s">
        <v>5310</v>
      </c>
      <c r="I543" s="6" t="n">
        <v>0.118055555555556</v>
      </c>
      <c r="J543" s="6" t="n">
        <v>0.125</v>
      </c>
      <c r="K543" s="0" t="n">
        <v>0</v>
      </c>
      <c r="L543" s="0" t="n">
        <v>60</v>
      </c>
      <c r="M543" s="0" t="s">
        <v>5311</v>
      </c>
      <c r="N543" s="0" t="s">
        <v>5312</v>
      </c>
      <c r="P543" s="0" t="s">
        <v>5313</v>
      </c>
      <c r="Q543" s="2" t="n">
        <v>43123</v>
      </c>
      <c r="S543" s="0" t="n">
        <f aca="false">YEAR(Q543)</f>
        <v>2018</v>
      </c>
      <c r="T543" s="0" t="n">
        <f aca="false">MONTH(Q543)</f>
        <v>1</v>
      </c>
    </row>
    <row r="544" customFormat="false" ht="14.25" hidden="true" customHeight="false" outlineLevel="0" collapsed="false">
      <c r="A544" s="0" t="n">
        <v>543</v>
      </c>
      <c r="B544" s="1" t="s">
        <v>680</v>
      </c>
      <c r="C544" s="1" t="s">
        <v>1479</v>
      </c>
      <c r="D544" s="1" t="s">
        <v>1535</v>
      </c>
      <c r="E544" s="0" t="s">
        <v>39</v>
      </c>
      <c r="F544" s="0" t="s">
        <v>50</v>
      </c>
      <c r="G544" s="0" t="s">
        <v>5314</v>
      </c>
      <c r="I544" s="6" t="n">
        <v>0.135416666666667</v>
      </c>
      <c r="J544" s="6" t="n">
        <v>0.138888888888889</v>
      </c>
      <c r="K544" s="0" t="n">
        <v>0</v>
      </c>
      <c r="M544" s="0" t="s">
        <v>5315</v>
      </c>
      <c r="N544" s="0" t="s">
        <v>5316</v>
      </c>
      <c r="P544" s="0" t="s">
        <v>5317</v>
      </c>
      <c r="Q544" s="2" t="n">
        <v>43123</v>
      </c>
      <c r="S544" s="0" t="n">
        <f aca="false">YEAR(Q544)</f>
        <v>2018</v>
      </c>
      <c r="T544" s="0" t="n">
        <f aca="false">MONTH(Q544)</f>
        <v>1</v>
      </c>
    </row>
    <row r="545" customFormat="false" ht="14.25" hidden="true" customHeight="false" outlineLevel="0" collapsed="false">
      <c r="A545" s="0" t="n">
        <v>544</v>
      </c>
      <c r="B545" s="1" t="s">
        <v>683</v>
      </c>
      <c r="C545" s="1" t="s">
        <v>1479</v>
      </c>
      <c r="D545" s="1" t="s">
        <v>1535</v>
      </c>
      <c r="E545" s="0" t="s">
        <v>39</v>
      </c>
      <c r="F545" s="0" t="s">
        <v>48</v>
      </c>
      <c r="G545" s="0" t="s">
        <v>5318</v>
      </c>
      <c r="I545" s="6" t="n">
        <v>0.243055555555556</v>
      </c>
      <c r="J545" s="6" t="n">
        <v>0.270833333333333</v>
      </c>
      <c r="K545" s="0" t="n">
        <v>20</v>
      </c>
      <c r="L545" s="0" t="n">
        <v>45</v>
      </c>
      <c r="M545" s="0" t="s">
        <v>5319</v>
      </c>
      <c r="N545" s="0" t="s">
        <v>5320</v>
      </c>
      <c r="P545" s="0" t="s">
        <v>5321</v>
      </c>
      <c r="Q545" s="2" t="n">
        <v>43124</v>
      </c>
      <c r="S545" s="0" t="n">
        <f aca="false">YEAR(Q545)</f>
        <v>2018</v>
      </c>
      <c r="T545" s="0" t="n">
        <f aca="false">MONTH(Q545)</f>
        <v>1</v>
      </c>
    </row>
    <row r="546" customFormat="false" ht="14.25" hidden="true" customHeight="false" outlineLevel="0" collapsed="false">
      <c r="A546" s="0" t="n">
        <v>545</v>
      </c>
      <c r="B546" s="1" t="s">
        <v>683</v>
      </c>
      <c r="C546" s="1" t="s">
        <v>1503</v>
      </c>
      <c r="D546" s="1" t="s">
        <v>1535</v>
      </c>
      <c r="E546" s="0" t="s">
        <v>44</v>
      </c>
      <c r="F546" s="0" t="s">
        <v>48</v>
      </c>
      <c r="G546" s="0" t="s">
        <v>4342</v>
      </c>
      <c r="I546" s="6" t="n">
        <v>0.375</v>
      </c>
      <c r="J546" s="6" t="n">
        <v>0.388888888888889</v>
      </c>
      <c r="L546" s="0" t="n">
        <v>20</v>
      </c>
      <c r="M546" s="0" t="s">
        <v>5322</v>
      </c>
      <c r="N546" s="0" t="s">
        <v>5323</v>
      </c>
      <c r="P546" s="0" t="s">
        <v>5324</v>
      </c>
      <c r="Q546" s="2" t="n">
        <v>43124</v>
      </c>
      <c r="S546" s="0" t="n">
        <f aca="false">YEAR(Q546)</f>
        <v>2018</v>
      </c>
      <c r="T546" s="0" t="n">
        <f aca="false">MONTH(Q546)</f>
        <v>1</v>
      </c>
    </row>
    <row r="547" customFormat="false" ht="14.25" hidden="true" customHeight="false" outlineLevel="0" collapsed="false">
      <c r="A547" s="0" t="n">
        <v>546</v>
      </c>
      <c r="B547" s="1" t="s">
        <v>683</v>
      </c>
      <c r="C547" s="1" t="s">
        <v>1503</v>
      </c>
      <c r="D547" s="1" t="s">
        <v>1535</v>
      </c>
      <c r="E547" s="0" t="s">
        <v>44</v>
      </c>
      <c r="F547" s="0" t="s">
        <v>48</v>
      </c>
      <c r="G547" s="0" t="s">
        <v>4342</v>
      </c>
      <c r="I547" s="6" t="n">
        <v>0.430555555555556</v>
      </c>
      <c r="J547" s="6" t="n">
        <v>0.444444444444444</v>
      </c>
      <c r="L547" s="0" t="n">
        <v>20</v>
      </c>
      <c r="M547" s="0" t="s">
        <v>5325</v>
      </c>
      <c r="N547" s="0" t="s">
        <v>5326</v>
      </c>
      <c r="P547" s="0" t="s">
        <v>5327</v>
      </c>
      <c r="Q547" s="2" t="n">
        <v>43124</v>
      </c>
      <c r="S547" s="0" t="n">
        <f aca="false">YEAR(Q547)</f>
        <v>2018</v>
      </c>
      <c r="T547" s="0" t="n">
        <f aca="false">MONTH(Q547)</f>
        <v>1</v>
      </c>
    </row>
    <row r="548" customFormat="false" ht="14.25" hidden="true" customHeight="false" outlineLevel="0" collapsed="false">
      <c r="A548" s="0" t="n">
        <v>547</v>
      </c>
      <c r="B548" s="1" t="s">
        <v>683</v>
      </c>
      <c r="C548" s="1" t="s">
        <v>1495</v>
      </c>
      <c r="D548" s="1" t="s">
        <v>1487</v>
      </c>
      <c r="E548" s="0" t="s">
        <v>40</v>
      </c>
      <c r="F548" s="0" t="s">
        <v>48</v>
      </c>
      <c r="G548" s="0" t="s">
        <v>5328</v>
      </c>
      <c r="I548" s="6" t="n">
        <v>0.508333333333333</v>
      </c>
      <c r="J548" s="6" t="n">
        <v>0.527777777777778</v>
      </c>
      <c r="L548" s="0" t="n">
        <v>30</v>
      </c>
      <c r="M548" s="0" t="s">
        <v>5329</v>
      </c>
      <c r="N548" s="0" t="s">
        <v>5330</v>
      </c>
      <c r="P548" s="0" t="s">
        <v>5331</v>
      </c>
      <c r="Q548" s="2" t="n">
        <v>43124</v>
      </c>
      <c r="S548" s="0" t="n">
        <f aca="false">YEAR(Q548)</f>
        <v>2018</v>
      </c>
      <c r="T548" s="0" t="n">
        <f aca="false">MONTH(Q548)</f>
        <v>1</v>
      </c>
    </row>
    <row r="549" customFormat="false" ht="14.25" hidden="true" customHeight="false" outlineLevel="0" collapsed="false">
      <c r="A549" s="0" t="n">
        <v>548</v>
      </c>
      <c r="B549" s="1" t="s">
        <v>683</v>
      </c>
      <c r="C549" s="1" t="s">
        <v>1479</v>
      </c>
      <c r="D549" s="1" t="s">
        <v>1480</v>
      </c>
      <c r="E549" s="0" t="s">
        <v>43</v>
      </c>
      <c r="F549" s="0" t="s">
        <v>49</v>
      </c>
      <c r="G549" s="0" t="s">
        <v>5332</v>
      </c>
      <c r="M549" s="0" t="s">
        <v>5333</v>
      </c>
      <c r="N549" s="0" t="s">
        <v>4669</v>
      </c>
      <c r="P549" s="0" t="s">
        <v>5334</v>
      </c>
      <c r="Q549" s="2" t="n">
        <v>43124</v>
      </c>
      <c r="S549" s="0" t="n">
        <f aca="false">YEAR(Q549)</f>
        <v>2018</v>
      </c>
      <c r="T549" s="0" t="n">
        <f aca="false">MONTH(Q549)</f>
        <v>1</v>
      </c>
    </row>
    <row r="550" customFormat="false" ht="14.25" hidden="true" customHeight="false" outlineLevel="0" collapsed="false">
      <c r="A550" s="0" t="n">
        <v>549</v>
      </c>
      <c r="B550" s="1" t="s">
        <v>683</v>
      </c>
      <c r="C550" s="1" t="s">
        <v>1479</v>
      </c>
      <c r="D550" s="1" t="s">
        <v>1487</v>
      </c>
      <c r="E550" s="0" t="s">
        <v>1488</v>
      </c>
      <c r="F550" s="0" t="s">
        <v>49</v>
      </c>
      <c r="G550" s="0" t="s">
        <v>5335</v>
      </c>
      <c r="I550" s="6" t="n">
        <v>0.895833333333333</v>
      </c>
      <c r="J550" s="6" t="n">
        <v>0.902777777777778</v>
      </c>
      <c r="M550" s="0" t="s">
        <v>5336</v>
      </c>
      <c r="N550" s="0" t="s">
        <v>4484</v>
      </c>
      <c r="P550" s="0" t="s">
        <v>5337</v>
      </c>
      <c r="Q550" s="2" t="n">
        <v>43124</v>
      </c>
      <c r="S550" s="0" t="n">
        <f aca="false">YEAR(Q550)</f>
        <v>2018</v>
      </c>
      <c r="T550" s="0" t="n">
        <f aca="false">MONTH(Q550)</f>
        <v>1</v>
      </c>
    </row>
    <row r="551" customFormat="false" ht="14.25" hidden="true" customHeight="false" outlineLevel="0" collapsed="false">
      <c r="A551" s="0" t="n">
        <v>550</v>
      </c>
      <c r="B551" s="1" t="s">
        <v>688</v>
      </c>
      <c r="C551" s="1" t="s">
        <v>1479</v>
      </c>
      <c r="D551" s="1" t="s">
        <v>1496</v>
      </c>
      <c r="E551" s="0" t="s">
        <v>38</v>
      </c>
      <c r="F551" s="0" t="s">
        <v>49</v>
      </c>
      <c r="G551" s="0" t="s">
        <v>5338</v>
      </c>
      <c r="I551" s="6" t="n">
        <v>0.708333333333333</v>
      </c>
      <c r="J551" s="6" t="n">
        <v>0.722222222222222</v>
      </c>
      <c r="K551" s="0" t="n">
        <v>0</v>
      </c>
      <c r="L551" s="0" t="n">
        <v>0</v>
      </c>
      <c r="M551" s="0" t="s">
        <v>5339</v>
      </c>
      <c r="N551" s="0" t="s">
        <v>5340</v>
      </c>
      <c r="P551" s="0" t="s">
        <v>5341</v>
      </c>
      <c r="Q551" s="2" t="n">
        <v>43125</v>
      </c>
      <c r="S551" s="0" t="n">
        <f aca="false">YEAR(Q551)</f>
        <v>2018</v>
      </c>
      <c r="T551" s="0" t="n">
        <f aca="false">MONTH(Q551)</f>
        <v>1</v>
      </c>
    </row>
    <row r="552" customFormat="false" ht="14.25" hidden="true" customHeight="false" outlineLevel="0" collapsed="false">
      <c r="A552" s="0" t="n">
        <v>551</v>
      </c>
      <c r="B552" s="1" t="s">
        <v>688</v>
      </c>
      <c r="C552" s="1" t="s">
        <v>1479</v>
      </c>
      <c r="D552" s="1" t="s">
        <v>1487</v>
      </c>
      <c r="E552" s="0" t="s">
        <v>1488</v>
      </c>
      <c r="F552" s="0" t="s">
        <v>49</v>
      </c>
      <c r="G552" s="0" t="s">
        <v>5342</v>
      </c>
      <c r="I552" s="6" t="n">
        <v>0.829861111111111</v>
      </c>
      <c r="J552" s="6" t="n">
        <v>0.854166666666667</v>
      </c>
      <c r="K552" s="0" t="n">
        <v>0</v>
      </c>
      <c r="L552" s="0" t="n">
        <v>0</v>
      </c>
      <c r="M552" s="0" t="s">
        <v>5343</v>
      </c>
      <c r="N552" s="0" t="s">
        <v>5344</v>
      </c>
      <c r="P552" s="0" t="s">
        <v>5345</v>
      </c>
      <c r="Q552" s="2" t="n">
        <v>43125</v>
      </c>
      <c r="S552" s="0" t="n">
        <f aca="false">YEAR(Q552)</f>
        <v>2018</v>
      </c>
      <c r="T552" s="0" t="n">
        <f aca="false">MONTH(Q552)</f>
        <v>1</v>
      </c>
    </row>
    <row r="553" customFormat="false" ht="14.25" hidden="true" customHeight="false" outlineLevel="0" collapsed="false">
      <c r="A553" s="0" t="n">
        <v>552</v>
      </c>
      <c r="B553" s="1" t="s">
        <v>688</v>
      </c>
      <c r="C553" s="1" t="s">
        <v>1479</v>
      </c>
      <c r="D553" s="1" t="s">
        <v>1487</v>
      </c>
      <c r="E553" s="0" t="s">
        <v>1488</v>
      </c>
      <c r="F553" s="0" t="s">
        <v>50</v>
      </c>
      <c r="G553" s="0" t="s">
        <v>5346</v>
      </c>
      <c r="I553" s="6" t="n">
        <v>0.986111111111111</v>
      </c>
      <c r="J553" s="6" t="n">
        <v>0.00347222222222222</v>
      </c>
      <c r="L553" s="0" t="n">
        <v>46</v>
      </c>
      <c r="M553" s="0" t="s">
        <v>5347</v>
      </c>
      <c r="N553" s="0" t="s">
        <v>5348</v>
      </c>
      <c r="P553" s="0" t="s">
        <v>5349</v>
      </c>
      <c r="Q553" s="2" t="n">
        <v>43125</v>
      </c>
      <c r="S553" s="0" t="n">
        <f aca="false">YEAR(Q553)</f>
        <v>2018</v>
      </c>
      <c r="T553" s="0" t="n">
        <f aca="false">MONTH(Q553)</f>
        <v>1</v>
      </c>
    </row>
    <row r="554" customFormat="false" ht="14.25" hidden="true" customHeight="false" outlineLevel="0" collapsed="false">
      <c r="A554" s="0" t="n">
        <v>553</v>
      </c>
      <c r="B554" s="1" t="s">
        <v>688</v>
      </c>
      <c r="C554" s="1" t="s">
        <v>1479</v>
      </c>
      <c r="D554" s="1" t="s">
        <v>1487</v>
      </c>
      <c r="E554" s="0" t="s">
        <v>1488</v>
      </c>
      <c r="F554" s="0" t="s">
        <v>50</v>
      </c>
      <c r="G554" s="0" t="s">
        <v>5350</v>
      </c>
      <c r="M554" s="0" t="s">
        <v>5351</v>
      </c>
      <c r="N554" s="0" t="s">
        <v>5352</v>
      </c>
      <c r="P554" s="0" t="s">
        <v>5353</v>
      </c>
      <c r="Q554" s="2" t="n">
        <v>43125</v>
      </c>
      <c r="S554" s="0" t="n">
        <f aca="false">YEAR(Q554)</f>
        <v>2018</v>
      </c>
      <c r="T554" s="0" t="n">
        <f aca="false">MONTH(Q554)</f>
        <v>1</v>
      </c>
    </row>
    <row r="555" customFormat="false" ht="14.25" hidden="true" customHeight="false" outlineLevel="0" collapsed="false">
      <c r="A555" s="0" t="n">
        <v>554</v>
      </c>
      <c r="B555" s="1" t="s">
        <v>688</v>
      </c>
      <c r="C555" s="1" t="s">
        <v>1479</v>
      </c>
      <c r="D555" s="1" t="s">
        <v>1487</v>
      </c>
      <c r="E555" s="0" t="s">
        <v>1488</v>
      </c>
      <c r="F555" s="0" t="s">
        <v>50</v>
      </c>
      <c r="G555" s="0" t="s">
        <v>5354</v>
      </c>
      <c r="I555" s="6" t="n">
        <v>0.0319444444444444</v>
      </c>
      <c r="J555" s="6" t="n">
        <v>0.0486111111111111</v>
      </c>
      <c r="L555" s="0" t="n">
        <v>60</v>
      </c>
      <c r="M555" s="0" t="s">
        <v>5355</v>
      </c>
      <c r="N555" s="0" t="s">
        <v>5356</v>
      </c>
      <c r="P555" s="0" t="s">
        <v>5357</v>
      </c>
      <c r="Q555" s="2" t="n">
        <v>43125</v>
      </c>
      <c r="S555" s="0" t="n">
        <f aca="false">YEAR(Q555)</f>
        <v>2018</v>
      </c>
      <c r="T555" s="0" t="n">
        <f aca="false">MONTH(Q555)</f>
        <v>1</v>
      </c>
    </row>
    <row r="556" customFormat="false" ht="14.25" hidden="true" customHeight="false" outlineLevel="0" collapsed="false">
      <c r="A556" s="0" t="n">
        <v>555</v>
      </c>
      <c r="B556" s="1" t="s">
        <v>688</v>
      </c>
      <c r="C556" s="1" t="s">
        <v>1479</v>
      </c>
      <c r="D556" s="1" t="s">
        <v>1496</v>
      </c>
      <c r="E556" s="0" t="s">
        <v>38</v>
      </c>
      <c r="F556" s="0" t="s">
        <v>50</v>
      </c>
      <c r="G556" s="0" t="s">
        <v>5358</v>
      </c>
      <c r="I556" s="6" t="n">
        <v>0.0625</v>
      </c>
      <c r="M556" s="0" t="s">
        <v>5359</v>
      </c>
      <c r="N556" s="0" t="s">
        <v>5360</v>
      </c>
      <c r="P556" s="0" t="s">
        <v>5361</v>
      </c>
      <c r="Q556" s="2" t="n">
        <v>43125</v>
      </c>
      <c r="S556" s="0" t="n">
        <f aca="false">YEAR(Q556)</f>
        <v>2018</v>
      </c>
      <c r="T556" s="0" t="n">
        <f aca="false">MONTH(Q556)</f>
        <v>1</v>
      </c>
    </row>
    <row r="557" customFormat="false" ht="14.25" hidden="true" customHeight="false" outlineLevel="0" collapsed="false">
      <c r="A557" s="0" t="n">
        <v>556</v>
      </c>
      <c r="B557" s="1" t="s">
        <v>692</v>
      </c>
      <c r="C557" s="1" t="s">
        <v>1503</v>
      </c>
      <c r="D557" s="1" t="s">
        <v>1504</v>
      </c>
      <c r="E557" s="0" t="s">
        <v>45</v>
      </c>
      <c r="F557" s="0" t="s">
        <v>48</v>
      </c>
      <c r="G557" s="0" t="s">
        <v>4598</v>
      </c>
      <c r="I557" s="6" t="n">
        <v>0.333333333333333</v>
      </c>
      <c r="J557" s="6" t="n">
        <v>0.416666666666667</v>
      </c>
      <c r="L557" s="0" t="n">
        <v>130</v>
      </c>
      <c r="M557" s="0" t="s">
        <v>5362</v>
      </c>
      <c r="N557" s="0" t="s">
        <v>5363</v>
      </c>
      <c r="P557" s="0" t="s">
        <v>3458</v>
      </c>
      <c r="Q557" s="2" t="n">
        <v>43126</v>
      </c>
      <c r="S557" s="0" t="n">
        <f aca="false">YEAR(Q557)</f>
        <v>2018</v>
      </c>
      <c r="T557" s="0" t="n">
        <f aca="false">MONTH(Q557)</f>
        <v>1</v>
      </c>
    </row>
    <row r="558" customFormat="false" ht="14.25" hidden="true" customHeight="false" outlineLevel="0" collapsed="false">
      <c r="A558" s="0" t="n">
        <v>557</v>
      </c>
      <c r="B558" s="1" t="s">
        <v>692</v>
      </c>
      <c r="C558" s="1" t="s">
        <v>1503</v>
      </c>
      <c r="D558" s="1" t="s">
        <v>1535</v>
      </c>
      <c r="E558" s="0" t="s">
        <v>44</v>
      </c>
      <c r="F558" s="0" t="s">
        <v>49</v>
      </c>
      <c r="G558" s="0" t="s">
        <v>5364</v>
      </c>
      <c r="I558" s="6" t="n">
        <v>0.607638888888889</v>
      </c>
      <c r="J558" s="6" t="n">
        <v>0.614583333333333</v>
      </c>
      <c r="K558" s="0" t="n">
        <v>0</v>
      </c>
      <c r="M558" s="0" t="s">
        <v>5365</v>
      </c>
      <c r="N558" s="0" t="s">
        <v>4484</v>
      </c>
      <c r="P558" s="0" t="s">
        <v>5366</v>
      </c>
      <c r="Q558" s="2" t="n">
        <v>43126</v>
      </c>
      <c r="S558" s="0" t="n">
        <f aca="false">YEAR(Q558)</f>
        <v>2018</v>
      </c>
      <c r="T558" s="0" t="n">
        <f aca="false">MONTH(Q558)</f>
        <v>1</v>
      </c>
    </row>
    <row r="559" customFormat="false" ht="14.25" hidden="true" customHeight="false" outlineLevel="0" collapsed="false">
      <c r="A559" s="0" t="n">
        <v>558</v>
      </c>
      <c r="B559" s="1" t="s">
        <v>692</v>
      </c>
      <c r="C559" s="1" t="s">
        <v>1503</v>
      </c>
      <c r="D559" s="1" t="s">
        <v>1504</v>
      </c>
      <c r="E559" s="0" t="s">
        <v>45</v>
      </c>
      <c r="F559" s="0" t="s">
        <v>49</v>
      </c>
      <c r="G559" s="0" t="s">
        <v>5367</v>
      </c>
      <c r="I559" s="6" t="n">
        <v>0.614583333333333</v>
      </c>
      <c r="J559" s="6" t="n">
        <v>0.614583333333333</v>
      </c>
      <c r="K559" s="0" t="n">
        <v>0</v>
      </c>
      <c r="L559" s="0" t="n">
        <v>0</v>
      </c>
      <c r="M559" s="0" t="s">
        <v>5368</v>
      </c>
      <c r="N559" s="0" t="s">
        <v>4669</v>
      </c>
      <c r="P559" s="0" t="s">
        <v>5369</v>
      </c>
      <c r="Q559" s="2" t="n">
        <v>43126</v>
      </c>
      <c r="S559" s="0" t="n">
        <f aca="false">YEAR(Q559)</f>
        <v>2018</v>
      </c>
      <c r="T559" s="0" t="n">
        <f aca="false">MONTH(Q559)</f>
        <v>1</v>
      </c>
    </row>
    <row r="560" customFormat="false" ht="14.25" hidden="true" customHeight="false" outlineLevel="0" collapsed="false">
      <c r="A560" s="0" t="n">
        <v>559</v>
      </c>
      <c r="B560" s="1" t="s">
        <v>698</v>
      </c>
      <c r="C560" s="1" t="s">
        <v>1479</v>
      </c>
      <c r="D560" s="1" t="s">
        <v>1496</v>
      </c>
      <c r="E560" s="0" t="s">
        <v>38</v>
      </c>
      <c r="F560" s="0" t="s">
        <v>50</v>
      </c>
      <c r="G560" s="0" t="s">
        <v>5370</v>
      </c>
      <c r="I560" s="6" t="n">
        <v>0.875</v>
      </c>
      <c r="J560" s="6" t="n">
        <v>0.909722222222222</v>
      </c>
      <c r="K560" s="0" t="n">
        <v>0</v>
      </c>
      <c r="L560" s="0" t="n">
        <v>20</v>
      </c>
      <c r="M560" s="0" t="s">
        <v>5371</v>
      </c>
      <c r="N560" s="0" t="s">
        <v>5372</v>
      </c>
      <c r="P560" s="0" t="s">
        <v>5373</v>
      </c>
      <c r="Q560" s="2" t="n">
        <v>43128</v>
      </c>
      <c r="S560" s="0" t="n">
        <f aca="false">YEAR(Q560)</f>
        <v>2018</v>
      </c>
      <c r="T560" s="0" t="n">
        <f aca="false">MONTH(Q560)</f>
        <v>1</v>
      </c>
    </row>
    <row r="561" customFormat="false" ht="14.25" hidden="true" customHeight="false" outlineLevel="0" collapsed="false">
      <c r="A561" s="0" t="n">
        <v>560</v>
      </c>
      <c r="B561" s="1" t="s">
        <v>698</v>
      </c>
      <c r="C561" s="1" t="s">
        <v>1479</v>
      </c>
      <c r="D561" s="1" t="s">
        <v>1535</v>
      </c>
      <c r="E561" s="0" t="s">
        <v>39</v>
      </c>
      <c r="F561" s="0" t="s">
        <v>50</v>
      </c>
      <c r="G561" s="0" t="s">
        <v>5374</v>
      </c>
      <c r="I561" s="6" t="n">
        <v>0.913194444444444</v>
      </c>
      <c r="J561" s="6" t="n">
        <v>0.920138888888889</v>
      </c>
      <c r="K561" s="0" t="n">
        <v>0</v>
      </c>
      <c r="L561" s="0" t="n">
        <v>5</v>
      </c>
      <c r="M561" s="0" t="s">
        <v>4891</v>
      </c>
      <c r="N561" s="0" t="s">
        <v>5375</v>
      </c>
      <c r="P561" s="0" t="s">
        <v>5376</v>
      </c>
      <c r="Q561" s="2" t="n">
        <v>43128</v>
      </c>
      <c r="S561" s="0" t="n">
        <f aca="false">YEAR(Q561)</f>
        <v>2018</v>
      </c>
      <c r="T561" s="0" t="n">
        <f aca="false">MONTH(Q561)</f>
        <v>1</v>
      </c>
    </row>
    <row r="562" customFormat="false" ht="14.25" hidden="true" customHeight="false" outlineLevel="0" collapsed="false">
      <c r="A562" s="0" t="n">
        <v>561</v>
      </c>
      <c r="B562" s="1" t="s">
        <v>698</v>
      </c>
      <c r="C562" s="1" t="s">
        <v>1479</v>
      </c>
      <c r="D562" s="1" t="s">
        <v>1535</v>
      </c>
      <c r="E562" s="0" t="s">
        <v>39</v>
      </c>
      <c r="F562" s="0" t="s">
        <v>50</v>
      </c>
      <c r="G562" s="0" t="s">
        <v>5377</v>
      </c>
      <c r="I562" s="6" t="n">
        <v>0.9375</v>
      </c>
      <c r="J562" s="6" t="n">
        <v>0.947916666666667</v>
      </c>
      <c r="K562" s="0" t="n">
        <v>19</v>
      </c>
      <c r="L562" s="0" t="n">
        <v>100</v>
      </c>
      <c r="M562" s="0" t="s">
        <v>5378</v>
      </c>
      <c r="N562" s="0" t="s">
        <v>5379</v>
      </c>
      <c r="P562" s="0" t="s">
        <v>5380</v>
      </c>
      <c r="Q562" s="2" t="n">
        <v>43128</v>
      </c>
      <c r="S562" s="0" t="n">
        <f aca="false">YEAR(Q562)</f>
        <v>2018</v>
      </c>
      <c r="T562" s="0" t="n">
        <f aca="false">MONTH(Q562)</f>
        <v>1</v>
      </c>
    </row>
    <row r="563" customFormat="false" ht="14.25" hidden="true" customHeight="false" outlineLevel="0" collapsed="false">
      <c r="A563" s="0" t="n">
        <v>562</v>
      </c>
      <c r="B563" s="1" t="s">
        <v>698</v>
      </c>
      <c r="C563" s="1" t="s">
        <v>1479</v>
      </c>
      <c r="D563" s="1" t="s">
        <v>1496</v>
      </c>
      <c r="E563" s="0" t="s">
        <v>38</v>
      </c>
      <c r="F563" s="0" t="s">
        <v>50</v>
      </c>
      <c r="G563" s="0" t="s">
        <v>5381</v>
      </c>
      <c r="J563" s="6" t="n">
        <v>0.0833333333333333</v>
      </c>
      <c r="K563" s="0" t="n">
        <v>10</v>
      </c>
      <c r="L563" s="0" t="n">
        <v>15</v>
      </c>
      <c r="M563" s="0" t="s">
        <v>5382</v>
      </c>
      <c r="N563" s="0" t="s">
        <v>5383</v>
      </c>
      <c r="P563" s="0" t="s">
        <v>5384</v>
      </c>
      <c r="Q563" s="2" t="n">
        <v>43128</v>
      </c>
      <c r="S563" s="0" t="n">
        <f aca="false">YEAR(Q563)</f>
        <v>2018</v>
      </c>
      <c r="T563" s="0" t="n">
        <f aca="false">MONTH(Q563)</f>
        <v>1</v>
      </c>
    </row>
    <row r="564" customFormat="false" ht="14.25" hidden="true" customHeight="false" outlineLevel="0" collapsed="false">
      <c r="A564" s="0" t="n">
        <v>563</v>
      </c>
      <c r="B564" s="1" t="s">
        <v>700</v>
      </c>
      <c r="C564" s="1" t="s">
        <v>1479</v>
      </c>
      <c r="D564" s="1" t="s">
        <v>1496</v>
      </c>
      <c r="E564" s="0" t="s">
        <v>38</v>
      </c>
      <c r="F564" s="0" t="s">
        <v>48</v>
      </c>
      <c r="G564" s="0" t="s">
        <v>5385</v>
      </c>
      <c r="I564" s="6" t="n">
        <v>0.5625</v>
      </c>
      <c r="J564" s="6" t="n">
        <v>0.583333333333333</v>
      </c>
      <c r="M564" s="0" t="s">
        <v>5386</v>
      </c>
      <c r="N564" s="0" t="s">
        <v>5387</v>
      </c>
      <c r="P564" s="0" t="s">
        <v>5388</v>
      </c>
      <c r="Q564" s="2" t="n">
        <v>43129</v>
      </c>
      <c r="S564" s="0" t="n">
        <f aca="false">YEAR(Q564)</f>
        <v>2018</v>
      </c>
      <c r="T564" s="0" t="n">
        <f aca="false">MONTH(Q564)</f>
        <v>1</v>
      </c>
    </row>
    <row r="565" customFormat="false" ht="14.25" hidden="true" customHeight="false" outlineLevel="0" collapsed="false">
      <c r="A565" s="0" t="n">
        <v>564</v>
      </c>
      <c r="B565" s="1" t="s">
        <v>700</v>
      </c>
      <c r="C565" s="1" t="s">
        <v>1479</v>
      </c>
      <c r="D565" s="1" t="s">
        <v>1496</v>
      </c>
      <c r="E565" s="0" t="s">
        <v>38</v>
      </c>
      <c r="F565" s="0" t="s">
        <v>49</v>
      </c>
      <c r="G565" s="0" t="s">
        <v>5389</v>
      </c>
      <c r="I565" s="6" t="n">
        <v>0.576388888888889</v>
      </c>
      <c r="K565" s="0" t="n">
        <v>0</v>
      </c>
      <c r="M565" s="0" t="s">
        <v>5390</v>
      </c>
      <c r="N565" s="0" t="s">
        <v>4484</v>
      </c>
      <c r="P565" s="0" t="s">
        <v>5391</v>
      </c>
      <c r="Q565" s="2" t="n">
        <v>43129</v>
      </c>
      <c r="S565" s="0" t="n">
        <f aca="false">YEAR(Q565)</f>
        <v>2018</v>
      </c>
      <c r="T565" s="0" t="n">
        <f aca="false">MONTH(Q565)</f>
        <v>1</v>
      </c>
    </row>
    <row r="566" customFormat="false" ht="14.25" hidden="true" customHeight="false" outlineLevel="0" collapsed="false">
      <c r="A566" s="0" t="n">
        <v>565</v>
      </c>
      <c r="B566" s="1" t="s">
        <v>700</v>
      </c>
      <c r="C566" s="1" t="s">
        <v>1479</v>
      </c>
      <c r="D566" s="1" t="s">
        <v>1535</v>
      </c>
      <c r="E566" s="0" t="s">
        <v>39</v>
      </c>
      <c r="F566" s="0" t="s">
        <v>49</v>
      </c>
      <c r="G566" s="0" t="s">
        <v>5392</v>
      </c>
      <c r="I566" s="6" t="n">
        <v>0.71875</v>
      </c>
      <c r="J566" s="6" t="n">
        <v>0.708333333333333</v>
      </c>
      <c r="K566" s="0" t="n">
        <v>0</v>
      </c>
      <c r="L566" s="0" t="n">
        <v>0</v>
      </c>
      <c r="M566" s="0" t="s">
        <v>5393</v>
      </c>
      <c r="N566" s="0" t="s">
        <v>5394</v>
      </c>
      <c r="P566" s="0" t="s">
        <v>5395</v>
      </c>
      <c r="Q566" s="2" t="n">
        <v>43129</v>
      </c>
      <c r="S566" s="0" t="n">
        <f aca="false">YEAR(Q566)</f>
        <v>2018</v>
      </c>
      <c r="T566" s="0" t="n">
        <f aca="false">MONTH(Q566)</f>
        <v>1</v>
      </c>
    </row>
    <row r="567" customFormat="false" ht="14.25" hidden="true" customHeight="false" outlineLevel="0" collapsed="false">
      <c r="A567" s="0" t="n">
        <v>566</v>
      </c>
      <c r="B567" s="1" t="s">
        <v>700</v>
      </c>
      <c r="C567" s="1" t="s">
        <v>1479</v>
      </c>
      <c r="D567" s="1" t="s">
        <v>1863</v>
      </c>
      <c r="E567" s="0" t="s">
        <v>3799</v>
      </c>
      <c r="F567" s="0" t="s">
        <v>49</v>
      </c>
      <c r="G567" s="0" t="s">
        <v>5396</v>
      </c>
      <c r="I567" s="6" t="n">
        <v>0.697916666666667</v>
      </c>
      <c r="J567" s="6" t="n">
        <v>0.79375</v>
      </c>
      <c r="K567" s="0" t="n">
        <v>0</v>
      </c>
      <c r="L567" s="0" t="n">
        <v>105</v>
      </c>
      <c r="M567" s="0" t="s">
        <v>5397</v>
      </c>
      <c r="N567" s="0" t="s">
        <v>5398</v>
      </c>
      <c r="P567" s="0" t="s">
        <v>5399</v>
      </c>
      <c r="Q567" s="2" t="n">
        <v>43129</v>
      </c>
      <c r="S567" s="0" t="n">
        <f aca="false">YEAR(Q567)</f>
        <v>2018</v>
      </c>
      <c r="T567" s="0" t="n">
        <f aca="false">MONTH(Q567)</f>
        <v>1</v>
      </c>
    </row>
    <row r="568" customFormat="false" ht="14.25" hidden="true" customHeight="false" outlineLevel="0" collapsed="false">
      <c r="A568" s="0" t="n">
        <v>567</v>
      </c>
      <c r="B568" s="1" t="s">
        <v>700</v>
      </c>
      <c r="C568" s="1" t="s">
        <v>1479</v>
      </c>
      <c r="D568" s="1" t="s">
        <v>1535</v>
      </c>
      <c r="E568" s="0" t="s">
        <v>39</v>
      </c>
      <c r="F568" s="0" t="s">
        <v>49</v>
      </c>
      <c r="G568" s="0" t="s">
        <v>5400</v>
      </c>
      <c r="I568" s="6" t="n">
        <v>0.729166666666667</v>
      </c>
      <c r="J568" s="6" t="n">
        <v>0.729166666666667</v>
      </c>
      <c r="M568" s="0" t="s">
        <v>5401</v>
      </c>
      <c r="N568" s="0" t="s">
        <v>5402</v>
      </c>
      <c r="P568" s="0" t="s">
        <v>5403</v>
      </c>
      <c r="Q568" s="2" t="n">
        <v>43129</v>
      </c>
      <c r="S568" s="0" t="n">
        <f aca="false">YEAR(Q568)</f>
        <v>2018</v>
      </c>
      <c r="T568" s="0" t="n">
        <f aca="false">MONTH(Q568)</f>
        <v>1</v>
      </c>
    </row>
    <row r="569" customFormat="false" ht="14.25" hidden="true" customHeight="false" outlineLevel="0" collapsed="false">
      <c r="A569" s="0" t="n">
        <v>568</v>
      </c>
      <c r="B569" s="1" t="s">
        <v>704</v>
      </c>
      <c r="C569" s="1" t="s">
        <v>1495</v>
      </c>
      <c r="D569" s="1" t="s">
        <v>1487</v>
      </c>
      <c r="E569" s="0" t="s">
        <v>40</v>
      </c>
      <c r="F569" s="0" t="s">
        <v>48</v>
      </c>
      <c r="G569" s="0" t="s">
        <v>5404</v>
      </c>
      <c r="I569" s="6" t="n">
        <v>0.236111111111111</v>
      </c>
      <c r="J569" s="6" t="n">
        <v>0.25</v>
      </c>
      <c r="L569" s="0" t="n">
        <v>50</v>
      </c>
      <c r="M569" s="0" t="s">
        <v>5405</v>
      </c>
      <c r="N569" s="0" t="s">
        <v>5406</v>
      </c>
      <c r="P569" s="0" t="s">
        <v>5407</v>
      </c>
      <c r="Q569" s="2" t="n">
        <v>43130</v>
      </c>
      <c r="S569" s="0" t="n">
        <f aca="false">YEAR(Q569)</f>
        <v>2018</v>
      </c>
      <c r="T569" s="0" t="n">
        <f aca="false">MONTH(Q569)</f>
        <v>1</v>
      </c>
    </row>
    <row r="570" customFormat="false" ht="14.25" hidden="true" customHeight="false" outlineLevel="0" collapsed="false">
      <c r="A570" s="0" t="n">
        <v>569</v>
      </c>
      <c r="B570" s="1" t="s">
        <v>704</v>
      </c>
      <c r="C570" s="1" t="s">
        <v>1503</v>
      </c>
      <c r="D570" s="1" t="s">
        <v>1535</v>
      </c>
      <c r="E570" s="0" t="s">
        <v>44</v>
      </c>
      <c r="F570" s="0" t="s">
        <v>48</v>
      </c>
      <c r="G570" s="0" t="s">
        <v>5408</v>
      </c>
      <c r="I570" s="6" t="n">
        <v>0.236111111111111</v>
      </c>
      <c r="J570" s="6" t="n">
        <v>0.253472222222222</v>
      </c>
      <c r="L570" s="0" t="n">
        <v>150</v>
      </c>
      <c r="M570" s="0" t="s">
        <v>5409</v>
      </c>
      <c r="N570" s="0" t="s">
        <v>5410</v>
      </c>
      <c r="P570" s="0" t="s">
        <v>5411</v>
      </c>
      <c r="Q570" s="2" t="n">
        <v>43130</v>
      </c>
      <c r="S570" s="0" t="n">
        <f aca="false">YEAR(Q570)</f>
        <v>2018</v>
      </c>
      <c r="T570" s="0" t="n">
        <f aca="false">MONTH(Q570)</f>
        <v>1</v>
      </c>
    </row>
    <row r="571" customFormat="false" ht="14.25" hidden="true" customHeight="false" outlineLevel="0" collapsed="false">
      <c r="A571" s="0" t="n">
        <v>570</v>
      </c>
      <c r="B571" s="1" t="s">
        <v>704</v>
      </c>
      <c r="C571" s="1" t="s">
        <v>1503</v>
      </c>
      <c r="D571" s="1" t="s">
        <v>1535</v>
      </c>
      <c r="E571" s="0" t="s">
        <v>44</v>
      </c>
      <c r="F571" s="0" t="s">
        <v>48</v>
      </c>
      <c r="G571" s="0" t="s">
        <v>5412</v>
      </c>
      <c r="I571" s="6" t="n">
        <v>0.295833333333333</v>
      </c>
      <c r="J571" s="6" t="n">
        <v>0.347222222222222</v>
      </c>
      <c r="L571" s="0" t="n">
        <v>30</v>
      </c>
      <c r="M571" s="0" t="s">
        <v>5413</v>
      </c>
      <c r="N571" s="0" t="s">
        <v>5414</v>
      </c>
      <c r="P571" s="0" t="s">
        <v>5415</v>
      </c>
      <c r="Q571" s="2" t="n">
        <v>43130</v>
      </c>
      <c r="S571" s="0" t="n">
        <f aca="false">YEAR(Q571)</f>
        <v>2018</v>
      </c>
      <c r="T571" s="0" t="n">
        <f aca="false">MONTH(Q571)</f>
        <v>1</v>
      </c>
    </row>
    <row r="572" customFormat="false" ht="14.25" hidden="true" customHeight="false" outlineLevel="0" collapsed="false">
      <c r="A572" s="0" t="n">
        <v>571</v>
      </c>
      <c r="B572" s="1" t="s">
        <v>704</v>
      </c>
      <c r="C572" s="1" t="s">
        <v>1503</v>
      </c>
      <c r="D572" s="1" t="s">
        <v>1535</v>
      </c>
      <c r="E572" s="0" t="s">
        <v>44</v>
      </c>
      <c r="F572" s="0" t="s">
        <v>48</v>
      </c>
      <c r="G572" s="0" t="s">
        <v>5416</v>
      </c>
      <c r="I572" s="6" t="n">
        <v>0.5</v>
      </c>
      <c r="J572" s="6" t="n">
        <v>0.548611111111111</v>
      </c>
      <c r="M572" s="0" t="s">
        <v>5417</v>
      </c>
      <c r="N572" s="0" t="s">
        <v>5418</v>
      </c>
      <c r="P572" s="0" t="s">
        <v>5419</v>
      </c>
      <c r="Q572" s="2" t="n">
        <v>43130</v>
      </c>
      <c r="S572" s="0" t="n">
        <f aca="false">YEAR(Q572)</f>
        <v>2018</v>
      </c>
      <c r="T572" s="0" t="n">
        <f aca="false">MONTH(Q572)</f>
        <v>1</v>
      </c>
    </row>
    <row r="573" customFormat="false" ht="14.25" hidden="true" customHeight="false" outlineLevel="0" collapsed="false">
      <c r="A573" s="0" t="n">
        <v>572</v>
      </c>
      <c r="B573" s="1" t="s">
        <v>704</v>
      </c>
      <c r="C573" s="1" t="s">
        <v>1479</v>
      </c>
      <c r="D573" s="1" t="s">
        <v>1487</v>
      </c>
      <c r="E573" s="0" t="s">
        <v>1488</v>
      </c>
      <c r="F573" s="0" t="s">
        <v>49</v>
      </c>
      <c r="G573" s="0" t="s">
        <v>5389</v>
      </c>
      <c r="I573" s="6" t="n">
        <v>0.635416666666667</v>
      </c>
      <c r="J573" s="6" t="n">
        <v>0.651388888888889</v>
      </c>
      <c r="M573" s="0" t="s">
        <v>5420</v>
      </c>
      <c r="N573" s="0" t="s">
        <v>5421</v>
      </c>
      <c r="P573" s="0" t="s">
        <v>5422</v>
      </c>
      <c r="Q573" s="2" t="n">
        <v>43130</v>
      </c>
      <c r="S573" s="0" t="n">
        <f aca="false">YEAR(Q573)</f>
        <v>2018</v>
      </c>
      <c r="T573" s="0" t="n">
        <f aca="false">MONTH(Q573)</f>
        <v>1</v>
      </c>
    </row>
    <row r="574" customFormat="false" ht="14.25" hidden="true" customHeight="false" outlineLevel="0" collapsed="false">
      <c r="A574" s="0" t="n">
        <v>573</v>
      </c>
      <c r="B574" s="1" t="s">
        <v>704</v>
      </c>
      <c r="C574" s="1" t="s">
        <v>1503</v>
      </c>
      <c r="D574" s="1" t="s">
        <v>1535</v>
      </c>
      <c r="E574" s="0" t="s">
        <v>44</v>
      </c>
      <c r="F574" s="0" t="s">
        <v>49</v>
      </c>
      <c r="G574" s="0" t="s">
        <v>5423</v>
      </c>
      <c r="I574" s="6" t="n">
        <v>0.802083333333333</v>
      </c>
      <c r="J574" s="6" t="n">
        <v>0.822916666666667</v>
      </c>
      <c r="K574" s="0" t="n">
        <v>0</v>
      </c>
      <c r="L574" s="0" t="n">
        <v>0</v>
      </c>
      <c r="M574" s="0" t="s">
        <v>5424</v>
      </c>
      <c r="N574" s="0" t="s">
        <v>5425</v>
      </c>
      <c r="P574" s="0" t="s">
        <v>5426</v>
      </c>
      <c r="Q574" s="2" t="n">
        <v>43130</v>
      </c>
      <c r="S574" s="0" t="n">
        <f aca="false">YEAR(Q574)</f>
        <v>2018</v>
      </c>
      <c r="T574" s="0" t="n">
        <f aca="false">MONTH(Q574)</f>
        <v>1</v>
      </c>
    </row>
    <row r="575" customFormat="false" ht="42.75" hidden="true" customHeight="false" outlineLevel="0" collapsed="false">
      <c r="A575" s="0" t="n">
        <v>574</v>
      </c>
      <c r="B575" s="1" t="s">
        <v>704</v>
      </c>
      <c r="C575" s="1" t="s">
        <v>1479</v>
      </c>
      <c r="D575" s="1" t="s">
        <v>1863</v>
      </c>
      <c r="E575" s="0" t="s">
        <v>3799</v>
      </c>
      <c r="F575" s="0" t="s">
        <v>50</v>
      </c>
      <c r="G575" s="0" t="s">
        <v>5427</v>
      </c>
      <c r="J575" s="6" t="n">
        <v>0.1875</v>
      </c>
      <c r="K575" s="0" t="n">
        <v>0</v>
      </c>
      <c r="L575" s="0" t="n">
        <v>30</v>
      </c>
      <c r="M575" s="0" t="s">
        <v>5428</v>
      </c>
      <c r="N575" s="0" t="s">
        <v>5429</v>
      </c>
      <c r="P575" s="7" t="s">
        <v>5430</v>
      </c>
      <c r="Q575" s="2" t="n">
        <v>43130</v>
      </c>
      <c r="S575" s="0" t="n">
        <f aca="false">YEAR(Q575)</f>
        <v>2018</v>
      </c>
      <c r="T575" s="0" t="n">
        <f aca="false">MONTH(Q575)</f>
        <v>1</v>
      </c>
    </row>
    <row r="576" customFormat="false" ht="14.25" hidden="true" customHeight="false" outlineLevel="0" collapsed="false">
      <c r="A576" s="0" t="n">
        <v>575</v>
      </c>
      <c r="B576" s="1" t="s">
        <v>708</v>
      </c>
      <c r="C576" s="1" t="s">
        <v>1503</v>
      </c>
      <c r="D576" s="1" t="s">
        <v>1504</v>
      </c>
      <c r="E576" s="0" t="s">
        <v>5431</v>
      </c>
      <c r="F576" s="0" t="s">
        <v>48</v>
      </c>
      <c r="G576" s="0" t="s">
        <v>5432</v>
      </c>
      <c r="I576" s="6" t="n">
        <v>0.364583333333333</v>
      </c>
      <c r="J576" s="6" t="n">
        <v>0.364583333333333</v>
      </c>
      <c r="K576" s="0" t="n">
        <v>0</v>
      </c>
      <c r="M576" s="0" t="s">
        <v>5433</v>
      </c>
      <c r="N576" s="0" t="s">
        <v>5434</v>
      </c>
      <c r="P576" s="0" t="s">
        <v>5435</v>
      </c>
      <c r="Q576" s="2" t="n">
        <v>43131</v>
      </c>
      <c r="S576" s="0" t="n">
        <f aca="false">YEAR(Q576)</f>
        <v>2018</v>
      </c>
      <c r="T576" s="0" t="n">
        <f aca="false">MONTH(Q576)</f>
        <v>1</v>
      </c>
    </row>
    <row r="577" customFormat="false" ht="14.25" hidden="true" customHeight="false" outlineLevel="0" collapsed="false">
      <c r="A577" s="0" t="n">
        <v>576</v>
      </c>
      <c r="B577" s="1" t="s">
        <v>708</v>
      </c>
      <c r="C577" s="1" t="s">
        <v>1503</v>
      </c>
      <c r="D577" s="1" t="s">
        <v>1504</v>
      </c>
      <c r="E577" s="0" t="s">
        <v>5431</v>
      </c>
      <c r="F577" s="0" t="s">
        <v>48</v>
      </c>
      <c r="G577" s="0" t="s">
        <v>5436</v>
      </c>
      <c r="I577" s="6" t="n">
        <v>0.395833333333333</v>
      </c>
      <c r="J577" s="6" t="n">
        <v>0.395833333333333</v>
      </c>
      <c r="K577" s="0" t="n">
        <v>0</v>
      </c>
      <c r="M577" s="0" t="s">
        <v>5437</v>
      </c>
      <c r="N577" s="0" t="s">
        <v>5438</v>
      </c>
      <c r="P577" s="0" t="s">
        <v>5439</v>
      </c>
      <c r="Q577" s="2" t="n">
        <v>43131</v>
      </c>
      <c r="S577" s="0" t="n">
        <f aca="false">YEAR(Q577)</f>
        <v>2018</v>
      </c>
      <c r="T577" s="0" t="n">
        <f aca="false">MONTH(Q577)</f>
        <v>1</v>
      </c>
    </row>
    <row r="578" customFormat="false" ht="14.25" hidden="true" customHeight="false" outlineLevel="0" collapsed="false">
      <c r="A578" s="0" t="n">
        <v>577</v>
      </c>
      <c r="B578" s="1" t="s">
        <v>708</v>
      </c>
      <c r="C578" s="1" t="s">
        <v>1479</v>
      </c>
      <c r="D578" s="1" t="s">
        <v>1496</v>
      </c>
      <c r="E578" s="0" t="s">
        <v>38</v>
      </c>
      <c r="F578" s="0" t="s">
        <v>49</v>
      </c>
      <c r="G578" s="0" t="s">
        <v>5440</v>
      </c>
      <c r="I578" s="6" t="n">
        <v>0.729166666666667</v>
      </c>
      <c r="J578" s="6" t="n">
        <v>0.736111111111111</v>
      </c>
      <c r="M578" s="0" t="s">
        <v>5441</v>
      </c>
      <c r="N578" s="0" t="s">
        <v>4669</v>
      </c>
      <c r="P578" s="0" t="s">
        <v>5442</v>
      </c>
      <c r="Q578" s="2" t="n">
        <v>43131</v>
      </c>
      <c r="S578" s="0" t="n">
        <f aca="false">YEAR(Q578)</f>
        <v>2018</v>
      </c>
      <c r="T578" s="0" t="n">
        <f aca="false">MONTH(Q578)</f>
        <v>1</v>
      </c>
    </row>
    <row r="579" customFormat="false" ht="14.25" hidden="true" customHeight="false" outlineLevel="0" collapsed="false">
      <c r="A579" s="0" t="n">
        <v>578</v>
      </c>
      <c r="B579" s="1" t="s">
        <v>708</v>
      </c>
      <c r="C579" s="1" t="s">
        <v>1479</v>
      </c>
      <c r="D579" s="1" t="s">
        <v>1535</v>
      </c>
      <c r="E579" s="0" t="s">
        <v>39</v>
      </c>
      <c r="F579" s="0" t="s">
        <v>49</v>
      </c>
      <c r="G579" s="0" t="s">
        <v>5392</v>
      </c>
      <c r="I579" s="6" t="n">
        <v>0.833333333333333</v>
      </c>
      <c r="K579" s="0" t="n">
        <v>0</v>
      </c>
      <c r="L579" s="0" t="n">
        <v>0</v>
      </c>
      <c r="M579" s="0" t="s">
        <v>5443</v>
      </c>
      <c r="N579" s="0" t="s">
        <v>5444</v>
      </c>
      <c r="P579" s="0" t="s">
        <v>5445</v>
      </c>
      <c r="Q579" s="2" t="n">
        <v>43131</v>
      </c>
      <c r="S579" s="0" t="n">
        <f aca="false">YEAR(Q579)</f>
        <v>2018</v>
      </c>
      <c r="T579" s="0" t="n">
        <f aca="false">MONTH(Q579)</f>
        <v>1</v>
      </c>
    </row>
    <row r="580" customFormat="false" ht="14.25" hidden="true" customHeight="false" outlineLevel="0" collapsed="false">
      <c r="A580" s="0" t="n">
        <v>579</v>
      </c>
      <c r="B580" s="1" t="s">
        <v>708</v>
      </c>
      <c r="C580" s="1" t="s">
        <v>1479</v>
      </c>
      <c r="D580" s="1" t="s">
        <v>1535</v>
      </c>
      <c r="E580" s="0" t="s">
        <v>39</v>
      </c>
      <c r="F580" s="0" t="s">
        <v>49</v>
      </c>
      <c r="G580" s="0" t="s">
        <v>5446</v>
      </c>
      <c r="I580" s="6" t="n">
        <v>0.833333333333333</v>
      </c>
      <c r="M580" s="0" t="s">
        <v>5447</v>
      </c>
      <c r="N580" s="0" t="s">
        <v>5448</v>
      </c>
      <c r="P580" s="0" t="s">
        <v>5449</v>
      </c>
      <c r="Q580" s="2" t="n">
        <v>43131</v>
      </c>
      <c r="S580" s="0" t="n">
        <f aca="false">YEAR(Q580)</f>
        <v>2018</v>
      </c>
      <c r="T580" s="0" t="n">
        <f aca="false">MONTH(Q580)</f>
        <v>1</v>
      </c>
    </row>
    <row r="581" customFormat="false" ht="14.25" hidden="true" customHeight="false" outlineLevel="0" collapsed="false">
      <c r="A581" s="0" t="n">
        <v>580</v>
      </c>
      <c r="B581" s="1" t="s">
        <v>708</v>
      </c>
      <c r="C581" s="1" t="s">
        <v>1479</v>
      </c>
      <c r="D581" s="1" t="s">
        <v>1496</v>
      </c>
      <c r="E581" s="0" t="s">
        <v>38</v>
      </c>
      <c r="F581" s="0" t="s">
        <v>49</v>
      </c>
      <c r="G581" s="0" t="s">
        <v>5450</v>
      </c>
      <c r="I581" s="6" t="n">
        <v>0.909722222222222</v>
      </c>
      <c r="J581" s="6" t="n">
        <v>0.916666666666667</v>
      </c>
      <c r="K581" s="0" t="n">
        <v>0</v>
      </c>
      <c r="M581" s="0" t="s">
        <v>5451</v>
      </c>
      <c r="N581" s="0" t="s">
        <v>5452</v>
      </c>
      <c r="P581" s="0" t="s">
        <v>5453</v>
      </c>
      <c r="Q581" s="2" t="n">
        <v>43131</v>
      </c>
      <c r="S581" s="0" t="n">
        <f aca="false">YEAR(Q581)</f>
        <v>2018</v>
      </c>
      <c r="T581" s="0" t="n">
        <f aca="false">MONTH(Q581)</f>
        <v>1</v>
      </c>
    </row>
    <row r="582" customFormat="false" ht="14.25" hidden="true" customHeight="false" outlineLevel="0" collapsed="false">
      <c r="A582" s="0" t="n">
        <v>581</v>
      </c>
      <c r="B582" s="1" t="s">
        <v>711</v>
      </c>
      <c r="C582" s="1" t="s">
        <v>1503</v>
      </c>
      <c r="D582" s="1" t="s">
        <v>1535</v>
      </c>
      <c r="E582" s="0" t="s">
        <v>44</v>
      </c>
      <c r="F582" s="0" t="s">
        <v>48</v>
      </c>
      <c r="G582" s="0" t="s">
        <v>5454</v>
      </c>
      <c r="I582" s="6" t="n">
        <v>0.28125</v>
      </c>
      <c r="J582" s="6" t="n">
        <v>0.284722222222222</v>
      </c>
      <c r="K582" s="0" t="n">
        <v>0</v>
      </c>
      <c r="L582" s="0" t="n">
        <v>20</v>
      </c>
      <c r="M582" s="0" t="s">
        <v>5455</v>
      </c>
      <c r="N582" s="0" t="s">
        <v>5456</v>
      </c>
      <c r="P582" s="0" t="s">
        <v>5457</v>
      </c>
      <c r="Q582" s="2" t="n">
        <v>43132</v>
      </c>
      <c r="S582" s="0" t="n">
        <f aca="false">YEAR(Q582)</f>
        <v>2018</v>
      </c>
      <c r="T582" s="0" t="n">
        <f aca="false">MONTH(Q582)</f>
        <v>2</v>
      </c>
    </row>
    <row r="583" customFormat="false" ht="14.25" hidden="true" customHeight="false" outlineLevel="0" collapsed="false">
      <c r="A583" s="0" t="n">
        <v>582</v>
      </c>
      <c r="B583" s="1" t="s">
        <v>711</v>
      </c>
      <c r="C583" s="1" t="s">
        <v>1503</v>
      </c>
      <c r="D583" s="1" t="s">
        <v>1535</v>
      </c>
      <c r="E583" s="0" t="s">
        <v>44</v>
      </c>
      <c r="F583" s="0" t="s">
        <v>48</v>
      </c>
      <c r="G583" s="0" t="s">
        <v>5458</v>
      </c>
      <c r="I583" s="6" t="n">
        <v>0.40625</v>
      </c>
      <c r="J583" s="6" t="n">
        <v>0.40625</v>
      </c>
      <c r="K583" s="0" t="n">
        <v>0</v>
      </c>
      <c r="L583" s="0" t="n">
        <v>15</v>
      </c>
      <c r="M583" s="0" t="s">
        <v>5459</v>
      </c>
      <c r="N583" s="0" t="s">
        <v>5460</v>
      </c>
      <c r="P583" s="0" t="s">
        <v>5461</v>
      </c>
      <c r="Q583" s="2" t="n">
        <v>43132</v>
      </c>
      <c r="S583" s="0" t="n">
        <f aca="false">YEAR(Q583)</f>
        <v>2018</v>
      </c>
      <c r="T583" s="0" t="n">
        <f aca="false">MONTH(Q583)</f>
        <v>2</v>
      </c>
    </row>
    <row r="584" customFormat="false" ht="14.25" hidden="true" customHeight="false" outlineLevel="0" collapsed="false">
      <c r="A584" s="0" t="n">
        <v>583</v>
      </c>
      <c r="B584" s="1" t="s">
        <v>711</v>
      </c>
      <c r="C584" s="1" t="s">
        <v>1503</v>
      </c>
      <c r="D584" s="1" t="s">
        <v>1535</v>
      </c>
      <c r="E584" s="0" t="s">
        <v>44</v>
      </c>
      <c r="F584" s="0" t="s">
        <v>48</v>
      </c>
      <c r="G584" s="0" t="s">
        <v>5462</v>
      </c>
      <c r="I584" s="6" t="n">
        <v>0.4375</v>
      </c>
      <c r="J584" s="6" t="n">
        <v>0.4375</v>
      </c>
      <c r="K584" s="0" t="n">
        <v>0</v>
      </c>
      <c r="L584" s="0" t="n">
        <v>30</v>
      </c>
      <c r="M584" s="0" t="s">
        <v>5463</v>
      </c>
      <c r="N584" s="0" t="s">
        <v>5464</v>
      </c>
      <c r="P584" s="0" t="s">
        <v>5465</v>
      </c>
      <c r="Q584" s="2" t="n">
        <v>43132</v>
      </c>
      <c r="S584" s="0" t="n">
        <f aca="false">YEAR(Q584)</f>
        <v>2018</v>
      </c>
      <c r="T584" s="0" t="n">
        <f aca="false">MONTH(Q584)</f>
        <v>2</v>
      </c>
    </row>
    <row r="585" customFormat="false" ht="14.25" hidden="true" customHeight="false" outlineLevel="0" collapsed="false">
      <c r="A585" s="0" t="n">
        <v>584</v>
      </c>
      <c r="B585" s="1" t="s">
        <v>712</v>
      </c>
      <c r="C585" s="1" t="s">
        <v>1503</v>
      </c>
      <c r="D585" s="1" t="s">
        <v>1535</v>
      </c>
      <c r="E585" s="0" t="s">
        <v>5466</v>
      </c>
      <c r="F585" s="0" t="s">
        <v>48</v>
      </c>
      <c r="G585" s="0" t="s">
        <v>5467</v>
      </c>
      <c r="I585" s="6" t="n">
        <v>0.28125</v>
      </c>
      <c r="J585" s="6" t="n">
        <v>0.284722222222222</v>
      </c>
      <c r="K585" s="0" t="n">
        <v>0</v>
      </c>
      <c r="L585" s="0" t="n">
        <v>360</v>
      </c>
      <c r="M585" s="0" t="s">
        <v>5468</v>
      </c>
      <c r="N585" s="0" t="s">
        <v>5469</v>
      </c>
      <c r="P585" s="0" t="s">
        <v>5470</v>
      </c>
      <c r="Q585" s="2" t="n">
        <v>43133</v>
      </c>
      <c r="S585" s="0" t="n">
        <f aca="false">YEAR(Q585)</f>
        <v>2018</v>
      </c>
      <c r="T585" s="0" t="n">
        <f aca="false">MONTH(Q585)</f>
        <v>2</v>
      </c>
    </row>
    <row r="586" customFormat="false" ht="14.25" hidden="true" customHeight="false" outlineLevel="0" collapsed="false">
      <c r="A586" s="0" t="n">
        <v>585</v>
      </c>
      <c r="B586" s="1" t="s">
        <v>712</v>
      </c>
      <c r="C586" s="1" t="s">
        <v>1479</v>
      </c>
      <c r="D586" s="1" t="s">
        <v>1487</v>
      </c>
      <c r="E586" s="4" t="s">
        <v>1488</v>
      </c>
      <c r="F586" s="0" t="s">
        <v>50</v>
      </c>
      <c r="G586" s="0" t="s">
        <v>5471</v>
      </c>
      <c r="I586" s="6" t="n">
        <v>0.115972222222222</v>
      </c>
      <c r="J586" s="6" t="n">
        <v>0.118055555555556</v>
      </c>
      <c r="K586" s="0" t="n">
        <v>30</v>
      </c>
      <c r="L586" s="0" t="n">
        <v>31</v>
      </c>
      <c r="M586" s="0" t="s">
        <v>5472</v>
      </c>
      <c r="N586" s="0" t="s">
        <v>5473</v>
      </c>
      <c r="P586" s="0" t="s">
        <v>5474</v>
      </c>
      <c r="Q586" s="2" t="n">
        <v>43133</v>
      </c>
      <c r="S586" s="0" t="n">
        <f aca="false">YEAR(Q586)</f>
        <v>2018</v>
      </c>
      <c r="T586" s="0" t="n">
        <f aca="false">MONTH(Q586)</f>
        <v>2</v>
      </c>
    </row>
    <row r="587" customFormat="false" ht="14.25" hidden="true" customHeight="false" outlineLevel="0" collapsed="false">
      <c r="A587" s="0" t="n">
        <v>586</v>
      </c>
      <c r="B587" s="1" t="s">
        <v>712</v>
      </c>
      <c r="C587" s="1" t="s">
        <v>1479</v>
      </c>
      <c r="D587" s="1" t="s">
        <v>1487</v>
      </c>
      <c r="E587" s="0" t="s">
        <v>1488</v>
      </c>
      <c r="F587" s="0" t="s">
        <v>50</v>
      </c>
      <c r="G587" s="0" t="s">
        <v>5475</v>
      </c>
      <c r="I587" s="6" t="n">
        <v>0.157638888888889</v>
      </c>
      <c r="J587" s="6" t="n">
        <v>0.1875</v>
      </c>
      <c r="K587" s="0" t="n">
        <v>80</v>
      </c>
      <c r="L587" s="0" t="n">
        <v>125</v>
      </c>
      <c r="M587" s="0" t="s">
        <v>5476</v>
      </c>
      <c r="N587" s="0" t="s">
        <v>5477</v>
      </c>
      <c r="P587" s="0" t="s">
        <v>5478</v>
      </c>
      <c r="Q587" s="2" t="n">
        <v>43133</v>
      </c>
      <c r="S587" s="0" t="n">
        <f aca="false">YEAR(Q587)</f>
        <v>2018</v>
      </c>
      <c r="T587" s="0" t="n">
        <f aca="false">MONTH(Q587)</f>
        <v>2</v>
      </c>
    </row>
    <row r="588" customFormat="false" ht="14.25" hidden="true" customHeight="false" outlineLevel="0" collapsed="false">
      <c r="A588" s="0" t="n">
        <v>587</v>
      </c>
      <c r="B588" s="1" t="s">
        <v>714</v>
      </c>
      <c r="C588" s="1" t="s">
        <v>1479</v>
      </c>
      <c r="D588" s="1" t="s">
        <v>1487</v>
      </c>
      <c r="E588" s="0" t="s">
        <v>1488</v>
      </c>
      <c r="F588" s="0" t="s">
        <v>50</v>
      </c>
      <c r="G588" s="0" t="s">
        <v>5479</v>
      </c>
      <c r="I588" s="6" t="n">
        <v>0.993055555555555</v>
      </c>
      <c r="L588" s="0" t="n">
        <v>140</v>
      </c>
      <c r="M588" s="0" t="s">
        <v>5480</v>
      </c>
      <c r="N588" s="0" t="s">
        <v>5481</v>
      </c>
      <c r="P588" s="0" t="s">
        <v>5482</v>
      </c>
      <c r="Q588" s="2" t="n">
        <v>43135</v>
      </c>
      <c r="S588" s="0" t="n">
        <f aca="false">YEAR(Q588)</f>
        <v>2018</v>
      </c>
      <c r="T588" s="0" t="n">
        <f aca="false">MONTH(Q588)</f>
        <v>2</v>
      </c>
    </row>
    <row r="589" customFormat="false" ht="14.25" hidden="true" customHeight="false" outlineLevel="0" collapsed="false">
      <c r="A589" s="0" t="n">
        <v>588</v>
      </c>
      <c r="B589" s="1" t="s">
        <v>714</v>
      </c>
      <c r="C589" s="1" t="s">
        <v>1479</v>
      </c>
      <c r="D589" s="1" t="s">
        <v>1535</v>
      </c>
      <c r="E589" s="0" t="s">
        <v>39</v>
      </c>
      <c r="F589" s="0" t="s">
        <v>50</v>
      </c>
      <c r="G589" s="0" t="s">
        <v>5483</v>
      </c>
      <c r="I589" s="6" t="n">
        <v>0.965277777777778</v>
      </c>
      <c r="L589" s="0" t="n">
        <v>0</v>
      </c>
      <c r="M589" s="0" t="s">
        <v>5484</v>
      </c>
      <c r="N589" s="0" t="s">
        <v>5485</v>
      </c>
      <c r="P589" s="0" t="s">
        <v>5486</v>
      </c>
      <c r="Q589" s="2" t="n">
        <v>43135</v>
      </c>
      <c r="S589" s="0" t="n">
        <f aca="false">YEAR(Q589)</f>
        <v>2018</v>
      </c>
      <c r="T589" s="0" t="n">
        <f aca="false">MONTH(Q589)</f>
        <v>2</v>
      </c>
    </row>
    <row r="590" customFormat="false" ht="14.25" hidden="true" customHeight="false" outlineLevel="0" collapsed="false">
      <c r="A590" s="0" t="n">
        <v>589</v>
      </c>
      <c r="B590" s="1" t="s">
        <v>714</v>
      </c>
      <c r="C590" s="1" t="s">
        <v>1479</v>
      </c>
      <c r="D590" s="1" t="s">
        <v>1535</v>
      </c>
      <c r="E590" s="0" t="s">
        <v>39</v>
      </c>
      <c r="F590" s="0" t="s">
        <v>50</v>
      </c>
      <c r="G590" s="0" t="s">
        <v>5487</v>
      </c>
      <c r="I590" s="6" t="n">
        <v>0.0833333333333333</v>
      </c>
      <c r="L590" s="0" t="n">
        <v>300</v>
      </c>
      <c r="M590" s="0" t="s">
        <v>5488</v>
      </c>
      <c r="N590" s="0" t="s">
        <v>5489</v>
      </c>
      <c r="P590" s="0" t="s">
        <v>5490</v>
      </c>
      <c r="Q590" s="2" t="n">
        <v>43135</v>
      </c>
      <c r="S590" s="0" t="n">
        <f aca="false">YEAR(Q590)</f>
        <v>2018</v>
      </c>
      <c r="T590" s="0" t="n">
        <f aca="false">MONTH(Q590)</f>
        <v>2</v>
      </c>
    </row>
    <row r="591" customFormat="false" ht="14.25" hidden="true" customHeight="false" outlineLevel="0" collapsed="false">
      <c r="A591" s="0" t="n">
        <v>590</v>
      </c>
      <c r="B591" s="1" t="s">
        <v>715</v>
      </c>
      <c r="C591" s="1" t="s">
        <v>1479</v>
      </c>
      <c r="D591" s="1" t="s">
        <v>1535</v>
      </c>
      <c r="E591" s="0" t="s">
        <v>39</v>
      </c>
      <c r="F591" s="0" t="s">
        <v>48</v>
      </c>
      <c r="G591" s="0" t="s">
        <v>5491</v>
      </c>
      <c r="J591" s="6" t="n">
        <v>0.25</v>
      </c>
      <c r="M591" s="0" t="s">
        <v>5492</v>
      </c>
      <c r="N591" s="0" t="s">
        <v>5493</v>
      </c>
      <c r="P591" s="0" t="s">
        <v>5494</v>
      </c>
      <c r="Q591" s="2" t="n">
        <v>43136</v>
      </c>
      <c r="S591" s="0" t="n">
        <f aca="false">YEAR(Q591)</f>
        <v>2018</v>
      </c>
      <c r="T591" s="0" t="n">
        <f aca="false">MONTH(Q591)</f>
        <v>2</v>
      </c>
    </row>
    <row r="592" customFormat="false" ht="14.25" hidden="true" customHeight="false" outlineLevel="0" collapsed="false">
      <c r="A592" s="0" t="n">
        <v>591</v>
      </c>
      <c r="B592" s="1" t="s">
        <v>715</v>
      </c>
      <c r="C592" s="1" t="s">
        <v>1479</v>
      </c>
      <c r="D592" s="1" t="s">
        <v>1487</v>
      </c>
      <c r="E592" s="0" t="s">
        <v>1488</v>
      </c>
      <c r="F592" s="0" t="s">
        <v>48</v>
      </c>
      <c r="G592" s="0" t="s">
        <v>5495</v>
      </c>
      <c r="J592" s="6" t="n">
        <v>0.291666666666667</v>
      </c>
      <c r="M592" s="0" t="s">
        <v>5496</v>
      </c>
      <c r="N592" s="0" t="s">
        <v>5497</v>
      </c>
      <c r="P592" s="0" t="s">
        <v>5498</v>
      </c>
      <c r="Q592" s="2" t="n">
        <v>43136</v>
      </c>
      <c r="S592" s="0" t="n">
        <f aca="false">YEAR(Q592)</f>
        <v>2018</v>
      </c>
      <c r="T592" s="0" t="n">
        <f aca="false">MONTH(Q592)</f>
        <v>2</v>
      </c>
    </row>
    <row r="593" customFormat="false" ht="14.25" hidden="true" customHeight="false" outlineLevel="0" collapsed="false">
      <c r="A593" s="0" t="n">
        <v>592</v>
      </c>
      <c r="B593" s="1" t="s">
        <v>715</v>
      </c>
      <c r="C593" s="1" t="s">
        <v>1479</v>
      </c>
      <c r="D593" s="1" t="s">
        <v>1487</v>
      </c>
      <c r="E593" s="0" t="s">
        <v>1488</v>
      </c>
      <c r="F593" s="0" t="s">
        <v>48</v>
      </c>
      <c r="G593" s="0" t="s">
        <v>5499</v>
      </c>
      <c r="I593" s="6" t="n">
        <v>0.236111111111111</v>
      </c>
      <c r="J593" s="6" t="n">
        <v>0.333333333333333</v>
      </c>
      <c r="M593" s="0" t="s">
        <v>5500</v>
      </c>
      <c r="N593" s="0" t="s">
        <v>5501</v>
      </c>
      <c r="P593" s="0" t="s">
        <v>5502</v>
      </c>
      <c r="Q593" s="2" t="n">
        <v>43136</v>
      </c>
      <c r="S593" s="0" t="n">
        <f aca="false">YEAR(Q593)</f>
        <v>2018</v>
      </c>
      <c r="T593" s="0" t="n">
        <f aca="false">MONTH(Q593)</f>
        <v>2</v>
      </c>
    </row>
    <row r="594" customFormat="false" ht="42.75" hidden="true" customHeight="false" outlineLevel="0" collapsed="false">
      <c r="A594" s="0" t="n">
        <v>593</v>
      </c>
      <c r="B594" s="1" t="s">
        <v>715</v>
      </c>
      <c r="C594" s="1" t="s">
        <v>1479</v>
      </c>
      <c r="D594" s="1" t="s">
        <v>1480</v>
      </c>
      <c r="E594" s="0" t="s">
        <v>43</v>
      </c>
      <c r="F594" s="0" t="s">
        <v>50</v>
      </c>
      <c r="G594" s="0" t="s">
        <v>5503</v>
      </c>
      <c r="I594" s="6" t="n">
        <v>0.927083333333333</v>
      </c>
      <c r="J594" s="6" t="n">
        <v>0.951388888888889</v>
      </c>
      <c r="K594" s="0" t="n">
        <v>0</v>
      </c>
      <c r="L594" s="0" t="n">
        <v>150</v>
      </c>
      <c r="M594" s="0" t="s">
        <v>5504</v>
      </c>
      <c r="N594" s="0" t="s">
        <v>5505</v>
      </c>
      <c r="P594" s="7" t="s">
        <v>5506</v>
      </c>
      <c r="Q594" s="2" t="n">
        <v>43136</v>
      </c>
      <c r="S594" s="0" t="n">
        <f aca="false">YEAR(Q594)</f>
        <v>2018</v>
      </c>
      <c r="T594" s="0" t="n">
        <f aca="false">MONTH(Q594)</f>
        <v>2</v>
      </c>
    </row>
    <row r="595" customFormat="false" ht="14.25" hidden="true" customHeight="false" outlineLevel="0" collapsed="false">
      <c r="A595" s="0" t="n">
        <v>594</v>
      </c>
      <c r="B595" s="1" t="s">
        <v>715</v>
      </c>
      <c r="C595" s="1" t="s">
        <v>1479</v>
      </c>
      <c r="D595" s="1" t="s">
        <v>1487</v>
      </c>
      <c r="E595" s="4" t="s">
        <v>1488</v>
      </c>
      <c r="F595" s="0" t="s">
        <v>50</v>
      </c>
      <c r="G595" s="0" t="s">
        <v>5507</v>
      </c>
      <c r="I595" s="6" t="n">
        <v>0.0902777777777778</v>
      </c>
      <c r="J595" s="6" t="n">
        <v>0.100694444444444</v>
      </c>
      <c r="K595" s="0" t="n">
        <v>10</v>
      </c>
      <c r="L595" s="0" t="n">
        <v>30</v>
      </c>
      <c r="M595" s="0" t="s">
        <v>5508</v>
      </c>
      <c r="N595" s="0" t="s">
        <v>5509</v>
      </c>
      <c r="P595" s="0" t="s">
        <v>5510</v>
      </c>
      <c r="Q595" s="2" t="n">
        <v>43136</v>
      </c>
      <c r="S595" s="0" t="n">
        <f aca="false">YEAR(Q595)</f>
        <v>2018</v>
      </c>
      <c r="T595" s="0" t="n">
        <f aca="false">MONTH(Q595)</f>
        <v>2</v>
      </c>
    </row>
    <row r="596" customFormat="false" ht="14.25" hidden="true" customHeight="false" outlineLevel="0" collapsed="false">
      <c r="A596" s="0" t="n">
        <v>595</v>
      </c>
      <c r="B596" s="1" t="s">
        <v>715</v>
      </c>
      <c r="C596" s="1" t="s">
        <v>1479</v>
      </c>
      <c r="D596" s="1" t="s">
        <v>1487</v>
      </c>
      <c r="E596" s="4" t="s">
        <v>1488</v>
      </c>
      <c r="F596" s="0" t="s">
        <v>50</v>
      </c>
      <c r="G596" s="0" t="s">
        <v>5511</v>
      </c>
      <c r="I596" s="6" t="n">
        <v>0.152777777777778</v>
      </c>
      <c r="J596" s="6" t="n">
        <v>0.159722222222222</v>
      </c>
      <c r="K596" s="0" t="n">
        <v>30</v>
      </c>
      <c r="L596" s="0" t="n">
        <v>31</v>
      </c>
      <c r="M596" s="0" t="s">
        <v>5512</v>
      </c>
      <c r="N596" s="0" t="s">
        <v>5513</v>
      </c>
      <c r="P596" s="0" t="s">
        <v>5514</v>
      </c>
      <c r="Q596" s="2" t="n">
        <v>43136</v>
      </c>
      <c r="S596" s="0" t="n">
        <f aca="false">YEAR(Q596)</f>
        <v>2018</v>
      </c>
      <c r="T596" s="0" t="n">
        <f aca="false">MONTH(Q596)</f>
        <v>2</v>
      </c>
    </row>
    <row r="597" customFormat="false" ht="14.25" hidden="true" customHeight="false" outlineLevel="0" collapsed="false">
      <c r="A597" s="0" t="n">
        <v>596</v>
      </c>
      <c r="B597" s="1" t="s">
        <v>715</v>
      </c>
      <c r="Q597" s="2" t="n">
        <v>43136</v>
      </c>
      <c r="S597" s="0" t="n">
        <f aca="false">YEAR(Q597)</f>
        <v>2018</v>
      </c>
      <c r="T597" s="0" t="n">
        <f aca="false">MONTH(Q597)</f>
        <v>2</v>
      </c>
    </row>
    <row r="598" customFormat="false" ht="14.25" hidden="true" customHeight="false" outlineLevel="0" collapsed="false">
      <c r="A598" s="0" t="n">
        <v>597</v>
      </c>
      <c r="B598" s="1" t="s">
        <v>718</v>
      </c>
      <c r="C598" s="1" t="s">
        <v>1503</v>
      </c>
      <c r="D598" s="1" t="s">
        <v>1535</v>
      </c>
      <c r="E598" s="0" t="s">
        <v>44</v>
      </c>
      <c r="F598" s="0" t="s">
        <v>48</v>
      </c>
      <c r="G598" s="0" t="s">
        <v>5515</v>
      </c>
      <c r="J598" s="6" t="n">
        <v>0.291666666666667</v>
      </c>
      <c r="M598" s="0" t="s">
        <v>5516</v>
      </c>
      <c r="N598" s="0" t="s">
        <v>5517</v>
      </c>
      <c r="P598" s="0" t="s">
        <v>5518</v>
      </c>
      <c r="Q598" s="2" t="n">
        <v>43137</v>
      </c>
      <c r="S598" s="0" t="n">
        <f aca="false">YEAR(Q598)</f>
        <v>2018</v>
      </c>
      <c r="T598" s="0" t="n">
        <f aca="false">MONTH(Q598)</f>
        <v>2</v>
      </c>
    </row>
    <row r="599" customFormat="false" ht="14.25" hidden="true" customHeight="false" outlineLevel="0" collapsed="false">
      <c r="A599" s="0" t="n">
        <v>598</v>
      </c>
      <c r="B599" s="1" t="s">
        <v>718</v>
      </c>
      <c r="C599" s="1" t="s">
        <v>1479</v>
      </c>
      <c r="D599" s="1" t="s">
        <v>1496</v>
      </c>
      <c r="E599" s="0" t="s">
        <v>38</v>
      </c>
      <c r="F599" s="0" t="s">
        <v>50</v>
      </c>
      <c r="G599" s="0" t="s">
        <v>5519</v>
      </c>
      <c r="I599" s="6" t="n">
        <v>0.0208333333333333</v>
      </c>
      <c r="J599" s="6" t="n">
        <v>0.0347222222222222</v>
      </c>
      <c r="K599" s="0" t="n">
        <v>0</v>
      </c>
      <c r="M599" s="0" t="s">
        <v>5520</v>
      </c>
      <c r="N599" s="0" t="s">
        <v>3724</v>
      </c>
      <c r="P599" s="0" t="s">
        <v>5521</v>
      </c>
      <c r="Q599" s="2" t="n">
        <v>43137</v>
      </c>
      <c r="S599" s="0" t="n">
        <f aca="false">YEAR(Q599)</f>
        <v>2018</v>
      </c>
      <c r="T599" s="0" t="n">
        <f aca="false">MONTH(Q599)</f>
        <v>2</v>
      </c>
    </row>
    <row r="600" customFormat="false" ht="14.25" hidden="true" customHeight="false" outlineLevel="0" collapsed="false">
      <c r="A600" s="0" t="n">
        <v>599</v>
      </c>
      <c r="B600" s="1" t="s">
        <v>718</v>
      </c>
      <c r="C600" s="1" t="s">
        <v>1479</v>
      </c>
      <c r="D600" s="1" t="s">
        <v>1496</v>
      </c>
      <c r="E600" s="0" t="s">
        <v>38</v>
      </c>
      <c r="F600" s="0" t="s">
        <v>50</v>
      </c>
      <c r="G600" s="0" t="s">
        <v>5522</v>
      </c>
      <c r="I600" s="6" t="n">
        <v>0.104166666666667</v>
      </c>
      <c r="J600" s="6" t="n">
        <v>0.107638888888889</v>
      </c>
      <c r="K600" s="0" t="n">
        <v>140</v>
      </c>
      <c r="L600" s="0" t="n">
        <v>140</v>
      </c>
      <c r="M600" s="0" t="s">
        <v>5523</v>
      </c>
      <c r="N600" s="0" t="s">
        <v>5524</v>
      </c>
      <c r="P600" s="0" t="s">
        <v>5525</v>
      </c>
      <c r="Q600" s="2" t="n">
        <v>43137</v>
      </c>
      <c r="S600" s="0" t="n">
        <f aca="false">YEAR(Q600)</f>
        <v>2018</v>
      </c>
      <c r="T600" s="0" t="n">
        <f aca="false">MONTH(Q600)</f>
        <v>2</v>
      </c>
    </row>
    <row r="601" customFormat="false" ht="14.25" hidden="true" customHeight="false" outlineLevel="0" collapsed="false">
      <c r="A601" s="0" t="n">
        <v>600</v>
      </c>
      <c r="B601" s="1" t="s">
        <v>720</v>
      </c>
      <c r="C601" s="1" t="s">
        <v>1503</v>
      </c>
      <c r="D601" s="1" t="s">
        <v>1535</v>
      </c>
      <c r="E601" s="0" t="s">
        <v>44</v>
      </c>
      <c r="F601" s="0" t="s">
        <v>48</v>
      </c>
      <c r="G601" s="0" t="s">
        <v>5526</v>
      </c>
      <c r="I601" s="6" t="n">
        <v>0.125</v>
      </c>
      <c r="J601" s="6" t="n">
        <v>0.236111111111111</v>
      </c>
      <c r="K601" s="0" t="n">
        <v>0</v>
      </c>
      <c r="M601" s="0" t="s">
        <v>5527</v>
      </c>
      <c r="N601" s="0" t="s">
        <v>5528</v>
      </c>
      <c r="P601" s="0" t="s">
        <v>5529</v>
      </c>
      <c r="Q601" s="2" t="n">
        <v>43138</v>
      </c>
      <c r="S601" s="0" t="n">
        <f aca="false">YEAR(Q601)</f>
        <v>2018</v>
      </c>
      <c r="T601" s="0" t="n">
        <f aca="false">MONTH(Q601)</f>
        <v>2</v>
      </c>
    </row>
    <row r="602" customFormat="false" ht="14.25" hidden="true" customHeight="false" outlineLevel="0" collapsed="false">
      <c r="A602" s="0" t="n">
        <v>601</v>
      </c>
      <c r="B602" s="1" t="s">
        <v>720</v>
      </c>
      <c r="C602" s="1" t="s">
        <v>1479</v>
      </c>
      <c r="D602" s="1" t="s">
        <v>1480</v>
      </c>
      <c r="E602" s="0" t="s">
        <v>43</v>
      </c>
      <c r="F602" s="0" t="s">
        <v>48</v>
      </c>
      <c r="G602" s="0" t="s">
        <v>5530</v>
      </c>
      <c r="J602" s="6" t="n">
        <v>0.368055555555556</v>
      </c>
      <c r="K602" s="0" t="n">
        <v>0</v>
      </c>
      <c r="M602" s="0" t="s">
        <v>5531</v>
      </c>
      <c r="N602" s="0" t="s">
        <v>5532</v>
      </c>
      <c r="P602" s="0" t="s">
        <v>5533</v>
      </c>
      <c r="Q602" s="2" t="n">
        <v>43138</v>
      </c>
      <c r="S602" s="0" t="n">
        <f aca="false">YEAR(Q602)</f>
        <v>2018</v>
      </c>
      <c r="T602" s="0" t="n">
        <f aca="false">MONTH(Q602)</f>
        <v>2</v>
      </c>
    </row>
    <row r="603" customFormat="false" ht="42.75" hidden="true" customHeight="false" outlineLevel="0" collapsed="false">
      <c r="A603" s="0" t="n">
        <v>602</v>
      </c>
      <c r="B603" s="1" t="s">
        <v>724</v>
      </c>
      <c r="C603" s="1" t="s">
        <v>1479</v>
      </c>
      <c r="D603" s="1" t="s">
        <v>1487</v>
      </c>
      <c r="E603" s="0" t="s">
        <v>1488</v>
      </c>
      <c r="F603" s="0" t="s">
        <v>50</v>
      </c>
      <c r="G603" s="0" t="s">
        <v>5534</v>
      </c>
      <c r="I603" s="6" t="n">
        <v>0.951388888888889</v>
      </c>
      <c r="J603" s="6" t="n">
        <v>0.965277777777778</v>
      </c>
      <c r="K603" s="0" t="n">
        <v>0</v>
      </c>
      <c r="L603" s="0" t="n">
        <v>10</v>
      </c>
      <c r="M603" s="0" t="s">
        <v>5535</v>
      </c>
      <c r="N603" s="0" t="s">
        <v>4784</v>
      </c>
      <c r="P603" s="7" t="s">
        <v>5536</v>
      </c>
      <c r="Q603" s="2" t="n">
        <v>43139</v>
      </c>
      <c r="S603" s="0" t="n">
        <f aca="false">YEAR(Q603)</f>
        <v>2018</v>
      </c>
      <c r="T603" s="0" t="n">
        <f aca="false">MONTH(Q603)</f>
        <v>2</v>
      </c>
    </row>
    <row r="604" customFormat="false" ht="14.25" hidden="true" customHeight="false" outlineLevel="0" collapsed="false">
      <c r="A604" s="0" t="n">
        <v>603</v>
      </c>
      <c r="B604" s="1" t="s">
        <v>725</v>
      </c>
      <c r="C604" s="1" t="s">
        <v>1503</v>
      </c>
      <c r="D604" s="1" t="s">
        <v>1535</v>
      </c>
      <c r="E604" s="0" t="s">
        <v>44</v>
      </c>
      <c r="F604" s="0" t="s">
        <v>48</v>
      </c>
      <c r="G604" s="0" t="s">
        <v>5537</v>
      </c>
      <c r="I604" s="6" t="n">
        <v>0.236111111111111</v>
      </c>
      <c r="J604" s="6" t="n">
        <v>0.375</v>
      </c>
      <c r="M604" s="0" t="s">
        <v>5538</v>
      </c>
      <c r="N604" s="0" t="s">
        <v>5539</v>
      </c>
      <c r="P604" s="0" t="s">
        <v>5540</v>
      </c>
      <c r="Q604" s="2" t="n">
        <v>43140</v>
      </c>
      <c r="S604" s="0" t="n">
        <f aca="false">YEAR(Q604)</f>
        <v>2018</v>
      </c>
      <c r="T604" s="0" t="n">
        <f aca="false">MONTH(Q604)</f>
        <v>2</v>
      </c>
    </row>
    <row r="605" customFormat="false" ht="14.25" hidden="true" customHeight="false" outlineLevel="0" collapsed="false">
      <c r="A605" s="0" t="n">
        <v>604</v>
      </c>
      <c r="B605" s="1" t="s">
        <v>725</v>
      </c>
      <c r="C605" s="1" t="s">
        <v>1479</v>
      </c>
      <c r="D605" s="1" t="s">
        <v>1535</v>
      </c>
      <c r="E605" s="0" t="s">
        <v>39</v>
      </c>
      <c r="F605" s="0" t="s">
        <v>50</v>
      </c>
      <c r="G605" s="0" t="s">
        <v>4990</v>
      </c>
      <c r="I605" s="6" t="n">
        <v>0.201388888888889</v>
      </c>
      <c r="J605" s="6" t="n">
        <v>0.204861111111111</v>
      </c>
      <c r="K605" s="0" t="n">
        <v>0</v>
      </c>
      <c r="L605" s="0" t="n">
        <v>15</v>
      </c>
      <c r="M605" s="0" t="s">
        <v>5541</v>
      </c>
      <c r="N605" s="0" t="s">
        <v>5542</v>
      </c>
      <c r="P605" s="0" t="s">
        <v>5543</v>
      </c>
      <c r="Q605" s="2" t="n">
        <v>43140</v>
      </c>
      <c r="S605" s="0" t="n">
        <f aca="false">YEAR(Q605)</f>
        <v>2018</v>
      </c>
      <c r="T605" s="0" t="n">
        <f aca="false">MONTH(Q605)</f>
        <v>2</v>
      </c>
    </row>
    <row r="606" customFormat="false" ht="14.25" hidden="true" customHeight="false" outlineLevel="0" collapsed="false">
      <c r="A606" s="0" t="n">
        <v>605</v>
      </c>
      <c r="B606" s="1" t="s">
        <v>725</v>
      </c>
      <c r="C606" s="1" t="s">
        <v>1479</v>
      </c>
      <c r="D606" s="1" t="s">
        <v>1496</v>
      </c>
      <c r="E606" s="0" t="s">
        <v>38</v>
      </c>
      <c r="F606" s="0" t="s">
        <v>50</v>
      </c>
      <c r="G606" s="0" t="s">
        <v>5544</v>
      </c>
      <c r="I606" s="6" t="n">
        <v>0.243055555555556</v>
      </c>
      <c r="J606" s="6" t="n">
        <v>0.25</v>
      </c>
      <c r="K606" s="0" t="n">
        <v>15</v>
      </c>
      <c r="L606" s="0" t="n">
        <v>20</v>
      </c>
      <c r="M606" s="0" t="s">
        <v>5545</v>
      </c>
      <c r="N606" s="0" t="s">
        <v>5546</v>
      </c>
      <c r="P606" s="0" t="s">
        <v>5547</v>
      </c>
      <c r="Q606" s="2" t="n">
        <v>43140</v>
      </c>
      <c r="S606" s="0" t="n">
        <f aca="false">YEAR(Q606)</f>
        <v>2018</v>
      </c>
      <c r="T606" s="0" t="n">
        <f aca="false">MONTH(Q606)</f>
        <v>2</v>
      </c>
    </row>
    <row r="607" customFormat="false" ht="14.25" hidden="true" customHeight="false" outlineLevel="0" collapsed="false">
      <c r="A607" s="0" t="n">
        <v>606</v>
      </c>
      <c r="B607" s="1" t="s">
        <v>726</v>
      </c>
      <c r="C607" s="1" t="s">
        <v>1479</v>
      </c>
      <c r="D607" s="1" t="s">
        <v>1496</v>
      </c>
      <c r="E607" s="0" t="s">
        <v>38</v>
      </c>
      <c r="F607" s="0" t="s">
        <v>50</v>
      </c>
      <c r="G607" s="0" t="s">
        <v>1564</v>
      </c>
      <c r="I607" s="6" t="n">
        <v>0.993055555555555</v>
      </c>
      <c r="J607" s="6" t="n">
        <v>0</v>
      </c>
      <c r="M607" s="0" t="s">
        <v>5548</v>
      </c>
      <c r="N607" s="0" t="s">
        <v>3545</v>
      </c>
      <c r="P607" s="0" t="s">
        <v>5549</v>
      </c>
      <c r="Q607" s="2" t="n">
        <v>43144</v>
      </c>
      <c r="S607" s="0" t="n">
        <f aca="false">YEAR(Q607)</f>
        <v>2018</v>
      </c>
      <c r="T607" s="0" t="n">
        <f aca="false">MONTH(Q607)</f>
        <v>2</v>
      </c>
    </row>
    <row r="608" customFormat="false" ht="14.25" hidden="true" customHeight="false" outlineLevel="0" collapsed="false">
      <c r="A608" s="0" t="n">
        <v>607</v>
      </c>
      <c r="B608" s="1" t="s">
        <v>727</v>
      </c>
      <c r="C608" s="1" t="s">
        <v>1479</v>
      </c>
      <c r="D608" s="1" t="s">
        <v>1496</v>
      </c>
      <c r="E608" s="0" t="s">
        <v>38</v>
      </c>
      <c r="F608" s="0" t="s">
        <v>48</v>
      </c>
      <c r="G608" s="0" t="s">
        <v>1564</v>
      </c>
      <c r="I608" s="6" t="n">
        <v>0.993055555555555</v>
      </c>
      <c r="J608" s="6" t="n">
        <v>0</v>
      </c>
      <c r="L608" s="0" t="n">
        <v>534</v>
      </c>
      <c r="M608" s="0" t="s">
        <v>5550</v>
      </c>
      <c r="N608" s="0" t="s">
        <v>5551</v>
      </c>
      <c r="P608" s="0" t="s">
        <v>5549</v>
      </c>
      <c r="Q608" s="2" t="n">
        <v>43145</v>
      </c>
      <c r="S608" s="0" t="n">
        <f aca="false">YEAR(Q608)</f>
        <v>2018</v>
      </c>
      <c r="T608" s="0" t="n">
        <f aca="false">MONTH(Q608)</f>
        <v>2</v>
      </c>
    </row>
    <row r="609" customFormat="false" ht="14.25" hidden="true" customHeight="false" outlineLevel="0" collapsed="false">
      <c r="A609" s="0" t="n">
        <v>608</v>
      </c>
      <c r="B609" s="1" t="s">
        <v>727</v>
      </c>
      <c r="C609" s="1" t="s">
        <v>1479</v>
      </c>
      <c r="D609" s="1" t="s">
        <v>1496</v>
      </c>
      <c r="E609" s="0" t="s">
        <v>38</v>
      </c>
      <c r="F609" s="0" t="s">
        <v>48</v>
      </c>
      <c r="G609" s="0" t="s">
        <v>5552</v>
      </c>
      <c r="I609" s="6" t="n">
        <v>0.472222222222222</v>
      </c>
      <c r="L609" s="0" t="n">
        <v>60</v>
      </c>
      <c r="M609" s="0" t="s">
        <v>5553</v>
      </c>
      <c r="N609" s="0" t="s">
        <v>5554</v>
      </c>
      <c r="P609" s="0" t="s">
        <v>5555</v>
      </c>
      <c r="Q609" s="2" t="n">
        <v>43145</v>
      </c>
      <c r="S609" s="0" t="n">
        <f aca="false">YEAR(Q609)</f>
        <v>2018</v>
      </c>
      <c r="T609" s="0" t="n">
        <f aca="false">MONTH(Q609)</f>
        <v>2</v>
      </c>
    </row>
    <row r="610" customFormat="false" ht="14.25" hidden="true" customHeight="false" outlineLevel="0" collapsed="false">
      <c r="A610" s="0" t="n">
        <v>609</v>
      </c>
      <c r="B610" s="1" t="s">
        <v>732</v>
      </c>
      <c r="C610" s="1" t="s">
        <v>1479</v>
      </c>
      <c r="D610" s="1" t="s">
        <v>1535</v>
      </c>
      <c r="E610" s="0" t="s">
        <v>39</v>
      </c>
      <c r="F610" s="0" t="s">
        <v>48</v>
      </c>
      <c r="G610" s="0" t="s">
        <v>5556</v>
      </c>
      <c r="I610" s="6" t="n">
        <v>0.358333333333333</v>
      </c>
      <c r="J610" s="6" t="n">
        <v>0.375</v>
      </c>
      <c r="K610" s="0" t="n">
        <v>5</v>
      </c>
      <c r="M610" s="0" t="s">
        <v>5557</v>
      </c>
      <c r="N610" s="0" t="s">
        <v>5558</v>
      </c>
      <c r="P610" s="0" t="s">
        <v>5559</v>
      </c>
      <c r="Q610" s="2" t="n">
        <v>43150</v>
      </c>
      <c r="S610" s="0" t="n">
        <f aca="false">YEAR(Q610)</f>
        <v>2018</v>
      </c>
      <c r="T610" s="0" t="n">
        <f aca="false">MONTH(Q610)</f>
        <v>2</v>
      </c>
    </row>
    <row r="611" customFormat="false" ht="14.25" hidden="true" customHeight="false" outlineLevel="0" collapsed="false">
      <c r="A611" s="0" t="n">
        <v>610</v>
      </c>
      <c r="B611" s="1" t="s">
        <v>732</v>
      </c>
      <c r="C611" s="1" t="s">
        <v>1479</v>
      </c>
      <c r="D611" s="1" t="s">
        <v>1496</v>
      </c>
      <c r="E611" s="0" t="s">
        <v>38</v>
      </c>
      <c r="F611" s="0" t="s">
        <v>48</v>
      </c>
      <c r="G611" s="0" t="s">
        <v>5560</v>
      </c>
      <c r="I611" s="6" t="n">
        <v>0.5625</v>
      </c>
      <c r="J611" s="6" t="n">
        <v>0.572916666666667</v>
      </c>
      <c r="L611" s="0" t="n">
        <v>30</v>
      </c>
      <c r="M611" s="0" t="s">
        <v>5561</v>
      </c>
      <c r="N611" s="0" t="s">
        <v>5562</v>
      </c>
      <c r="P611" s="0" t="s">
        <v>5563</v>
      </c>
      <c r="Q611" s="2" t="n">
        <v>43150</v>
      </c>
      <c r="S611" s="0" t="n">
        <f aca="false">YEAR(Q611)</f>
        <v>2018</v>
      </c>
      <c r="T611" s="0" t="n">
        <f aca="false">MONTH(Q611)</f>
        <v>2</v>
      </c>
    </row>
    <row r="612" customFormat="false" ht="14.25" hidden="true" customHeight="false" outlineLevel="0" collapsed="false">
      <c r="A612" s="0" t="n">
        <v>611</v>
      </c>
      <c r="B612" s="1" t="s">
        <v>732</v>
      </c>
      <c r="C612" s="1" t="s">
        <v>1479</v>
      </c>
      <c r="D612" s="1" t="s">
        <v>1535</v>
      </c>
      <c r="E612" s="0" t="s">
        <v>39</v>
      </c>
      <c r="F612" s="0" t="s">
        <v>49</v>
      </c>
      <c r="G612" s="0" t="s">
        <v>5564</v>
      </c>
      <c r="J612" s="6" t="n">
        <v>0.739583333333333</v>
      </c>
      <c r="M612" s="0" t="s">
        <v>5565</v>
      </c>
      <c r="N612" s="0" t="s">
        <v>5566</v>
      </c>
      <c r="P612" s="0" t="s">
        <v>5567</v>
      </c>
      <c r="Q612" s="2" t="n">
        <v>43150</v>
      </c>
      <c r="S612" s="0" t="n">
        <f aca="false">YEAR(Q612)</f>
        <v>2018</v>
      </c>
      <c r="T612" s="0" t="n">
        <f aca="false">MONTH(Q612)</f>
        <v>2</v>
      </c>
    </row>
    <row r="613" customFormat="false" ht="14.25" hidden="true" customHeight="false" outlineLevel="0" collapsed="false">
      <c r="A613" s="0" t="n">
        <v>612</v>
      </c>
      <c r="B613" s="1" t="s">
        <v>735</v>
      </c>
      <c r="C613" s="1" t="s">
        <v>1503</v>
      </c>
      <c r="D613" s="1" t="s">
        <v>1504</v>
      </c>
      <c r="E613" s="0" t="s">
        <v>5568</v>
      </c>
      <c r="F613" s="0" t="s">
        <v>48</v>
      </c>
      <c r="G613" s="0" t="s">
        <v>4055</v>
      </c>
      <c r="J613" s="6" t="n">
        <v>0.520833333333333</v>
      </c>
      <c r="M613" s="0" t="s">
        <v>5569</v>
      </c>
      <c r="N613" s="0" t="s">
        <v>5570</v>
      </c>
      <c r="P613" s="0" t="s">
        <v>5571</v>
      </c>
      <c r="Q613" s="2" t="n">
        <v>43147</v>
      </c>
      <c r="S613" s="0" t="n">
        <f aca="false">YEAR(Q613)</f>
        <v>2018</v>
      </c>
      <c r="T613" s="0" t="n">
        <f aca="false">MONTH(Q613)</f>
        <v>2</v>
      </c>
    </row>
    <row r="614" customFormat="false" ht="14.25" hidden="true" customHeight="false" outlineLevel="0" collapsed="false">
      <c r="A614" s="0" t="n">
        <v>613</v>
      </c>
      <c r="B614" s="1" t="s">
        <v>735</v>
      </c>
      <c r="C614" s="1" t="s">
        <v>1479</v>
      </c>
      <c r="D614" s="1" t="s">
        <v>1535</v>
      </c>
      <c r="E614" s="0" t="s">
        <v>39</v>
      </c>
      <c r="F614" s="0" t="s">
        <v>49</v>
      </c>
      <c r="G614" s="0" t="s">
        <v>5572</v>
      </c>
      <c r="I614" s="6" t="n">
        <v>0.645833333333333</v>
      </c>
      <c r="M614" s="0" t="s">
        <v>5573</v>
      </c>
      <c r="N614" s="0" t="s">
        <v>5574</v>
      </c>
      <c r="P614" s="0" t="s">
        <v>5575</v>
      </c>
      <c r="Q614" s="2" t="n">
        <v>43147</v>
      </c>
      <c r="S614" s="0" t="n">
        <f aca="false">YEAR(Q614)</f>
        <v>2018</v>
      </c>
      <c r="T614" s="0" t="n">
        <f aca="false">MONTH(Q614)</f>
        <v>2</v>
      </c>
    </row>
    <row r="615" customFormat="false" ht="14.25" hidden="true" customHeight="false" outlineLevel="0" collapsed="false">
      <c r="A615" s="0" t="n">
        <v>614</v>
      </c>
      <c r="B615" s="1" t="s">
        <v>735</v>
      </c>
      <c r="C615" s="1" t="s">
        <v>1503</v>
      </c>
      <c r="D615" s="1" t="s">
        <v>1504</v>
      </c>
      <c r="E615" s="0" t="s">
        <v>5576</v>
      </c>
      <c r="F615" s="0" t="s">
        <v>49</v>
      </c>
      <c r="G615" s="0" t="s">
        <v>5577</v>
      </c>
      <c r="I615" s="6" t="n">
        <v>0.583333333333333</v>
      </c>
      <c r="J615" s="6" t="n">
        <v>0.6625</v>
      </c>
      <c r="M615" s="0" t="s">
        <v>5578</v>
      </c>
      <c r="N615" s="0" t="s">
        <v>5579</v>
      </c>
      <c r="P615" s="0" t="s">
        <v>5580</v>
      </c>
      <c r="Q615" s="2" t="n">
        <v>43147</v>
      </c>
      <c r="S615" s="0" t="n">
        <f aca="false">YEAR(Q615)</f>
        <v>2018</v>
      </c>
      <c r="T615" s="0" t="n">
        <f aca="false">MONTH(Q615)</f>
        <v>2</v>
      </c>
    </row>
    <row r="616" customFormat="false" ht="14.25" hidden="true" customHeight="false" outlineLevel="0" collapsed="false">
      <c r="A616" s="0" t="n">
        <v>615</v>
      </c>
      <c r="B616" s="1" t="s">
        <v>735</v>
      </c>
      <c r="C616" s="1" t="s">
        <v>1503</v>
      </c>
      <c r="D616" s="1" t="s">
        <v>1504</v>
      </c>
      <c r="E616" s="0" t="s">
        <v>5581</v>
      </c>
      <c r="F616" s="0" t="s">
        <v>49</v>
      </c>
      <c r="G616" s="0" t="s">
        <v>4055</v>
      </c>
      <c r="M616" s="0" t="s">
        <v>5582</v>
      </c>
      <c r="N616" s="0" t="s">
        <v>5583</v>
      </c>
      <c r="P616" s="0" t="s">
        <v>5584</v>
      </c>
      <c r="Q616" s="2" t="n">
        <v>43147</v>
      </c>
      <c r="S616" s="0" t="n">
        <f aca="false">YEAR(Q616)</f>
        <v>2018</v>
      </c>
      <c r="T616" s="0" t="n">
        <f aca="false">MONTH(Q616)</f>
        <v>2</v>
      </c>
    </row>
    <row r="617" customFormat="false" ht="14.25" hidden="true" customHeight="false" outlineLevel="0" collapsed="false">
      <c r="A617" s="0" t="n">
        <v>616</v>
      </c>
      <c r="B617" s="1" t="s">
        <v>735</v>
      </c>
      <c r="C617" s="1" t="s">
        <v>1479</v>
      </c>
      <c r="D617" s="1" t="s">
        <v>1535</v>
      </c>
      <c r="E617" s="0" t="s">
        <v>39</v>
      </c>
      <c r="F617" s="0" t="s">
        <v>49</v>
      </c>
      <c r="G617" s="0" t="s">
        <v>5572</v>
      </c>
      <c r="I617" s="6" t="n">
        <v>0.875</v>
      </c>
      <c r="J617" s="6" t="n">
        <v>0.878472222222222</v>
      </c>
      <c r="M617" s="0" t="s">
        <v>5585</v>
      </c>
      <c r="N617" s="0" t="s">
        <v>5586</v>
      </c>
      <c r="P617" s="0" t="s">
        <v>5587</v>
      </c>
      <c r="Q617" s="2" t="n">
        <v>43147</v>
      </c>
      <c r="S617" s="0" t="n">
        <f aca="false">YEAR(Q617)</f>
        <v>2018</v>
      </c>
      <c r="T617" s="0" t="n">
        <f aca="false">MONTH(Q617)</f>
        <v>2</v>
      </c>
    </row>
    <row r="618" customFormat="false" ht="14.25" hidden="true" customHeight="false" outlineLevel="0" collapsed="false">
      <c r="A618" s="0" t="n">
        <v>617</v>
      </c>
      <c r="B618" s="1" t="s">
        <v>737</v>
      </c>
      <c r="C618" s="1" t="s">
        <v>1503</v>
      </c>
      <c r="D618" s="1" t="s">
        <v>1535</v>
      </c>
      <c r="E618" s="0" t="s">
        <v>44</v>
      </c>
      <c r="F618" s="0" t="s">
        <v>48</v>
      </c>
      <c r="G618" s="0" t="s">
        <v>4794</v>
      </c>
      <c r="I618" s="6" t="n">
        <v>0.395833333333333</v>
      </c>
      <c r="J618" s="6" t="n">
        <v>0.416666666666667</v>
      </c>
      <c r="M618" s="0" t="s">
        <v>5588</v>
      </c>
      <c r="N618" s="0" t="s">
        <v>5589</v>
      </c>
      <c r="P618" s="0" t="s">
        <v>5590</v>
      </c>
      <c r="Q618" s="2" t="n">
        <v>43148</v>
      </c>
      <c r="S618" s="0" t="n">
        <f aca="false">YEAR(Q618)</f>
        <v>2018</v>
      </c>
      <c r="T618" s="0" t="n">
        <f aca="false">MONTH(Q618)</f>
        <v>2</v>
      </c>
    </row>
    <row r="619" customFormat="false" ht="14.25" hidden="true" customHeight="false" outlineLevel="0" collapsed="false">
      <c r="A619" s="0" t="n">
        <v>618</v>
      </c>
      <c r="B619" s="1" t="s">
        <v>737</v>
      </c>
      <c r="C619" s="1" t="s">
        <v>1479</v>
      </c>
      <c r="D619" s="1" t="s">
        <v>1535</v>
      </c>
      <c r="E619" s="0" t="s">
        <v>39</v>
      </c>
      <c r="F619" s="0" t="s">
        <v>48</v>
      </c>
      <c r="G619" s="0" t="s">
        <v>4134</v>
      </c>
      <c r="I619" s="6" t="n">
        <v>0.472222222222222</v>
      </c>
      <c r="J619" s="6" t="n">
        <v>0.479166666666667</v>
      </c>
      <c r="L619" s="0" t="n">
        <v>30</v>
      </c>
      <c r="M619" s="0" t="s">
        <v>5591</v>
      </c>
      <c r="N619" s="0" t="s">
        <v>5592</v>
      </c>
      <c r="P619" s="0" t="s">
        <v>5593</v>
      </c>
      <c r="Q619" s="2" t="n">
        <v>43148</v>
      </c>
      <c r="S619" s="0" t="n">
        <f aca="false">YEAR(Q619)</f>
        <v>2018</v>
      </c>
      <c r="T619" s="0" t="n">
        <f aca="false">MONTH(Q619)</f>
        <v>2</v>
      </c>
    </row>
    <row r="620" customFormat="false" ht="14.25" hidden="true" customHeight="false" outlineLevel="0" collapsed="false">
      <c r="A620" s="0" t="n">
        <v>619</v>
      </c>
      <c r="B620" s="1" t="s">
        <v>738</v>
      </c>
      <c r="C620" s="1" t="s">
        <v>1479</v>
      </c>
      <c r="D620" s="1" t="s">
        <v>1496</v>
      </c>
      <c r="E620" s="0" t="s">
        <v>38</v>
      </c>
      <c r="F620" s="0" t="s">
        <v>50</v>
      </c>
      <c r="G620" s="0" t="s">
        <v>5594</v>
      </c>
      <c r="J620" s="6" t="n">
        <v>0.993055555555555</v>
      </c>
      <c r="K620" s="0" t="n">
        <v>0</v>
      </c>
      <c r="M620" s="0" t="s">
        <v>5595</v>
      </c>
      <c r="N620" s="0" t="s">
        <v>5596</v>
      </c>
      <c r="P620" s="0" t="s">
        <v>5597</v>
      </c>
      <c r="Q620" s="2" t="n">
        <v>43149</v>
      </c>
      <c r="S620" s="0" t="n">
        <f aca="false">YEAR(Q620)</f>
        <v>2018</v>
      </c>
      <c r="T620" s="0" t="n">
        <f aca="false">MONTH(Q620)</f>
        <v>2</v>
      </c>
    </row>
    <row r="621" customFormat="false" ht="14.25" hidden="true" customHeight="false" outlineLevel="0" collapsed="false">
      <c r="A621" s="0" t="n">
        <v>620</v>
      </c>
      <c r="B621" s="1" t="s">
        <v>738</v>
      </c>
      <c r="C621" s="1" t="s">
        <v>1479</v>
      </c>
      <c r="D621" s="1" t="s">
        <v>1535</v>
      </c>
      <c r="E621" s="0" t="s">
        <v>39</v>
      </c>
      <c r="F621" s="0" t="s">
        <v>50</v>
      </c>
      <c r="G621" s="0" t="s">
        <v>5598</v>
      </c>
      <c r="J621" s="6" t="n">
        <v>0.0416666666666667</v>
      </c>
      <c r="K621" s="0" t="n">
        <v>4</v>
      </c>
      <c r="M621" s="0" t="s">
        <v>5599</v>
      </c>
      <c r="N621" s="0" t="s">
        <v>5600</v>
      </c>
      <c r="P621" s="0" t="s">
        <v>5601</v>
      </c>
      <c r="Q621" s="2" t="n">
        <v>43149</v>
      </c>
      <c r="S621" s="0" t="n">
        <f aca="false">YEAR(Q621)</f>
        <v>2018</v>
      </c>
      <c r="T621" s="0" t="n">
        <f aca="false">MONTH(Q621)</f>
        <v>2</v>
      </c>
    </row>
    <row r="622" customFormat="false" ht="14.25" hidden="true" customHeight="false" outlineLevel="0" collapsed="false">
      <c r="A622" s="0" t="n">
        <v>621</v>
      </c>
      <c r="B622" s="1" t="s">
        <v>739</v>
      </c>
      <c r="C622" s="1" t="s">
        <v>1479</v>
      </c>
      <c r="D622" s="1" t="s">
        <v>1496</v>
      </c>
      <c r="E622" s="0" t="s">
        <v>38</v>
      </c>
      <c r="F622" s="0" t="s">
        <v>49</v>
      </c>
      <c r="G622" s="0" t="s">
        <v>5602</v>
      </c>
      <c r="J622" s="6" t="n">
        <v>0.627777777777778</v>
      </c>
      <c r="K622" s="0" t="n">
        <v>73</v>
      </c>
      <c r="L622" s="0" t="n">
        <v>41</v>
      </c>
      <c r="M622" s="0" t="s">
        <v>5603</v>
      </c>
      <c r="N622" s="0" t="s">
        <v>5604</v>
      </c>
      <c r="P622" s="0" t="s">
        <v>5605</v>
      </c>
      <c r="Q622" s="2" t="n">
        <v>43151</v>
      </c>
      <c r="S622" s="0" t="n">
        <f aca="false">YEAR(Q622)</f>
        <v>2018</v>
      </c>
      <c r="T622" s="0" t="n">
        <f aca="false">MONTH(Q622)</f>
        <v>2</v>
      </c>
    </row>
    <row r="623" customFormat="false" ht="14.25" hidden="true" customHeight="false" outlineLevel="0" collapsed="false">
      <c r="A623" s="0" t="n">
        <v>622</v>
      </c>
      <c r="B623" s="1" t="s">
        <v>739</v>
      </c>
      <c r="C623" s="1" t="s">
        <v>1479</v>
      </c>
      <c r="D623" s="1" t="s">
        <v>1487</v>
      </c>
      <c r="E623" s="0" t="s">
        <v>1488</v>
      </c>
      <c r="F623" s="0" t="s">
        <v>49</v>
      </c>
      <c r="G623" s="0" t="s">
        <v>5606</v>
      </c>
      <c r="I623" s="6" t="n">
        <v>0.678472222222222</v>
      </c>
      <c r="J623" s="6" t="n">
        <v>0.692361111111111</v>
      </c>
      <c r="L623" s="0" t="n">
        <v>50</v>
      </c>
      <c r="M623" s="0" t="s">
        <v>5607</v>
      </c>
      <c r="N623" s="0" t="s">
        <v>5608</v>
      </c>
      <c r="P623" s="0" t="s">
        <v>5609</v>
      </c>
      <c r="Q623" s="2" t="n">
        <v>43151</v>
      </c>
      <c r="S623" s="0" t="n">
        <f aca="false">YEAR(Q623)</f>
        <v>2018</v>
      </c>
      <c r="T623" s="0" t="n">
        <f aca="false">MONTH(Q623)</f>
        <v>2</v>
      </c>
    </row>
    <row r="624" customFormat="false" ht="14.25" hidden="true" customHeight="false" outlineLevel="0" collapsed="false">
      <c r="A624" s="0" t="n">
        <v>623</v>
      </c>
      <c r="B624" s="1" t="s">
        <v>739</v>
      </c>
      <c r="C624" s="1" t="s">
        <v>1479</v>
      </c>
      <c r="D624" s="1" t="s">
        <v>1535</v>
      </c>
      <c r="E624" s="0" t="s">
        <v>39</v>
      </c>
      <c r="F624" s="0" t="s">
        <v>49</v>
      </c>
      <c r="G624" s="0" t="s">
        <v>4174</v>
      </c>
      <c r="J624" s="6" t="n">
        <v>0.750694444444444</v>
      </c>
      <c r="K624" s="0" t="n">
        <v>16</v>
      </c>
      <c r="M624" s="0" t="s">
        <v>5610</v>
      </c>
      <c r="N624" s="0" t="s">
        <v>5611</v>
      </c>
      <c r="P624" s="0" t="s">
        <v>5612</v>
      </c>
      <c r="Q624" s="2" t="n">
        <v>43151</v>
      </c>
      <c r="S624" s="0" t="n">
        <f aca="false">YEAR(Q624)</f>
        <v>2018</v>
      </c>
      <c r="T624" s="0" t="n">
        <f aca="false">MONTH(Q624)</f>
        <v>2</v>
      </c>
    </row>
    <row r="625" customFormat="false" ht="14.25" hidden="true" customHeight="false" outlineLevel="0" collapsed="false">
      <c r="A625" s="0" t="n">
        <v>624</v>
      </c>
      <c r="B625" s="1" t="s">
        <v>739</v>
      </c>
      <c r="C625" s="1" t="s">
        <v>1479</v>
      </c>
      <c r="D625" s="1" t="s">
        <v>1487</v>
      </c>
      <c r="E625" s="0" t="s">
        <v>1488</v>
      </c>
      <c r="F625" s="0" t="s">
        <v>49</v>
      </c>
      <c r="G625" s="0" t="s">
        <v>5613</v>
      </c>
      <c r="J625" s="6" t="n">
        <v>0.954166666666667</v>
      </c>
      <c r="L625" s="0" t="n">
        <v>25</v>
      </c>
      <c r="M625" s="0" t="s">
        <v>5614</v>
      </c>
      <c r="N625" s="0" t="s">
        <v>5615</v>
      </c>
      <c r="P625" s="0" t="s">
        <v>5616</v>
      </c>
      <c r="Q625" s="2" t="n">
        <v>43151</v>
      </c>
      <c r="S625" s="0" t="n">
        <f aca="false">YEAR(Q625)</f>
        <v>2018</v>
      </c>
      <c r="T625" s="0" t="n">
        <f aca="false">MONTH(Q625)</f>
        <v>2</v>
      </c>
    </row>
    <row r="626" customFormat="false" ht="14.25" hidden="true" customHeight="false" outlineLevel="0" collapsed="false">
      <c r="A626" s="0" t="n">
        <v>625</v>
      </c>
      <c r="B626" s="1" t="s">
        <v>739</v>
      </c>
      <c r="C626" s="1" t="s">
        <v>1479</v>
      </c>
      <c r="D626" s="1" t="s">
        <v>1535</v>
      </c>
      <c r="E626" s="0" t="s">
        <v>39</v>
      </c>
      <c r="F626" s="0" t="s">
        <v>49</v>
      </c>
      <c r="G626" s="0" t="s">
        <v>5617</v>
      </c>
      <c r="J626" s="6" t="n">
        <v>0.965277777777778</v>
      </c>
      <c r="K626" s="0" t="n">
        <v>10</v>
      </c>
      <c r="L626" s="0" t="n">
        <v>11</v>
      </c>
      <c r="M626" s="0" t="s">
        <v>5618</v>
      </c>
      <c r="N626" s="0" t="s">
        <v>5619</v>
      </c>
      <c r="P626" s="0" t="s">
        <v>5620</v>
      </c>
      <c r="Q626" s="2" t="n">
        <v>43151</v>
      </c>
      <c r="S626" s="0" t="n">
        <f aca="false">YEAR(Q626)</f>
        <v>2018</v>
      </c>
      <c r="T626" s="0" t="n">
        <f aca="false">MONTH(Q626)</f>
        <v>2</v>
      </c>
    </row>
    <row r="627" customFormat="false" ht="14.25" hidden="true" customHeight="false" outlineLevel="0" collapsed="false">
      <c r="A627" s="0" t="n">
        <v>626</v>
      </c>
      <c r="B627" s="1" t="s">
        <v>740</v>
      </c>
      <c r="C627" s="1" t="s">
        <v>1479</v>
      </c>
      <c r="D627" s="1" t="s">
        <v>1535</v>
      </c>
      <c r="E627" s="0" t="s">
        <v>39</v>
      </c>
      <c r="F627" s="0" t="s">
        <v>48</v>
      </c>
      <c r="G627" s="0" t="s">
        <v>4643</v>
      </c>
      <c r="I627" s="6" t="n">
        <v>0.253472222222222</v>
      </c>
      <c r="J627" s="6" t="n">
        <v>0.260416666666667</v>
      </c>
      <c r="K627" s="0" t="n">
        <v>88</v>
      </c>
      <c r="M627" s="0" t="s">
        <v>5621</v>
      </c>
      <c r="N627" s="0" t="s">
        <v>5622</v>
      </c>
      <c r="P627" s="0" t="s">
        <v>5623</v>
      </c>
      <c r="Q627" s="2" t="n">
        <v>43146</v>
      </c>
      <c r="S627" s="0" t="n">
        <f aca="false">YEAR(Q627)</f>
        <v>2018</v>
      </c>
      <c r="T627" s="0" t="n">
        <f aca="false">MONTH(Q627)</f>
        <v>2</v>
      </c>
    </row>
    <row r="628" customFormat="false" ht="14.25" hidden="true" customHeight="false" outlineLevel="0" collapsed="false">
      <c r="A628" s="0" t="n">
        <v>627</v>
      </c>
      <c r="B628" s="1" t="s">
        <v>740</v>
      </c>
      <c r="C628" s="1" t="s">
        <v>1479</v>
      </c>
      <c r="D628" s="1" t="s">
        <v>1535</v>
      </c>
      <c r="E628" s="0" t="s">
        <v>39</v>
      </c>
      <c r="F628" s="0" t="s">
        <v>49</v>
      </c>
      <c r="G628" s="0" t="s">
        <v>5624</v>
      </c>
      <c r="I628" s="6" t="n">
        <v>0.666666666666667</v>
      </c>
      <c r="J628" s="6" t="n">
        <v>0.670138888888889</v>
      </c>
      <c r="K628" s="0" t="n">
        <v>6</v>
      </c>
      <c r="M628" s="0" t="s">
        <v>5625</v>
      </c>
      <c r="N628" s="0" t="s">
        <v>5626</v>
      </c>
      <c r="P628" s="0" t="s">
        <v>5627</v>
      </c>
      <c r="Q628" s="2" t="n">
        <v>43146</v>
      </c>
      <c r="S628" s="0" t="n">
        <f aca="false">YEAR(Q628)</f>
        <v>2018</v>
      </c>
      <c r="T628" s="0" t="n">
        <f aca="false">MONTH(Q628)</f>
        <v>2</v>
      </c>
    </row>
    <row r="629" customFormat="false" ht="14.25" hidden="true" customHeight="false" outlineLevel="0" collapsed="false">
      <c r="A629" s="0" t="n">
        <v>628</v>
      </c>
      <c r="B629" s="1" t="s">
        <v>740</v>
      </c>
      <c r="C629" s="1" t="s">
        <v>1479</v>
      </c>
      <c r="D629" s="1" t="s">
        <v>1496</v>
      </c>
      <c r="E629" s="0" t="s">
        <v>38</v>
      </c>
      <c r="F629" s="0" t="s">
        <v>50</v>
      </c>
      <c r="G629" s="0" t="s">
        <v>5628</v>
      </c>
      <c r="I629" s="6" t="n">
        <v>0.0111111111111111</v>
      </c>
      <c r="J629" s="6" t="n">
        <v>0.0236111111111111</v>
      </c>
      <c r="K629" s="0" t="n">
        <v>250</v>
      </c>
      <c r="L629" s="0" t="n">
        <v>290</v>
      </c>
      <c r="M629" s="0" t="s">
        <v>5629</v>
      </c>
      <c r="N629" s="0" t="s">
        <v>5630</v>
      </c>
      <c r="P629" s="0" t="s">
        <v>5631</v>
      </c>
      <c r="Q629" s="2" t="n">
        <v>43146</v>
      </c>
      <c r="S629" s="0" t="n">
        <f aca="false">YEAR(Q629)</f>
        <v>2018</v>
      </c>
      <c r="T629" s="0" t="n">
        <f aca="false">MONTH(Q629)</f>
        <v>2</v>
      </c>
    </row>
    <row r="630" customFormat="false" ht="14.25" hidden="true" customHeight="false" outlineLevel="0" collapsed="false">
      <c r="A630" s="0" t="n">
        <v>629</v>
      </c>
      <c r="B630" s="1" t="s">
        <v>743</v>
      </c>
      <c r="C630" s="1" t="s">
        <v>1503</v>
      </c>
      <c r="D630" s="1" t="s">
        <v>1535</v>
      </c>
      <c r="E630" s="0" t="s">
        <v>44</v>
      </c>
      <c r="F630" s="0" t="s">
        <v>48</v>
      </c>
      <c r="G630" s="0" t="s">
        <v>5423</v>
      </c>
      <c r="J630" s="6" t="n">
        <v>0.291666666666667</v>
      </c>
      <c r="M630" s="0" t="s">
        <v>5632</v>
      </c>
      <c r="N630" s="0" t="s">
        <v>5633</v>
      </c>
      <c r="P630" s="0" t="s">
        <v>5634</v>
      </c>
      <c r="Q630" s="2" t="n">
        <v>43152</v>
      </c>
      <c r="S630" s="0" t="n">
        <f aca="false">YEAR(Q630)</f>
        <v>2018</v>
      </c>
      <c r="T630" s="0" t="n">
        <f aca="false">MONTH(Q630)</f>
        <v>2</v>
      </c>
    </row>
    <row r="631" customFormat="false" ht="14.25" hidden="true" customHeight="false" outlineLevel="0" collapsed="false">
      <c r="A631" s="0" t="n">
        <v>630</v>
      </c>
      <c r="B631" s="1" t="s">
        <v>744</v>
      </c>
      <c r="C631" s="1" t="s">
        <v>1479</v>
      </c>
      <c r="D631" s="1" t="s">
        <v>1487</v>
      </c>
      <c r="E631" s="4" t="s">
        <v>1488</v>
      </c>
      <c r="F631" s="0" t="s">
        <v>50</v>
      </c>
      <c r="G631" s="0" t="s">
        <v>5635</v>
      </c>
      <c r="I631" s="6" t="n">
        <v>0.0520833333333333</v>
      </c>
      <c r="J631" s="6" t="n">
        <v>0.0694444444444444</v>
      </c>
      <c r="K631" s="0" t="n">
        <v>35</v>
      </c>
      <c r="L631" s="0" t="n">
        <v>35</v>
      </c>
      <c r="M631" s="0" t="s">
        <v>5636</v>
      </c>
      <c r="P631" s="0" t="s">
        <v>5637</v>
      </c>
      <c r="Q631" s="2" t="n">
        <v>43153</v>
      </c>
      <c r="S631" s="0" t="n">
        <f aca="false">YEAR(Q631)</f>
        <v>2018</v>
      </c>
      <c r="T631" s="0" t="n">
        <f aca="false">MONTH(Q631)</f>
        <v>2</v>
      </c>
    </row>
    <row r="632" customFormat="false" ht="14.25" hidden="true" customHeight="false" outlineLevel="0" collapsed="false">
      <c r="A632" s="0" t="n">
        <v>631</v>
      </c>
      <c r="B632" s="1" t="s">
        <v>744</v>
      </c>
      <c r="C632" s="1" t="s">
        <v>1479</v>
      </c>
      <c r="D632" s="1" t="s">
        <v>1535</v>
      </c>
      <c r="E632" s="0" t="s">
        <v>39</v>
      </c>
      <c r="F632" s="0" t="s">
        <v>50</v>
      </c>
      <c r="G632" s="0" t="s">
        <v>5638</v>
      </c>
      <c r="J632" s="6" t="n">
        <v>0.118055555555556</v>
      </c>
      <c r="K632" s="0" t="n">
        <v>30</v>
      </c>
      <c r="L632" s="0" t="n">
        <v>60</v>
      </c>
      <c r="M632" s="0" t="s">
        <v>5639</v>
      </c>
      <c r="N632" s="0" t="s">
        <v>5640</v>
      </c>
      <c r="P632" s="0" t="s">
        <v>3834</v>
      </c>
      <c r="Q632" s="2" t="n">
        <v>43153</v>
      </c>
      <c r="S632" s="0" t="n">
        <f aca="false">YEAR(Q632)</f>
        <v>2018</v>
      </c>
      <c r="T632" s="0" t="n">
        <f aca="false">MONTH(Q632)</f>
        <v>2</v>
      </c>
    </row>
    <row r="633" customFormat="false" ht="14.25" hidden="true" customHeight="false" outlineLevel="0" collapsed="false">
      <c r="A633" s="0" t="n">
        <v>632</v>
      </c>
      <c r="B633" s="1" t="s">
        <v>744</v>
      </c>
      <c r="C633" s="1" t="s">
        <v>1479</v>
      </c>
      <c r="D633" s="1" t="s">
        <v>1487</v>
      </c>
      <c r="E633" s="0" t="s">
        <v>1488</v>
      </c>
      <c r="F633" s="0" t="s">
        <v>49</v>
      </c>
      <c r="G633" s="0" t="s">
        <v>5641</v>
      </c>
      <c r="I633" s="6" t="n">
        <v>0.663194444444444</v>
      </c>
      <c r="J633" s="6" t="n">
        <v>0.6875</v>
      </c>
      <c r="L633" s="0" t="n">
        <v>49</v>
      </c>
      <c r="M633" s="0" t="s">
        <v>5642</v>
      </c>
      <c r="N633" s="0" t="s">
        <v>5643</v>
      </c>
      <c r="P633" s="0" t="s">
        <v>5644</v>
      </c>
      <c r="Q633" s="2" t="n">
        <v>43153</v>
      </c>
      <c r="S633" s="0" t="n">
        <f aca="false">YEAR(Q633)</f>
        <v>2018</v>
      </c>
      <c r="T633" s="0" t="n">
        <f aca="false">MONTH(Q633)</f>
        <v>2</v>
      </c>
    </row>
    <row r="634" customFormat="false" ht="14.25" hidden="true" customHeight="false" outlineLevel="0" collapsed="false">
      <c r="A634" s="0" t="n">
        <v>633</v>
      </c>
      <c r="B634" s="1" t="s">
        <v>746</v>
      </c>
      <c r="C634" s="1" t="s">
        <v>1479</v>
      </c>
      <c r="D634" s="1" t="s">
        <v>1496</v>
      </c>
      <c r="E634" s="0" t="s">
        <v>38</v>
      </c>
      <c r="F634" s="0" t="s">
        <v>48</v>
      </c>
      <c r="G634" s="0" t="s">
        <v>5645</v>
      </c>
      <c r="I634" s="6" t="n">
        <v>0.361111111111111</v>
      </c>
      <c r="J634" s="6" t="n">
        <v>0.395833333333333</v>
      </c>
      <c r="M634" s="0" t="s">
        <v>5646</v>
      </c>
      <c r="N634" s="0" t="s">
        <v>5647</v>
      </c>
      <c r="P634" s="0" t="s">
        <v>5648</v>
      </c>
      <c r="Q634" s="2" t="n">
        <v>43154</v>
      </c>
      <c r="S634" s="0" t="n">
        <f aca="false">YEAR(Q634)</f>
        <v>2018</v>
      </c>
      <c r="T634" s="0" t="n">
        <f aca="false">MONTH(Q634)</f>
        <v>2</v>
      </c>
    </row>
    <row r="635" customFormat="false" ht="14.25" hidden="true" customHeight="false" outlineLevel="0" collapsed="false">
      <c r="A635" s="0" t="n">
        <v>634</v>
      </c>
      <c r="B635" s="1" t="s">
        <v>746</v>
      </c>
      <c r="C635" s="1" t="s">
        <v>2163</v>
      </c>
      <c r="D635" s="1" t="s">
        <v>2164</v>
      </c>
      <c r="E635" s="0" t="s">
        <v>2163</v>
      </c>
      <c r="F635" s="0" t="s">
        <v>48</v>
      </c>
      <c r="G635" s="0" t="s">
        <v>2163</v>
      </c>
      <c r="I635" s="6" t="n">
        <v>0.436111111111111</v>
      </c>
      <c r="J635" s="6" t="n">
        <v>0.436111111111111</v>
      </c>
      <c r="M635" s="0" t="s">
        <v>5649</v>
      </c>
      <c r="N635" s="0" t="s">
        <v>5650</v>
      </c>
      <c r="Q635" s="2" t="n">
        <v>43154</v>
      </c>
      <c r="S635" s="0" t="n">
        <f aca="false">YEAR(Q635)</f>
        <v>2018</v>
      </c>
      <c r="T635" s="0" t="n">
        <f aca="false">MONTH(Q635)</f>
        <v>2</v>
      </c>
    </row>
    <row r="636" customFormat="false" ht="14.25" hidden="true" customHeight="false" outlineLevel="0" collapsed="false">
      <c r="A636" s="0" t="n">
        <v>635</v>
      </c>
      <c r="B636" s="1" t="s">
        <v>746</v>
      </c>
      <c r="C636" s="1" t="s">
        <v>1479</v>
      </c>
      <c r="D636" s="1" t="s">
        <v>1496</v>
      </c>
      <c r="E636" s="0" t="s">
        <v>38</v>
      </c>
      <c r="F636" s="0" t="s">
        <v>48</v>
      </c>
      <c r="G636" s="0" t="s">
        <v>5651</v>
      </c>
      <c r="I636" s="6" t="n">
        <v>0.436111111111111</v>
      </c>
      <c r="J636" s="6" t="n">
        <v>0.456944444444444</v>
      </c>
      <c r="L636" s="0" t="n">
        <v>40</v>
      </c>
      <c r="M636" s="0" t="s">
        <v>5652</v>
      </c>
      <c r="N636" s="0" t="s">
        <v>5653</v>
      </c>
      <c r="P636" s="0" t="s">
        <v>5654</v>
      </c>
      <c r="Q636" s="2" t="n">
        <v>43154</v>
      </c>
      <c r="S636" s="0" t="n">
        <f aca="false">YEAR(Q636)</f>
        <v>2018</v>
      </c>
      <c r="T636" s="0" t="n">
        <f aca="false">MONTH(Q636)</f>
        <v>2</v>
      </c>
    </row>
    <row r="637" customFormat="false" ht="14.25" hidden="true" customHeight="false" outlineLevel="0" collapsed="false">
      <c r="A637" s="0" t="n">
        <v>636</v>
      </c>
      <c r="B637" s="1" t="s">
        <v>746</v>
      </c>
      <c r="C637" s="1" t="s">
        <v>1495</v>
      </c>
      <c r="D637" s="1" t="s">
        <v>1496</v>
      </c>
      <c r="E637" s="0" t="s">
        <v>41</v>
      </c>
      <c r="F637" s="0" t="s">
        <v>48</v>
      </c>
      <c r="G637" s="0" t="s">
        <v>5655</v>
      </c>
      <c r="I637" s="6" t="n">
        <v>0.436111111111111</v>
      </c>
      <c r="J637" s="6" t="n">
        <v>0.48125</v>
      </c>
      <c r="M637" s="0" t="s">
        <v>5656</v>
      </c>
      <c r="N637" s="0" t="s">
        <v>5657</v>
      </c>
      <c r="P637" s="0" t="s">
        <v>5658</v>
      </c>
      <c r="Q637" s="2" t="n">
        <v>43154</v>
      </c>
      <c r="S637" s="0" t="n">
        <f aca="false">YEAR(Q637)</f>
        <v>2018</v>
      </c>
      <c r="T637" s="0" t="n">
        <f aca="false">MONTH(Q637)</f>
        <v>2</v>
      </c>
    </row>
    <row r="638" customFormat="false" ht="14.25" hidden="true" customHeight="false" outlineLevel="0" collapsed="false">
      <c r="A638" s="0" t="n">
        <v>637</v>
      </c>
      <c r="B638" s="1" t="s">
        <v>746</v>
      </c>
      <c r="C638" s="1" t="s">
        <v>1503</v>
      </c>
      <c r="D638" s="1" t="s">
        <v>1504</v>
      </c>
      <c r="E638" s="0" t="s">
        <v>5576</v>
      </c>
      <c r="F638" s="0" t="s">
        <v>48</v>
      </c>
      <c r="G638" s="0" t="s">
        <v>5659</v>
      </c>
      <c r="I638" s="6" t="n">
        <v>0.436111111111111</v>
      </c>
      <c r="J638" s="6" t="n">
        <v>0.577777777777778</v>
      </c>
      <c r="L638" s="0" t="n">
        <v>180</v>
      </c>
      <c r="M638" s="0" t="s">
        <v>5660</v>
      </c>
      <c r="N638" s="0" t="s">
        <v>5661</v>
      </c>
      <c r="P638" s="0" t="s">
        <v>5662</v>
      </c>
      <c r="Q638" s="2" t="n">
        <v>43154</v>
      </c>
      <c r="S638" s="0" t="n">
        <f aca="false">YEAR(Q638)</f>
        <v>2018</v>
      </c>
      <c r="T638" s="0" t="n">
        <f aca="false">MONTH(Q638)</f>
        <v>2</v>
      </c>
    </row>
    <row r="639" customFormat="false" ht="14.25" hidden="true" customHeight="false" outlineLevel="0" collapsed="false">
      <c r="A639" s="0" t="n">
        <v>638</v>
      </c>
      <c r="B639" s="1" t="s">
        <v>746</v>
      </c>
      <c r="C639" s="1" t="s">
        <v>1479</v>
      </c>
      <c r="D639" s="1" t="s">
        <v>1535</v>
      </c>
      <c r="E639" s="0" t="s">
        <v>39</v>
      </c>
      <c r="F639" s="0" t="s">
        <v>48</v>
      </c>
      <c r="G639" s="0" t="s">
        <v>5663</v>
      </c>
      <c r="I639" s="6" t="n">
        <v>0.586805555555556</v>
      </c>
      <c r="M639" s="0" t="s">
        <v>5664</v>
      </c>
      <c r="N639" s="0" t="s">
        <v>5665</v>
      </c>
      <c r="P639" s="0" t="s">
        <v>5666</v>
      </c>
      <c r="Q639" s="2" t="n">
        <v>43154</v>
      </c>
      <c r="S639" s="0" t="n">
        <f aca="false">YEAR(Q639)</f>
        <v>2018</v>
      </c>
      <c r="T639" s="0" t="n">
        <f aca="false">MONTH(Q639)</f>
        <v>2</v>
      </c>
    </row>
    <row r="640" customFormat="false" ht="14.25" hidden="true" customHeight="false" outlineLevel="0" collapsed="false">
      <c r="A640" s="0" t="n">
        <v>639</v>
      </c>
      <c r="B640" s="1" t="s">
        <v>746</v>
      </c>
      <c r="C640" s="1" t="s">
        <v>1479</v>
      </c>
      <c r="D640" s="1" t="s">
        <v>1487</v>
      </c>
      <c r="E640" s="4" t="s">
        <v>1488</v>
      </c>
      <c r="F640" s="0" t="s">
        <v>49</v>
      </c>
      <c r="G640" s="0" t="s">
        <v>5667</v>
      </c>
      <c r="J640" s="6" t="n">
        <v>0.715972222222222</v>
      </c>
      <c r="K640" s="0" t="n">
        <v>20</v>
      </c>
      <c r="L640" s="0" t="n">
        <v>25</v>
      </c>
      <c r="M640" s="0" t="s">
        <v>5668</v>
      </c>
      <c r="N640" s="0" t="s">
        <v>5669</v>
      </c>
      <c r="P640" s="0" t="s">
        <v>5670</v>
      </c>
      <c r="Q640" s="2" t="n">
        <v>43154</v>
      </c>
      <c r="S640" s="0" t="n">
        <f aca="false">YEAR(Q640)</f>
        <v>2018</v>
      </c>
      <c r="T640" s="0" t="n">
        <f aca="false">MONTH(Q640)</f>
        <v>2</v>
      </c>
    </row>
    <row r="641" customFormat="false" ht="14.25" hidden="true" customHeight="false" outlineLevel="0" collapsed="false">
      <c r="A641" s="0" t="n">
        <v>640</v>
      </c>
      <c r="B641" s="1" t="s">
        <v>746</v>
      </c>
      <c r="C641" s="1" t="s">
        <v>1479</v>
      </c>
      <c r="D641" s="1" t="s">
        <v>1535</v>
      </c>
      <c r="E641" s="0" t="s">
        <v>39</v>
      </c>
      <c r="F641" s="0" t="s">
        <v>49</v>
      </c>
      <c r="G641" s="0" t="s">
        <v>5624</v>
      </c>
      <c r="I641" s="6" t="n">
        <v>0.697916666666667</v>
      </c>
      <c r="J641" s="6" t="n">
        <v>0.708333333333333</v>
      </c>
      <c r="K641" s="0" t="n">
        <v>8</v>
      </c>
      <c r="L641" s="0" t="n">
        <v>250</v>
      </c>
      <c r="M641" s="0" t="s">
        <v>5671</v>
      </c>
      <c r="N641" s="0" t="s">
        <v>5672</v>
      </c>
      <c r="P641" s="0" t="s">
        <v>5673</v>
      </c>
      <c r="Q641" s="2" t="n">
        <v>43154</v>
      </c>
      <c r="S641" s="0" t="n">
        <f aca="false">YEAR(Q641)</f>
        <v>2018</v>
      </c>
      <c r="T641" s="0" t="n">
        <f aca="false">MONTH(Q641)</f>
        <v>2</v>
      </c>
    </row>
    <row r="642" customFormat="false" ht="14.25" hidden="true" customHeight="false" outlineLevel="0" collapsed="false">
      <c r="A642" s="0" t="n">
        <v>641</v>
      </c>
      <c r="B642" s="1" t="s">
        <v>746</v>
      </c>
      <c r="C642" s="1" t="s">
        <v>1479</v>
      </c>
      <c r="D642" s="1" t="s">
        <v>1535</v>
      </c>
      <c r="E642" s="0" t="s">
        <v>39</v>
      </c>
      <c r="F642" s="0" t="s">
        <v>49</v>
      </c>
      <c r="G642" s="0" t="s">
        <v>4489</v>
      </c>
      <c r="I642" s="6" t="n">
        <v>0.708333333333333</v>
      </c>
      <c r="J642" s="6" t="n">
        <v>0.708333333333333</v>
      </c>
      <c r="L642" s="0" t="n">
        <v>5</v>
      </c>
      <c r="M642" s="0" t="s">
        <v>5674</v>
      </c>
      <c r="N642" s="0" t="s">
        <v>5675</v>
      </c>
      <c r="P642" s="0" t="s">
        <v>5676</v>
      </c>
      <c r="Q642" s="2" t="n">
        <v>43154</v>
      </c>
      <c r="S642" s="0" t="n">
        <f aca="false">YEAR(Q642)</f>
        <v>2018</v>
      </c>
      <c r="T642" s="0" t="n">
        <f aca="false">MONTH(Q642)</f>
        <v>2</v>
      </c>
    </row>
    <row r="643" customFormat="false" ht="14.25" hidden="true" customHeight="false" outlineLevel="0" collapsed="false">
      <c r="A643" s="0" t="n">
        <v>642</v>
      </c>
      <c r="B643" s="1" t="s">
        <v>746</v>
      </c>
      <c r="C643" s="1" t="s">
        <v>1479</v>
      </c>
      <c r="D643" s="1" t="s">
        <v>1535</v>
      </c>
      <c r="E643" s="0" t="s">
        <v>39</v>
      </c>
      <c r="F643" s="0" t="s">
        <v>49</v>
      </c>
      <c r="G643" s="0" t="s">
        <v>5624</v>
      </c>
      <c r="I643" s="6" t="n">
        <v>0.916666666666667</v>
      </c>
      <c r="L643" s="0" t="n">
        <v>250</v>
      </c>
      <c r="M643" s="0" t="s">
        <v>5671</v>
      </c>
      <c r="N643" s="0" t="s">
        <v>5677</v>
      </c>
      <c r="P643" s="0" t="s">
        <v>5678</v>
      </c>
      <c r="Q643" s="2" t="n">
        <v>43154</v>
      </c>
      <c r="S643" s="0" t="n">
        <f aca="false">YEAR(Q643)</f>
        <v>2018</v>
      </c>
      <c r="T643" s="0" t="n">
        <f aca="false">MONTH(Q643)</f>
        <v>2</v>
      </c>
    </row>
    <row r="644" customFormat="false" ht="14.25" hidden="true" customHeight="false" outlineLevel="0" collapsed="false">
      <c r="A644" s="0" t="n">
        <v>643</v>
      </c>
      <c r="B644" s="1" t="s">
        <v>749</v>
      </c>
      <c r="C644" s="1" t="s">
        <v>1479</v>
      </c>
      <c r="D644" s="1" t="s">
        <v>1487</v>
      </c>
      <c r="E644" s="0" t="s">
        <v>1488</v>
      </c>
      <c r="F644" s="0" t="s">
        <v>49</v>
      </c>
      <c r="G644" s="0" t="s">
        <v>5679</v>
      </c>
      <c r="J644" s="6" t="n">
        <v>0.688194444444444</v>
      </c>
      <c r="L644" s="0" t="n">
        <v>22</v>
      </c>
      <c r="M644" s="0" t="s">
        <v>5680</v>
      </c>
      <c r="N644" s="0" t="s">
        <v>5681</v>
      </c>
      <c r="P644" s="0" t="s">
        <v>5682</v>
      </c>
      <c r="Q644" s="2" t="n">
        <v>43155</v>
      </c>
      <c r="S644" s="0" t="n">
        <f aca="false">YEAR(Q644)</f>
        <v>2018</v>
      </c>
      <c r="T644" s="0" t="n">
        <f aca="false">MONTH(Q644)</f>
        <v>2</v>
      </c>
    </row>
    <row r="645" customFormat="false" ht="14.25" hidden="true" customHeight="false" outlineLevel="0" collapsed="false">
      <c r="A645" s="0" t="n">
        <v>644</v>
      </c>
      <c r="B645" s="1" t="s">
        <v>749</v>
      </c>
      <c r="C645" s="1" t="s">
        <v>1479</v>
      </c>
      <c r="D645" s="1" t="s">
        <v>1487</v>
      </c>
      <c r="E645" s="0" t="s">
        <v>1488</v>
      </c>
      <c r="F645" s="0" t="s">
        <v>49</v>
      </c>
      <c r="G645" s="0" t="s">
        <v>5683</v>
      </c>
      <c r="I645" s="6" t="n">
        <v>0.764583333333333</v>
      </c>
      <c r="J645" s="6" t="n">
        <v>0.777777777777778</v>
      </c>
      <c r="L645" s="0" t="n">
        <v>38</v>
      </c>
      <c r="M645" s="0" t="s">
        <v>5684</v>
      </c>
      <c r="N645" s="0" t="s">
        <v>5685</v>
      </c>
      <c r="P645" s="0" t="s">
        <v>5686</v>
      </c>
      <c r="Q645" s="2" t="n">
        <v>43155</v>
      </c>
      <c r="S645" s="0" t="n">
        <f aca="false">YEAR(Q645)</f>
        <v>2018</v>
      </c>
      <c r="T645" s="0" t="n">
        <f aca="false">MONTH(Q645)</f>
        <v>2</v>
      </c>
    </row>
    <row r="646" customFormat="false" ht="42.75" hidden="true" customHeight="false" outlineLevel="0" collapsed="false">
      <c r="A646" s="0" t="n">
        <v>645</v>
      </c>
      <c r="B646" s="1" t="s">
        <v>750</v>
      </c>
      <c r="C646" s="1" t="s">
        <v>1503</v>
      </c>
      <c r="D646" s="1" t="s">
        <v>1535</v>
      </c>
      <c r="E646" s="0" t="s">
        <v>44</v>
      </c>
      <c r="F646" s="0" t="s">
        <v>50</v>
      </c>
      <c r="G646" s="0" t="s">
        <v>4372</v>
      </c>
      <c r="J646" s="6" t="n">
        <v>0.947916666666667</v>
      </c>
      <c r="L646" s="0" t="n">
        <v>55</v>
      </c>
      <c r="M646" s="0" t="s">
        <v>5687</v>
      </c>
      <c r="N646" s="0" t="s">
        <v>5688</v>
      </c>
      <c r="P646" s="7" t="s">
        <v>5689</v>
      </c>
      <c r="Q646" s="2" t="n">
        <v>43156</v>
      </c>
      <c r="S646" s="0" t="n">
        <f aca="false">YEAR(Q646)</f>
        <v>2018</v>
      </c>
      <c r="T646" s="0" t="n">
        <f aca="false">MONTH(Q646)</f>
        <v>2</v>
      </c>
    </row>
    <row r="647" customFormat="false" ht="14.25" hidden="true" customHeight="false" outlineLevel="0" collapsed="false">
      <c r="A647" s="0" t="n">
        <v>646</v>
      </c>
      <c r="B647" s="1" t="s">
        <v>750</v>
      </c>
      <c r="C647" s="1" t="s">
        <v>1503</v>
      </c>
      <c r="D647" s="1" t="s">
        <v>1535</v>
      </c>
      <c r="E647" s="0" t="s">
        <v>44</v>
      </c>
      <c r="F647" s="0" t="s">
        <v>50</v>
      </c>
      <c r="G647" s="0" t="s">
        <v>5690</v>
      </c>
      <c r="I647" s="6" t="n">
        <v>0.986111111111111</v>
      </c>
      <c r="J647" s="6" t="n">
        <v>0.986111111111111</v>
      </c>
      <c r="L647" s="0" t="n">
        <v>65</v>
      </c>
      <c r="M647" s="0" t="s">
        <v>5691</v>
      </c>
      <c r="N647" s="0" t="s">
        <v>5692</v>
      </c>
      <c r="P647" s="0" t="s">
        <v>5693</v>
      </c>
      <c r="Q647" s="2" t="n">
        <v>43156</v>
      </c>
      <c r="S647" s="0" t="n">
        <f aca="false">YEAR(Q647)</f>
        <v>2018</v>
      </c>
      <c r="T647" s="0" t="n">
        <f aca="false">MONTH(Q647)</f>
        <v>2</v>
      </c>
    </row>
    <row r="648" customFormat="false" ht="72" hidden="true" customHeight="false" outlineLevel="0" collapsed="false">
      <c r="A648" s="0" t="n">
        <v>647</v>
      </c>
      <c r="B648" s="1" t="s">
        <v>751</v>
      </c>
      <c r="C648" s="1" t="s">
        <v>1479</v>
      </c>
      <c r="D648" s="1" t="s">
        <v>1487</v>
      </c>
      <c r="E648" s="4" t="s">
        <v>1488</v>
      </c>
      <c r="F648" s="0" t="s">
        <v>50</v>
      </c>
      <c r="G648" s="0" t="s">
        <v>5694</v>
      </c>
      <c r="I648" s="6" t="n">
        <v>0.993055555555555</v>
      </c>
      <c r="J648" s="6" t="n">
        <v>0.00694444444444444</v>
      </c>
      <c r="K648" s="0" t="n">
        <v>20</v>
      </c>
      <c r="L648" s="0" t="n">
        <v>28</v>
      </c>
      <c r="M648" s="0" t="s">
        <v>5695</v>
      </c>
      <c r="N648" s="0" t="s">
        <v>5696</v>
      </c>
      <c r="P648" s="7" t="s">
        <v>5697</v>
      </c>
      <c r="Q648" s="2" t="n">
        <v>43157</v>
      </c>
      <c r="S648" s="0" t="n">
        <f aca="false">YEAR(Q648)</f>
        <v>2018</v>
      </c>
      <c r="T648" s="0" t="n">
        <f aca="false">MONTH(Q648)</f>
        <v>2</v>
      </c>
    </row>
    <row r="649" customFormat="false" ht="42.75" hidden="true" customHeight="false" outlineLevel="0" collapsed="false">
      <c r="A649" s="0" t="n">
        <v>648</v>
      </c>
      <c r="B649" s="1" t="s">
        <v>751</v>
      </c>
      <c r="C649" s="1" t="s">
        <v>1479</v>
      </c>
      <c r="D649" s="1" t="s">
        <v>1535</v>
      </c>
      <c r="E649" s="0" t="s">
        <v>39</v>
      </c>
      <c r="F649" s="0" t="s">
        <v>50</v>
      </c>
      <c r="G649" s="0" t="s">
        <v>5698</v>
      </c>
      <c r="I649" s="6" t="n">
        <v>0.1625</v>
      </c>
      <c r="J649" s="6" t="n">
        <v>0.166666666666667</v>
      </c>
      <c r="K649" s="0" t="n">
        <v>1</v>
      </c>
      <c r="L649" s="0" t="n">
        <v>2</v>
      </c>
      <c r="M649" s="0" t="s">
        <v>5699</v>
      </c>
      <c r="N649" s="0" t="s">
        <v>5700</v>
      </c>
      <c r="P649" s="7" t="s">
        <v>5701</v>
      </c>
      <c r="Q649" s="2" t="n">
        <v>43157</v>
      </c>
      <c r="S649" s="0" t="n">
        <f aca="false">YEAR(Q649)</f>
        <v>2018</v>
      </c>
      <c r="T649" s="0" t="n">
        <f aca="false">MONTH(Q649)</f>
        <v>2</v>
      </c>
    </row>
    <row r="650" customFormat="false" ht="14.25" hidden="true" customHeight="false" outlineLevel="0" collapsed="false">
      <c r="A650" s="0" t="n">
        <v>649</v>
      </c>
      <c r="B650" s="1" t="s">
        <v>752</v>
      </c>
      <c r="C650" s="1" t="s">
        <v>1479</v>
      </c>
      <c r="D650" s="1" t="s">
        <v>1535</v>
      </c>
      <c r="E650" s="0" t="s">
        <v>39</v>
      </c>
      <c r="F650" s="0" t="s">
        <v>48</v>
      </c>
      <c r="G650" s="0" t="s">
        <v>5702</v>
      </c>
      <c r="I650" s="6" t="n">
        <v>0.425694444444444</v>
      </c>
      <c r="J650" s="6" t="n">
        <v>0.434027777777778</v>
      </c>
      <c r="L650" s="0" t="n">
        <v>30</v>
      </c>
      <c r="M650" s="0" t="s">
        <v>5703</v>
      </c>
      <c r="N650" s="0" t="s">
        <v>5704</v>
      </c>
      <c r="P650" s="0" t="s">
        <v>5705</v>
      </c>
      <c r="Q650" s="2" t="n">
        <v>43158</v>
      </c>
      <c r="S650" s="0" t="n">
        <f aca="false">YEAR(Q650)</f>
        <v>2018</v>
      </c>
      <c r="T650" s="0" t="n">
        <f aca="false">MONTH(Q650)</f>
        <v>2</v>
      </c>
    </row>
    <row r="651" customFormat="false" ht="14.25" hidden="true" customHeight="false" outlineLevel="0" collapsed="false">
      <c r="A651" s="0" t="n">
        <v>650</v>
      </c>
      <c r="B651" s="1" t="s">
        <v>752</v>
      </c>
      <c r="C651" s="1" t="s">
        <v>1479</v>
      </c>
      <c r="D651" s="1" t="s">
        <v>1863</v>
      </c>
      <c r="E651" s="0" t="s">
        <v>3799</v>
      </c>
      <c r="F651" s="0" t="s">
        <v>49</v>
      </c>
      <c r="G651" s="0" t="s">
        <v>5706</v>
      </c>
      <c r="I651" s="6" t="n">
        <v>0.661805555555556</v>
      </c>
      <c r="J651" s="6" t="n">
        <v>0.689583333333333</v>
      </c>
      <c r="L651" s="0" t="n">
        <v>104</v>
      </c>
      <c r="M651" s="0" t="s">
        <v>5707</v>
      </c>
      <c r="N651" s="0" t="s">
        <v>5708</v>
      </c>
      <c r="P651" s="0" t="s">
        <v>5709</v>
      </c>
      <c r="Q651" s="2" t="n">
        <v>43158</v>
      </c>
      <c r="S651" s="0" t="n">
        <f aca="false">YEAR(Q651)</f>
        <v>2018</v>
      </c>
      <c r="T651" s="0" t="n">
        <f aca="false">MONTH(Q651)</f>
        <v>2</v>
      </c>
    </row>
    <row r="652" customFormat="false" ht="14.25" hidden="true" customHeight="false" outlineLevel="0" collapsed="false">
      <c r="A652" s="0" t="n">
        <v>651</v>
      </c>
      <c r="B652" s="1" t="s">
        <v>752</v>
      </c>
      <c r="C652" s="1" t="s">
        <v>1479</v>
      </c>
      <c r="D652" s="1" t="s">
        <v>1535</v>
      </c>
      <c r="E652" s="0" t="s">
        <v>39</v>
      </c>
      <c r="F652" s="0" t="s">
        <v>49</v>
      </c>
      <c r="G652" s="0" t="s">
        <v>4174</v>
      </c>
      <c r="I652" s="6" t="n">
        <v>0.739583333333333</v>
      </c>
      <c r="J652" s="6" t="n">
        <v>0.743055555555555</v>
      </c>
      <c r="K652" s="0" t="n">
        <v>17</v>
      </c>
      <c r="L652" s="0" t="n">
        <v>30</v>
      </c>
      <c r="M652" s="0" t="s">
        <v>5710</v>
      </c>
      <c r="N652" s="0" t="s">
        <v>5711</v>
      </c>
      <c r="P652" s="0" t="s">
        <v>5712</v>
      </c>
      <c r="Q652" s="2" t="n">
        <v>43158</v>
      </c>
      <c r="S652" s="0" t="n">
        <f aca="false">YEAR(Q652)</f>
        <v>2018</v>
      </c>
      <c r="T652" s="0" t="n">
        <f aca="false">MONTH(Q652)</f>
        <v>2</v>
      </c>
    </row>
    <row r="653" customFormat="false" ht="14.25" hidden="true" customHeight="false" outlineLevel="0" collapsed="false">
      <c r="A653" s="0" t="n">
        <v>652</v>
      </c>
      <c r="B653" s="1" t="s">
        <v>752</v>
      </c>
      <c r="C653" s="1" t="s">
        <v>1479</v>
      </c>
      <c r="D653" s="1" t="s">
        <v>1487</v>
      </c>
      <c r="E653" s="0" t="s">
        <v>1488</v>
      </c>
      <c r="F653" s="0" t="s">
        <v>49</v>
      </c>
      <c r="G653" s="0" t="s">
        <v>1488</v>
      </c>
      <c r="I653" s="6" t="n">
        <v>0.929861111111111</v>
      </c>
      <c r="J653" s="6" t="n">
        <v>0.916666666666667</v>
      </c>
      <c r="M653" s="0" t="s">
        <v>5713</v>
      </c>
      <c r="N653" s="0" t="s">
        <v>5714</v>
      </c>
      <c r="P653" s="0" t="s">
        <v>5715</v>
      </c>
      <c r="Q653" s="2" t="n">
        <v>43158</v>
      </c>
      <c r="S653" s="0" t="n">
        <f aca="false">YEAR(Q653)</f>
        <v>2018</v>
      </c>
      <c r="T653" s="0" t="n">
        <f aca="false">MONTH(Q653)</f>
        <v>2</v>
      </c>
    </row>
    <row r="654" customFormat="false" ht="14.25" hidden="true" customHeight="false" outlineLevel="0" collapsed="false">
      <c r="A654" s="0" t="n">
        <v>653</v>
      </c>
      <c r="B654" s="1" t="s">
        <v>752</v>
      </c>
      <c r="C654" s="1" t="s">
        <v>1479</v>
      </c>
      <c r="D654" s="1" t="s">
        <v>1480</v>
      </c>
      <c r="E654" s="0" t="s">
        <v>43</v>
      </c>
      <c r="F654" s="0" t="s">
        <v>49</v>
      </c>
      <c r="G654" s="0" t="s">
        <v>5716</v>
      </c>
      <c r="J654" s="6" t="n">
        <v>0.625</v>
      </c>
      <c r="M654" s="0" t="s">
        <v>5717</v>
      </c>
      <c r="N654" s="0" t="s">
        <v>5718</v>
      </c>
      <c r="P654" s="0" t="s">
        <v>5719</v>
      </c>
      <c r="Q654" s="2" t="n">
        <v>43158</v>
      </c>
      <c r="S654" s="0" t="n">
        <f aca="false">YEAR(Q654)</f>
        <v>2018</v>
      </c>
      <c r="T654" s="0" t="n">
        <f aca="false">MONTH(Q654)</f>
        <v>2</v>
      </c>
    </row>
    <row r="655" customFormat="false" ht="14.25" hidden="true" customHeight="false" outlineLevel="0" collapsed="false">
      <c r="A655" s="0" t="n">
        <v>654</v>
      </c>
      <c r="B655" s="1" t="s">
        <v>754</v>
      </c>
      <c r="C655" s="1" t="s">
        <v>1479</v>
      </c>
      <c r="D655" s="1" t="s">
        <v>1496</v>
      </c>
      <c r="E655" s="0" t="s">
        <v>38</v>
      </c>
      <c r="F655" s="0" t="s">
        <v>49</v>
      </c>
      <c r="G655" s="0" t="s">
        <v>5720</v>
      </c>
      <c r="I655" s="6" t="n">
        <v>0.665277777777778</v>
      </c>
      <c r="J655" s="6" t="n">
        <v>0.677083333333333</v>
      </c>
      <c r="K655" s="0" t="n">
        <v>26</v>
      </c>
      <c r="M655" s="0" t="s">
        <v>5721</v>
      </c>
      <c r="N655" s="0" t="s">
        <v>5722</v>
      </c>
      <c r="P655" s="0" t="s">
        <v>5723</v>
      </c>
      <c r="Q655" s="2" t="n">
        <v>43160</v>
      </c>
      <c r="S655" s="0" t="n">
        <f aca="false">YEAR(Q655)</f>
        <v>2018</v>
      </c>
      <c r="T655" s="0" t="n">
        <f aca="false">MONTH(Q655)</f>
        <v>3</v>
      </c>
    </row>
    <row r="656" customFormat="false" ht="14.25" hidden="true" customHeight="false" outlineLevel="0" collapsed="false">
      <c r="A656" s="0" t="n">
        <v>655</v>
      </c>
      <c r="B656" s="1" t="s">
        <v>754</v>
      </c>
      <c r="C656" s="1" t="s">
        <v>1479</v>
      </c>
      <c r="D656" s="1" t="s">
        <v>1496</v>
      </c>
      <c r="E656" s="0" t="s">
        <v>38</v>
      </c>
      <c r="F656" s="0" t="s">
        <v>49</v>
      </c>
      <c r="G656" s="0" t="s">
        <v>5724</v>
      </c>
      <c r="J656" s="6" t="n">
        <v>0.833333333333333</v>
      </c>
      <c r="M656" s="0" t="s">
        <v>5725</v>
      </c>
      <c r="N656" s="0" t="s">
        <v>5726</v>
      </c>
      <c r="P656" s="0" t="s">
        <v>5727</v>
      </c>
      <c r="Q656" s="2" t="n">
        <v>43160</v>
      </c>
      <c r="S656" s="0" t="n">
        <f aca="false">YEAR(Q656)</f>
        <v>2018</v>
      </c>
      <c r="T656" s="0" t="n">
        <f aca="false">MONTH(Q656)</f>
        <v>3</v>
      </c>
    </row>
    <row r="657" customFormat="false" ht="14.25" hidden="true" customHeight="false" outlineLevel="0" collapsed="false">
      <c r="A657" s="0" t="n">
        <v>656</v>
      </c>
      <c r="B657" s="1" t="s">
        <v>754</v>
      </c>
      <c r="C657" s="1" t="s">
        <v>1479</v>
      </c>
      <c r="D657" s="1" t="s">
        <v>1487</v>
      </c>
      <c r="E657" s="4" t="s">
        <v>1488</v>
      </c>
      <c r="F657" s="0" t="s">
        <v>50</v>
      </c>
      <c r="G657" s="0" t="s">
        <v>5728</v>
      </c>
      <c r="I657" s="6" t="n">
        <v>0.944444444444444</v>
      </c>
      <c r="J657" s="6" t="n">
        <v>0.951388888888889</v>
      </c>
      <c r="K657" s="0" t="n">
        <v>8</v>
      </c>
      <c r="L657" s="0" t="n">
        <v>20</v>
      </c>
      <c r="M657" s="0" t="s">
        <v>5729</v>
      </c>
      <c r="N657" s="0" t="s">
        <v>5730</v>
      </c>
      <c r="P657" s="0" t="s">
        <v>5731</v>
      </c>
      <c r="Q657" s="2" t="n">
        <v>43160</v>
      </c>
      <c r="S657" s="0" t="n">
        <f aca="false">YEAR(Q657)</f>
        <v>2018</v>
      </c>
      <c r="T657" s="0" t="n">
        <f aca="false">MONTH(Q657)</f>
        <v>3</v>
      </c>
    </row>
    <row r="658" customFormat="false" ht="14.25" hidden="true" customHeight="false" outlineLevel="0" collapsed="false">
      <c r="A658" s="0" t="n">
        <v>657</v>
      </c>
      <c r="B658" s="1" t="s">
        <v>754</v>
      </c>
      <c r="C658" s="1" t="s">
        <v>1479</v>
      </c>
      <c r="D658" s="1" t="s">
        <v>1496</v>
      </c>
      <c r="E658" s="0" t="s">
        <v>38</v>
      </c>
      <c r="F658" s="0" t="s">
        <v>50</v>
      </c>
      <c r="G658" s="0" t="s">
        <v>5732</v>
      </c>
      <c r="J658" s="6" t="n">
        <v>0.0416666666666667</v>
      </c>
      <c r="K658" s="0" t="n">
        <v>0</v>
      </c>
      <c r="M658" s="0" t="s">
        <v>5733</v>
      </c>
      <c r="N658" s="0" t="s">
        <v>5734</v>
      </c>
      <c r="Q658" s="2" t="n">
        <v>43160</v>
      </c>
      <c r="S658" s="0" t="n">
        <f aca="false">YEAR(Q658)</f>
        <v>2018</v>
      </c>
      <c r="T658" s="0" t="n">
        <f aca="false">MONTH(Q658)</f>
        <v>3</v>
      </c>
    </row>
    <row r="659" customFormat="false" ht="14.25" hidden="true" customHeight="false" outlineLevel="0" collapsed="false">
      <c r="A659" s="0" t="n">
        <v>658</v>
      </c>
      <c r="B659" s="1" t="s">
        <v>754</v>
      </c>
      <c r="C659" s="1" t="s">
        <v>1479</v>
      </c>
      <c r="D659" s="1" t="s">
        <v>1535</v>
      </c>
      <c r="E659" s="0" t="s">
        <v>39</v>
      </c>
      <c r="F659" s="0" t="s">
        <v>50</v>
      </c>
      <c r="G659" s="0" t="s">
        <v>5735</v>
      </c>
      <c r="J659" s="6" t="n">
        <v>0.135416666666667</v>
      </c>
      <c r="L659" s="0" t="n">
        <v>15</v>
      </c>
      <c r="M659" s="0" t="s">
        <v>5736</v>
      </c>
      <c r="N659" s="0" t="s">
        <v>5737</v>
      </c>
      <c r="P659" s="0" t="s">
        <v>5738</v>
      </c>
      <c r="Q659" s="2" t="n">
        <v>43160</v>
      </c>
      <c r="S659" s="0" t="n">
        <f aca="false">YEAR(Q659)</f>
        <v>2018</v>
      </c>
      <c r="T659" s="0" t="n">
        <f aca="false">MONTH(Q659)</f>
        <v>3</v>
      </c>
    </row>
    <row r="660" customFormat="false" ht="42.75" hidden="true" customHeight="false" outlineLevel="0" collapsed="false">
      <c r="A660" s="0" t="n">
        <v>659</v>
      </c>
      <c r="B660" s="1" t="s">
        <v>754</v>
      </c>
      <c r="C660" s="1" t="s">
        <v>1479</v>
      </c>
      <c r="D660" s="1" t="s">
        <v>1535</v>
      </c>
      <c r="E660" s="0" t="s">
        <v>39</v>
      </c>
      <c r="F660" s="0" t="s">
        <v>50</v>
      </c>
      <c r="G660" s="0" t="s">
        <v>3375</v>
      </c>
      <c r="I660" s="6" t="n">
        <v>0.166666666666667</v>
      </c>
      <c r="J660" s="6" t="n">
        <v>0.177777777777778</v>
      </c>
      <c r="K660" s="0" t="n">
        <v>18</v>
      </c>
      <c r="L660" s="0" t="n">
        <v>20</v>
      </c>
      <c r="M660" s="0" t="s">
        <v>5739</v>
      </c>
      <c r="N660" s="0" t="s">
        <v>5740</v>
      </c>
      <c r="P660" s="7" t="s">
        <v>5741</v>
      </c>
      <c r="Q660" s="2" t="n">
        <v>43160</v>
      </c>
      <c r="S660" s="0" t="n">
        <f aca="false">YEAR(Q660)</f>
        <v>2018</v>
      </c>
      <c r="T660" s="0" t="n">
        <f aca="false">MONTH(Q660)</f>
        <v>3</v>
      </c>
    </row>
    <row r="661" customFormat="false" ht="14.25" hidden="true" customHeight="false" outlineLevel="0" collapsed="false">
      <c r="A661" s="0" t="n">
        <v>660</v>
      </c>
      <c r="B661" s="1" t="s">
        <v>754</v>
      </c>
      <c r="C661" s="1" t="s">
        <v>1479</v>
      </c>
      <c r="D661" s="1" t="s">
        <v>1487</v>
      </c>
      <c r="E661" s="4" t="s">
        <v>1488</v>
      </c>
      <c r="F661" s="0" t="s">
        <v>50</v>
      </c>
      <c r="G661" s="0" t="s">
        <v>5742</v>
      </c>
      <c r="I661" s="6" t="n">
        <v>0.166666666666667</v>
      </c>
      <c r="J661" s="6" t="n">
        <v>0.18125</v>
      </c>
      <c r="K661" s="0" t="n">
        <v>10</v>
      </c>
      <c r="L661" s="0" t="n">
        <v>10</v>
      </c>
      <c r="M661" s="0" t="s">
        <v>5743</v>
      </c>
      <c r="N661" s="0" t="s">
        <v>5744</v>
      </c>
      <c r="P661" s="0" t="s">
        <v>5745</v>
      </c>
      <c r="Q661" s="2" t="n">
        <v>43160</v>
      </c>
      <c r="S661" s="0" t="n">
        <f aca="false">YEAR(Q661)</f>
        <v>2018</v>
      </c>
      <c r="T661" s="0" t="n">
        <f aca="false">MONTH(Q661)</f>
        <v>3</v>
      </c>
    </row>
    <row r="662" customFormat="false" ht="42.75" hidden="true" customHeight="false" outlineLevel="0" collapsed="false">
      <c r="A662" s="0" t="n">
        <v>661</v>
      </c>
      <c r="B662" s="1" t="s">
        <v>754</v>
      </c>
      <c r="C662" s="1" t="s">
        <v>1479</v>
      </c>
      <c r="D662" s="1" t="s">
        <v>1487</v>
      </c>
      <c r="E662" s="4" t="s">
        <v>1488</v>
      </c>
      <c r="F662" s="0" t="s">
        <v>50</v>
      </c>
      <c r="G662" s="0" t="s">
        <v>5746</v>
      </c>
      <c r="I662" s="6" t="n">
        <v>0.166666666666667</v>
      </c>
      <c r="J662" s="6" t="n">
        <v>0.194444444444444</v>
      </c>
      <c r="K662" s="0" t="n">
        <v>30</v>
      </c>
      <c r="L662" s="0" t="n">
        <v>52</v>
      </c>
      <c r="M662" s="7" t="s">
        <v>5747</v>
      </c>
      <c r="N662" s="0" t="s">
        <v>5748</v>
      </c>
      <c r="P662" s="0" t="s">
        <v>5749</v>
      </c>
      <c r="Q662" s="2" t="n">
        <v>43160</v>
      </c>
      <c r="S662" s="0" t="n">
        <f aca="false">YEAR(Q662)</f>
        <v>2018</v>
      </c>
      <c r="T662" s="0" t="n">
        <f aca="false">MONTH(Q662)</f>
        <v>3</v>
      </c>
    </row>
    <row r="663" customFormat="false" ht="14.25" hidden="true" customHeight="false" outlineLevel="0" collapsed="false">
      <c r="A663" s="0" t="n">
        <v>662</v>
      </c>
      <c r="B663" s="1" t="s">
        <v>755</v>
      </c>
      <c r="C663" s="1" t="s">
        <v>1479</v>
      </c>
      <c r="D663" s="1" t="s">
        <v>1487</v>
      </c>
      <c r="E663" s="0" t="s">
        <v>1488</v>
      </c>
      <c r="F663" s="0" t="s">
        <v>48</v>
      </c>
      <c r="G663" s="0" t="s">
        <v>5750</v>
      </c>
      <c r="I663" s="6" t="n">
        <v>0.269444444444444</v>
      </c>
      <c r="J663" s="6" t="n">
        <v>0.274305555555555</v>
      </c>
      <c r="L663" s="0" t="n">
        <v>38</v>
      </c>
      <c r="M663" s="0" t="s">
        <v>5751</v>
      </c>
      <c r="N663" s="0" t="s">
        <v>5752</v>
      </c>
      <c r="P663" s="0" t="s">
        <v>5753</v>
      </c>
      <c r="Q663" s="2" t="n">
        <v>43161</v>
      </c>
      <c r="S663" s="0" t="n">
        <f aca="false">YEAR(Q663)</f>
        <v>2018</v>
      </c>
      <c r="T663" s="0" t="n">
        <f aca="false">MONTH(Q663)</f>
        <v>3</v>
      </c>
    </row>
    <row r="664" customFormat="false" ht="14.25" hidden="true" customHeight="false" outlineLevel="0" collapsed="false">
      <c r="A664" s="0" t="n">
        <v>663</v>
      </c>
      <c r="B664" s="1" t="s">
        <v>755</v>
      </c>
      <c r="C664" s="1" t="s">
        <v>1479</v>
      </c>
      <c r="D664" s="1" t="s">
        <v>1535</v>
      </c>
      <c r="E664" s="0" t="s">
        <v>39</v>
      </c>
      <c r="F664" s="0" t="s">
        <v>49</v>
      </c>
      <c r="G664" s="0" t="s">
        <v>5754</v>
      </c>
      <c r="I664" s="6" t="n">
        <v>0.703472222222222</v>
      </c>
      <c r="J664" s="6" t="n">
        <v>0.713194444444444</v>
      </c>
      <c r="M664" s="0" t="s">
        <v>5755</v>
      </c>
      <c r="N664" s="0" t="s">
        <v>5756</v>
      </c>
      <c r="P664" s="0" t="s">
        <v>5756</v>
      </c>
      <c r="Q664" s="2" t="n">
        <v>43161</v>
      </c>
      <c r="S664" s="0" t="n">
        <f aca="false">YEAR(Q664)</f>
        <v>2018</v>
      </c>
      <c r="T664" s="0" t="n">
        <f aca="false">MONTH(Q664)</f>
        <v>3</v>
      </c>
    </row>
    <row r="665" customFormat="false" ht="42.75" hidden="true" customHeight="false" outlineLevel="0" collapsed="false">
      <c r="A665" s="0" t="n">
        <v>664</v>
      </c>
      <c r="B665" s="1" t="s">
        <v>755</v>
      </c>
      <c r="C665" s="1" t="s">
        <v>1479</v>
      </c>
      <c r="D665" s="1" t="s">
        <v>1487</v>
      </c>
      <c r="E665" s="4" t="s">
        <v>1488</v>
      </c>
      <c r="F665" s="0" t="s">
        <v>50</v>
      </c>
      <c r="G665" s="0" t="s">
        <v>5757</v>
      </c>
      <c r="I665" s="6" t="n">
        <v>0.104166666666667</v>
      </c>
      <c r="J665" s="6" t="n">
        <v>0.111111111111111</v>
      </c>
      <c r="K665" s="0" t="n">
        <v>20</v>
      </c>
      <c r="L665" s="0" t="n">
        <v>32</v>
      </c>
      <c r="M665" s="7" t="s">
        <v>5758</v>
      </c>
      <c r="N665" s="7" t="s">
        <v>5759</v>
      </c>
      <c r="O665" s="7"/>
      <c r="P665" s="0" t="s">
        <v>5760</v>
      </c>
      <c r="Q665" s="2" t="n">
        <v>43161</v>
      </c>
      <c r="S665" s="0" t="n">
        <f aca="false">YEAR(Q665)</f>
        <v>2018</v>
      </c>
      <c r="T665" s="0" t="n">
        <f aca="false">MONTH(Q665)</f>
        <v>3</v>
      </c>
    </row>
    <row r="666" customFormat="false" ht="14.25" hidden="true" customHeight="false" outlineLevel="0" collapsed="false">
      <c r="A666" s="0" t="n">
        <v>665</v>
      </c>
      <c r="B666" s="1" t="s">
        <v>757</v>
      </c>
      <c r="C666" s="1" t="s">
        <v>1479</v>
      </c>
      <c r="D666" s="1" t="s">
        <v>1535</v>
      </c>
      <c r="E666" s="0" t="s">
        <v>39</v>
      </c>
      <c r="F666" s="0" t="s">
        <v>48</v>
      </c>
      <c r="G666" s="0" t="s">
        <v>5761</v>
      </c>
      <c r="J666" s="6" t="n">
        <v>0.5</v>
      </c>
      <c r="M666" s="0" t="s">
        <v>5762</v>
      </c>
      <c r="N666" s="0" t="s">
        <v>5763</v>
      </c>
      <c r="P666" s="0" t="s">
        <v>5764</v>
      </c>
      <c r="Q666" s="2" t="n">
        <v>43162</v>
      </c>
      <c r="S666" s="0" t="n">
        <f aca="false">YEAR(Q666)</f>
        <v>2018</v>
      </c>
      <c r="T666" s="0" t="n">
        <f aca="false">MONTH(Q666)</f>
        <v>3</v>
      </c>
    </row>
    <row r="667" customFormat="false" ht="14.25" hidden="true" customHeight="false" outlineLevel="0" collapsed="false">
      <c r="A667" s="0" t="n">
        <v>666</v>
      </c>
      <c r="B667" s="1" t="s">
        <v>757</v>
      </c>
      <c r="C667" s="1" t="s">
        <v>1479</v>
      </c>
      <c r="D667" s="1" t="s">
        <v>1535</v>
      </c>
      <c r="E667" s="0" t="s">
        <v>39</v>
      </c>
      <c r="F667" s="0" t="s">
        <v>48</v>
      </c>
      <c r="G667" s="0" t="s">
        <v>4643</v>
      </c>
      <c r="I667" s="6" t="n">
        <v>0.5625</v>
      </c>
      <c r="J667" s="6" t="n">
        <v>0.5625</v>
      </c>
      <c r="M667" s="0" t="s">
        <v>5765</v>
      </c>
      <c r="N667" s="0" t="s">
        <v>5766</v>
      </c>
      <c r="P667" s="0" t="s">
        <v>5767</v>
      </c>
      <c r="Q667" s="2" t="n">
        <v>43162</v>
      </c>
      <c r="S667" s="0" t="n">
        <f aca="false">YEAR(Q667)</f>
        <v>2018</v>
      </c>
      <c r="T667" s="0" t="n">
        <f aca="false">MONTH(Q667)</f>
        <v>3</v>
      </c>
    </row>
    <row r="668" customFormat="false" ht="42.75" hidden="true" customHeight="false" outlineLevel="0" collapsed="false">
      <c r="A668" s="0" t="n">
        <v>667</v>
      </c>
      <c r="B668" s="1" t="s">
        <v>759</v>
      </c>
      <c r="C668" s="1" t="s">
        <v>1479</v>
      </c>
      <c r="D668" s="1" t="s">
        <v>1487</v>
      </c>
      <c r="E668" s="4" t="s">
        <v>1488</v>
      </c>
      <c r="F668" s="0" t="s">
        <v>50</v>
      </c>
      <c r="G668" s="0" t="s">
        <v>5768</v>
      </c>
      <c r="J668" s="6" t="n">
        <v>0.895833333333333</v>
      </c>
      <c r="K668" s="0" t="n">
        <v>4</v>
      </c>
      <c r="M668" s="0" t="s">
        <v>5769</v>
      </c>
      <c r="N668" s="0" t="s">
        <v>5770</v>
      </c>
      <c r="P668" s="7" t="s">
        <v>5771</v>
      </c>
      <c r="Q668" s="2" t="n">
        <v>43163</v>
      </c>
      <c r="S668" s="0" t="n">
        <f aca="false">YEAR(Q668)</f>
        <v>2018</v>
      </c>
      <c r="T668" s="0" t="n">
        <f aca="false">MONTH(Q668)</f>
        <v>3</v>
      </c>
    </row>
    <row r="669" customFormat="false" ht="42.75" hidden="true" customHeight="false" outlineLevel="0" collapsed="false">
      <c r="A669" s="0" t="n">
        <v>668</v>
      </c>
      <c r="B669" s="1" t="s">
        <v>759</v>
      </c>
      <c r="C669" s="1" t="s">
        <v>1479</v>
      </c>
      <c r="D669" s="1" t="s">
        <v>1487</v>
      </c>
      <c r="E669" s="0" t="s">
        <v>1488</v>
      </c>
      <c r="F669" s="0" t="s">
        <v>50</v>
      </c>
      <c r="G669" s="0" t="s">
        <v>5772</v>
      </c>
      <c r="I669" s="6" t="n">
        <v>0.923611111111111</v>
      </c>
      <c r="J669" s="6" t="n">
        <v>0.934027777777778</v>
      </c>
      <c r="K669" s="0" t="n">
        <v>0</v>
      </c>
      <c r="L669" s="0" t="n">
        <v>30</v>
      </c>
      <c r="M669" s="0" t="s">
        <v>5773</v>
      </c>
      <c r="N669" s="0" t="s">
        <v>5774</v>
      </c>
      <c r="P669" s="7" t="s">
        <v>5775</v>
      </c>
      <c r="Q669" s="2" t="n">
        <v>43163</v>
      </c>
      <c r="S669" s="0" t="n">
        <f aca="false">YEAR(Q669)</f>
        <v>2018</v>
      </c>
      <c r="T669" s="0" t="n">
        <f aca="false">MONTH(Q669)</f>
        <v>3</v>
      </c>
    </row>
    <row r="670" customFormat="false" ht="86.25" hidden="true" customHeight="false" outlineLevel="0" collapsed="false">
      <c r="A670" s="0" t="n">
        <v>669</v>
      </c>
      <c r="B670" s="1" t="s">
        <v>759</v>
      </c>
      <c r="C670" s="1" t="s">
        <v>1479</v>
      </c>
      <c r="D670" s="1" t="s">
        <v>1487</v>
      </c>
      <c r="E670" s="4" t="s">
        <v>1488</v>
      </c>
      <c r="F670" s="0" t="s">
        <v>50</v>
      </c>
      <c r="G670" s="0" t="s">
        <v>5776</v>
      </c>
      <c r="I670" s="6" t="n">
        <v>0.934027777777778</v>
      </c>
      <c r="J670" s="6" t="n">
        <v>0.9375</v>
      </c>
      <c r="K670" s="0" t="n">
        <v>10</v>
      </c>
      <c r="L670" s="0" t="n">
        <v>20</v>
      </c>
      <c r="M670" s="0" t="s">
        <v>5777</v>
      </c>
      <c r="N670" s="0" t="s">
        <v>5778</v>
      </c>
      <c r="P670" s="7" t="s">
        <v>5779</v>
      </c>
      <c r="Q670" s="2" t="n">
        <v>43163</v>
      </c>
      <c r="S670" s="0" t="n">
        <f aca="false">YEAR(Q670)</f>
        <v>2018</v>
      </c>
      <c r="T670" s="0" t="n">
        <f aca="false">MONTH(Q670)</f>
        <v>3</v>
      </c>
    </row>
    <row r="671" customFormat="false" ht="14.25" hidden="true" customHeight="false" outlineLevel="0" collapsed="false">
      <c r="A671" s="0" t="n">
        <v>670</v>
      </c>
      <c r="B671" s="1" t="s">
        <v>760</v>
      </c>
      <c r="C671" s="1" t="s">
        <v>1479</v>
      </c>
      <c r="D671" s="1" t="s">
        <v>1496</v>
      </c>
      <c r="E671" s="0" t="s">
        <v>38</v>
      </c>
      <c r="F671" s="0" t="s">
        <v>48</v>
      </c>
      <c r="G671" s="0" t="s">
        <v>5780</v>
      </c>
      <c r="I671" s="6" t="n">
        <v>0.25</v>
      </c>
      <c r="J671" s="6" t="n">
        <v>0.256944444444444</v>
      </c>
      <c r="M671" s="0" t="s">
        <v>5781</v>
      </c>
      <c r="N671" s="0" t="s">
        <v>5782</v>
      </c>
      <c r="P671" s="0" t="s">
        <v>5783</v>
      </c>
      <c r="Q671" s="2" t="n">
        <v>43164</v>
      </c>
      <c r="S671" s="0" t="n">
        <f aca="false">YEAR(Q671)</f>
        <v>2018</v>
      </c>
      <c r="T671" s="0" t="n">
        <f aca="false">MONTH(Q671)</f>
        <v>3</v>
      </c>
    </row>
    <row r="672" customFormat="false" ht="14.25" hidden="true" customHeight="false" outlineLevel="0" collapsed="false">
      <c r="A672" s="0" t="n">
        <v>671</v>
      </c>
      <c r="B672" s="1" t="s">
        <v>760</v>
      </c>
      <c r="C672" s="1" t="s">
        <v>1479</v>
      </c>
      <c r="D672" s="1" t="s">
        <v>1535</v>
      </c>
      <c r="E672" s="0" t="s">
        <v>39</v>
      </c>
      <c r="F672" s="0" t="s">
        <v>48</v>
      </c>
      <c r="G672" s="0" t="s">
        <v>5784</v>
      </c>
      <c r="J672" s="6" t="n">
        <v>0.263888888888889</v>
      </c>
      <c r="M672" s="0" t="s">
        <v>5762</v>
      </c>
      <c r="N672" s="0" t="s">
        <v>5785</v>
      </c>
      <c r="P672" s="0" t="s">
        <v>5786</v>
      </c>
      <c r="Q672" s="2" t="n">
        <v>43164</v>
      </c>
      <c r="S672" s="0" t="n">
        <f aca="false">YEAR(Q672)</f>
        <v>2018</v>
      </c>
      <c r="T672" s="0" t="n">
        <f aca="false">MONTH(Q672)</f>
        <v>3</v>
      </c>
    </row>
    <row r="673" customFormat="false" ht="14.25" hidden="true" customHeight="false" outlineLevel="0" collapsed="false">
      <c r="A673" s="0" t="n">
        <v>672</v>
      </c>
      <c r="B673" s="1" t="s">
        <v>760</v>
      </c>
      <c r="C673" s="1" t="s">
        <v>1479</v>
      </c>
      <c r="D673" s="1" t="s">
        <v>1487</v>
      </c>
      <c r="E673" s="0" t="s">
        <v>1488</v>
      </c>
      <c r="F673" s="0" t="s">
        <v>48</v>
      </c>
      <c r="G673" s="0" t="s">
        <v>5787</v>
      </c>
      <c r="I673" s="6" t="n">
        <v>0.481944444444444</v>
      </c>
      <c r="J673" s="6" t="n">
        <v>0.541666666666667</v>
      </c>
      <c r="L673" s="0" t="n">
        <v>82</v>
      </c>
      <c r="M673" s="0" t="s">
        <v>5788</v>
      </c>
      <c r="N673" s="0" t="s">
        <v>5789</v>
      </c>
      <c r="P673" s="0" t="s">
        <v>5790</v>
      </c>
      <c r="Q673" s="2" t="n">
        <v>43164</v>
      </c>
      <c r="S673" s="0" t="n">
        <f aca="false">YEAR(Q673)</f>
        <v>2018</v>
      </c>
      <c r="T673" s="0" t="n">
        <f aca="false">MONTH(Q673)</f>
        <v>3</v>
      </c>
    </row>
    <row r="674" customFormat="false" ht="14.25" hidden="true" customHeight="false" outlineLevel="0" collapsed="false">
      <c r="A674" s="0" t="n">
        <v>673</v>
      </c>
      <c r="B674" s="1" t="s">
        <v>760</v>
      </c>
      <c r="C674" s="1" t="s">
        <v>1503</v>
      </c>
      <c r="D674" s="1" t="s">
        <v>1504</v>
      </c>
      <c r="E674" s="0" t="s">
        <v>5581</v>
      </c>
      <c r="F674" s="0" t="s">
        <v>49</v>
      </c>
      <c r="G674" s="0" t="s">
        <v>5791</v>
      </c>
      <c r="I674" s="6" t="n">
        <v>0.333333333333333</v>
      </c>
      <c r="J674" s="6" t="n">
        <v>0.635416666666667</v>
      </c>
      <c r="M674" s="0" t="s">
        <v>5792</v>
      </c>
      <c r="N674" s="0" t="s">
        <v>5793</v>
      </c>
      <c r="P674" s="0" t="s">
        <v>5794</v>
      </c>
      <c r="Q674" s="2" t="n">
        <v>43164</v>
      </c>
      <c r="S674" s="0" t="n">
        <f aca="false">YEAR(Q674)</f>
        <v>2018</v>
      </c>
      <c r="T674" s="0" t="n">
        <f aca="false">MONTH(Q674)</f>
        <v>3</v>
      </c>
    </row>
    <row r="675" customFormat="false" ht="14.25" hidden="true" customHeight="false" outlineLevel="0" collapsed="false">
      <c r="A675" s="0" t="n">
        <v>674</v>
      </c>
      <c r="B675" s="1" t="s">
        <v>760</v>
      </c>
      <c r="C675" s="1" t="s">
        <v>1479</v>
      </c>
      <c r="D675" s="1" t="s">
        <v>1496</v>
      </c>
      <c r="E675" s="0" t="s">
        <v>38</v>
      </c>
      <c r="F675" s="0" t="s">
        <v>49</v>
      </c>
      <c r="G675" s="0" t="s">
        <v>5795</v>
      </c>
      <c r="I675" s="6" t="n">
        <v>0.65625</v>
      </c>
      <c r="J675" s="6" t="n">
        <v>0.659722222222222</v>
      </c>
      <c r="L675" s="0" t="n">
        <v>8</v>
      </c>
      <c r="M675" s="0" t="s">
        <v>5796</v>
      </c>
      <c r="N675" s="0" t="s">
        <v>5797</v>
      </c>
      <c r="P675" s="0" t="s">
        <v>5798</v>
      </c>
      <c r="Q675" s="2" t="n">
        <v>43164</v>
      </c>
      <c r="S675" s="0" t="n">
        <f aca="false">YEAR(Q675)</f>
        <v>2018</v>
      </c>
      <c r="T675" s="0" t="n">
        <f aca="false">MONTH(Q675)</f>
        <v>3</v>
      </c>
    </row>
    <row r="676" customFormat="false" ht="14.25" hidden="true" customHeight="false" outlineLevel="0" collapsed="false">
      <c r="A676" s="0" t="n">
        <v>675</v>
      </c>
      <c r="B676" s="1" t="s">
        <v>760</v>
      </c>
      <c r="C676" s="1" t="s">
        <v>1479</v>
      </c>
      <c r="D676" s="1" t="s">
        <v>1480</v>
      </c>
      <c r="E676" s="0" t="s">
        <v>43</v>
      </c>
      <c r="F676" s="0" t="s">
        <v>49</v>
      </c>
      <c r="G676" s="0" t="s">
        <v>5799</v>
      </c>
      <c r="I676" s="6" t="n">
        <v>0.798611111111111</v>
      </c>
      <c r="J676" s="6" t="n">
        <v>0.847222222222222</v>
      </c>
      <c r="L676" s="0" t="n">
        <v>220</v>
      </c>
      <c r="M676" s="0" t="s">
        <v>5800</v>
      </c>
      <c r="N676" s="0" t="s">
        <v>5801</v>
      </c>
      <c r="P676" s="0" t="s">
        <v>5802</v>
      </c>
      <c r="Q676" s="2" t="n">
        <v>43164</v>
      </c>
      <c r="S676" s="0" t="n">
        <f aca="false">YEAR(Q676)</f>
        <v>2018</v>
      </c>
      <c r="T676" s="0" t="n">
        <f aca="false">MONTH(Q676)</f>
        <v>3</v>
      </c>
    </row>
    <row r="677" customFormat="false" ht="14.25" hidden="true" customHeight="false" outlineLevel="0" collapsed="false">
      <c r="A677" s="0" t="n">
        <v>676</v>
      </c>
      <c r="B677" s="1" t="s">
        <v>762</v>
      </c>
      <c r="C677" s="1" t="s">
        <v>1479</v>
      </c>
      <c r="D677" s="1" t="s">
        <v>1487</v>
      </c>
      <c r="E677" s="4" t="s">
        <v>1488</v>
      </c>
      <c r="F677" s="0" t="s">
        <v>48</v>
      </c>
      <c r="G677" s="0" t="s">
        <v>5803</v>
      </c>
      <c r="I677" s="6" t="n">
        <v>0.273611111111111</v>
      </c>
      <c r="J677" s="6" t="n">
        <v>0.288194444444444</v>
      </c>
      <c r="K677" s="0" t="n">
        <v>25</v>
      </c>
      <c r="L677" s="0" t="n">
        <v>33</v>
      </c>
      <c r="M677" s="0" t="s">
        <v>5804</v>
      </c>
      <c r="N677" s="0" t="s">
        <v>5805</v>
      </c>
      <c r="P677" s="0" t="s">
        <v>5806</v>
      </c>
      <c r="Q677" s="2" t="n">
        <v>43165</v>
      </c>
      <c r="S677" s="0" t="n">
        <f aca="false">YEAR(Q677)</f>
        <v>2018</v>
      </c>
      <c r="T677" s="0" t="n">
        <f aca="false">MONTH(Q677)</f>
        <v>3</v>
      </c>
    </row>
    <row r="678" customFormat="false" ht="14.25" hidden="true" customHeight="false" outlineLevel="0" collapsed="false">
      <c r="A678" s="0" t="n">
        <v>677</v>
      </c>
      <c r="B678" s="1" t="s">
        <v>762</v>
      </c>
      <c r="C678" s="1" t="s">
        <v>1479</v>
      </c>
      <c r="D678" s="1" t="s">
        <v>1535</v>
      </c>
      <c r="E678" s="0" t="s">
        <v>39</v>
      </c>
      <c r="F678" s="0" t="s">
        <v>49</v>
      </c>
      <c r="G678" s="0" t="s">
        <v>4396</v>
      </c>
      <c r="I678" s="6" t="n">
        <v>0.760416666666667</v>
      </c>
      <c r="J678" s="6" t="n">
        <v>0.635416666666667</v>
      </c>
      <c r="M678" s="0" t="s">
        <v>5807</v>
      </c>
      <c r="N678" s="0" t="s">
        <v>5808</v>
      </c>
      <c r="P678" s="0" t="s">
        <v>5809</v>
      </c>
      <c r="Q678" s="2" t="n">
        <v>43165</v>
      </c>
      <c r="S678" s="0" t="n">
        <f aca="false">YEAR(Q678)</f>
        <v>2018</v>
      </c>
      <c r="T678" s="0" t="n">
        <f aca="false">MONTH(Q678)</f>
        <v>3</v>
      </c>
    </row>
    <row r="679" customFormat="false" ht="14.25" hidden="true" customHeight="false" outlineLevel="0" collapsed="false">
      <c r="A679" s="0" t="n">
        <v>678</v>
      </c>
      <c r="B679" s="1" t="s">
        <v>762</v>
      </c>
      <c r="C679" s="1" t="s">
        <v>1479</v>
      </c>
      <c r="D679" s="1" t="s">
        <v>1487</v>
      </c>
      <c r="E679" s="0" t="s">
        <v>1488</v>
      </c>
      <c r="F679" s="0" t="s">
        <v>49</v>
      </c>
      <c r="G679" s="0" t="s">
        <v>5810</v>
      </c>
      <c r="I679" s="6" t="n">
        <v>0.758333333333333</v>
      </c>
      <c r="J679" s="6" t="n">
        <v>0.774305555555555</v>
      </c>
      <c r="L679" s="0" t="n">
        <v>22</v>
      </c>
      <c r="M679" s="0" t="s">
        <v>5811</v>
      </c>
      <c r="N679" s="0" t="s">
        <v>5812</v>
      </c>
      <c r="P679" s="0" t="s">
        <v>5813</v>
      </c>
      <c r="Q679" s="2" t="n">
        <v>43165</v>
      </c>
      <c r="S679" s="0" t="n">
        <f aca="false">YEAR(Q679)</f>
        <v>2018</v>
      </c>
      <c r="T679" s="0" t="n">
        <f aca="false">MONTH(Q679)</f>
        <v>3</v>
      </c>
    </row>
    <row r="680" customFormat="false" ht="14.25" hidden="true" customHeight="false" outlineLevel="0" collapsed="false">
      <c r="A680" s="0" t="n">
        <v>679</v>
      </c>
      <c r="B680" s="1" t="s">
        <v>763</v>
      </c>
      <c r="C680" s="1" t="s">
        <v>1479</v>
      </c>
      <c r="D680" s="1" t="s">
        <v>1535</v>
      </c>
      <c r="E680" s="0" t="s">
        <v>39</v>
      </c>
      <c r="F680" s="0" t="s">
        <v>49</v>
      </c>
      <c r="G680" s="0" t="s">
        <v>5814</v>
      </c>
      <c r="I680" s="6" t="n">
        <v>0.604166666666667</v>
      </c>
      <c r="J680" s="6" t="n">
        <v>0.611111111111111</v>
      </c>
      <c r="K680" s="0" t="n">
        <v>27</v>
      </c>
      <c r="M680" s="0" t="s">
        <v>5815</v>
      </c>
      <c r="N680" s="0" t="s">
        <v>5816</v>
      </c>
      <c r="P680" s="0" t="s">
        <v>5817</v>
      </c>
      <c r="Q680" s="2" t="n">
        <v>43166</v>
      </c>
      <c r="S680" s="0" t="n">
        <f aca="false">YEAR(Q680)</f>
        <v>2018</v>
      </c>
      <c r="T680" s="0" t="n">
        <f aca="false">MONTH(Q680)</f>
        <v>3</v>
      </c>
    </row>
    <row r="681" customFormat="false" ht="14.25" hidden="true" customHeight="false" outlineLevel="0" collapsed="false">
      <c r="A681" s="0" t="n">
        <v>680</v>
      </c>
      <c r="B681" s="1" t="s">
        <v>763</v>
      </c>
      <c r="C681" s="1" t="s">
        <v>1479</v>
      </c>
      <c r="D681" s="1" t="s">
        <v>1535</v>
      </c>
      <c r="E681" s="0" t="s">
        <v>39</v>
      </c>
      <c r="F681" s="0" t="s">
        <v>49</v>
      </c>
      <c r="G681" s="0" t="s">
        <v>5818</v>
      </c>
      <c r="I681" s="6" t="n">
        <v>0.625</v>
      </c>
      <c r="J681" s="6" t="n">
        <v>0.631944444444444</v>
      </c>
      <c r="K681" s="0" t="n">
        <v>0</v>
      </c>
      <c r="L681" s="0" t="n">
        <v>37</v>
      </c>
      <c r="M681" s="0" t="s">
        <v>5819</v>
      </c>
      <c r="N681" s="0" t="s">
        <v>5820</v>
      </c>
      <c r="P681" s="0" t="s">
        <v>5821</v>
      </c>
      <c r="Q681" s="2" t="n">
        <v>43166</v>
      </c>
      <c r="S681" s="0" t="n">
        <f aca="false">YEAR(Q681)</f>
        <v>2018</v>
      </c>
      <c r="T681" s="0" t="n">
        <f aca="false">MONTH(Q681)</f>
        <v>3</v>
      </c>
    </row>
    <row r="682" customFormat="false" ht="42.75" hidden="true" customHeight="false" outlineLevel="0" collapsed="false">
      <c r="A682" s="0" t="n">
        <v>681</v>
      </c>
      <c r="B682" s="1" t="s">
        <v>764</v>
      </c>
      <c r="C682" s="1" t="s">
        <v>1479</v>
      </c>
      <c r="D682" s="1" t="s">
        <v>1496</v>
      </c>
      <c r="E682" s="0" t="s">
        <v>38</v>
      </c>
      <c r="F682" s="0" t="s">
        <v>50</v>
      </c>
      <c r="G682" s="0" t="s">
        <v>5822</v>
      </c>
      <c r="I682" s="6" t="n">
        <v>0.921527777777778</v>
      </c>
      <c r="J682" s="6" t="n">
        <v>0.9375</v>
      </c>
      <c r="K682" s="0" t="n">
        <v>30</v>
      </c>
      <c r="L682" s="0" t="n">
        <v>45</v>
      </c>
      <c r="M682" s="0" t="s">
        <v>5823</v>
      </c>
      <c r="N682" s="0" t="s">
        <v>5824</v>
      </c>
      <c r="P682" s="7" t="s">
        <v>5825</v>
      </c>
      <c r="Q682" s="2" t="n">
        <v>43170</v>
      </c>
      <c r="S682" s="0" t="n">
        <f aca="false">YEAR(Q682)</f>
        <v>2018</v>
      </c>
      <c r="T682" s="0" t="n">
        <f aca="false">MONTH(Q682)</f>
        <v>3</v>
      </c>
    </row>
    <row r="683" customFormat="false" ht="72" hidden="true" customHeight="false" outlineLevel="0" collapsed="false">
      <c r="A683" s="0" t="n">
        <v>682</v>
      </c>
      <c r="B683" s="1" t="s">
        <v>764</v>
      </c>
      <c r="C683" s="1" t="s">
        <v>1479</v>
      </c>
      <c r="D683" s="1" t="s">
        <v>1487</v>
      </c>
      <c r="E683" s="0" t="s">
        <v>1488</v>
      </c>
      <c r="F683" s="0" t="s">
        <v>50</v>
      </c>
      <c r="G683" s="0" t="s">
        <v>5826</v>
      </c>
      <c r="I683" s="6" t="n">
        <v>0.921527777777778</v>
      </c>
      <c r="J683" s="6" t="n">
        <v>0.958333333333333</v>
      </c>
      <c r="L683" s="0" t="n">
        <v>206</v>
      </c>
      <c r="M683" s="0" t="s">
        <v>5827</v>
      </c>
      <c r="N683" s="7" t="s">
        <v>5828</v>
      </c>
      <c r="O683" s="7"/>
      <c r="P683" s="7" t="s">
        <v>5829</v>
      </c>
      <c r="Q683" s="2" t="n">
        <v>43170</v>
      </c>
      <c r="S683" s="0" t="n">
        <f aca="false">YEAR(Q683)</f>
        <v>2018</v>
      </c>
      <c r="T683" s="0" t="n">
        <f aca="false">MONTH(Q683)</f>
        <v>3</v>
      </c>
    </row>
    <row r="684" customFormat="false" ht="14.25" hidden="true" customHeight="false" outlineLevel="0" collapsed="false">
      <c r="A684" s="0" t="n">
        <v>683</v>
      </c>
      <c r="B684" s="1" t="s">
        <v>765</v>
      </c>
      <c r="C684" s="1" t="s">
        <v>1503</v>
      </c>
      <c r="D684" s="1" t="s">
        <v>1535</v>
      </c>
      <c r="E684" s="0" t="s">
        <v>44</v>
      </c>
      <c r="F684" s="0" t="s">
        <v>48</v>
      </c>
      <c r="G684" s="0" t="s">
        <v>5830</v>
      </c>
      <c r="I684" s="6" t="n">
        <v>0.375</v>
      </c>
      <c r="J684" s="6" t="n">
        <v>0.395833333333333</v>
      </c>
      <c r="L684" s="0" t="n">
        <v>45</v>
      </c>
      <c r="M684" s="0" t="s">
        <v>5831</v>
      </c>
      <c r="N684" s="0" t="s">
        <v>5832</v>
      </c>
      <c r="P684" s="0" t="s">
        <v>5833</v>
      </c>
      <c r="Q684" s="2" t="n">
        <v>43168</v>
      </c>
      <c r="S684" s="0" t="n">
        <f aca="false">YEAR(Q684)</f>
        <v>2018</v>
      </c>
      <c r="T684" s="0" t="n">
        <f aca="false">MONTH(Q684)</f>
        <v>3</v>
      </c>
    </row>
    <row r="685" customFormat="false" ht="14.25" hidden="true" customHeight="false" outlineLevel="0" collapsed="false">
      <c r="A685" s="0" t="n">
        <v>684</v>
      </c>
      <c r="B685" s="1" t="s">
        <v>765</v>
      </c>
      <c r="C685" s="1" t="s">
        <v>1479</v>
      </c>
      <c r="D685" s="1" t="s">
        <v>1487</v>
      </c>
      <c r="E685" s="0" t="s">
        <v>1488</v>
      </c>
      <c r="F685" s="0" t="s">
        <v>48</v>
      </c>
      <c r="G685" s="0" t="s">
        <v>5834</v>
      </c>
      <c r="I685" s="6" t="n">
        <v>0.541666666666667</v>
      </c>
      <c r="J685" s="6" t="n">
        <v>0.555555555555556</v>
      </c>
      <c r="L685" s="0" t="n">
        <v>30</v>
      </c>
      <c r="M685" s="0" t="s">
        <v>5835</v>
      </c>
      <c r="N685" s="0" t="s">
        <v>5836</v>
      </c>
      <c r="P685" s="0" t="s">
        <v>5837</v>
      </c>
      <c r="Q685" s="2" t="n">
        <v>43168</v>
      </c>
      <c r="S685" s="0" t="n">
        <f aca="false">YEAR(Q685)</f>
        <v>2018</v>
      </c>
      <c r="T685" s="0" t="n">
        <f aca="false">MONTH(Q685)</f>
        <v>3</v>
      </c>
    </row>
    <row r="686" customFormat="false" ht="14.25" hidden="true" customHeight="false" outlineLevel="0" collapsed="false">
      <c r="A686" s="0" t="n">
        <v>685</v>
      </c>
      <c r="B686" s="1" t="s">
        <v>766</v>
      </c>
      <c r="C686" s="1" t="s">
        <v>1479</v>
      </c>
      <c r="D686" s="1" t="s">
        <v>1487</v>
      </c>
      <c r="E686" s="4" t="s">
        <v>1488</v>
      </c>
      <c r="F686" s="0" t="s">
        <v>49</v>
      </c>
      <c r="G686" s="0" t="s">
        <v>5838</v>
      </c>
      <c r="I686" s="6" t="n">
        <v>0.746527777777778</v>
      </c>
      <c r="J686" s="6" t="n">
        <v>0.751388888888889</v>
      </c>
      <c r="K686" s="0" t="n">
        <v>20</v>
      </c>
      <c r="L686" s="0" t="n">
        <v>22</v>
      </c>
      <c r="M686" s="0" t="s">
        <v>5839</v>
      </c>
      <c r="N686" s="0" t="s">
        <v>5840</v>
      </c>
      <c r="P686" s="0" t="s">
        <v>5841</v>
      </c>
      <c r="Q686" s="2" t="n">
        <v>43167</v>
      </c>
      <c r="S686" s="0" t="n">
        <f aca="false">YEAR(Q686)</f>
        <v>2018</v>
      </c>
      <c r="T686" s="0" t="n">
        <f aca="false">MONTH(Q686)</f>
        <v>3</v>
      </c>
    </row>
    <row r="687" customFormat="false" ht="14.25" hidden="true" customHeight="false" outlineLevel="0" collapsed="false">
      <c r="A687" s="0" t="n">
        <v>686</v>
      </c>
      <c r="B687" s="1" t="s">
        <v>769</v>
      </c>
      <c r="C687" s="1" t="s">
        <v>1479</v>
      </c>
      <c r="D687" s="1" t="s">
        <v>1496</v>
      </c>
      <c r="E687" s="0" t="s">
        <v>38</v>
      </c>
      <c r="F687" s="0" t="s">
        <v>48</v>
      </c>
      <c r="G687" s="0" t="s">
        <v>5842</v>
      </c>
      <c r="I687" s="6" t="n">
        <v>0.375</v>
      </c>
      <c r="J687" s="6" t="n">
        <v>0.395833333333333</v>
      </c>
      <c r="M687" s="0" t="s">
        <v>5843</v>
      </c>
      <c r="N687" s="0" t="s">
        <v>3545</v>
      </c>
      <c r="P687" s="0" t="s">
        <v>5844</v>
      </c>
      <c r="Q687" s="2" t="n">
        <v>43171</v>
      </c>
      <c r="S687" s="0" t="n">
        <f aca="false">YEAR(Q687)</f>
        <v>2018</v>
      </c>
      <c r="T687" s="0" t="n">
        <f aca="false">MONTH(Q687)</f>
        <v>3</v>
      </c>
    </row>
    <row r="688" customFormat="false" ht="14.25" hidden="true" customHeight="false" outlineLevel="0" collapsed="false">
      <c r="A688" s="0" t="n">
        <v>687</v>
      </c>
      <c r="B688" s="1" t="s">
        <v>769</v>
      </c>
      <c r="C688" s="1" t="s">
        <v>1479</v>
      </c>
      <c r="D688" s="1" t="s">
        <v>1487</v>
      </c>
      <c r="E688" s="4" t="s">
        <v>1488</v>
      </c>
      <c r="F688" s="0" t="s">
        <v>50</v>
      </c>
      <c r="G688" s="0" t="s">
        <v>5845</v>
      </c>
      <c r="I688" s="6" t="n">
        <v>0.104166666666667</v>
      </c>
      <c r="J688" s="6" t="n">
        <v>0.125</v>
      </c>
      <c r="K688" s="0" t="n">
        <v>30</v>
      </c>
      <c r="L688" s="0" t="n">
        <v>50</v>
      </c>
      <c r="M688" s="0" t="s">
        <v>5846</v>
      </c>
      <c r="N688" s="0" t="s">
        <v>5847</v>
      </c>
      <c r="P688" s="0" t="s">
        <v>5848</v>
      </c>
      <c r="Q688" s="2" t="n">
        <v>43171</v>
      </c>
      <c r="S688" s="0" t="n">
        <f aca="false">YEAR(Q688)</f>
        <v>2018</v>
      </c>
      <c r="T688" s="0" t="n">
        <f aca="false">MONTH(Q688)</f>
        <v>3</v>
      </c>
    </row>
    <row r="689" customFormat="false" ht="14.25" hidden="true" customHeight="false" outlineLevel="0" collapsed="false">
      <c r="A689" s="0" t="n">
        <v>688</v>
      </c>
      <c r="B689" s="1" t="s">
        <v>771</v>
      </c>
      <c r="C689" s="1" t="s">
        <v>1479</v>
      </c>
      <c r="D689" s="1" t="s">
        <v>1535</v>
      </c>
      <c r="E689" s="0" t="s">
        <v>39</v>
      </c>
      <c r="F689" s="0" t="s">
        <v>48</v>
      </c>
      <c r="G689" s="0" t="s">
        <v>5849</v>
      </c>
      <c r="I689" s="6" t="n">
        <v>0.236111111111111</v>
      </c>
      <c r="J689" s="6" t="n">
        <v>0.25</v>
      </c>
      <c r="L689" s="0" t="n">
        <v>10</v>
      </c>
      <c r="M689" s="0" t="s">
        <v>5850</v>
      </c>
      <c r="N689" s="0" t="s">
        <v>5851</v>
      </c>
      <c r="P689" s="0" t="s">
        <v>5852</v>
      </c>
      <c r="Q689" s="2" t="n">
        <v>43172</v>
      </c>
      <c r="S689" s="0" t="n">
        <f aca="false">YEAR(Q689)</f>
        <v>2018</v>
      </c>
      <c r="T689" s="0" t="n">
        <f aca="false">MONTH(Q689)</f>
        <v>3</v>
      </c>
    </row>
    <row r="690" customFormat="false" ht="14.25" hidden="true" customHeight="false" outlineLevel="0" collapsed="false">
      <c r="A690" s="0" t="n">
        <v>689</v>
      </c>
      <c r="B690" s="1" t="s">
        <v>771</v>
      </c>
      <c r="C690" s="1" t="s">
        <v>1479</v>
      </c>
      <c r="D690" s="1" t="s">
        <v>1487</v>
      </c>
      <c r="E690" s="0" t="s">
        <v>1488</v>
      </c>
      <c r="F690" s="0" t="s">
        <v>48</v>
      </c>
      <c r="G690" s="0" t="s">
        <v>5853</v>
      </c>
      <c r="I690" s="6" t="n">
        <v>0.5</v>
      </c>
      <c r="J690" s="6" t="n">
        <v>0.513888888888889</v>
      </c>
      <c r="L690" s="0" t="n">
        <v>42</v>
      </c>
      <c r="M690" s="0" t="s">
        <v>5854</v>
      </c>
      <c r="N690" s="0" t="s">
        <v>5855</v>
      </c>
      <c r="P690" s="0" t="s">
        <v>5856</v>
      </c>
      <c r="Q690" s="2" t="n">
        <v>43172</v>
      </c>
      <c r="S690" s="0" t="n">
        <f aca="false">YEAR(Q690)</f>
        <v>2018</v>
      </c>
      <c r="T690" s="0" t="n">
        <f aca="false">MONTH(Q690)</f>
        <v>3</v>
      </c>
    </row>
    <row r="691" customFormat="false" ht="14.25" hidden="true" customHeight="false" outlineLevel="0" collapsed="false">
      <c r="A691" s="0" t="n">
        <v>690</v>
      </c>
      <c r="B691" s="1" t="s">
        <v>771</v>
      </c>
      <c r="C691" s="1" t="s">
        <v>1503</v>
      </c>
      <c r="D691" s="1" t="s">
        <v>1535</v>
      </c>
      <c r="E691" s="0" t="s">
        <v>44</v>
      </c>
      <c r="F691" s="0" t="s">
        <v>48</v>
      </c>
      <c r="G691" s="0" t="s">
        <v>5857</v>
      </c>
      <c r="I691" s="6" t="n">
        <v>0.5625</v>
      </c>
      <c r="J691" s="6" t="n">
        <v>0.583333333333333</v>
      </c>
      <c r="L691" s="0" t="n">
        <v>40</v>
      </c>
      <c r="M691" s="0" t="s">
        <v>5858</v>
      </c>
      <c r="N691" s="0" t="s">
        <v>5859</v>
      </c>
      <c r="P691" s="0" t="s">
        <v>5860</v>
      </c>
      <c r="Q691" s="2" t="n">
        <v>43172</v>
      </c>
      <c r="S691" s="0" t="n">
        <f aca="false">YEAR(Q691)</f>
        <v>2018</v>
      </c>
      <c r="T691" s="0" t="n">
        <f aca="false">MONTH(Q691)</f>
        <v>3</v>
      </c>
    </row>
    <row r="692" customFormat="false" ht="14.25" hidden="true" customHeight="false" outlineLevel="0" collapsed="false">
      <c r="A692" s="0" t="n">
        <v>691</v>
      </c>
      <c r="B692" s="1" t="s">
        <v>771</v>
      </c>
      <c r="C692" s="1" t="s">
        <v>1479</v>
      </c>
      <c r="D692" s="1" t="s">
        <v>1496</v>
      </c>
      <c r="E692" s="0" t="s">
        <v>38</v>
      </c>
      <c r="F692" s="0" t="s">
        <v>49</v>
      </c>
      <c r="G692" s="0" t="s">
        <v>2508</v>
      </c>
      <c r="I692" s="6" t="n">
        <v>0.579861111111111</v>
      </c>
      <c r="J692" s="6" t="n">
        <v>0.666666666666667</v>
      </c>
      <c r="L692" s="0" t="n">
        <v>20</v>
      </c>
      <c r="M692" s="0" t="s">
        <v>5861</v>
      </c>
      <c r="N692" s="0" t="s">
        <v>5862</v>
      </c>
      <c r="P692" s="0" t="s">
        <v>5863</v>
      </c>
      <c r="Q692" s="2" t="n">
        <v>43172</v>
      </c>
      <c r="S692" s="0" t="n">
        <f aca="false">YEAR(Q692)</f>
        <v>2018</v>
      </c>
      <c r="T692" s="0" t="n">
        <f aca="false">MONTH(Q692)</f>
        <v>3</v>
      </c>
    </row>
    <row r="693" customFormat="false" ht="14.25" hidden="true" customHeight="false" outlineLevel="0" collapsed="false">
      <c r="A693" s="0" t="n">
        <v>692</v>
      </c>
      <c r="B693" s="1" t="s">
        <v>771</v>
      </c>
      <c r="C693" s="1" t="s">
        <v>1479</v>
      </c>
      <c r="D693" s="1" t="s">
        <v>1535</v>
      </c>
      <c r="E693" s="0" t="s">
        <v>39</v>
      </c>
      <c r="F693" s="0" t="s">
        <v>49</v>
      </c>
      <c r="G693" s="0" t="s">
        <v>4643</v>
      </c>
      <c r="I693" s="6" t="n">
        <v>0.9</v>
      </c>
      <c r="J693" s="6" t="n">
        <v>0.903472222222222</v>
      </c>
      <c r="L693" s="0" t="n">
        <v>33</v>
      </c>
      <c r="M693" s="0" t="s">
        <v>5864</v>
      </c>
      <c r="N693" s="0" t="s">
        <v>5865</v>
      </c>
      <c r="P693" s="0" t="s">
        <v>5866</v>
      </c>
      <c r="Q693" s="2" t="n">
        <v>43172</v>
      </c>
      <c r="S693" s="0" t="n">
        <f aca="false">YEAR(Q693)</f>
        <v>2018</v>
      </c>
      <c r="T693" s="0" t="n">
        <f aca="false">MONTH(Q693)</f>
        <v>3</v>
      </c>
    </row>
    <row r="694" customFormat="false" ht="14.25" hidden="true" customHeight="false" outlineLevel="0" collapsed="false">
      <c r="A694" s="0" t="n">
        <v>693</v>
      </c>
      <c r="B694" s="1" t="s">
        <v>772</v>
      </c>
      <c r="C694" s="1" t="s">
        <v>1479</v>
      </c>
      <c r="D694" s="1" t="s">
        <v>1487</v>
      </c>
      <c r="E694" s="0" t="s">
        <v>1488</v>
      </c>
      <c r="F694" s="0" t="s">
        <v>48</v>
      </c>
      <c r="G694" s="0" t="s">
        <v>5867</v>
      </c>
      <c r="I694" s="6" t="n">
        <v>0.347222222222222</v>
      </c>
      <c r="J694" s="6" t="n">
        <v>0.364583333333333</v>
      </c>
      <c r="L694" s="0" t="n">
        <v>35</v>
      </c>
      <c r="M694" s="0" t="s">
        <v>5868</v>
      </c>
      <c r="N694" s="0" t="s">
        <v>5869</v>
      </c>
      <c r="P694" s="0" t="s">
        <v>5870</v>
      </c>
      <c r="Q694" s="2" t="n">
        <v>43173</v>
      </c>
      <c r="S694" s="0" t="n">
        <f aca="false">YEAR(Q694)</f>
        <v>2018</v>
      </c>
      <c r="T694" s="0" t="n">
        <f aca="false">MONTH(Q694)</f>
        <v>3</v>
      </c>
    </row>
    <row r="695" customFormat="false" ht="14.25" hidden="true" customHeight="false" outlineLevel="0" collapsed="false">
      <c r="A695" s="0" t="n">
        <v>694</v>
      </c>
      <c r="B695" s="1" t="s">
        <v>772</v>
      </c>
      <c r="C695" s="1" t="s">
        <v>1479</v>
      </c>
      <c r="D695" s="1" t="s">
        <v>1535</v>
      </c>
      <c r="E695" s="0" t="s">
        <v>39</v>
      </c>
      <c r="F695" s="0" t="s">
        <v>49</v>
      </c>
      <c r="G695" s="0" t="s">
        <v>3583</v>
      </c>
      <c r="I695" s="6" t="n">
        <v>0.631944444444444</v>
      </c>
      <c r="J695" s="6" t="n">
        <v>0.638888888888889</v>
      </c>
      <c r="L695" s="0" t="n">
        <v>25</v>
      </c>
      <c r="M695" s="0" t="s">
        <v>5871</v>
      </c>
      <c r="N695" s="0" t="s">
        <v>5872</v>
      </c>
      <c r="P695" s="0" t="s">
        <v>5873</v>
      </c>
      <c r="Q695" s="2" t="n">
        <v>43173</v>
      </c>
      <c r="S695" s="0" t="n">
        <f aca="false">YEAR(Q695)</f>
        <v>2018</v>
      </c>
      <c r="T695" s="0" t="n">
        <f aca="false">MONTH(Q695)</f>
        <v>3</v>
      </c>
    </row>
    <row r="696" customFormat="false" ht="14.25" hidden="true" customHeight="false" outlineLevel="0" collapsed="false">
      <c r="A696" s="0" t="n">
        <v>695</v>
      </c>
      <c r="B696" s="1" t="s">
        <v>772</v>
      </c>
      <c r="C696" s="1" t="s">
        <v>1479</v>
      </c>
      <c r="D696" s="1" t="s">
        <v>1487</v>
      </c>
      <c r="E696" s="4" t="s">
        <v>1488</v>
      </c>
      <c r="F696" s="0" t="s">
        <v>49</v>
      </c>
      <c r="G696" s="0" t="s">
        <v>4546</v>
      </c>
      <c r="I696" s="6" t="n">
        <v>0.913194444444444</v>
      </c>
      <c r="J696" s="6" t="n">
        <v>0.881944444444444</v>
      </c>
      <c r="K696" s="0" t="n">
        <v>12</v>
      </c>
      <c r="L696" s="0" t="n">
        <v>20</v>
      </c>
      <c r="M696" s="0" t="s">
        <v>5874</v>
      </c>
      <c r="N696" s="0" t="s">
        <v>5875</v>
      </c>
      <c r="P696" s="0" t="s">
        <v>5876</v>
      </c>
      <c r="Q696" s="2" t="n">
        <v>43173</v>
      </c>
      <c r="S696" s="0" t="n">
        <f aca="false">YEAR(Q696)</f>
        <v>2018</v>
      </c>
      <c r="T696" s="0" t="n">
        <f aca="false">MONTH(Q696)</f>
        <v>3</v>
      </c>
    </row>
    <row r="697" customFormat="false" ht="14.25" hidden="true" customHeight="false" outlineLevel="0" collapsed="false">
      <c r="A697" s="0" t="n">
        <v>696</v>
      </c>
      <c r="B697" s="1" t="s">
        <v>774</v>
      </c>
      <c r="C697" s="1" t="s">
        <v>1479</v>
      </c>
      <c r="D697" s="1" t="s">
        <v>1535</v>
      </c>
      <c r="E697" s="0" t="s">
        <v>39</v>
      </c>
      <c r="F697" s="0" t="s">
        <v>48</v>
      </c>
      <c r="G697" s="0" t="s">
        <v>5877</v>
      </c>
      <c r="J697" s="6" t="n">
        <v>0.228472222222222</v>
      </c>
      <c r="M697" s="0" t="s">
        <v>5878</v>
      </c>
      <c r="N697" s="0" t="s">
        <v>4434</v>
      </c>
      <c r="P697" s="0" t="s">
        <v>5879</v>
      </c>
      <c r="Q697" s="2" t="n">
        <v>43178</v>
      </c>
      <c r="S697" s="0" t="n">
        <f aca="false">YEAR(Q697)</f>
        <v>2018</v>
      </c>
      <c r="T697" s="0" t="n">
        <f aca="false">MONTH(Q697)</f>
        <v>3</v>
      </c>
    </row>
    <row r="698" customFormat="false" ht="14.25" hidden="true" customHeight="false" outlineLevel="0" collapsed="false">
      <c r="A698" s="0" t="n">
        <v>697</v>
      </c>
      <c r="B698" s="1" t="s">
        <v>774</v>
      </c>
      <c r="C698" s="1" t="s">
        <v>1503</v>
      </c>
      <c r="D698" s="1" t="s">
        <v>1535</v>
      </c>
      <c r="E698" s="0" t="s">
        <v>44</v>
      </c>
      <c r="F698" s="0" t="s">
        <v>48</v>
      </c>
      <c r="G698" s="0" t="s">
        <v>5880</v>
      </c>
      <c r="J698" s="6" t="n">
        <v>0.600694444444444</v>
      </c>
      <c r="M698" s="0" t="s">
        <v>5881</v>
      </c>
      <c r="N698" s="0" t="s">
        <v>5882</v>
      </c>
      <c r="P698" s="0" t="s">
        <v>5883</v>
      </c>
      <c r="Q698" s="2" t="n">
        <v>43178</v>
      </c>
      <c r="S698" s="0" t="n">
        <f aca="false">YEAR(Q698)</f>
        <v>2018</v>
      </c>
      <c r="T698" s="0" t="n">
        <f aca="false">MONTH(Q698)</f>
        <v>3</v>
      </c>
    </row>
    <row r="699" customFormat="false" ht="14.25" hidden="true" customHeight="false" outlineLevel="0" collapsed="false">
      <c r="A699" s="0" t="n">
        <v>698</v>
      </c>
      <c r="B699" s="1" t="s">
        <v>774</v>
      </c>
      <c r="C699" s="1" t="s">
        <v>1479</v>
      </c>
      <c r="D699" s="1" t="s">
        <v>1535</v>
      </c>
      <c r="E699" s="0" t="s">
        <v>39</v>
      </c>
      <c r="F699" s="0" t="s">
        <v>48</v>
      </c>
      <c r="G699" s="0" t="s">
        <v>5884</v>
      </c>
      <c r="J699" s="6" t="n">
        <v>0.228472222222222</v>
      </c>
      <c r="K699" s="0" t="n">
        <v>5</v>
      </c>
      <c r="L699" s="0" t="n">
        <v>10</v>
      </c>
      <c r="M699" s="0" t="s">
        <v>5885</v>
      </c>
      <c r="N699" s="0" t="s">
        <v>5886</v>
      </c>
      <c r="P699" s="0" t="s">
        <v>5887</v>
      </c>
      <c r="Q699" s="2" t="n">
        <v>43178</v>
      </c>
      <c r="S699" s="0" t="n">
        <f aca="false">YEAR(Q699)</f>
        <v>2018</v>
      </c>
      <c r="T699" s="0" t="n">
        <f aca="false">MONTH(Q699)</f>
        <v>3</v>
      </c>
    </row>
    <row r="700" customFormat="false" ht="14.25" hidden="true" customHeight="false" outlineLevel="0" collapsed="false">
      <c r="A700" s="0" t="n">
        <v>699</v>
      </c>
      <c r="B700" s="1" t="s">
        <v>774</v>
      </c>
      <c r="C700" s="1" t="s">
        <v>1479</v>
      </c>
      <c r="D700" s="1" t="s">
        <v>1496</v>
      </c>
      <c r="E700" s="0" t="s">
        <v>38</v>
      </c>
      <c r="F700" s="0" t="s">
        <v>48</v>
      </c>
      <c r="G700" s="0" t="s">
        <v>2508</v>
      </c>
      <c r="J700" s="6" t="n">
        <v>0.232638888888889</v>
      </c>
      <c r="M700" s="0" t="s">
        <v>5888</v>
      </c>
      <c r="N700" s="0" t="s">
        <v>5889</v>
      </c>
      <c r="P700" s="0" t="s">
        <v>5890</v>
      </c>
      <c r="Q700" s="2" t="n">
        <v>43178</v>
      </c>
      <c r="S700" s="0" t="n">
        <f aca="false">YEAR(Q700)</f>
        <v>2018</v>
      </c>
      <c r="T700" s="0" t="n">
        <f aca="false">MONTH(Q700)</f>
        <v>3</v>
      </c>
    </row>
    <row r="701" customFormat="false" ht="14.25" hidden="true" customHeight="false" outlineLevel="0" collapsed="false">
      <c r="A701" s="0" t="n">
        <v>700</v>
      </c>
      <c r="B701" s="1" t="s">
        <v>774</v>
      </c>
      <c r="C701" s="1" t="s">
        <v>1479</v>
      </c>
      <c r="D701" s="1" t="s">
        <v>1535</v>
      </c>
      <c r="E701" s="0" t="s">
        <v>39</v>
      </c>
      <c r="F701" s="0" t="s">
        <v>49</v>
      </c>
      <c r="G701" s="0" t="s">
        <v>5891</v>
      </c>
      <c r="I701" s="6" t="n">
        <v>0.916666666666667</v>
      </c>
      <c r="J701" s="6" t="n">
        <v>0.928472222222222</v>
      </c>
      <c r="K701" s="0" t="n">
        <v>14</v>
      </c>
      <c r="M701" s="0" t="s">
        <v>5892</v>
      </c>
      <c r="N701" s="0" t="s">
        <v>5893</v>
      </c>
      <c r="P701" s="0" t="s">
        <v>3679</v>
      </c>
      <c r="Q701" s="2" t="n">
        <v>43178</v>
      </c>
      <c r="S701" s="0" t="n">
        <f aca="false">YEAR(Q701)</f>
        <v>2018</v>
      </c>
      <c r="T701" s="0" t="n">
        <f aca="false">MONTH(Q701)</f>
        <v>3</v>
      </c>
    </row>
    <row r="702" customFormat="false" ht="42.75" hidden="true" customHeight="false" outlineLevel="0" collapsed="false">
      <c r="A702" s="0" t="n">
        <v>701</v>
      </c>
      <c r="B702" s="1" t="s">
        <v>774</v>
      </c>
      <c r="C702" s="1" t="s">
        <v>1479</v>
      </c>
      <c r="D702" s="1" t="s">
        <v>1535</v>
      </c>
      <c r="E702" s="0" t="s">
        <v>39</v>
      </c>
      <c r="F702" s="0" t="s">
        <v>50</v>
      </c>
      <c r="G702" s="0" t="s">
        <v>5891</v>
      </c>
      <c r="I702" s="6" t="n">
        <v>0.916666666666667</v>
      </c>
      <c r="J702" s="6" t="n">
        <v>0.928472222222222</v>
      </c>
      <c r="K702" s="0" t="n">
        <v>11</v>
      </c>
      <c r="L702" s="0" t="n">
        <v>180</v>
      </c>
      <c r="M702" s="0" t="s">
        <v>5892</v>
      </c>
      <c r="N702" s="7" t="s">
        <v>5894</v>
      </c>
      <c r="O702" s="7"/>
      <c r="P702" s="7" t="s">
        <v>5895</v>
      </c>
      <c r="Q702" s="2" t="n">
        <v>43178</v>
      </c>
      <c r="S702" s="0" t="n">
        <f aca="false">YEAR(Q702)</f>
        <v>2018</v>
      </c>
      <c r="T702" s="0" t="n">
        <f aca="false">MONTH(Q702)</f>
        <v>3</v>
      </c>
    </row>
    <row r="703" customFormat="false" ht="14.25" hidden="true" customHeight="false" outlineLevel="0" collapsed="false">
      <c r="A703" s="0" t="n">
        <v>702</v>
      </c>
      <c r="B703" s="1" t="s">
        <v>774</v>
      </c>
      <c r="F703" s="0" t="s">
        <v>50</v>
      </c>
      <c r="G703" s="0" t="s">
        <v>5896</v>
      </c>
      <c r="I703" s="6" t="n">
        <v>0.0833333333333333</v>
      </c>
      <c r="J703" s="6" t="n">
        <v>0.114583333333333</v>
      </c>
      <c r="K703" s="0" t="n">
        <v>15</v>
      </c>
      <c r="L703" s="0" t="n">
        <v>180</v>
      </c>
      <c r="M703" s="0" t="s">
        <v>5897</v>
      </c>
      <c r="N703" s="0" t="s">
        <v>5898</v>
      </c>
      <c r="P703" s="0" t="s">
        <v>5899</v>
      </c>
      <c r="Q703" s="2" t="n">
        <v>43178</v>
      </c>
      <c r="S703" s="0" t="n">
        <f aca="false">YEAR(Q703)</f>
        <v>2018</v>
      </c>
      <c r="T703" s="0" t="n">
        <f aca="false">MONTH(Q703)</f>
        <v>3</v>
      </c>
    </row>
    <row r="704" customFormat="false" ht="42.75" hidden="true" customHeight="false" outlineLevel="0" collapsed="false">
      <c r="A704" s="0" t="n">
        <v>703</v>
      </c>
      <c r="B704" s="1" t="s">
        <v>774</v>
      </c>
      <c r="C704" s="1" t="s">
        <v>1479</v>
      </c>
      <c r="D704" s="1" t="s">
        <v>1535</v>
      </c>
      <c r="E704" s="0" t="s">
        <v>39</v>
      </c>
      <c r="F704" s="0" t="s">
        <v>50</v>
      </c>
      <c r="G704" s="0" t="s">
        <v>5900</v>
      </c>
      <c r="I704" s="6" t="n">
        <v>0.951388888888889</v>
      </c>
      <c r="J704" s="6" t="n">
        <v>0.958333333333333</v>
      </c>
      <c r="K704" s="0" t="n">
        <v>0</v>
      </c>
      <c r="L704" s="0" t="n">
        <v>30</v>
      </c>
      <c r="M704" s="0" t="s">
        <v>5901</v>
      </c>
      <c r="N704" s="0" t="s">
        <v>5902</v>
      </c>
      <c r="P704" s="7" t="s">
        <v>5903</v>
      </c>
      <c r="Q704" s="2" t="n">
        <v>43178</v>
      </c>
      <c r="S704" s="0" t="n">
        <f aca="false">YEAR(Q704)</f>
        <v>2018</v>
      </c>
      <c r="T704" s="0" t="n">
        <f aca="false">MONTH(Q704)</f>
        <v>3</v>
      </c>
    </row>
    <row r="705" customFormat="false" ht="14.25" hidden="true" customHeight="false" outlineLevel="0" collapsed="false">
      <c r="A705" s="0" t="n">
        <v>704</v>
      </c>
      <c r="B705" s="1" t="s">
        <v>774</v>
      </c>
      <c r="C705" s="1" t="s">
        <v>1503</v>
      </c>
      <c r="D705" s="1" t="s">
        <v>1535</v>
      </c>
      <c r="E705" s="0" t="s">
        <v>44</v>
      </c>
      <c r="F705" s="0" t="s">
        <v>50</v>
      </c>
      <c r="G705" s="0" t="s">
        <v>5904</v>
      </c>
      <c r="I705" s="6" t="n">
        <v>0.215277777777778</v>
      </c>
      <c r="J705" s="6" t="n">
        <v>0.222222222222222</v>
      </c>
      <c r="K705" s="0" t="n">
        <v>8</v>
      </c>
      <c r="L705" s="0" t="n">
        <v>20</v>
      </c>
      <c r="M705" s="0" t="s">
        <v>5905</v>
      </c>
      <c r="N705" s="0" t="s">
        <v>5906</v>
      </c>
      <c r="P705" s="0" t="s">
        <v>5907</v>
      </c>
      <c r="Q705" s="2" t="n">
        <v>43178</v>
      </c>
      <c r="S705" s="0" t="n">
        <f aca="false">YEAR(Q705)</f>
        <v>2018</v>
      </c>
      <c r="T705" s="0" t="n">
        <f aca="false">MONTH(Q705)</f>
        <v>3</v>
      </c>
    </row>
    <row r="706" customFormat="false" ht="14.25" hidden="true" customHeight="false" outlineLevel="0" collapsed="false">
      <c r="A706" s="0" t="n">
        <v>705</v>
      </c>
      <c r="B706" s="1" t="s">
        <v>775</v>
      </c>
      <c r="C706" s="1" t="s">
        <v>1503</v>
      </c>
      <c r="D706" s="1" t="s">
        <v>1504</v>
      </c>
      <c r="E706" s="0" t="s">
        <v>5908</v>
      </c>
      <c r="F706" s="0" t="s">
        <v>48</v>
      </c>
      <c r="G706" s="0" t="s">
        <v>5909</v>
      </c>
      <c r="I706" s="6" t="n">
        <v>0.277777777777778</v>
      </c>
      <c r="J706" s="6" t="n">
        <v>0.361111111111111</v>
      </c>
      <c r="L706" s="0" t="n">
        <v>130</v>
      </c>
      <c r="M706" s="0" t="s">
        <v>5910</v>
      </c>
      <c r="N706" s="0" t="s">
        <v>5911</v>
      </c>
      <c r="P706" s="0" t="s">
        <v>5912</v>
      </c>
      <c r="Q706" s="2" t="n">
        <v>43176</v>
      </c>
      <c r="S706" s="0" t="n">
        <f aca="false">YEAR(Q706)</f>
        <v>2018</v>
      </c>
      <c r="T706" s="0" t="n">
        <f aca="false">MONTH(Q706)</f>
        <v>3</v>
      </c>
    </row>
    <row r="707" customFormat="false" ht="42.75" hidden="true" customHeight="false" outlineLevel="0" collapsed="false">
      <c r="A707" s="0" t="n">
        <v>706</v>
      </c>
      <c r="B707" s="1" t="s">
        <v>775</v>
      </c>
      <c r="C707" s="1" t="s">
        <v>1479</v>
      </c>
      <c r="D707" s="1" t="s">
        <v>1487</v>
      </c>
      <c r="E707" s="0" t="s">
        <v>1488</v>
      </c>
      <c r="F707" s="0" t="s">
        <v>49</v>
      </c>
      <c r="G707" s="0" t="s">
        <v>5913</v>
      </c>
      <c r="I707" s="6" t="n">
        <v>0.546527777777778</v>
      </c>
      <c r="J707" s="6" t="n">
        <v>0.555555555555556</v>
      </c>
      <c r="L707" s="0" t="n">
        <v>51</v>
      </c>
      <c r="M707" s="0" t="s">
        <v>3556</v>
      </c>
      <c r="N707" s="7" t="s">
        <v>5914</v>
      </c>
      <c r="O707" s="7"/>
      <c r="P707" s="0" t="s">
        <v>5915</v>
      </c>
      <c r="Q707" s="2" t="n">
        <v>43176</v>
      </c>
      <c r="S707" s="0" t="n">
        <f aca="false">YEAR(Q707)</f>
        <v>2018</v>
      </c>
      <c r="T707" s="0" t="n">
        <f aca="false">MONTH(Q707)</f>
        <v>3</v>
      </c>
    </row>
    <row r="708" customFormat="false" ht="14.25" hidden="true" customHeight="false" outlineLevel="0" collapsed="false">
      <c r="A708" s="0" t="n">
        <v>707</v>
      </c>
      <c r="B708" s="1" t="s">
        <v>775</v>
      </c>
      <c r="C708" s="1" t="s">
        <v>1479</v>
      </c>
      <c r="D708" s="1" t="s">
        <v>1487</v>
      </c>
      <c r="E708" s="0" t="s">
        <v>1488</v>
      </c>
      <c r="F708" s="0" t="s">
        <v>49</v>
      </c>
      <c r="G708" s="0" t="s">
        <v>5916</v>
      </c>
      <c r="I708" s="6" t="n">
        <v>0.665972222222222</v>
      </c>
      <c r="J708" s="6" t="n">
        <v>0.670138888888889</v>
      </c>
      <c r="L708" s="0" t="n">
        <v>28</v>
      </c>
      <c r="M708" s="0" t="s">
        <v>5917</v>
      </c>
      <c r="N708" s="0" t="s">
        <v>5918</v>
      </c>
      <c r="P708" s="0" t="s">
        <v>5919</v>
      </c>
      <c r="Q708" s="2" t="n">
        <v>43176</v>
      </c>
      <c r="S708" s="0" t="n">
        <f aca="false">YEAR(Q708)</f>
        <v>2018</v>
      </c>
      <c r="T708" s="0" t="n">
        <f aca="false">MONTH(Q708)</f>
        <v>3</v>
      </c>
    </row>
    <row r="709" customFormat="false" ht="14.25" hidden="true" customHeight="false" outlineLevel="0" collapsed="false">
      <c r="A709" s="0" t="n">
        <v>708</v>
      </c>
      <c r="B709" s="1" t="s">
        <v>775</v>
      </c>
      <c r="C709" s="1" t="s">
        <v>1479</v>
      </c>
      <c r="D709" s="1" t="s">
        <v>1535</v>
      </c>
      <c r="E709" s="0" t="s">
        <v>39</v>
      </c>
      <c r="F709" s="0" t="s">
        <v>49</v>
      </c>
      <c r="G709" s="0" t="s">
        <v>5920</v>
      </c>
      <c r="I709" s="6" t="n">
        <v>0.6875</v>
      </c>
      <c r="J709" s="6" t="n">
        <v>0.694444444444444</v>
      </c>
      <c r="L709" s="0" t="n">
        <v>22</v>
      </c>
      <c r="M709" s="0" t="s">
        <v>5921</v>
      </c>
      <c r="N709" s="0" t="s">
        <v>5922</v>
      </c>
      <c r="P709" s="0" t="s">
        <v>5923</v>
      </c>
      <c r="Q709" s="2" t="n">
        <v>43176</v>
      </c>
      <c r="S709" s="0" t="n">
        <f aca="false">YEAR(Q709)</f>
        <v>2018</v>
      </c>
      <c r="T709" s="0" t="n">
        <f aca="false">MONTH(Q709)</f>
        <v>3</v>
      </c>
    </row>
    <row r="710" customFormat="false" ht="14.25" hidden="true" customHeight="false" outlineLevel="0" collapsed="false">
      <c r="A710" s="0" t="n">
        <v>709</v>
      </c>
      <c r="B710" s="1" t="s">
        <v>776</v>
      </c>
      <c r="C710" s="1" t="s">
        <v>1479</v>
      </c>
      <c r="D710" s="1" t="s">
        <v>1535</v>
      </c>
      <c r="E710" s="0" t="s">
        <v>39</v>
      </c>
      <c r="F710" s="0" t="s">
        <v>49</v>
      </c>
      <c r="G710" s="0" t="s">
        <v>5924</v>
      </c>
      <c r="I710" s="6" t="n">
        <v>0.684722222222222</v>
      </c>
      <c r="J710" s="6" t="n">
        <v>0.691666666666667</v>
      </c>
      <c r="K710" s="0" t="n">
        <v>0</v>
      </c>
      <c r="L710" s="0" t="n">
        <v>16</v>
      </c>
      <c r="M710" s="0" t="s">
        <v>5925</v>
      </c>
      <c r="N710" s="0" t="s">
        <v>5926</v>
      </c>
      <c r="P710" s="0" t="s">
        <v>5927</v>
      </c>
      <c r="Q710" s="2" t="n">
        <v>43175</v>
      </c>
      <c r="S710" s="0" t="n">
        <f aca="false">YEAR(Q710)</f>
        <v>2018</v>
      </c>
      <c r="T710" s="0" t="n">
        <f aca="false">MONTH(Q710)</f>
        <v>3</v>
      </c>
    </row>
    <row r="711" customFormat="false" ht="42.75" hidden="true" customHeight="false" outlineLevel="0" collapsed="false">
      <c r="A711" s="0" t="n">
        <v>710</v>
      </c>
      <c r="B711" s="1" t="s">
        <v>776</v>
      </c>
      <c r="C711" s="1" t="s">
        <v>1479</v>
      </c>
      <c r="D711" s="1" t="s">
        <v>1480</v>
      </c>
      <c r="E711" s="0" t="s">
        <v>43</v>
      </c>
      <c r="F711" s="0" t="s">
        <v>50</v>
      </c>
      <c r="G711" s="0" t="s">
        <v>5928</v>
      </c>
      <c r="I711" s="6" t="n">
        <v>0.992361111111111</v>
      </c>
      <c r="J711" s="6" t="n">
        <v>0.00694444444444444</v>
      </c>
      <c r="L711" s="0" t="n">
        <v>71</v>
      </c>
      <c r="M711" s="0" t="s">
        <v>5929</v>
      </c>
      <c r="N711" s="0" t="s">
        <v>5930</v>
      </c>
      <c r="P711" s="7" t="s">
        <v>5931</v>
      </c>
      <c r="Q711" s="2" t="n">
        <v>43175</v>
      </c>
      <c r="S711" s="0" t="n">
        <f aca="false">YEAR(Q711)</f>
        <v>2018</v>
      </c>
      <c r="T711" s="0" t="n">
        <f aca="false">MONTH(Q711)</f>
        <v>3</v>
      </c>
    </row>
    <row r="712" customFormat="false" ht="14.25" hidden="true" customHeight="false" outlineLevel="0" collapsed="false">
      <c r="A712" s="0" t="n">
        <v>711</v>
      </c>
      <c r="B712" s="1" t="s">
        <v>779</v>
      </c>
      <c r="C712" s="1" t="s">
        <v>1479</v>
      </c>
      <c r="D712" s="1" t="s">
        <v>1496</v>
      </c>
      <c r="E712" s="0" t="s">
        <v>38</v>
      </c>
      <c r="F712" s="0" t="s">
        <v>48</v>
      </c>
      <c r="G712" s="0" t="s">
        <v>5932</v>
      </c>
      <c r="I712" s="6" t="n">
        <v>0.465277777777778</v>
      </c>
      <c r="J712" s="6" t="n">
        <v>0.479166666666667</v>
      </c>
      <c r="K712" s="0" t="n">
        <v>0</v>
      </c>
      <c r="L712" s="0" t="n">
        <v>240</v>
      </c>
      <c r="M712" s="0" t="s">
        <v>5933</v>
      </c>
      <c r="N712" s="0" t="s">
        <v>4290</v>
      </c>
      <c r="P712" s="0" t="s">
        <v>5934</v>
      </c>
      <c r="Q712" s="2" t="n">
        <v>43174</v>
      </c>
      <c r="S712" s="0" t="n">
        <f aca="false">YEAR(Q712)</f>
        <v>2018</v>
      </c>
      <c r="T712" s="0" t="n">
        <f aca="false">MONTH(Q712)</f>
        <v>3</v>
      </c>
    </row>
    <row r="713" customFormat="false" ht="14.25" hidden="true" customHeight="false" outlineLevel="0" collapsed="false">
      <c r="A713" s="0" t="n">
        <v>712</v>
      </c>
      <c r="B713" s="1" t="s">
        <v>779</v>
      </c>
      <c r="C713" s="1" t="s">
        <v>1503</v>
      </c>
      <c r="D713" s="1" t="s">
        <v>1504</v>
      </c>
      <c r="E713" s="0" t="s">
        <v>5581</v>
      </c>
      <c r="F713" s="0" t="s">
        <v>48</v>
      </c>
      <c r="G713" s="0" t="s">
        <v>5935</v>
      </c>
      <c r="I713" s="6" t="n">
        <v>0.458333333333333</v>
      </c>
      <c r="J713" s="6" t="n">
        <v>0.491666666666667</v>
      </c>
      <c r="K713" s="0" t="n">
        <v>0</v>
      </c>
      <c r="M713" s="0" t="s">
        <v>5936</v>
      </c>
      <c r="N713" s="0" t="s">
        <v>5937</v>
      </c>
      <c r="P713" s="0" t="s">
        <v>5938</v>
      </c>
      <c r="Q713" s="2" t="n">
        <v>43174</v>
      </c>
      <c r="S713" s="0" t="n">
        <f aca="false">YEAR(Q713)</f>
        <v>2018</v>
      </c>
      <c r="T713" s="0" t="n">
        <f aca="false">MONTH(Q713)</f>
        <v>3</v>
      </c>
    </row>
    <row r="714" customFormat="false" ht="14.25" hidden="true" customHeight="false" outlineLevel="0" collapsed="false">
      <c r="A714" s="0" t="n">
        <v>713</v>
      </c>
      <c r="B714" s="1" t="s">
        <v>779</v>
      </c>
      <c r="C714" s="1" t="s">
        <v>1479</v>
      </c>
      <c r="D714" s="1" t="s">
        <v>1535</v>
      </c>
      <c r="E714" s="0" t="s">
        <v>39</v>
      </c>
      <c r="F714" s="0" t="s">
        <v>48</v>
      </c>
      <c r="G714" s="0" t="s">
        <v>5939</v>
      </c>
      <c r="I714" s="6" t="n">
        <v>0.561805555555556</v>
      </c>
      <c r="J714" s="6" t="n">
        <v>0.569444444444444</v>
      </c>
      <c r="K714" s="0" t="n">
        <v>23</v>
      </c>
      <c r="L714" s="0" t="n">
        <v>30</v>
      </c>
      <c r="M714" s="0" t="s">
        <v>5940</v>
      </c>
      <c r="N714" s="0" t="s">
        <v>5941</v>
      </c>
      <c r="P714" s="0" t="s">
        <v>5942</v>
      </c>
      <c r="Q714" s="2" t="n">
        <v>43174</v>
      </c>
      <c r="S714" s="0" t="n">
        <f aca="false">YEAR(Q714)</f>
        <v>2018</v>
      </c>
      <c r="T714" s="0" t="n">
        <f aca="false">MONTH(Q714)</f>
        <v>3</v>
      </c>
    </row>
    <row r="715" customFormat="false" ht="14.25" hidden="true" customHeight="false" outlineLevel="0" collapsed="false">
      <c r="A715" s="0" t="n">
        <v>714</v>
      </c>
      <c r="B715" s="1" t="s">
        <v>779</v>
      </c>
      <c r="C715" s="1" t="s">
        <v>1479</v>
      </c>
      <c r="D715" s="1" t="s">
        <v>1496</v>
      </c>
      <c r="E715" s="0" t="s">
        <v>38</v>
      </c>
      <c r="F715" s="0" t="s">
        <v>49</v>
      </c>
      <c r="G715" s="0" t="s">
        <v>5943</v>
      </c>
      <c r="I715" s="6" t="n">
        <v>0.631944444444444</v>
      </c>
      <c r="J715" s="6" t="n">
        <v>0.638888888888889</v>
      </c>
      <c r="K715" s="0" t="n">
        <v>50</v>
      </c>
      <c r="L715" s="0" t="n">
        <v>130</v>
      </c>
      <c r="M715" s="0" t="s">
        <v>5944</v>
      </c>
      <c r="N715" s="0" t="s">
        <v>5945</v>
      </c>
      <c r="P715" s="0" t="s">
        <v>5946</v>
      </c>
      <c r="Q715" s="2" t="n">
        <v>43174</v>
      </c>
      <c r="S715" s="0" t="n">
        <f aca="false">YEAR(Q715)</f>
        <v>2018</v>
      </c>
      <c r="T715" s="0" t="n">
        <f aca="false">MONTH(Q715)</f>
        <v>3</v>
      </c>
    </row>
    <row r="716" customFormat="false" ht="14.25" hidden="true" customHeight="false" outlineLevel="0" collapsed="false">
      <c r="A716" s="0" t="n">
        <v>715</v>
      </c>
      <c r="B716" s="1" t="s">
        <v>779</v>
      </c>
      <c r="C716" s="1" t="s">
        <v>1479</v>
      </c>
      <c r="D716" s="1" t="s">
        <v>1535</v>
      </c>
      <c r="E716" s="0" t="s">
        <v>39</v>
      </c>
      <c r="F716" s="0" t="s">
        <v>49</v>
      </c>
      <c r="G716" s="0" t="s">
        <v>5947</v>
      </c>
      <c r="I716" s="6" t="n">
        <v>0.644444444444444</v>
      </c>
      <c r="J716" s="6" t="n">
        <v>0.647916666666667</v>
      </c>
      <c r="K716" s="0" t="n">
        <v>0</v>
      </c>
      <c r="L716" s="0" t="n">
        <v>30</v>
      </c>
      <c r="M716" s="0" t="s">
        <v>5948</v>
      </c>
      <c r="N716" s="0" t="s">
        <v>5949</v>
      </c>
      <c r="P716" s="0" t="s">
        <v>5950</v>
      </c>
      <c r="Q716" s="2" t="n">
        <v>43174</v>
      </c>
      <c r="S716" s="0" t="n">
        <f aca="false">YEAR(Q716)</f>
        <v>2018</v>
      </c>
      <c r="T716" s="0" t="n">
        <f aca="false">MONTH(Q716)</f>
        <v>3</v>
      </c>
    </row>
    <row r="717" customFormat="false" ht="42.75" hidden="true" customHeight="false" outlineLevel="0" collapsed="false">
      <c r="A717" s="0" t="n">
        <v>716</v>
      </c>
      <c r="B717" s="1" t="s">
        <v>779</v>
      </c>
      <c r="C717" s="1" t="s">
        <v>1479</v>
      </c>
      <c r="D717" s="1" t="s">
        <v>1535</v>
      </c>
      <c r="E717" s="0" t="s">
        <v>39</v>
      </c>
      <c r="F717" s="0" t="s">
        <v>50</v>
      </c>
      <c r="G717" s="0" t="s">
        <v>4489</v>
      </c>
      <c r="I717" s="6" t="n">
        <v>0.0104166666666667</v>
      </c>
      <c r="J717" s="6" t="n">
        <v>0.0277777777777778</v>
      </c>
      <c r="K717" s="0" t="n">
        <v>59</v>
      </c>
      <c r="L717" s="0" t="n">
        <v>165</v>
      </c>
      <c r="M717" s="0" t="s">
        <v>5951</v>
      </c>
      <c r="N717" s="0" t="s">
        <v>5952</v>
      </c>
      <c r="P717" s="7" t="s">
        <v>5953</v>
      </c>
      <c r="Q717" s="2" t="n">
        <v>43174</v>
      </c>
      <c r="S717" s="0" t="n">
        <f aca="false">YEAR(Q717)</f>
        <v>2018</v>
      </c>
      <c r="T717" s="0" t="n">
        <f aca="false">MONTH(Q717)</f>
        <v>3</v>
      </c>
    </row>
    <row r="718" customFormat="false" ht="14.25" hidden="true" customHeight="false" outlineLevel="0" collapsed="false">
      <c r="A718" s="0" t="n">
        <v>717</v>
      </c>
      <c r="B718" s="1" t="s">
        <v>780</v>
      </c>
      <c r="C718" s="1" t="s">
        <v>1503</v>
      </c>
      <c r="D718" s="1" t="s">
        <v>1504</v>
      </c>
      <c r="E718" s="0" t="s">
        <v>45</v>
      </c>
      <c r="F718" s="0" t="s">
        <v>49</v>
      </c>
      <c r="G718" s="0" t="s">
        <v>5954</v>
      </c>
      <c r="I718" s="6" t="n">
        <v>0.611111111111111</v>
      </c>
      <c r="J718" s="6" t="n">
        <v>0.759722222222222</v>
      </c>
      <c r="K718" s="0" t="n">
        <v>0</v>
      </c>
      <c r="L718" s="0" t="n">
        <v>360</v>
      </c>
      <c r="M718" s="0" t="s">
        <v>5955</v>
      </c>
      <c r="N718" s="0" t="s">
        <v>5956</v>
      </c>
      <c r="P718" s="0" t="s">
        <v>5957</v>
      </c>
      <c r="Q718" s="2" t="n">
        <v>43179</v>
      </c>
      <c r="S718" s="0" t="n">
        <f aca="false">YEAR(Q718)</f>
        <v>2018</v>
      </c>
      <c r="T718" s="0" t="n">
        <f aca="false">MONTH(Q718)</f>
        <v>3</v>
      </c>
    </row>
    <row r="719" customFormat="false" ht="42.75" hidden="true" customHeight="false" outlineLevel="0" collapsed="false">
      <c r="A719" s="0" t="n">
        <v>718</v>
      </c>
      <c r="B719" s="1" t="s">
        <v>780</v>
      </c>
      <c r="C719" s="1" t="s">
        <v>1479</v>
      </c>
      <c r="D719" s="1" t="s">
        <v>1487</v>
      </c>
      <c r="E719" s="0" t="s">
        <v>1488</v>
      </c>
      <c r="F719" s="0" t="s">
        <v>50</v>
      </c>
      <c r="G719" s="0" t="s">
        <v>5958</v>
      </c>
      <c r="I719" s="6" t="n">
        <v>0.0208333333333333</v>
      </c>
      <c r="J719" s="6" t="n">
        <v>0.0416666666666667</v>
      </c>
      <c r="L719" s="0" t="n">
        <v>330</v>
      </c>
      <c r="M719" s="0" t="s">
        <v>5959</v>
      </c>
      <c r="N719" s="7" t="s">
        <v>5960</v>
      </c>
      <c r="O719" s="7"/>
      <c r="P719" s="0" t="s">
        <v>5961</v>
      </c>
      <c r="Q719" s="2" t="n">
        <v>43179</v>
      </c>
      <c r="S719" s="0" t="n">
        <f aca="false">YEAR(Q719)</f>
        <v>2018</v>
      </c>
      <c r="T719" s="0" t="n">
        <f aca="false">MONTH(Q719)</f>
        <v>3</v>
      </c>
    </row>
    <row r="720" customFormat="false" ht="14.25" hidden="true" customHeight="false" outlineLevel="0" collapsed="false">
      <c r="A720" s="0" t="n">
        <v>719</v>
      </c>
      <c r="B720" s="1" t="s">
        <v>781</v>
      </c>
      <c r="C720" s="1" t="s">
        <v>1503</v>
      </c>
      <c r="D720" s="1" t="s">
        <v>1504</v>
      </c>
      <c r="E720" s="0" t="s">
        <v>45</v>
      </c>
      <c r="F720" s="0" t="s">
        <v>48</v>
      </c>
      <c r="G720" s="0" t="s">
        <v>5962</v>
      </c>
      <c r="J720" s="6" t="n">
        <v>0.295138888888889</v>
      </c>
      <c r="L720" s="0" t="n">
        <v>380</v>
      </c>
      <c r="M720" s="0" t="s">
        <v>5963</v>
      </c>
      <c r="N720" s="0" t="s">
        <v>5964</v>
      </c>
      <c r="P720" s="0" t="s">
        <v>5965</v>
      </c>
      <c r="Q720" s="2" t="n">
        <v>43180</v>
      </c>
      <c r="S720" s="0" t="n">
        <f aca="false">YEAR(Q720)</f>
        <v>2018</v>
      </c>
      <c r="T720" s="0" t="n">
        <f aca="false">MONTH(Q720)</f>
        <v>3</v>
      </c>
    </row>
    <row r="721" customFormat="false" ht="42.75" hidden="true" customHeight="false" outlineLevel="0" collapsed="false">
      <c r="A721" s="0" t="n">
        <v>720</v>
      </c>
      <c r="B721" s="1" t="s">
        <v>781</v>
      </c>
      <c r="C721" s="1" t="s">
        <v>1503</v>
      </c>
      <c r="D721" s="1" t="s">
        <v>1504</v>
      </c>
      <c r="E721" s="0" t="s">
        <v>45</v>
      </c>
      <c r="F721" s="0" t="s">
        <v>49</v>
      </c>
      <c r="G721" s="0" t="s">
        <v>5966</v>
      </c>
      <c r="I721" s="6" t="n">
        <v>0.770833333333333</v>
      </c>
      <c r="J721" s="6" t="n">
        <v>0.861111111111111</v>
      </c>
      <c r="K721" s="0" t="n">
        <v>0</v>
      </c>
      <c r="L721" s="0" t="n">
        <v>270</v>
      </c>
      <c r="M721" s="0" t="s">
        <v>5967</v>
      </c>
      <c r="N721" s="7" t="s">
        <v>5968</v>
      </c>
      <c r="O721" s="7"/>
      <c r="P721" s="0" t="s">
        <v>5969</v>
      </c>
      <c r="Q721" s="2" t="n">
        <v>43180</v>
      </c>
      <c r="S721" s="0" t="n">
        <f aca="false">YEAR(Q721)</f>
        <v>2018</v>
      </c>
      <c r="T721" s="0" t="n">
        <f aca="false">MONTH(Q721)</f>
        <v>3</v>
      </c>
    </row>
    <row r="722" customFormat="false" ht="57" hidden="true" customHeight="false" outlineLevel="0" collapsed="false">
      <c r="A722" s="0" t="n">
        <v>721</v>
      </c>
      <c r="B722" s="1" t="s">
        <v>781</v>
      </c>
      <c r="C722" s="1" t="s">
        <v>1479</v>
      </c>
      <c r="D722" s="1" t="s">
        <v>1487</v>
      </c>
      <c r="E722" s="0" t="s">
        <v>1488</v>
      </c>
      <c r="F722" s="0" t="s">
        <v>49</v>
      </c>
      <c r="G722" s="0" t="s">
        <v>5970</v>
      </c>
      <c r="I722" s="6" t="n">
        <v>0.890972222222222</v>
      </c>
      <c r="J722" s="6" t="n">
        <v>0.907638888888889</v>
      </c>
      <c r="L722" s="0" t="n">
        <v>28</v>
      </c>
      <c r="M722" s="0" t="s">
        <v>5971</v>
      </c>
      <c r="N722" s="0" t="s">
        <v>5972</v>
      </c>
      <c r="P722" s="7" t="s">
        <v>5973</v>
      </c>
      <c r="Q722" s="2" t="n">
        <v>43180</v>
      </c>
      <c r="S722" s="0" t="n">
        <f aca="false">YEAR(Q722)</f>
        <v>2018</v>
      </c>
      <c r="T722" s="0" t="n">
        <f aca="false">MONTH(Q722)</f>
        <v>3</v>
      </c>
    </row>
    <row r="723" customFormat="false" ht="14.25" hidden="true" customHeight="false" outlineLevel="0" collapsed="false">
      <c r="A723" s="0" t="n">
        <v>722</v>
      </c>
      <c r="B723" s="1" t="s">
        <v>781</v>
      </c>
      <c r="C723" s="1" t="s">
        <v>1479</v>
      </c>
      <c r="D723" s="1" t="s">
        <v>1487</v>
      </c>
      <c r="E723" s="4" t="s">
        <v>1488</v>
      </c>
      <c r="F723" s="0" t="s">
        <v>50</v>
      </c>
      <c r="G723" s="0" t="s">
        <v>5974</v>
      </c>
      <c r="I723" s="6" t="n">
        <v>0.0173611111111111</v>
      </c>
      <c r="J723" s="6" t="n">
        <v>0.0347222222222222</v>
      </c>
      <c r="K723" s="0" t="n">
        <v>20</v>
      </c>
      <c r="L723" s="0" t="n">
        <v>28</v>
      </c>
      <c r="M723" s="0" t="s">
        <v>5975</v>
      </c>
      <c r="N723" s="0" t="s">
        <v>5976</v>
      </c>
      <c r="P723" s="0" t="s">
        <v>5977</v>
      </c>
      <c r="Q723" s="2" t="n">
        <v>43180</v>
      </c>
      <c r="S723" s="0" t="n">
        <f aca="false">YEAR(Q723)</f>
        <v>2018</v>
      </c>
      <c r="T723" s="0" t="n">
        <f aca="false">MONTH(Q723)</f>
        <v>3</v>
      </c>
    </row>
    <row r="724" customFormat="false" ht="14.25" hidden="true" customHeight="false" outlineLevel="0" collapsed="false">
      <c r="A724" s="0" t="n">
        <v>723</v>
      </c>
      <c r="B724" s="1" t="s">
        <v>782</v>
      </c>
      <c r="C724" s="1" t="s">
        <v>1503</v>
      </c>
      <c r="D724" s="1" t="s">
        <v>1535</v>
      </c>
      <c r="E724" s="0" t="s">
        <v>44</v>
      </c>
      <c r="F724" s="0" t="s">
        <v>48</v>
      </c>
      <c r="G724" s="0" t="s">
        <v>5978</v>
      </c>
      <c r="J724" s="6" t="n">
        <v>0.295138888888889</v>
      </c>
      <c r="M724" s="0" t="s">
        <v>5979</v>
      </c>
      <c r="N724" s="0" t="s">
        <v>5980</v>
      </c>
      <c r="P724" s="0" t="s">
        <v>5981</v>
      </c>
      <c r="Q724" s="2" t="n">
        <v>43181</v>
      </c>
      <c r="S724" s="0" t="n">
        <f aca="false">YEAR(Q724)</f>
        <v>2018</v>
      </c>
      <c r="T724" s="0" t="n">
        <f aca="false">MONTH(Q724)</f>
        <v>3</v>
      </c>
    </row>
    <row r="725" customFormat="false" ht="14.25" hidden="true" customHeight="false" outlineLevel="0" collapsed="false">
      <c r="A725" s="0" t="n">
        <v>724</v>
      </c>
      <c r="B725" s="1" t="s">
        <v>782</v>
      </c>
      <c r="C725" s="1" t="s">
        <v>1503</v>
      </c>
      <c r="D725" s="1" t="s">
        <v>1535</v>
      </c>
      <c r="E725" s="0" t="s">
        <v>44</v>
      </c>
      <c r="F725" s="0" t="s">
        <v>48</v>
      </c>
      <c r="G725" s="0" t="s">
        <v>5982</v>
      </c>
      <c r="J725" s="6" t="n">
        <v>0.361111111111111</v>
      </c>
      <c r="M725" s="0" t="s">
        <v>5983</v>
      </c>
      <c r="N725" s="0" t="s">
        <v>5984</v>
      </c>
      <c r="P725" s="0" t="s">
        <v>5985</v>
      </c>
      <c r="Q725" s="2" t="n">
        <v>43181</v>
      </c>
      <c r="S725" s="0" t="n">
        <f aca="false">YEAR(Q725)</f>
        <v>2018</v>
      </c>
      <c r="T725" s="0" t="n">
        <f aca="false">MONTH(Q725)</f>
        <v>3</v>
      </c>
    </row>
    <row r="726" customFormat="false" ht="14.25" hidden="true" customHeight="false" outlineLevel="0" collapsed="false">
      <c r="A726" s="0" t="n">
        <v>725</v>
      </c>
      <c r="B726" s="1" t="s">
        <v>782</v>
      </c>
      <c r="C726" s="1" t="s">
        <v>1479</v>
      </c>
      <c r="D726" s="1" t="s">
        <v>1487</v>
      </c>
      <c r="E726" s="0" t="s">
        <v>1488</v>
      </c>
      <c r="F726" s="0" t="s">
        <v>48</v>
      </c>
      <c r="G726" s="0" t="s">
        <v>5986</v>
      </c>
      <c r="I726" s="6" t="n">
        <v>0.261805555555556</v>
      </c>
      <c r="J726" s="6" t="n">
        <v>0.272222222222222</v>
      </c>
      <c r="L726" s="0" t="n">
        <v>22</v>
      </c>
      <c r="M726" s="0" t="s">
        <v>5987</v>
      </c>
      <c r="N726" s="0" t="s">
        <v>5988</v>
      </c>
      <c r="P726" s="0" t="s">
        <v>5989</v>
      </c>
      <c r="Q726" s="2" t="n">
        <v>43181</v>
      </c>
      <c r="S726" s="0" t="n">
        <f aca="false">YEAR(Q726)</f>
        <v>2018</v>
      </c>
      <c r="T726" s="0" t="n">
        <f aca="false">MONTH(Q726)</f>
        <v>3</v>
      </c>
    </row>
    <row r="727" customFormat="false" ht="14.25" hidden="true" customHeight="false" outlineLevel="0" collapsed="false">
      <c r="A727" s="0" t="n">
        <v>726</v>
      </c>
      <c r="B727" s="1" t="s">
        <v>782</v>
      </c>
      <c r="C727" s="1" t="s">
        <v>1495</v>
      </c>
      <c r="D727" s="1" t="s">
        <v>1496</v>
      </c>
      <c r="E727" s="0" t="s">
        <v>41</v>
      </c>
      <c r="F727" s="0" t="s">
        <v>48</v>
      </c>
      <c r="G727" s="0" t="s">
        <v>5990</v>
      </c>
      <c r="I727" s="6" t="n">
        <v>0.379861111111111</v>
      </c>
      <c r="J727" s="6" t="n">
        <v>0.388888888888889</v>
      </c>
      <c r="L727" s="0" t="n">
        <v>60</v>
      </c>
      <c r="M727" s="0" t="s">
        <v>5991</v>
      </c>
      <c r="N727" s="0" t="s">
        <v>5992</v>
      </c>
      <c r="P727" s="0" t="s">
        <v>5993</v>
      </c>
      <c r="Q727" s="2" t="n">
        <v>43181</v>
      </c>
      <c r="S727" s="0" t="n">
        <f aca="false">YEAR(Q727)</f>
        <v>2018</v>
      </c>
      <c r="T727" s="0" t="n">
        <f aca="false">MONTH(Q727)</f>
        <v>3</v>
      </c>
    </row>
    <row r="728" customFormat="false" ht="14.25" hidden="true" customHeight="false" outlineLevel="0" collapsed="false">
      <c r="A728" s="0" t="n">
        <v>727</v>
      </c>
      <c r="B728" s="1" t="s">
        <v>783</v>
      </c>
      <c r="C728" s="1" t="s">
        <v>1479</v>
      </c>
      <c r="D728" s="1" t="s">
        <v>1535</v>
      </c>
      <c r="E728" s="0" t="s">
        <v>39</v>
      </c>
      <c r="F728" s="0" t="s">
        <v>48</v>
      </c>
      <c r="G728" s="0" t="s">
        <v>3583</v>
      </c>
      <c r="I728" s="6" t="n">
        <v>0.284722222222222</v>
      </c>
      <c r="J728" s="6" t="n">
        <v>0.386111111111111</v>
      </c>
      <c r="K728" s="0" t="n">
        <v>1</v>
      </c>
      <c r="L728" s="0" t="n">
        <v>15</v>
      </c>
      <c r="M728" s="0" t="s">
        <v>5994</v>
      </c>
      <c r="N728" s="0" t="s">
        <v>5995</v>
      </c>
      <c r="P728" s="0" t="s">
        <v>5996</v>
      </c>
      <c r="Q728" s="2" t="n">
        <v>43182</v>
      </c>
      <c r="S728" s="0" t="n">
        <f aca="false">YEAR(Q728)</f>
        <v>2018</v>
      </c>
      <c r="T728" s="0" t="n">
        <f aca="false">MONTH(Q728)</f>
        <v>3</v>
      </c>
    </row>
    <row r="729" customFormat="false" ht="14.25" hidden="true" customHeight="false" outlineLevel="0" collapsed="false">
      <c r="A729" s="0" t="n">
        <v>728</v>
      </c>
      <c r="B729" s="1" t="s">
        <v>783</v>
      </c>
      <c r="C729" s="1" t="s">
        <v>1479</v>
      </c>
      <c r="D729" s="1" t="s">
        <v>1496</v>
      </c>
      <c r="E729" s="0" t="s">
        <v>38</v>
      </c>
      <c r="F729" s="0" t="s">
        <v>49</v>
      </c>
      <c r="G729" s="0" t="s">
        <v>5997</v>
      </c>
      <c r="I729" s="6" t="n">
        <v>0.663194444444444</v>
      </c>
      <c r="J729" s="6" t="n">
        <v>0.668055555555556</v>
      </c>
      <c r="K729" s="0" t="n">
        <v>0</v>
      </c>
      <c r="L729" s="0" t="n">
        <v>11</v>
      </c>
      <c r="M729" s="0" t="s">
        <v>5998</v>
      </c>
      <c r="N729" s="0" t="s">
        <v>5999</v>
      </c>
      <c r="P729" s="0" t="s">
        <v>6000</v>
      </c>
      <c r="Q729" s="2" t="n">
        <v>43182</v>
      </c>
      <c r="S729" s="0" t="n">
        <f aca="false">YEAR(Q729)</f>
        <v>2018</v>
      </c>
      <c r="T729" s="0" t="n">
        <f aca="false">MONTH(Q729)</f>
        <v>3</v>
      </c>
    </row>
    <row r="730" customFormat="false" ht="14.25" hidden="true" customHeight="false" outlineLevel="0" collapsed="false">
      <c r="A730" s="0" t="n">
        <v>729</v>
      </c>
      <c r="B730" s="1" t="s">
        <v>783</v>
      </c>
      <c r="C730" s="1" t="s">
        <v>1479</v>
      </c>
      <c r="D730" s="1" t="s">
        <v>1487</v>
      </c>
      <c r="E730" s="0" t="s">
        <v>1488</v>
      </c>
      <c r="F730" s="0" t="s">
        <v>50</v>
      </c>
      <c r="G730" s="0" t="s">
        <v>6001</v>
      </c>
      <c r="I730" s="6" t="n">
        <v>0.965277777777778</v>
      </c>
      <c r="J730" s="6" t="n">
        <v>0.979166666666667</v>
      </c>
      <c r="K730" s="0" t="n">
        <v>0</v>
      </c>
      <c r="L730" s="0" t="n">
        <v>35</v>
      </c>
      <c r="M730" s="0" t="s">
        <v>6002</v>
      </c>
      <c r="N730" s="0" t="s">
        <v>6003</v>
      </c>
      <c r="P730" s="0" t="s">
        <v>6004</v>
      </c>
      <c r="Q730" s="2" t="n">
        <v>43182</v>
      </c>
      <c r="S730" s="0" t="n">
        <f aca="false">YEAR(Q730)</f>
        <v>2018</v>
      </c>
      <c r="T730" s="0" t="n">
        <f aca="false">MONTH(Q730)</f>
        <v>3</v>
      </c>
    </row>
    <row r="731" customFormat="false" ht="14.25" hidden="true" customHeight="false" outlineLevel="0" collapsed="false">
      <c r="A731" s="0" t="n">
        <v>730</v>
      </c>
      <c r="B731" s="1" t="s">
        <v>783</v>
      </c>
      <c r="C731" s="1" t="s">
        <v>1479</v>
      </c>
      <c r="D731" s="1" t="s">
        <v>1535</v>
      </c>
      <c r="E731" s="0" t="s">
        <v>39</v>
      </c>
      <c r="F731" s="0" t="s">
        <v>50</v>
      </c>
      <c r="G731" s="0" t="s">
        <v>6004</v>
      </c>
      <c r="I731" s="6" t="n">
        <v>0.125</v>
      </c>
      <c r="J731" s="6" t="n">
        <v>0.131944444444444</v>
      </c>
      <c r="K731" s="0" t="n">
        <v>0</v>
      </c>
      <c r="M731" s="0" t="s">
        <v>6005</v>
      </c>
      <c r="N731" s="0" t="s">
        <v>6006</v>
      </c>
      <c r="P731" s="0" t="s">
        <v>6007</v>
      </c>
      <c r="Q731" s="2" t="n">
        <v>43182</v>
      </c>
      <c r="S731" s="0" t="n">
        <f aca="false">YEAR(Q731)</f>
        <v>2018</v>
      </c>
      <c r="T731" s="0" t="n">
        <f aca="false">MONTH(Q731)</f>
        <v>3</v>
      </c>
    </row>
    <row r="732" customFormat="false" ht="14.25" hidden="true" customHeight="false" outlineLevel="0" collapsed="false">
      <c r="A732" s="0" t="n">
        <v>731</v>
      </c>
      <c r="B732" s="1" t="s">
        <v>784</v>
      </c>
      <c r="C732" s="1" t="s">
        <v>1479</v>
      </c>
      <c r="D732" s="1" t="s">
        <v>1535</v>
      </c>
      <c r="E732" s="0" t="s">
        <v>39</v>
      </c>
      <c r="F732" s="0" t="s">
        <v>48</v>
      </c>
      <c r="G732" s="0" t="s">
        <v>6008</v>
      </c>
      <c r="I732" s="6" t="n">
        <v>0.125</v>
      </c>
      <c r="J732" s="6" t="n">
        <v>0.131944444444444</v>
      </c>
      <c r="M732" s="0" t="s">
        <v>6005</v>
      </c>
      <c r="N732" s="0" t="s">
        <v>6009</v>
      </c>
      <c r="P732" s="0" t="s">
        <v>6010</v>
      </c>
      <c r="Q732" s="2" t="n">
        <v>43183</v>
      </c>
      <c r="S732" s="0" t="n">
        <f aca="false">YEAR(Q732)</f>
        <v>2018</v>
      </c>
      <c r="T732" s="0" t="n">
        <f aca="false">MONTH(Q732)</f>
        <v>3</v>
      </c>
    </row>
    <row r="733" customFormat="false" ht="14.25" hidden="true" customHeight="false" outlineLevel="0" collapsed="false">
      <c r="A733" s="0" t="n">
        <v>732</v>
      </c>
      <c r="B733" s="1" t="s">
        <v>784</v>
      </c>
      <c r="C733" s="1" t="s">
        <v>1479</v>
      </c>
      <c r="D733" s="1" t="s">
        <v>1535</v>
      </c>
      <c r="E733" s="0" t="s">
        <v>39</v>
      </c>
      <c r="F733" s="0" t="s">
        <v>48</v>
      </c>
      <c r="G733" s="0" t="s">
        <v>6011</v>
      </c>
      <c r="M733" s="0" t="s">
        <v>6012</v>
      </c>
      <c r="N733" s="0" t="s">
        <v>6013</v>
      </c>
      <c r="P733" s="0" t="s">
        <v>6014</v>
      </c>
      <c r="Q733" s="2" t="n">
        <v>43183</v>
      </c>
      <c r="S733" s="0" t="n">
        <f aca="false">YEAR(Q733)</f>
        <v>2018</v>
      </c>
      <c r="T733" s="0" t="n">
        <f aca="false">MONTH(Q733)</f>
        <v>3</v>
      </c>
    </row>
    <row r="734" customFormat="false" ht="14.25" hidden="true" customHeight="false" outlineLevel="0" collapsed="false">
      <c r="A734" s="0" t="n">
        <v>733</v>
      </c>
      <c r="B734" s="1" t="s">
        <v>784</v>
      </c>
      <c r="C734" s="1" t="s">
        <v>1479</v>
      </c>
      <c r="D734" s="1" t="s">
        <v>1487</v>
      </c>
      <c r="E734" s="0" t="s">
        <v>1488</v>
      </c>
      <c r="F734" s="0" t="s">
        <v>48</v>
      </c>
      <c r="G734" s="0" t="s">
        <v>6015</v>
      </c>
      <c r="M734" s="0" t="s">
        <v>6016</v>
      </c>
      <c r="N734" s="0" t="s">
        <v>6017</v>
      </c>
      <c r="P734" s="0" t="s">
        <v>6018</v>
      </c>
      <c r="Q734" s="2" t="n">
        <v>43183</v>
      </c>
      <c r="S734" s="0" t="n">
        <f aca="false">YEAR(Q734)</f>
        <v>2018</v>
      </c>
      <c r="T734" s="0" t="n">
        <f aca="false">MONTH(Q734)</f>
        <v>3</v>
      </c>
    </row>
    <row r="735" customFormat="false" ht="14.25" hidden="true" customHeight="false" outlineLevel="0" collapsed="false">
      <c r="A735" s="0" t="n">
        <v>734</v>
      </c>
      <c r="B735" s="1" t="s">
        <v>784</v>
      </c>
      <c r="C735" s="1" t="s">
        <v>1479</v>
      </c>
      <c r="D735" s="1" t="s">
        <v>1535</v>
      </c>
      <c r="E735" s="0" t="s">
        <v>39</v>
      </c>
      <c r="F735" s="0" t="s">
        <v>48</v>
      </c>
      <c r="G735" s="0" t="s">
        <v>6019</v>
      </c>
      <c r="M735" s="0" t="s">
        <v>6016</v>
      </c>
      <c r="N735" s="0" t="s">
        <v>6017</v>
      </c>
      <c r="P735" s="0" t="s">
        <v>6020</v>
      </c>
      <c r="Q735" s="2" t="n">
        <v>43183</v>
      </c>
      <c r="S735" s="0" t="n">
        <f aca="false">YEAR(Q735)</f>
        <v>2018</v>
      </c>
      <c r="T735" s="0" t="n">
        <f aca="false">MONTH(Q735)</f>
        <v>3</v>
      </c>
    </row>
    <row r="736" customFormat="false" ht="14.25" hidden="true" customHeight="false" outlineLevel="0" collapsed="false">
      <c r="A736" s="0" t="n">
        <v>735</v>
      </c>
      <c r="B736" s="1" t="s">
        <v>784</v>
      </c>
      <c r="C736" s="1" t="s">
        <v>1479</v>
      </c>
      <c r="D736" s="1" t="s">
        <v>1487</v>
      </c>
      <c r="E736" s="0" t="s">
        <v>1488</v>
      </c>
      <c r="F736" s="0" t="s">
        <v>49</v>
      </c>
      <c r="G736" s="0" t="s">
        <v>6021</v>
      </c>
      <c r="J736" s="6" t="n">
        <v>0.697916666666667</v>
      </c>
      <c r="L736" s="0" t="n">
        <v>14</v>
      </c>
      <c r="M736" s="0" t="s">
        <v>6022</v>
      </c>
      <c r="N736" s="0" t="s">
        <v>6023</v>
      </c>
      <c r="P736" s="0" t="s">
        <v>6024</v>
      </c>
      <c r="Q736" s="2" t="n">
        <v>43183</v>
      </c>
      <c r="S736" s="0" t="n">
        <f aca="false">YEAR(Q736)</f>
        <v>2018</v>
      </c>
      <c r="T736" s="0" t="n">
        <f aca="false">MONTH(Q736)</f>
        <v>3</v>
      </c>
    </row>
    <row r="737" customFormat="false" ht="14.25" hidden="true" customHeight="false" outlineLevel="0" collapsed="false">
      <c r="A737" s="0" t="n">
        <v>736</v>
      </c>
      <c r="B737" s="1" t="s">
        <v>784</v>
      </c>
      <c r="C737" s="1" t="s">
        <v>1479</v>
      </c>
      <c r="D737" s="1" t="s">
        <v>1487</v>
      </c>
      <c r="E737" s="0" t="s">
        <v>1488</v>
      </c>
      <c r="F737" s="0" t="s">
        <v>49</v>
      </c>
      <c r="G737" s="0" t="s">
        <v>6025</v>
      </c>
      <c r="J737" s="6" t="n">
        <v>0.736111111111111</v>
      </c>
      <c r="L737" s="0" t="n">
        <v>38</v>
      </c>
      <c r="M737" s="0" t="s">
        <v>6026</v>
      </c>
      <c r="N737" s="0" t="s">
        <v>6027</v>
      </c>
      <c r="P737" s="0" t="s">
        <v>6028</v>
      </c>
      <c r="Q737" s="2" t="n">
        <v>43183</v>
      </c>
      <c r="S737" s="0" t="n">
        <f aca="false">YEAR(Q737)</f>
        <v>2018</v>
      </c>
      <c r="T737" s="0" t="n">
        <f aca="false">MONTH(Q737)</f>
        <v>3</v>
      </c>
    </row>
    <row r="738" customFormat="false" ht="14.25" hidden="true" customHeight="false" outlineLevel="0" collapsed="false">
      <c r="A738" s="0" t="n">
        <v>737</v>
      </c>
      <c r="B738" s="1" t="s">
        <v>784</v>
      </c>
      <c r="C738" s="1" t="s">
        <v>1503</v>
      </c>
      <c r="D738" s="1" t="s">
        <v>1535</v>
      </c>
      <c r="E738" s="0" t="s">
        <v>44</v>
      </c>
      <c r="F738" s="0" t="s">
        <v>49</v>
      </c>
      <c r="G738" s="0" t="s">
        <v>6029</v>
      </c>
      <c r="I738" s="6" t="n">
        <v>0.743055555555555</v>
      </c>
      <c r="J738" s="6" t="n">
        <v>0.788888888888889</v>
      </c>
      <c r="L738" s="0" t="n">
        <v>300</v>
      </c>
      <c r="M738" s="0" t="s">
        <v>6030</v>
      </c>
      <c r="N738" s="0" t="s">
        <v>6031</v>
      </c>
      <c r="P738" s="0" t="s">
        <v>6032</v>
      </c>
      <c r="Q738" s="2" t="n">
        <v>43183</v>
      </c>
      <c r="S738" s="0" t="n">
        <f aca="false">YEAR(Q738)</f>
        <v>2018</v>
      </c>
      <c r="T738" s="0" t="n">
        <f aca="false">MONTH(Q738)</f>
        <v>3</v>
      </c>
    </row>
    <row r="739" customFormat="false" ht="14.25" hidden="true" customHeight="false" outlineLevel="0" collapsed="false">
      <c r="A739" s="0" t="n">
        <v>738</v>
      </c>
      <c r="B739" s="1" t="s">
        <v>786</v>
      </c>
      <c r="C739" s="1" t="s">
        <v>1479</v>
      </c>
      <c r="D739" s="1" t="s">
        <v>1496</v>
      </c>
      <c r="E739" s="0" t="s">
        <v>38</v>
      </c>
      <c r="F739" s="0" t="s">
        <v>48</v>
      </c>
      <c r="G739" s="0" t="s">
        <v>6033</v>
      </c>
      <c r="I739" s="6" t="n">
        <v>0.500694444444444</v>
      </c>
      <c r="J739" s="6" t="n">
        <v>0.583333333333333</v>
      </c>
      <c r="K739" s="0" t="n">
        <v>50</v>
      </c>
      <c r="M739" s="0" t="s">
        <v>6034</v>
      </c>
      <c r="N739" s="0" t="s">
        <v>6035</v>
      </c>
      <c r="P739" s="0" t="s">
        <v>6036</v>
      </c>
      <c r="Q739" s="2" t="n">
        <v>43186</v>
      </c>
      <c r="S739" s="0" t="n">
        <f aca="false">YEAR(Q739)</f>
        <v>2018</v>
      </c>
      <c r="T739" s="0" t="n">
        <f aca="false">MONTH(Q739)</f>
        <v>3</v>
      </c>
    </row>
    <row r="740" customFormat="false" ht="14.25" hidden="true" customHeight="false" outlineLevel="0" collapsed="false">
      <c r="A740" s="0" t="n">
        <v>739</v>
      </c>
      <c r="B740" s="1" t="s">
        <v>786</v>
      </c>
      <c r="C740" s="1" t="s">
        <v>1479</v>
      </c>
      <c r="D740" s="1" t="s">
        <v>1535</v>
      </c>
      <c r="E740" s="0" t="s">
        <v>39</v>
      </c>
      <c r="F740" s="0" t="s">
        <v>49</v>
      </c>
      <c r="G740" s="0" t="s">
        <v>6037</v>
      </c>
      <c r="I740" s="6" t="n">
        <v>0.822916666666667</v>
      </c>
      <c r="J740" s="6" t="n">
        <v>0.758333333333333</v>
      </c>
      <c r="K740" s="0" t="n">
        <v>3</v>
      </c>
      <c r="L740" s="0" t="n">
        <v>2</v>
      </c>
      <c r="M740" s="0" t="s">
        <v>6038</v>
      </c>
      <c r="N740" s="0" t="s">
        <v>6039</v>
      </c>
      <c r="P740" s="0" t="s">
        <v>6040</v>
      </c>
      <c r="Q740" s="2" t="n">
        <v>43186</v>
      </c>
      <c r="S740" s="0" t="n">
        <f aca="false">YEAR(Q740)</f>
        <v>2018</v>
      </c>
      <c r="T740" s="0" t="n">
        <f aca="false">MONTH(Q740)</f>
        <v>3</v>
      </c>
    </row>
    <row r="741" customFormat="false" ht="14.25" hidden="true" customHeight="false" outlineLevel="0" collapsed="false">
      <c r="A741" s="0" t="n">
        <v>740</v>
      </c>
      <c r="B741" s="1" t="s">
        <v>786</v>
      </c>
      <c r="C741" s="1" t="s">
        <v>1479</v>
      </c>
      <c r="D741" s="1" t="s">
        <v>1487</v>
      </c>
      <c r="E741" s="0" t="s">
        <v>1488</v>
      </c>
      <c r="F741" s="0" t="s">
        <v>50</v>
      </c>
      <c r="G741" s="0" t="s">
        <v>3644</v>
      </c>
      <c r="I741" s="6" t="n">
        <v>0</v>
      </c>
      <c r="J741" s="6" t="n">
        <v>0.00347222222222222</v>
      </c>
      <c r="L741" s="0" t="n">
        <v>23</v>
      </c>
      <c r="M741" s="0" t="s">
        <v>6041</v>
      </c>
      <c r="N741" s="0" t="s">
        <v>6042</v>
      </c>
      <c r="P741" s="0" t="s">
        <v>6043</v>
      </c>
      <c r="Q741" s="2" t="n">
        <v>43186</v>
      </c>
      <c r="S741" s="0" t="n">
        <f aca="false">YEAR(Q741)</f>
        <v>2018</v>
      </c>
      <c r="T741" s="0" t="n">
        <f aca="false">MONTH(Q741)</f>
        <v>3</v>
      </c>
    </row>
    <row r="742" customFormat="false" ht="14.25" hidden="true" customHeight="false" outlineLevel="0" collapsed="false">
      <c r="A742" s="0" t="n">
        <v>741</v>
      </c>
      <c r="B742" s="1" t="s">
        <v>787</v>
      </c>
      <c r="C742" s="1" t="s">
        <v>1479</v>
      </c>
      <c r="D742" s="1" t="s">
        <v>1535</v>
      </c>
      <c r="E742" s="0" t="s">
        <v>39</v>
      </c>
      <c r="F742" s="0" t="s">
        <v>48</v>
      </c>
      <c r="G742" s="0" t="s">
        <v>6044</v>
      </c>
      <c r="I742" s="6" t="n">
        <v>0.354166666666667</v>
      </c>
      <c r="J742" s="6" t="n">
        <v>0.361111111111111</v>
      </c>
      <c r="K742" s="0" t="n">
        <v>19</v>
      </c>
      <c r="M742" s="0" t="s">
        <v>6045</v>
      </c>
      <c r="N742" s="0" t="s">
        <v>6046</v>
      </c>
      <c r="P742" s="0" t="s">
        <v>6047</v>
      </c>
      <c r="Q742" s="2" t="n">
        <v>43187</v>
      </c>
      <c r="S742" s="0" t="n">
        <f aca="false">YEAR(Q742)</f>
        <v>2018</v>
      </c>
      <c r="T742" s="0" t="n">
        <f aca="false">MONTH(Q742)</f>
        <v>3</v>
      </c>
    </row>
    <row r="743" customFormat="false" ht="14.25" hidden="true" customHeight="false" outlineLevel="0" collapsed="false">
      <c r="A743" s="0" t="n">
        <v>742</v>
      </c>
      <c r="B743" s="1" t="s">
        <v>787</v>
      </c>
      <c r="C743" s="1" t="s">
        <v>1503</v>
      </c>
      <c r="D743" s="1" t="s">
        <v>1504</v>
      </c>
      <c r="E743" s="0" t="s">
        <v>5581</v>
      </c>
      <c r="F743" s="0" t="s">
        <v>49</v>
      </c>
      <c r="G743" s="0" t="s">
        <v>6048</v>
      </c>
      <c r="J743" s="6" t="n">
        <v>0.702083333333333</v>
      </c>
      <c r="M743" s="0" t="s">
        <v>6049</v>
      </c>
      <c r="N743" s="0" t="s">
        <v>6050</v>
      </c>
      <c r="P743" s="0" t="s">
        <v>6051</v>
      </c>
      <c r="Q743" s="2" t="n">
        <v>43187</v>
      </c>
      <c r="S743" s="0" t="n">
        <f aca="false">YEAR(Q743)</f>
        <v>2018</v>
      </c>
      <c r="T743" s="0" t="n">
        <f aca="false">MONTH(Q743)</f>
        <v>3</v>
      </c>
    </row>
    <row r="744" customFormat="false" ht="14.25" hidden="true" customHeight="false" outlineLevel="0" collapsed="false">
      <c r="A744" s="0" t="n">
        <v>743</v>
      </c>
      <c r="B744" s="1" t="s">
        <v>787</v>
      </c>
      <c r="C744" s="1" t="s">
        <v>1479</v>
      </c>
      <c r="D744" s="1" t="s">
        <v>1487</v>
      </c>
      <c r="E744" s="0" t="s">
        <v>1488</v>
      </c>
      <c r="F744" s="0" t="s">
        <v>49</v>
      </c>
      <c r="G744" s="0" t="s">
        <v>6052</v>
      </c>
      <c r="I744" s="6" t="n">
        <v>0.725</v>
      </c>
      <c r="J744" s="6" t="n">
        <v>0.732638888888889</v>
      </c>
      <c r="K744" s="0" t="n">
        <v>0</v>
      </c>
      <c r="L744" s="0" t="n">
        <v>18</v>
      </c>
      <c r="M744" s="0" t="s">
        <v>6053</v>
      </c>
      <c r="N744" s="0" t="s">
        <v>6054</v>
      </c>
      <c r="P744" s="0" t="s">
        <v>6055</v>
      </c>
      <c r="Q744" s="2" t="n">
        <v>43187</v>
      </c>
      <c r="S744" s="0" t="n">
        <f aca="false">YEAR(Q744)</f>
        <v>2018</v>
      </c>
      <c r="T744" s="0" t="n">
        <f aca="false">MONTH(Q744)</f>
        <v>3</v>
      </c>
    </row>
    <row r="745" customFormat="false" ht="14.25" hidden="true" customHeight="false" outlineLevel="0" collapsed="false">
      <c r="A745" s="0" t="n">
        <v>744</v>
      </c>
      <c r="B745" s="1" t="s">
        <v>787</v>
      </c>
      <c r="C745" s="1" t="s">
        <v>1479</v>
      </c>
      <c r="D745" s="1" t="s">
        <v>1863</v>
      </c>
      <c r="E745" s="0" t="s">
        <v>1864</v>
      </c>
      <c r="F745" s="0" t="s">
        <v>49</v>
      </c>
      <c r="G745" s="0" t="s">
        <v>6056</v>
      </c>
      <c r="I745" s="6" t="n">
        <v>0.864583333333333</v>
      </c>
      <c r="J745" s="6" t="n">
        <v>0.881944444444444</v>
      </c>
      <c r="K745" s="0" t="n">
        <v>0</v>
      </c>
      <c r="L745" s="0" t="n">
        <v>60</v>
      </c>
      <c r="M745" s="0" t="s">
        <v>6057</v>
      </c>
      <c r="N745" s="0" t="s">
        <v>6058</v>
      </c>
      <c r="P745" s="0" t="s">
        <v>6059</v>
      </c>
      <c r="Q745" s="2" t="n">
        <v>43187</v>
      </c>
      <c r="S745" s="0" t="n">
        <f aca="false">YEAR(Q745)</f>
        <v>2018</v>
      </c>
      <c r="T745" s="0" t="n">
        <f aca="false">MONTH(Q745)</f>
        <v>3</v>
      </c>
    </row>
    <row r="746" customFormat="false" ht="14.25" hidden="true" customHeight="false" outlineLevel="0" collapsed="false">
      <c r="A746" s="0" t="n">
        <v>745</v>
      </c>
      <c r="B746" s="1" t="s">
        <v>787</v>
      </c>
      <c r="C746" s="1" t="s">
        <v>1479</v>
      </c>
      <c r="D746" s="1" t="s">
        <v>1487</v>
      </c>
      <c r="E746" s="4" t="s">
        <v>1488</v>
      </c>
      <c r="F746" s="0" t="s">
        <v>50</v>
      </c>
      <c r="G746" s="0" t="s">
        <v>6060</v>
      </c>
      <c r="I746" s="6" t="n">
        <v>0.118055555555556</v>
      </c>
      <c r="J746" s="6" t="n">
        <v>0.125</v>
      </c>
      <c r="K746" s="0" t="n">
        <v>30</v>
      </c>
      <c r="L746" s="0" t="n">
        <v>40</v>
      </c>
      <c r="M746" s="0" t="s">
        <v>6061</v>
      </c>
      <c r="N746" s="0" t="s">
        <v>6062</v>
      </c>
      <c r="P746" s="0" t="s">
        <v>6063</v>
      </c>
      <c r="Q746" s="2" t="n">
        <v>43187</v>
      </c>
      <c r="S746" s="0" t="n">
        <f aca="false">YEAR(Q746)</f>
        <v>2018</v>
      </c>
      <c r="T746" s="0" t="n">
        <f aca="false">MONTH(Q746)</f>
        <v>3</v>
      </c>
    </row>
    <row r="747" customFormat="false" ht="42.75" hidden="true" customHeight="false" outlineLevel="0" collapsed="false">
      <c r="A747" s="0" t="n">
        <v>746</v>
      </c>
      <c r="B747" s="1" t="s">
        <v>788</v>
      </c>
      <c r="C747" s="1" t="s">
        <v>1479</v>
      </c>
      <c r="D747" s="1" t="s">
        <v>1487</v>
      </c>
      <c r="E747" s="4" t="s">
        <v>1488</v>
      </c>
      <c r="F747" s="0" t="s">
        <v>50</v>
      </c>
      <c r="G747" s="0" t="s">
        <v>6064</v>
      </c>
      <c r="I747" s="6" t="n">
        <v>0.211805555555556</v>
      </c>
      <c r="J747" s="6" t="n">
        <v>0.21875</v>
      </c>
      <c r="K747" s="0" t="n">
        <v>15</v>
      </c>
      <c r="L747" s="0" t="n">
        <v>20</v>
      </c>
      <c r="M747" s="0" t="s">
        <v>6065</v>
      </c>
      <c r="N747" s="0" t="s">
        <v>6066</v>
      </c>
      <c r="P747" s="7" t="s">
        <v>6067</v>
      </c>
      <c r="Q747" s="2" t="n">
        <v>43188</v>
      </c>
      <c r="S747" s="0" t="n">
        <f aca="false">YEAR(Q747)</f>
        <v>2018</v>
      </c>
      <c r="T747" s="0" t="n">
        <f aca="false">MONTH(Q747)</f>
        <v>3</v>
      </c>
    </row>
    <row r="748" customFormat="false" ht="42.75" hidden="true" customHeight="false" outlineLevel="0" collapsed="false">
      <c r="A748" s="0" t="n">
        <v>747</v>
      </c>
      <c r="B748" s="1" t="s">
        <v>788</v>
      </c>
      <c r="C748" s="1" t="s">
        <v>1479</v>
      </c>
      <c r="D748" s="1" t="s">
        <v>1496</v>
      </c>
      <c r="E748" s="0" t="s">
        <v>38</v>
      </c>
      <c r="F748" s="0" t="s">
        <v>50</v>
      </c>
      <c r="G748" s="0" t="s">
        <v>6068</v>
      </c>
      <c r="I748" s="6" t="n">
        <v>0.23125</v>
      </c>
      <c r="J748" s="6" t="n">
        <v>0.236111111111111</v>
      </c>
      <c r="K748" s="0" t="n">
        <v>15</v>
      </c>
      <c r="L748" s="0" t="n">
        <v>15</v>
      </c>
      <c r="M748" s="0" t="s">
        <v>6069</v>
      </c>
      <c r="N748" s="0" t="s">
        <v>6070</v>
      </c>
      <c r="P748" s="7" t="s">
        <v>6071</v>
      </c>
      <c r="Q748" s="2" t="n">
        <v>43188</v>
      </c>
      <c r="S748" s="0" t="n">
        <f aca="false">YEAR(Q748)</f>
        <v>2018</v>
      </c>
      <c r="T748" s="0" t="n">
        <f aca="false">MONTH(Q748)</f>
        <v>3</v>
      </c>
    </row>
    <row r="749" customFormat="false" ht="14.25" hidden="true" customHeight="false" outlineLevel="0" collapsed="false">
      <c r="A749" s="0" t="n">
        <v>748</v>
      </c>
      <c r="B749" s="1" t="s">
        <v>791</v>
      </c>
      <c r="C749" s="1" t="s">
        <v>1479</v>
      </c>
      <c r="D749" s="1" t="s">
        <v>1535</v>
      </c>
      <c r="E749" s="0" t="s">
        <v>39</v>
      </c>
      <c r="F749" s="0" t="s">
        <v>48</v>
      </c>
      <c r="G749" s="0" t="s">
        <v>6072</v>
      </c>
      <c r="M749" s="0" t="s">
        <v>6073</v>
      </c>
      <c r="N749" s="0" t="s">
        <v>6074</v>
      </c>
      <c r="P749" s="0" t="s">
        <v>6075</v>
      </c>
      <c r="Q749" s="2" t="n">
        <v>43192</v>
      </c>
      <c r="S749" s="0" t="n">
        <f aca="false">YEAR(Q749)</f>
        <v>2018</v>
      </c>
      <c r="T749" s="0" t="n">
        <f aca="false">MONTH(Q749)</f>
        <v>4</v>
      </c>
    </row>
    <row r="750" customFormat="false" ht="14.25" hidden="true" customHeight="false" outlineLevel="0" collapsed="false">
      <c r="A750" s="0" t="n">
        <v>749</v>
      </c>
      <c r="B750" s="1" t="s">
        <v>791</v>
      </c>
      <c r="C750" s="1" t="s">
        <v>1479</v>
      </c>
      <c r="D750" s="1" t="s">
        <v>1535</v>
      </c>
      <c r="E750" s="0" t="s">
        <v>39</v>
      </c>
      <c r="F750" s="0" t="s">
        <v>48</v>
      </c>
      <c r="G750" s="0" t="s">
        <v>6076</v>
      </c>
      <c r="J750" s="6" t="n">
        <v>0.232638888888889</v>
      </c>
      <c r="K750" s="0" t="n">
        <v>3</v>
      </c>
      <c r="M750" s="0" t="s">
        <v>6077</v>
      </c>
      <c r="N750" s="0" t="s">
        <v>6078</v>
      </c>
      <c r="P750" s="0" t="s">
        <v>6079</v>
      </c>
      <c r="Q750" s="2" t="n">
        <v>43192</v>
      </c>
      <c r="S750" s="0" t="n">
        <f aca="false">YEAR(Q750)</f>
        <v>2018</v>
      </c>
      <c r="T750" s="0" t="n">
        <f aca="false">MONTH(Q750)</f>
        <v>4</v>
      </c>
    </row>
    <row r="751" customFormat="false" ht="14.25" hidden="true" customHeight="false" outlineLevel="0" collapsed="false">
      <c r="A751" s="0" t="n">
        <v>750</v>
      </c>
      <c r="B751" s="1" t="s">
        <v>791</v>
      </c>
      <c r="C751" s="1" t="s">
        <v>1479</v>
      </c>
      <c r="D751" s="1" t="s">
        <v>1487</v>
      </c>
      <c r="E751" s="0" t="s">
        <v>1488</v>
      </c>
      <c r="F751" s="0" t="s">
        <v>48</v>
      </c>
      <c r="G751" s="0" t="s">
        <v>6080</v>
      </c>
      <c r="I751" s="6" t="n">
        <v>0.245833333333333</v>
      </c>
      <c r="J751" s="6" t="n">
        <v>0.258333333333333</v>
      </c>
      <c r="L751" s="0" t="n">
        <v>22</v>
      </c>
      <c r="M751" s="0" t="s">
        <v>6081</v>
      </c>
      <c r="N751" s="0" t="s">
        <v>6082</v>
      </c>
      <c r="P751" s="0" t="s">
        <v>6083</v>
      </c>
      <c r="Q751" s="2" t="n">
        <v>43192</v>
      </c>
      <c r="S751" s="0" t="n">
        <f aca="false">YEAR(Q751)</f>
        <v>2018</v>
      </c>
      <c r="T751" s="0" t="n">
        <f aca="false">MONTH(Q751)</f>
        <v>4</v>
      </c>
    </row>
    <row r="752" customFormat="false" ht="14.25" hidden="true" customHeight="false" outlineLevel="0" collapsed="false">
      <c r="A752" s="0" t="n">
        <v>751</v>
      </c>
      <c r="B752" s="1" t="s">
        <v>791</v>
      </c>
      <c r="C752" s="1" t="s">
        <v>1479</v>
      </c>
      <c r="D752" s="1" t="s">
        <v>1487</v>
      </c>
      <c r="E752" s="4" t="s">
        <v>1488</v>
      </c>
      <c r="F752" s="0" t="s">
        <v>48</v>
      </c>
      <c r="G752" s="0" t="s">
        <v>6084</v>
      </c>
      <c r="I752" s="6" t="n">
        <v>0.540972222222222</v>
      </c>
      <c r="J752" s="6" t="n">
        <v>0.551388888888889</v>
      </c>
      <c r="K752" s="0" t="n">
        <v>20</v>
      </c>
      <c r="L752" s="0" t="n">
        <v>22</v>
      </c>
      <c r="M752" s="0" t="s">
        <v>6085</v>
      </c>
      <c r="N752" s="0" t="s">
        <v>6086</v>
      </c>
      <c r="P752" s="0" t="s">
        <v>6087</v>
      </c>
      <c r="Q752" s="2" t="n">
        <v>43192</v>
      </c>
      <c r="S752" s="0" t="n">
        <f aca="false">YEAR(Q752)</f>
        <v>2018</v>
      </c>
      <c r="T752" s="0" t="n">
        <f aca="false">MONTH(Q752)</f>
        <v>4</v>
      </c>
    </row>
    <row r="753" customFormat="false" ht="14.25" hidden="true" customHeight="false" outlineLevel="0" collapsed="false">
      <c r="A753" s="0" t="n">
        <v>752</v>
      </c>
      <c r="B753" s="1" t="s">
        <v>791</v>
      </c>
      <c r="C753" s="1" t="s">
        <v>1503</v>
      </c>
      <c r="D753" s="1" t="s">
        <v>1535</v>
      </c>
      <c r="E753" s="0" t="s">
        <v>44</v>
      </c>
      <c r="F753" s="0" t="s">
        <v>48</v>
      </c>
      <c r="G753" s="0" t="s">
        <v>6088</v>
      </c>
      <c r="I753" s="6" t="n">
        <v>0.320833333333333</v>
      </c>
      <c r="J753" s="6" t="n">
        <v>0.34375</v>
      </c>
      <c r="K753" s="0" t="n">
        <v>5</v>
      </c>
      <c r="L753" s="0" t="n">
        <v>90</v>
      </c>
      <c r="M753" s="0" t="s">
        <v>6089</v>
      </c>
      <c r="N753" s="0" t="s">
        <v>6090</v>
      </c>
      <c r="P753" s="0" t="s">
        <v>6091</v>
      </c>
      <c r="Q753" s="2" t="n">
        <v>43192</v>
      </c>
      <c r="S753" s="0" t="n">
        <f aca="false">YEAR(Q753)</f>
        <v>2018</v>
      </c>
      <c r="T753" s="0" t="n">
        <f aca="false">MONTH(Q753)</f>
        <v>4</v>
      </c>
    </row>
    <row r="754" customFormat="false" ht="14.25" hidden="true" customHeight="false" outlineLevel="0" collapsed="false">
      <c r="A754" s="0" t="n">
        <v>753</v>
      </c>
      <c r="B754" s="1" t="s">
        <v>791</v>
      </c>
      <c r="C754" s="1" t="s">
        <v>1479</v>
      </c>
      <c r="D754" s="1" t="s">
        <v>1496</v>
      </c>
      <c r="E754" s="0" t="s">
        <v>38</v>
      </c>
      <c r="F754" s="0" t="s">
        <v>48</v>
      </c>
      <c r="G754" s="0" t="s">
        <v>6092</v>
      </c>
      <c r="J754" s="6" t="n">
        <v>0.208333333333333</v>
      </c>
      <c r="M754" s="0" t="s">
        <v>6093</v>
      </c>
      <c r="N754" s="0" t="s">
        <v>5589</v>
      </c>
      <c r="P754" s="0" t="s">
        <v>6094</v>
      </c>
      <c r="Q754" s="2" t="n">
        <v>43192</v>
      </c>
      <c r="S754" s="0" t="n">
        <f aca="false">YEAR(Q754)</f>
        <v>2018</v>
      </c>
      <c r="T754" s="0" t="n">
        <f aca="false">MONTH(Q754)</f>
        <v>4</v>
      </c>
    </row>
    <row r="755" customFormat="false" ht="14.25" hidden="true" customHeight="false" outlineLevel="0" collapsed="false">
      <c r="A755" s="0" t="n">
        <v>754</v>
      </c>
      <c r="B755" s="1" t="s">
        <v>791</v>
      </c>
      <c r="C755" s="1" t="s">
        <v>1479</v>
      </c>
      <c r="D755" s="1" t="s">
        <v>1496</v>
      </c>
      <c r="E755" s="0" t="s">
        <v>38</v>
      </c>
      <c r="F755" s="0" t="s">
        <v>48</v>
      </c>
      <c r="G755" s="0" t="s">
        <v>6095</v>
      </c>
      <c r="I755" s="6" t="n">
        <v>0.413194444444444</v>
      </c>
      <c r="J755" s="6" t="n">
        <v>0.420138888888889</v>
      </c>
      <c r="M755" s="0" t="s">
        <v>6096</v>
      </c>
      <c r="N755" s="0" t="s">
        <v>6097</v>
      </c>
      <c r="P755" s="0" t="s">
        <v>6098</v>
      </c>
      <c r="Q755" s="2" t="n">
        <v>43192</v>
      </c>
      <c r="S755" s="0" t="n">
        <f aca="false">YEAR(Q755)</f>
        <v>2018</v>
      </c>
      <c r="T755" s="0" t="n">
        <f aca="false">MONTH(Q755)</f>
        <v>4</v>
      </c>
    </row>
    <row r="756" customFormat="false" ht="14.25" hidden="true" customHeight="false" outlineLevel="0" collapsed="false">
      <c r="A756" s="0" t="n">
        <v>755</v>
      </c>
      <c r="B756" s="1" t="s">
        <v>791</v>
      </c>
      <c r="C756" s="1" t="s">
        <v>1479</v>
      </c>
      <c r="D756" s="1" t="s">
        <v>1496</v>
      </c>
      <c r="E756" s="0" t="s">
        <v>38</v>
      </c>
      <c r="F756" s="0" t="s">
        <v>48</v>
      </c>
      <c r="G756" s="0" t="s">
        <v>6099</v>
      </c>
      <c r="L756" s="0" t="n">
        <v>11</v>
      </c>
      <c r="M756" s="0" t="s">
        <v>6100</v>
      </c>
      <c r="N756" s="0" t="s">
        <v>6101</v>
      </c>
      <c r="P756" s="0" t="s">
        <v>6102</v>
      </c>
      <c r="Q756" s="2" t="n">
        <v>43192</v>
      </c>
      <c r="S756" s="0" t="n">
        <f aca="false">YEAR(Q756)</f>
        <v>2018</v>
      </c>
      <c r="T756" s="0" t="n">
        <f aca="false">MONTH(Q756)</f>
        <v>4</v>
      </c>
    </row>
    <row r="757" customFormat="false" ht="14.25" hidden="true" customHeight="false" outlineLevel="0" collapsed="false">
      <c r="A757" s="0" t="n">
        <v>756</v>
      </c>
      <c r="B757" s="1" t="s">
        <v>791</v>
      </c>
      <c r="C757" s="1" t="s">
        <v>1479</v>
      </c>
      <c r="D757" s="1" t="s">
        <v>1496</v>
      </c>
      <c r="E757" s="0" t="s">
        <v>38</v>
      </c>
      <c r="F757" s="0" t="s">
        <v>49</v>
      </c>
      <c r="G757" s="0" t="s">
        <v>6095</v>
      </c>
      <c r="J757" s="6" t="n">
        <v>0.600694444444444</v>
      </c>
      <c r="M757" s="0" t="s">
        <v>6096</v>
      </c>
      <c r="N757" s="0" t="s">
        <v>6103</v>
      </c>
      <c r="P757" s="0" t="s">
        <v>6104</v>
      </c>
      <c r="Q757" s="2" t="n">
        <v>43192</v>
      </c>
      <c r="S757" s="0" t="n">
        <f aca="false">YEAR(Q757)</f>
        <v>2018</v>
      </c>
      <c r="T757" s="0" t="n">
        <f aca="false">MONTH(Q757)</f>
        <v>4</v>
      </c>
    </row>
    <row r="758" customFormat="false" ht="14.25" hidden="true" customHeight="false" outlineLevel="0" collapsed="false">
      <c r="A758" s="0" t="n">
        <v>757</v>
      </c>
      <c r="B758" s="1" t="s">
        <v>791</v>
      </c>
      <c r="C758" s="1" t="s">
        <v>1503</v>
      </c>
      <c r="D758" s="1" t="s">
        <v>1535</v>
      </c>
      <c r="E758" s="0" t="s">
        <v>44</v>
      </c>
      <c r="F758" s="0" t="s">
        <v>50</v>
      </c>
      <c r="G758" s="0" t="s">
        <v>6105</v>
      </c>
      <c r="K758" s="0" t="n">
        <v>0</v>
      </c>
      <c r="M758" s="0" t="s">
        <v>6106</v>
      </c>
      <c r="N758" s="0" t="s">
        <v>6107</v>
      </c>
      <c r="P758" s="0" t="s">
        <v>6108</v>
      </c>
      <c r="Q758" s="2" t="n">
        <v>43192</v>
      </c>
      <c r="S758" s="0" t="n">
        <f aca="false">YEAR(Q758)</f>
        <v>2018</v>
      </c>
      <c r="T758" s="0" t="n">
        <f aca="false">MONTH(Q758)</f>
        <v>4</v>
      </c>
    </row>
    <row r="759" customFormat="false" ht="14.25" hidden="true" customHeight="false" outlineLevel="0" collapsed="false">
      <c r="A759" s="0" t="n">
        <v>758</v>
      </c>
      <c r="B759" s="1" t="s">
        <v>791</v>
      </c>
      <c r="C759" s="1" t="s">
        <v>1479</v>
      </c>
      <c r="D759" s="1" t="s">
        <v>1496</v>
      </c>
      <c r="E759" s="0" t="s">
        <v>38</v>
      </c>
      <c r="F759" s="0" t="s">
        <v>50</v>
      </c>
      <c r="G759" s="0" t="s">
        <v>6109</v>
      </c>
      <c r="K759" s="0" t="n">
        <v>0</v>
      </c>
      <c r="M759" s="0" t="s">
        <v>6110</v>
      </c>
      <c r="N759" s="0" t="s">
        <v>4784</v>
      </c>
      <c r="P759" s="0" t="s">
        <v>4784</v>
      </c>
      <c r="Q759" s="2" t="n">
        <v>43192</v>
      </c>
      <c r="S759" s="0" t="n">
        <f aca="false">YEAR(Q759)</f>
        <v>2018</v>
      </c>
      <c r="T759" s="0" t="n">
        <f aca="false">MONTH(Q759)</f>
        <v>4</v>
      </c>
    </row>
    <row r="760" customFormat="false" ht="14.25" hidden="true" customHeight="false" outlineLevel="0" collapsed="false">
      <c r="A760" s="0" t="n">
        <v>759</v>
      </c>
      <c r="B760" s="1" t="s">
        <v>791</v>
      </c>
      <c r="C760" s="1" t="s">
        <v>1479</v>
      </c>
      <c r="D760" s="1" t="s">
        <v>1535</v>
      </c>
      <c r="E760" s="0" t="s">
        <v>39</v>
      </c>
      <c r="F760" s="0" t="s">
        <v>50</v>
      </c>
      <c r="G760" s="0" t="s">
        <v>6111</v>
      </c>
      <c r="I760" s="6" t="n">
        <v>0.0659722222222222</v>
      </c>
      <c r="J760" s="6" t="n">
        <v>0.0736111111111111</v>
      </c>
      <c r="K760" s="0" t="n">
        <v>19</v>
      </c>
      <c r="L760" s="0" t="n">
        <v>30</v>
      </c>
      <c r="M760" s="0" t="s">
        <v>6112</v>
      </c>
      <c r="N760" s="0" t="s">
        <v>6113</v>
      </c>
      <c r="P760" s="0" t="s">
        <v>6114</v>
      </c>
      <c r="Q760" s="2" t="n">
        <v>43192</v>
      </c>
      <c r="S760" s="0" t="n">
        <f aca="false">YEAR(Q760)</f>
        <v>2018</v>
      </c>
      <c r="T760" s="0" t="n">
        <f aca="false">MONTH(Q760)</f>
        <v>4</v>
      </c>
    </row>
    <row r="761" customFormat="false" ht="57" hidden="true" customHeight="false" outlineLevel="0" collapsed="false">
      <c r="A761" s="0" t="n">
        <v>760</v>
      </c>
      <c r="B761" s="1" t="s">
        <v>791</v>
      </c>
      <c r="C761" s="1" t="s">
        <v>1479</v>
      </c>
      <c r="D761" s="1" t="s">
        <v>1487</v>
      </c>
      <c r="E761" s="4" t="s">
        <v>1488</v>
      </c>
      <c r="F761" s="0" t="s">
        <v>50</v>
      </c>
      <c r="G761" s="0" t="s">
        <v>6115</v>
      </c>
      <c r="I761" s="6" t="n">
        <v>0.104166666666667</v>
      </c>
      <c r="J761" s="6" t="n">
        <v>0.177083333333333</v>
      </c>
      <c r="K761" s="0" t="n">
        <v>100</v>
      </c>
      <c r="L761" s="0" t="n">
        <v>120</v>
      </c>
      <c r="M761" s="0" t="s">
        <v>6116</v>
      </c>
      <c r="N761" s="0" t="s">
        <v>6117</v>
      </c>
      <c r="P761" s="7" t="s">
        <v>6118</v>
      </c>
      <c r="Q761" s="2" t="n">
        <v>43192</v>
      </c>
      <c r="S761" s="0" t="n">
        <f aca="false">YEAR(Q761)</f>
        <v>2018</v>
      </c>
      <c r="T761" s="0" t="n">
        <f aca="false">MONTH(Q761)</f>
        <v>4</v>
      </c>
    </row>
    <row r="762" customFormat="false" ht="14.25" hidden="true" customHeight="false" outlineLevel="0" collapsed="false">
      <c r="A762" s="0" t="n">
        <v>761</v>
      </c>
      <c r="B762" s="1" t="s">
        <v>792</v>
      </c>
      <c r="C762" s="1" t="s">
        <v>1479</v>
      </c>
      <c r="D762" s="1" t="s">
        <v>1535</v>
      </c>
      <c r="E762" s="0" t="s">
        <v>39</v>
      </c>
      <c r="F762" s="0" t="s">
        <v>48</v>
      </c>
      <c r="G762" s="0" t="s">
        <v>6119</v>
      </c>
      <c r="I762" s="6" t="n">
        <v>0.249305555555556</v>
      </c>
      <c r="J762" s="6" t="n">
        <v>0.272916666666667</v>
      </c>
      <c r="K762" s="0" t="n">
        <v>4</v>
      </c>
      <c r="L762" s="0" t="n">
        <v>4</v>
      </c>
      <c r="M762" s="0" t="s">
        <v>6120</v>
      </c>
      <c r="N762" s="0" t="s">
        <v>6121</v>
      </c>
      <c r="P762" s="0" t="s">
        <v>6122</v>
      </c>
      <c r="Q762" s="2" t="n">
        <v>43193</v>
      </c>
      <c r="S762" s="0" t="n">
        <f aca="false">YEAR(Q762)</f>
        <v>2018</v>
      </c>
      <c r="T762" s="0" t="n">
        <f aca="false">MONTH(Q762)</f>
        <v>4</v>
      </c>
    </row>
    <row r="763" customFormat="false" ht="14.25" hidden="true" customHeight="false" outlineLevel="0" collapsed="false">
      <c r="A763" s="0" t="n">
        <v>762</v>
      </c>
      <c r="B763" s="1" t="s">
        <v>792</v>
      </c>
      <c r="C763" s="1" t="s">
        <v>1479</v>
      </c>
      <c r="D763" s="1" t="s">
        <v>1487</v>
      </c>
      <c r="E763" s="0" t="s">
        <v>1488</v>
      </c>
      <c r="F763" s="0" t="s">
        <v>48</v>
      </c>
      <c r="G763" s="0" t="s">
        <v>6115</v>
      </c>
      <c r="I763" s="6" t="n">
        <v>0.104166666666667</v>
      </c>
      <c r="J763" s="6" t="n">
        <v>0.177083333333333</v>
      </c>
      <c r="K763" s="0" t="n">
        <v>93</v>
      </c>
      <c r="M763" s="0" t="s">
        <v>6123</v>
      </c>
      <c r="N763" s="0" t="s">
        <v>6124</v>
      </c>
      <c r="P763" s="0" t="s">
        <v>6125</v>
      </c>
      <c r="Q763" s="2" t="n">
        <v>43193</v>
      </c>
      <c r="S763" s="0" t="n">
        <f aca="false">YEAR(Q763)</f>
        <v>2018</v>
      </c>
      <c r="T763" s="0" t="n">
        <f aca="false">MONTH(Q763)</f>
        <v>4</v>
      </c>
    </row>
    <row r="764" customFormat="false" ht="14.25" hidden="true" customHeight="false" outlineLevel="0" collapsed="false">
      <c r="A764" s="0" t="n">
        <v>763</v>
      </c>
      <c r="B764" s="1" t="s">
        <v>792</v>
      </c>
      <c r="C764" s="1" t="s">
        <v>1479</v>
      </c>
      <c r="D764" s="1" t="s">
        <v>1535</v>
      </c>
      <c r="E764" s="0" t="s">
        <v>39</v>
      </c>
      <c r="F764" s="0" t="s">
        <v>48</v>
      </c>
      <c r="G764" s="0" t="s">
        <v>6126</v>
      </c>
      <c r="I764" s="6" t="n">
        <v>0.5</v>
      </c>
      <c r="J764" s="6" t="n">
        <v>0.527777777777778</v>
      </c>
      <c r="K764" s="0" t="n">
        <v>33</v>
      </c>
      <c r="L764" s="0" t="n">
        <v>20</v>
      </c>
      <c r="M764" s="0" t="s">
        <v>6127</v>
      </c>
      <c r="N764" s="0" t="s">
        <v>6128</v>
      </c>
      <c r="P764" s="0" t="s">
        <v>6129</v>
      </c>
      <c r="Q764" s="2" t="n">
        <v>43193</v>
      </c>
      <c r="S764" s="0" t="n">
        <f aca="false">YEAR(Q764)</f>
        <v>2018</v>
      </c>
      <c r="T764" s="0" t="n">
        <f aca="false">MONTH(Q764)</f>
        <v>4</v>
      </c>
    </row>
    <row r="765" customFormat="false" ht="14.25" hidden="true" customHeight="false" outlineLevel="0" collapsed="false">
      <c r="A765" s="0" t="n">
        <v>764</v>
      </c>
      <c r="B765" s="1" t="s">
        <v>792</v>
      </c>
      <c r="C765" s="1" t="s">
        <v>1479</v>
      </c>
      <c r="D765" s="1" t="s">
        <v>1487</v>
      </c>
      <c r="E765" s="0" t="s">
        <v>1488</v>
      </c>
      <c r="F765" s="0" t="s">
        <v>48</v>
      </c>
      <c r="G765" s="0" t="s">
        <v>6130</v>
      </c>
      <c r="I765" s="6" t="n">
        <v>0.241666666666667</v>
      </c>
      <c r="K765" s="0" t="n">
        <v>93</v>
      </c>
      <c r="L765" s="0" t="n">
        <v>130</v>
      </c>
      <c r="M765" s="0" t="s">
        <v>6123</v>
      </c>
      <c r="N765" s="0" t="s">
        <v>6124</v>
      </c>
      <c r="P765" s="0" t="s">
        <v>6125</v>
      </c>
      <c r="Q765" s="2" t="n">
        <v>43193</v>
      </c>
      <c r="S765" s="0" t="n">
        <f aca="false">YEAR(Q765)</f>
        <v>2018</v>
      </c>
      <c r="T765" s="0" t="n">
        <f aca="false">MONTH(Q765)</f>
        <v>4</v>
      </c>
    </row>
    <row r="766" customFormat="false" ht="14.25" hidden="true" customHeight="false" outlineLevel="0" collapsed="false">
      <c r="A766" s="0" t="n">
        <v>765</v>
      </c>
      <c r="B766" s="1" t="s">
        <v>792</v>
      </c>
      <c r="C766" s="1" t="s">
        <v>1479</v>
      </c>
      <c r="D766" s="1" t="s">
        <v>1496</v>
      </c>
      <c r="E766" s="0" t="s">
        <v>38</v>
      </c>
      <c r="F766" s="0" t="s">
        <v>48</v>
      </c>
      <c r="G766" s="0" t="s">
        <v>6131</v>
      </c>
      <c r="I766" s="6" t="n">
        <v>0.241666666666667</v>
      </c>
      <c r="K766" s="0" t="n">
        <v>93</v>
      </c>
      <c r="L766" s="0" t="n">
        <v>130</v>
      </c>
      <c r="M766" s="0" t="s">
        <v>6132</v>
      </c>
      <c r="N766" s="0" t="s">
        <v>6133</v>
      </c>
      <c r="P766" s="0" t="s">
        <v>6134</v>
      </c>
      <c r="Q766" s="2" t="n">
        <v>43193</v>
      </c>
      <c r="S766" s="0" t="n">
        <f aca="false">YEAR(Q766)</f>
        <v>2018</v>
      </c>
      <c r="T766" s="0" t="n">
        <f aca="false">MONTH(Q766)</f>
        <v>4</v>
      </c>
    </row>
    <row r="767" customFormat="false" ht="14.25" hidden="true" customHeight="false" outlineLevel="0" collapsed="false">
      <c r="A767" s="0" t="n">
        <v>766</v>
      </c>
      <c r="B767" s="1" t="s">
        <v>792</v>
      </c>
      <c r="C767" s="1" t="s">
        <v>1503</v>
      </c>
      <c r="D767" s="1" t="s">
        <v>1535</v>
      </c>
      <c r="E767" s="0" t="s">
        <v>44</v>
      </c>
      <c r="F767" s="0" t="s">
        <v>48</v>
      </c>
      <c r="G767" s="0" t="s">
        <v>6135</v>
      </c>
      <c r="I767" s="6" t="n">
        <v>0.5</v>
      </c>
      <c r="J767" s="6" t="n">
        <v>0.576388888888889</v>
      </c>
      <c r="L767" s="0" t="n">
        <v>42</v>
      </c>
      <c r="M767" s="0" t="s">
        <v>6136</v>
      </c>
      <c r="N767" s="0" t="s">
        <v>6137</v>
      </c>
      <c r="P767" s="0" t="s">
        <v>6138</v>
      </c>
      <c r="Q767" s="2" t="n">
        <v>43193</v>
      </c>
      <c r="S767" s="0" t="n">
        <f aca="false">YEAR(Q767)</f>
        <v>2018</v>
      </c>
      <c r="T767" s="0" t="n">
        <f aca="false">MONTH(Q767)</f>
        <v>4</v>
      </c>
    </row>
    <row r="768" customFormat="false" ht="14.25" hidden="true" customHeight="false" outlineLevel="0" collapsed="false">
      <c r="A768" s="0" t="n">
        <v>767</v>
      </c>
      <c r="B768" s="1" t="s">
        <v>792</v>
      </c>
      <c r="C768" s="1" t="s">
        <v>1479</v>
      </c>
      <c r="D768" s="1" t="s">
        <v>1487</v>
      </c>
      <c r="E768" s="0" t="s">
        <v>1488</v>
      </c>
      <c r="F768" s="0" t="s">
        <v>49</v>
      </c>
      <c r="G768" s="0" t="s">
        <v>5572</v>
      </c>
      <c r="I768" s="6" t="n">
        <v>0.611111111111111</v>
      </c>
      <c r="J768" s="6" t="n">
        <v>0.649305555555556</v>
      </c>
      <c r="K768" s="0" t="n">
        <v>0</v>
      </c>
      <c r="M768" s="0" t="s">
        <v>6139</v>
      </c>
      <c r="N768" s="0" t="s">
        <v>6140</v>
      </c>
      <c r="P768" s="0" t="s">
        <v>6141</v>
      </c>
      <c r="Q768" s="2" t="n">
        <v>43193</v>
      </c>
      <c r="S768" s="0" t="n">
        <f aca="false">YEAR(Q768)</f>
        <v>2018</v>
      </c>
      <c r="T768" s="0" t="n">
        <f aca="false">MONTH(Q768)</f>
        <v>4</v>
      </c>
    </row>
    <row r="769" customFormat="false" ht="14.25" hidden="true" customHeight="false" outlineLevel="0" collapsed="false">
      <c r="A769" s="0" t="n">
        <v>768</v>
      </c>
      <c r="B769" s="1" t="s">
        <v>792</v>
      </c>
      <c r="C769" s="1" t="s">
        <v>1479</v>
      </c>
      <c r="D769" s="1" t="s">
        <v>1487</v>
      </c>
      <c r="E769" s="0" t="s">
        <v>1488</v>
      </c>
      <c r="F769" s="0" t="s">
        <v>49</v>
      </c>
      <c r="G769" s="0" t="s">
        <v>6142</v>
      </c>
      <c r="I769" s="6" t="n">
        <v>0.701388888888889</v>
      </c>
      <c r="J769" s="6" t="n">
        <v>0.709722222222222</v>
      </c>
      <c r="K769" s="0" t="n">
        <v>0</v>
      </c>
      <c r="L769" s="0" t="n">
        <v>20</v>
      </c>
      <c r="M769" s="0" t="s">
        <v>6143</v>
      </c>
      <c r="N769" s="0" t="s">
        <v>6144</v>
      </c>
      <c r="P769" s="0" t="s">
        <v>6145</v>
      </c>
      <c r="Q769" s="2" t="n">
        <v>43193</v>
      </c>
      <c r="S769" s="0" t="n">
        <f aca="false">YEAR(Q769)</f>
        <v>2018</v>
      </c>
      <c r="T769" s="0" t="n">
        <f aca="false">MONTH(Q769)</f>
        <v>4</v>
      </c>
    </row>
    <row r="770" customFormat="false" ht="14.25" hidden="true" customHeight="false" outlineLevel="0" collapsed="false">
      <c r="A770" s="0" t="n">
        <v>769</v>
      </c>
      <c r="B770" s="1" t="s">
        <v>792</v>
      </c>
      <c r="C770" s="1" t="s">
        <v>1479</v>
      </c>
      <c r="D770" s="1" t="s">
        <v>1535</v>
      </c>
      <c r="E770" s="0" t="s">
        <v>39</v>
      </c>
      <c r="F770" s="0" t="s">
        <v>49</v>
      </c>
      <c r="G770" s="0" t="s">
        <v>6146</v>
      </c>
      <c r="I770" s="6" t="n">
        <v>0.909722222222222</v>
      </c>
      <c r="J770" s="6" t="n">
        <v>0.920138888888889</v>
      </c>
      <c r="K770" s="0" t="n">
        <v>0</v>
      </c>
      <c r="M770" s="0" t="s">
        <v>6147</v>
      </c>
      <c r="N770" s="0" t="s">
        <v>4434</v>
      </c>
      <c r="Q770" s="2" t="n">
        <v>43193</v>
      </c>
      <c r="S770" s="0" t="n">
        <f aca="false">YEAR(Q770)</f>
        <v>2018</v>
      </c>
      <c r="T770" s="0" t="n">
        <f aca="false">MONTH(Q770)</f>
        <v>4</v>
      </c>
    </row>
    <row r="771" customFormat="false" ht="14.25" hidden="true" customHeight="false" outlineLevel="0" collapsed="false">
      <c r="A771" s="0" t="n">
        <v>770</v>
      </c>
      <c r="B771" s="1" t="s">
        <v>792</v>
      </c>
      <c r="C771" s="1" t="s">
        <v>1479</v>
      </c>
      <c r="D771" s="1" t="s">
        <v>1535</v>
      </c>
      <c r="E771" s="0" t="s">
        <v>39</v>
      </c>
      <c r="F771" s="0" t="s">
        <v>49</v>
      </c>
      <c r="G771" s="0" t="s">
        <v>6148</v>
      </c>
      <c r="I771" s="6" t="n">
        <v>0.930555555555555</v>
      </c>
      <c r="J771" s="6" t="n">
        <v>0.9375</v>
      </c>
      <c r="K771" s="0" t="n">
        <v>0</v>
      </c>
      <c r="L771" s="0" t="n">
        <v>25</v>
      </c>
      <c r="M771" s="0" t="s">
        <v>6149</v>
      </c>
      <c r="N771" s="0" t="s">
        <v>4434</v>
      </c>
      <c r="P771" s="0" t="s">
        <v>6150</v>
      </c>
      <c r="Q771" s="2" t="n">
        <v>43193</v>
      </c>
      <c r="S771" s="0" t="n">
        <f aca="false">YEAR(Q771)</f>
        <v>2018</v>
      </c>
      <c r="T771" s="0" t="n">
        <f aca="false">MONTH(Q771)</f>
        <v>4</v>
      </c>
    </row>
    <row r="772" customFormat="false" ht="72" hidden="true" customHeight="false" outlineLevel="0" collapsed="false">
      <c r="A772" s="0" t="n">
        <v>771</v>
      </c>
      <c r="B772" s="1" t="s">
        <v>792</v>
      </c>
      <c r="C772" s="1" t="s">
        <v>1479</v>
      </c>
      <c r="D772" s="1" t="s">
        <v>1487</v>
      </c>
      <c r="E772" s="4" t="s">
        <v>1488</v>
      </c>
      <c r="F772" s="0" t="s">
        <v>49</v>
      </c>
      <c r="G772" s="0" t="s">
        <v>6151</v>
      </c>
      <c r="J772" s="6" t="n">
        <v>0.723611111111111</v>
      </c>
      <c r="K772" s="0" t="n">
        <v>20</v>
      </c>
      <c r="L772" s="0" t="n">
        <v>126</v>
      </c>
      <c r="M772" s="7" t="s">
        <v>6152</v>
      </c>
      <c r="N772" s="7" t="s">
        <v>6153</v>
      </c>
      <c r="O772" s="7"/>
      <c r="P772" s="7" t="s">
        <v>6154</v>
      </c>
      <c r="Q772" s="2" t="n">
        <v>43193</v>
      </c>
      <c r="S772" s="0" t="n">
        <f aca="false">YEAR(Q772)</f>
        <v>2018</v>
      </c>
      <c r="T772" s="0" t="n">
        <f aca="false">MONTH(Q772)</f>
        <v>4</v>
      </c>
    </row>
    <row r="773" customFormat="false" ht="14.25" hidden="true" customHeight="false" outlineLevel="0" collapsed="false">
      <c r="A773" s="0" t="n">
        <v>772</v>
      </c>
      <c r="B773" s="1" t="s">
        <v>792</v>
      </c>
      <c r="C773" s="1" t="s">
        <v>1503</v>
      </c>
      <c r="D773" s="1" t="s">
        <v>1504</v>
      </c>
      <c r="E773" s="0" t="s">
        <v>6155</v>
      </c>
      <c r="F773" s="0" t="s">
        <v>50</v>
      </c>
      <c r="G773" s="0" t="s">
        <v>6156</v>
      </c>
      <c r="I773" s="6" t="n">
        <v>0.520833333333333</v>
      </c>
      <c r="J773" s="6" t="n">
        <v>0.676388888888889</v>
      </c>
      <c r="K773" s="0" t="n">
        <v>0</v>
      </c>
      <c r="M773" s="0" t="s">
        <v>6157</v>
      </c>
      <c r="N773" s="0" t="s">
        <v>6158</v>
      </c>
      <c r="P773" s="0" t="s">
        <v>6159</v>
      </c>
      <c r="Q773" s="2" t="n">
        <v>43193</v>
      </c>
      <c r="S773" s="0" t="n">
        <f aca="false">YEAR(Q773)</f>
        <v>2018</v>
      </c>
      <c r="T773" s="0" t="n">
        <f aca="false">MONTH(Q773)</f>
        <v>4</v>
      </c>
    </row>
    <row r="774" customFormat="false" ht="14.25" hidden="true" customHeight="false" outlineLevel="0" collapsed="false">
      <c r="A774" s="0" t="n">
        <v>773</v>
      </c>
      <c r="B774" s="1" t="s">
        <v>792</v>
      </c>
      <c r="C774" s="1" t="s">
        <v>1479</v>
      </c>
      <c r="D774" s="1" t="s">
        <v>1535</v>
      </c>
      <c r="E774" s="0" t="s">
        <v>39</v>
      </c>
      <c r="F774" s="0" t="s">
        <v>50</v>
      </c>
      <c r="G774" s="0" t="s">
        <v>6146</v>
      </c>
      <c r="I774" s="6" t="n">
        <v>0.909722222222222</v>
      </c>
      <c r="J774" s="6" t="n">
        <v>0.920138888888889</v>
      </c>
      <c r="K774" s="0" t="n">
        <v>0</v>
      </c>
      <c r="M774" s="0" t="s">
        <v>6147</v>
      </c>
      <c r="N774" s="0" t="s">
        <v>5589</v>
      </c>
      <c r="P774" s="0" t="s">
        <v>6160</v>
      </c>
      <c r="Q774" s="2" t="n">
        <v>43193</v>
      </c>
      <c r="S774" s="0" t="n">
        <f aca="false">YEAR(Q774)</f>
        <v>2018</v>
      </c>
      <c r="T774" s="0" t="n">
        <f aca="false">MONTH(Q774)</f>
        <v>4</v>
      </c>
    </row>
    <row r="775" customFormat="false" ht="14.25" hidden="true" customHeight="false" outlineLevel="0" collapsed="false">
      <c r="A775" s="0" t="n">
        <v>774</v>
      </c>
      <c r="B775" s="1" t="s">
        <v>792</v>
      </c>
      <c r="C775" s="1" t="s">
        <v>1479</v>
      </c>
      <c r="D775" s="1" t="s">
        <v>1535</v>
      </c>
      <c r="E775" s="0" t="s">
        <v>39</v>
      </c>
      <c r="F775" s="0" t="s">
        <v>50</v>
      </c>
      <c r="G775" s="0" t="s">
        <v>6161</v>
      </c>
      <c r="I775" s="6" t="n">
        <v>0.993055555555555</v>
      </c>
      <c r="J775" s="6" t="n">
        <v>0.999305555555556</v>
      </c>
      <c r="K775" s="0" t="n">
        <v>0</v>
      </c>
      <c r="M775" s="0" t="s">
        <v>6162</v>
      </c>
      <c r="N775" s="0" t="s">
        <v>6163</v>
      </c>
      <c r="P775" s="0" t="s">
        <v>6164</v>
      </c>
      <c r="Q775" s="2" t="n">
        <v>43193</v>
      </c>
      <c r="S775" s="0" t="n">
        <f aca="false">YEAR(Q775)</f>
        <v>2018</v>
      </c>
      <c r="T775" s="0" t="n">
        <f aca="false">MONTH(Q775)</f>
        <v>4</v>
      </c>
    </row>
    <row r="776" customFormat="false" ht="14.25" hidden="true" customHeight="false" outlineLevel="0" collapsed="false">
      <c r="A776" s="0" t="n">
        <v>775</v>
      </c>
      <c r="B776" s="1" t="s">
        <v>794</v>
      </c>
      <c r="C776" s="1" t="s">
        <v>1479</v>
      </c>
      <c r="D776" s="1" t="s">
        <v>1487</v>
      </c>
      <c r="E776" s="0" t="s">
        <v>1488</v>
      </c>
      <c r="F776" s="0" t="s">
        <v>48</v>
      </c>
      <c r="G776" s="0" t="s">
        <v>6165</v>
      </c>
      <c r="I776" s="6" t="n">
        <v>0.276388888888889</v>
      </c>
      <c r="J776" s="6" t="n">
        <v>0.286805555555556</v>
      </c>
      <c r="K776" s="0" t="n">
        <v>0</v>
      </c>
      <c r="L776" s="0" t="n">
        <v>10</v>
      </c>
      <c r="M776" s="0" t="s">
        <v>6166</v>
      </c>
      <c r="N776" s="0" t="s">
        <v>6167</v>
      </c>
      <c r="P776" s="0" t="s">
        <v>6168</v>
      </c>
      <c r="Q776" s="2" t="n">
        <v>43194</v>
      </c>
      <c r="S776" s="0" t="n">
        <f aca="false">YEAR(Q776)</f>
        <v>2018</v>
      </c>
      <c r="T776" s="0" t="n">
        <f aca="false">MONTH(Q776)</f>
        <v>4</v>
      </c>
    </row>
    <row r="777" customFormat="false" ht="72" hidden="true" customHeight="false" outlineLevel="0" collapsed="false">
      <c r="A777" s="0" t="n">
        <v>776</v>
      </c>
      <c r="B777" s="1" t="s">
        <v>794</v>
      </c>
      <c r="C777" s="1" t="s">
        <v>1479</v>
      </c>
      <c r="D777" s="1" t="s">
        <v>1487</v>
      </c>
      <c r="E777" s="4" t="s">
        <v>1488</v>
      </c>
      <c r="F777" s="0" t="s">
        <v>48</v>
      </c>
      <c r="G777" s="0" t="s">
        <v>6169</v>
      </c>
      <c r="J777" s="6" t="n">
        <v>0.723611111111111</v>
      </c>
      <c r="K777" s="0" t="n">
        <v>20</v>
      </c>
      <c r="L777" s="0" t="n">
        <v>126</v>
      </c>
      <c r="M777" s="7" t="s">
        <v>6170</v>
      </c>
      <c r="N777" s="0" t="s">
        <v>6171</v>
      </c>
      <c r="P777" s="0" t="s">
        <v>6172</v>
      </c>
      <c r="Q777" s="2" t="n">
        <v>43194</v>
      </c>
      <c r="S777" s="0" t="n">
        <f aca="false">YEAR(Q777)</f>
        <v>2018</v>
      </c>
      <c r="T777" s="0" t="n">
        <f aca="false">MONTH(Q777)</f>
        <v>4</v>
      </c>
    </row>
    <row r="778" customFormat="false" ht="14.25" hidden="true" customHeight="false" outlineLevel="0" collapsed="false">
      <c r="A778" s="0" t="n">
        <v>777</v>
      </c>
      <c r="B778" s="1" t="s">
        <v>794</v>
      </c>
      <c r="C778" s="1" t="s">
        <v>1503</v>
      </c>
      <c r="D778" s="1" t="s">
        <v>1504</v>
      </c>
      <c r="E778" s="0" t="s">
        <v>5217</v>
      </c>
      <c r="F778" s="0" t="s">
        <v>49</v>
      </c>
      <c r="G778" s="0" t="s">
        <v>6173</v>
      </c>
      <c r="I778" s="6" t="n">
        <v>0.583333333333333</v>
      </c>
      <c r="J778" s="6" t="n">
        <v>0.75</v>
      </c>
      <c r="M778" s="0" t="s">
        <v>6174</v>
      </c>
      <c r="N778" s="0" t="s">
        <v>6175</v>
      </c>
      <c r="P778" s="0" t="s">
        <v>6176</v>
      </c>
      <c r="Q778" s="2" t="n">
        <v>43194</v>
      </c>
      <c r="S778" s="0" t="n">
        <f aca="false">YEAR(Q778)</f>
        <v>2018</v>
      </c>
      <c r="T778" s="0" t="n">
        <f aca="false">MONTH(Q778)</f>
        <v>4</v>
      </c>
    </row>
    <row r="779" customFormat="false" ht="14.25" hidden="true" customHeight="false" outlineLevel="0" collapsed="false">
      <c r="A779" s="0" t="n">
        <v>778</v>
      </c>
      <c r="B779" s="1" t="s">
        <v>794</v>
      </c>
      <c r="C779" s="1" t="s">
        <v>1479</v>
      </c>
      <c r="D779" s="1" t="s">
        <v>1496</v>
      </c>
      <c r="E779" s="0" t="s">
        <v>38</v>
      </c>
      <c r="F779" s="0" t="s">
        <v>50</v>
      </c>
      <c r="G779" s="0" t="s">
        <v>6177</v>
      </c>
      <c r="I779" s="6" t="n">
        <v>0.190972222222222</v>
      </c>
      <c r="J779" s="6" t="n">
        <v>0.194444444444444</v>
      </c>
      <c r="K779" s="0" t="n">
        <v>14</v>
      </c>
      <c r="L779" s="0" t="n">
        <v>25</v>
      </c>
      <c r="M779" s="0" t="s">
        <v>6178</v>
      </c>
      <c r="N779" s="0" t="s">
        <v>6179</v>
      </c>
      <c r="P779" s="0" t="s">
        <v>6180</v>
      </c>
      <c r="Q779" s="2" t="n">
        <v>43194</v>
      </c>
      <c r="S779" s="0" t="n">
        <f aca="false">YEAR(Q779)</f>
        <v>2018</v>
      </c>
      <c r="T779" s="0" t="n">
        <f aca="false">MONTH(Q779)</f>
        <v>4</v>
      </c>
    </row>
    <row r="780" customFormat="false" ht="14.25" hidden="true" customHeight="false" outlineLevel="0" collapsed="false">
      <c r="A780" s="0" t="n">
        <v>779</v>
      </c>
      <c r="B780" s="1" t="s">
        <v>796</v>
      </c>
      <c r="C780" s="1" t="s">
        <v>1503</v>
      </c>
      <c r="D780" s="1" t="s">
        <v>1535</v>
      </c>
      <c r="E780" s="0" t="s">
        <v>44</v>
      </c>
      <c r="F780" s="0" t="s">
        <v>48</v>
      </c>
      <c r="G780" s="0" t="s">
        <v>6181</v>
      </c>
      <c r="J780" s="6" t="n">
        <v>0.369444444444444</v>
      </c>
      <c r="L780" s="0" t="n">
        <v>50</v>
      </c>
      <c r="M780" s="0" t="s">
        <v>6182</v>
      </c>
      <c r="N780" s="0" t="s">
        <v>6183</v>
      </c>
      <c r="P780" s="0" t="s">
        <v>6184</v>
      </c>
      <c r="Q780" s="2" t="n">
        <v>43197</v>
      </c>
      <c r="S780" s="0" t="n">
        <f aca="false">YEAR(Q780)</f>
        <v>2018</v>
      </c>
      <c r="T780" s="0" t="n">
        <f aca="false">MONTH(Q780)</f>
        <v>4</v>
      </c>
    </row>
    <row r="781" customFormat="false" ht="42.75" hidden="true" customHeight="false" outlineLevel="0" collapsed="false">
      <c r="A781" s="0" t="n">
        <v>780</v>
      </c>
      <c r="B781" s="1" t="s">
        <v>796</v>
      </c>
      <c r="C781" s="1" t="s">
        <v>1479</v>
      </c>
      <c r="D781" s="1" t="s">
        <v>1487</v>
      </c>
      <c r="E781" s="0" t="s">
        <v>1488</v>
      </c>
      <c r="F781" s="0" t="s">
        <v>49</v>
      </c>
      <c r="G781" s="0" t="s">
        <v>5913</v>
      </c>
      <c r="I781" s="6" t="n">
        <v>0.546527777777778</v>
      </c>
      <c r="J781" s="6" t="n">
        <v>0.555555555555556</v>
      </c>
      <c r="L781" s="0" t="n">
        <v>51</v>
      </c>
      <c r="M781" s="0" t="s">
        <v>3556</v>
      </c>
      <c r="N781" s="7" t="s">
        <v>5914</v>
      </c>
      <c r="O781" s="7"/>
      <c r="P781" s="0" t="s">
        <v>5915</v>
      </c>
      <c r="Q781" s="2" t="n">
        <v>43197</v>
      </c>
      <c r="S781" s="0" t="n">
        <f aca="false">YEAR(Q781)</f>
        <v>2018</v>
      </c>
      <c r="T781" s="0" t="n">
        <f aca="false">MONTH(Q781)</f>
        <v>4</v>
      </c>
    </row>
    <row r="782" customFormat="false" ht="14.25" hidden="true" customHeight="false" outlineLevel="0" collapsed="false">
      <c r="A782" s="0" t="n">
        <v>781</v>
      </c>
      <c r="B782" s="1" t="s">
        <v>796</v>
      </c>
      <c r="C782" s="1" t="s">
        <v>1479</v>
      </c>
      <c r="D782" s="1" t="s">
        <v>1487</v>
      </c>
      <c r="E782" s="0" t="s">
        <v>1488</v>
      </c>
      <c r="F782" s="0" t="s">
        <v>49</v>
      </c>
      <c r="G782" s="0" t="s">
        <v>5916</v>
      </c>
      <c r="I782" s="6" t="n">
        <v>0.665972222222222</v>
      </c>
      <c r="J782" s="6" t="n">
        <v>0.670138888888889</v>
      </c>
      <c r="L782" s="0" t="n">
        <v>28</v>
      </c>
      <c r="M782" s="0" t="s">
        <v>5917</v>
      </c>
      <c r="N782" s="0" t="s">
        <v>5918</v>
      </c>
      <c r="P782" s="0" t="s">
        <v>5919</v>
      </c>
      <c r="Q782" s="2" t="n">
        <v>43197</v>
      </c>
      <c r="S782" s="0" t="n">
        <f aca="false">YEAR(Q782)</f>
        <v>2018</v>
      </c>
      <c r="T782" s="0" t="n">
        <f aca="false">MONTH(Q782)</f>
        <v>4</v>
      </c>
    </row>
    <row r="783" customFormat="false" ht="14.25" hidden="true" customHeight="false" outlineLevel="0" collapsed="false">
      <c r="A783" s="0" t="n">
        <v>782</v>
      </c>
      <c r="B783" s="1" t="s">
        <v>796</v>
      </c>
      <c r="C783" s="1" t="s">
        <v>1479</v>
      </c>
      <c r="D783" s="1" t="s">
        <v>1535</v>
      </c>
      <c r="E783" s="0" t="s">
        <v>39</v>
      </c>
      <c r="F783" s="0" t="s">
        <v>49</v>
      </c>
      <c r="G783" s="0" t="s">
        <v>5920</v>
      </c>
      <c r="I783" s="6" t="n">
        <v>0.6875</v>
      </c>
      <c r="J783" s="6" t="n">
        <v>0.694444444444444</v>
      </c>
      <c r="L783" s="0" t="n">
        <v>22</v>
      </c>
      <c r="M783" s="0" t="s">
        <v>5921</v>
      </c>
      <c r="N783" s="0" t="s">
        <v>5922</v>
      </c>
      <c r="P783" s="0" t="s">
        <v>5923</v>
      </c>
      <c r="Q783" s="2" t="n">
        <v>43197</v>
      </c>
      <c r="S783" s="0" t="n">
        <f aca="false">YEAR(Q783)</f>
        <v>2018</v>
      </c>
      <c r="T783" s="0" t="n">
        <f aca="false">MONTH(Q783)</f>
        <v>4</v>
      </c>
    </row>
    <row r="784" customFormat="false" ht="14.25" hidden="true" customHeight="false" outlineLevel="0" collapsed="false">
      <c r="A784" s="0" t="n">
        <v>783</v>
      </c>
      <c r="B784" s="1" t="s">
        <v>796</v>
      </c>
      <c r="C784" s="1" t="s">
        <v>1479</v>
      </c>
      <c r="D784" s="1" t="s">
        <v>1487</v>
      </c>
      <c r="E784" s="0" t="s">
        <v>1488</v>
      </c>
      <c r="F784" s="0" t="s">
        <v>49</v>
      </c>
      <c r="G784" s="0" t="s">
        <v>6185</v>
      </c>
      <c r="I784" s="6" t="n">
        <v>0.649305555555556</v>
      </c>
      <c r="J784" s="6" t="n">
        <v>0.659722222222222</v>
      </c>
      <c r="K784" s="0" t="n">
        <v>57</v>
      </c>
      <c r="L784" s="0" t="n">
        <v>120</v>
      </c>
      <c r="M784" s="0" t="s">
        <v>5618</v>
      </c>
      <c r="N784" s="0" t="s">
        <v>6186</v>
      </c>
      <c r="P784" s="0" t="s">
        <v>6187</v>
      </c>
      <c r="Q784" s="2" t="n">
        <v>43197</v>
      </c>
      <c r="S784" s="0" t="n">
        <f aca="false">YEAR(Q784)</f>
        <v>2018</v>
      </c>
      <c r="T784" s="0" t="n">
        <f aca="false">MONTH(Q784)</f>
        <v>4</v>
      </c>
    </row>
    <row r="785" customFormat="false" ht="14.25" hidden="true" customHeight="false" outlineLevel="0" collapsed="false">
      <c r="A785" s="0" t="n">
        <v>784</v>
      </c>
      <c r="B785" s="1" t="s">
        <v>797</v>
      </c>
      <c r="C785" s="1" t="s">
        <v>1503</v>
      </c>
      <c r="D785" s="1" t="s">
        <v>1535</v>
      </c>
      <c r="E785" s="0" t="s">
        <v>44</v>
      </c>
      <c r="F785" s="0" t="s">
        <v>48</v>
      </c>
      <c r="G785" s="0" t="s">
        <v>6188</v>
      </c>
      <c r="I785" s="6" t="n">
        <v>0.268055555555556</v>
      </c>
      <c r="J785" s="6" t="n">
        <v>0.279861111111111</v>
      </c>
      <c r="L785" s="0" t="n">
        <v>25</v>
      </c>
      <c r="M785" s="0" t="s">
        <v>6189</v>
      </c>
      <c r="N785" s="0" t="s">
        <v>6190</v>
      </c>
      <c r="P785" s="0" t="s">
        <v>6191</v>
      </c>
      <c r="Q785" s="2" t="n">
        <v>43196</v>
      </c>
      <c r="S785" s="0" t="n">
        <f aca="false">YEAR(Q785)</f>
        <v>2018</v>
      </c>
      <c r="T785" s="0" t="n">
        <f aca="false">MONTH(Q785)</f>
        <v>4</v>
      </c>
    </row>
    <row r="786" customFormat="false" ht="14.25" hidden="true" customHeight="false" outlineLevel="0" collapsed="false">
      <c r="A786" s="0" t="n">
        <v>785</v>
      </c>
      <c r="B786" s="1" t="s">
        <v>797</v>
      </c>
      <c r="C786" s="1" t="s">
        <v>1503</v>
      </c>
      <c r="D786" s="1" t="s">
        <v>1535</v>
      </c>
      <c r="E786" s="0" t="s">
        <v>44</v>
      </c>
      <c r="F786" s="0" t="s">
        <v>48</v>
      </c>
      <c r="G786" s="0" t="s">
        <v>6192</v>
      </c>
      <c r="J786" s="6" t="n">
        <v>0.3125</v>
      </c>
      <c r="L786" s="0" t="n">
        <v>240</v>
      </c>
      <c r="M786" s="0" t="s">
        <v>6193</v>
      </c>
      <c r="N786" s="0" t="s">
        <v>6194</v>
      </c>
      <c r="P786" s="0" t="s">
        <v>6195</v>
      </c>
      <c r="Q786" s="2" t="n">
        <v>43196</v>
      </c>
      <c r="S786" s="0" t="n">
        <f aca="false">YEAR(Q786)</f>
        <v>2018</v>
      </c>
      <c r="T786" s="0" t="n">
        <f aca="false">MONTH(Q786)</f>
        <v>4</v>
      </c>
    </row>
    <row r="787" customFormat="false" ht="14.25" hidden="true" customHeight="false" outlineLevel="0" collapsed="false">
      <c r="A787" s="0" t="n">
        <v>786</v>
      </c>
      <c r="B787" s="1" t="s">
        <v>797</v>
      </c>
      <c r="C787" s="1" t="s">
        <v>1479</v>
      </c>
      <c r="D787" s="1" t="s">
        <v>1535</v>
      </c>
      <c r="E787" s="0" t="s">
        <v>39</v>
      </c>
      <c r="F787" s="0" t="s">
        <v>49</v>
      </c>
      <c r="G787" s="0" t="s">
        <v>6196</v>
      </c>
      <c r="I787" s="6" t="n">
        <v>0.704861111111111</v>
      </c>
      <c r="J787" s="6" t="n">
        <v>0.708333333333333</v>
      </c>
      <c r="K787" s="0" t="n">
        <v>0</v>
      </c>
      <c r="L787" s="0" t="n">
        <v>40</v>
      </c>
      <c r="M787" s="0" t="s">
        <v>6197</v>
      </c>
      <c r="N787" s="0" t="s">
        <v>6198</v>
      </c>
      <c r="P787" s="0" t="s">
        <v>6199</v>
      </c>
      <c r="Q787" s="2" t="n">
        <v>43196</v>
      </c>
      <c r="S787" s="0" t="n">
        <f aca="false">YEAR(Q787)</f>
        <v>2018</v>
      </c>
      <c r="T787" s="0" t="n">
        <f aca="false">MONTH(Q787)</f>
        <v>4</v>
      </c>
    </row>
    <row r="788" customFormat="false" ht="14.25" hidden="true" customHeight="false" outlineLevel="0" collapsed="false">
      <c r="A788" s="0" t="n">
        <v>787</v>
      </c>
      <c r="B788" s="1" t="s">
        <v>797</v>
      </c>
      <c r="C788" s="1" t="s">
        <v>1479</v>
      </c>
      <c r="D788" s="1" t="s">
        <v>1535</v>
      </c>
      <c r="E788" s="0" t="s">
        <v>39</v>
      </c>
      <c r="F788" s="0" t="s">
        <v>49</v>
      </c>
      <c r="G788" s="0" t="s">
        <v>4683</v>
      </c>
      <c r="I788" s="6" t="n">
        <v>0.743055555555555</v>
      </c>
      <c r="J788" s="6" t="n">
        <v>0.746527777777778</v>
      </c>
      <c r="L788" s="0" t="n">
        <v>38</v>
      </c>
      <c r="M788" s="0" t="s">
        <v>6200</v>
      </c>
      <c r="N788" s="0" t="s">
        <v>6201</v>
      </c>
      <c r="P788" s="0" t="s">
        <v>6202</v>
      </c>
      <c r="Q788" s="2" t="n">
        <v>43196</v>
      </c>
      <c r="S788" s="0" t="n">
        <f aca="false">YEAR(Q788)</f>
        <v>2018</v>
      </c>
      <c r="T788" s="0" t="n">
        <f aca="false">MONTH(Q788)</f>
        <v>4</v>
      </c>
    </row>
    <row r="789" customFormat="false" ht="14.25" hidden="true" customHeight="false" outlineLevel="0" collapsed="false">
      <c r="A789" s="0" t="n">
        <v>788</v>
      </c>
      <c r="B789" s="1" t="s">
        <v>797</v>
      </c>
      <c r="C789" s="1" t="s">
        <v>1479</v>
      </c>
      <c r="D789" s="1" t="s">
        <v>1487</v>
      </c>
      <c r="E789" s="4" t="s">
        <v>1488</v>
      </c>
      <c r="F789" s="0" t="s">
        <v>49</v>
      </c>
      <c r="G789" s="0" t="s">
        <v>6203</v>
      </c>
      <c r="I789" s="6" t="n">
        <v>0.909722222222222</v>
      </c>
      <c r="J789" s="6" t="n">
        <v>0.909722222222222</v>
      </c>
      <c r="K789" s="0" t="n">
        <v>6</v>
      </c>
      <c r="L789" s="0" t="n">
        <v>7</v>
      </c>
      <c r="M789" s="0" t="s">
        <v>6204</v>
      </c>
      <c r="N789" s="0" t="s">
        <v>6205</v>
      </c>
      <c r="P789" s="0" t="s">
        <v>6206</v>
      </c>
      <c r="Q789" s="2" t="n">
        <v>43196</v>
      </c>
      <c r="S789" s="0" t="n">
        <f aca="false">YEAR(Q789)</f>
        <v>2018</v>
      </c>
      <c r="T789" s="0" t="n">
        <f aca="false">MONTH(Q789)</f>
        <v>4</v>
      </c>
    </row>
    <row r="790" customFormat="false" ht="57" hidden="true" customHeight="false" outlineLevel="0" collapsed="false">
      <c r="A790" s="0" t="n">
        <v>789</v>
      </c>
      <c r="B790" s="1" t="s">
        <v>797</v>
      </c>
      <c r="C790" s="1" t="s">
        <v>1479</v>
      </c>
      <c r="D790" s="1" t="s">
        <v>1496</v>
      </c>
      <c r="E790" s="0" t="s">
        <v>38</v>
      </c>
      <c r="F790" s="0" t="s">
        <v>50</v>
      </c>
      <c r="G790" s="0" t="s">
        <v>6207</v>
      </c>
      <c r="I790" s="6" t="n">
        <v>0.965972222222222</v>
      </c>
      <c r="J790" s="6" t="n">
        <v>0.00972222222222222</v>
      </c>
      <c r="K790" s="0" t="n">
        <v>59</v>
      </c>
      <c r="L790" s="0" t="n">
        <v>110</v>
      </c>
      <c r="M790" s="0" t="s">
        <v>6208</v>
      </c>
      <c r="N790" s="0" t="s">
        <v>6209</v>
      </c>
      <c r="P790" s="7" t="s">
        <v>6210</v>
      </c>
      <c r="Q790" s="2" t="n">
        <v>43196</v>
      </c>
      <c r="S790" s="0" t="n">
        <f aca="false">YEAR(Q790)</f>
        <v>2018</v>
      </c>
      <c r="T790" s="0" t="n">
        <f aca="false">MONTH(Q790)</f>
        <v>4</v>
      </c>
    </row>
    <row r="791" customFormat="false" ht="14.25" hidden="true" customHeight="false" outlineLevel="0" collapsed="false">
      <c r="A791" s="0" t="n">
        <v>790</v>
      </c>
      <c r="B791" s="1" t="s">
        <v>797</v>
      </c>
      <c r="C791" s="1" t="s">
        <v>1479</v>
      </c>
      <c r="D791" s="1" t="s">
        <v>1487</v>
      </c>
      <c r="E791" s="4" t="s">
        <v>1488</v>
      </c>
      <c r="F791" s="0" t="s">
        <v>50</v>
      </c>
      <c r="G791" s="0" t="s">
        <v>6211</v>
      </c>
      <c r="I791" s="6" t="n">
        <v>0.111111111111111</v>
      </c>
      <c r="J791" s="6" t="n">
        <v>0.194444444444444</v>
      </c>
      <c r="K791" s="0" t="n">
        <v>40</v>
      </c>
      <c r="L791" s="0" t="n">
        <v>50</v>
      </c>
      <c r="M791" s="0" t="s">
        <v>6212</v>
      </c>
      <c r="N791" s="0" t="s">
        <v>6213</v>
      </c>
      <c r="P791" s="0" t="s">
        <v>6214</v>
      </c>
      <c r="Q791" s="2" t="n">
        <v>43196</v>
      </c>
      <c r="S791" s="0" t="n">
        <f aca="false">YEAR(Q791)</f>
        <v>2018</v>
      </c>
      <c r="T791" s="0" t="n">
        <f aca="false">MONTH(Q791)</f>
        <v>4</v>
      </c>
    </row>
    <row r="792" customFormat="false" ht="14.25" hidden="true" customHeight="false" outlineLevel="0" collapsed="false">
      <c r="A792" s="0" t="n">
        <v>791</v>
      </c>
      <c r="B792" s="1" t="s">
        <v>799</v>
      </c>
      <c r="C792" s="1" t="s">
        <v>1479</v>
      </c>
      <c r="D792" s="1" t="s">
        <v>1496</v>
      </c>
      <c r="E792" s="0" t="s">
        <v>38</v>
      </c>
      <c r="F792" s="0" t="s">
        <v>49</v>
      </c>
      <c r="G792" s="0" t="s">
        <v>1498</v>
      </c>
      <c r="I792" s="6" t="n">
        <v>0.708333333333333</v>
      </c>
      <c r="J792" s="6" t="n">
        <v>0.724305555555556</v>
      </c>
      <c r="K792" s="0" t="n">
        <v>0</v>
      </c>
      <c r="L792" s="0" t="n">
        <v>0</v>
      </c>
      <c r="M792" s="0" t="s">
        <v>6215</v>
      </c>
      <c r="N792" s="0" t="s">
        <v>6216</v>
      </c>
      <c r="P792" s="0" t="s">
        <v>6217</v>
      </c>
      <c r="Q792" s="2" t="n">
        <v>43195</v>
      </c>
      <c r="S792" s="0" t="n">
        <f aca="false">YEAR(Q792)</f>
        <v>2018</v>
      </c>
      <c r="T792" s="0" t="n">
        <f aca="false">MONTH(Q792)</f>
        <v>4</v>
      </c>
    </row>
    <row r="793" customFormat="false" ht="14.25" hidden="true" customHeight="false" outlineLevel="0" collapsed="false">
      <c r="A793" s="0" t="n">
        <v>792</v>
      </c>
      <c r="B793" s="1" t="s">
        <v>799</v>
      </c>
      <c r="C793" s="1" t="s">
        <v>1479</v>
      </c>
      <c r="D793" s="1" t="s">
        <v>1496</v>
      </c>
      <c r="E793" s="0" t="s">
        <v>38</v>
      </c>
      <c r="F793" s="0" t="s">
        <v>49</v>
      </c>
      <c r="G793" s="0" t="s">
        <v>6218</v>
      </c>
      <c r="K793" s="0" t="n">
        <v>0</v>
      </c>
      <c r="L793" s="0" t="n">
        <v>0</v>
      </c>
      <c r="M793" s="0" t="s">
        <v>6219</v>
      </c>
      <c r="N793" s="0" t="s">
        <v>6220</v>
      </c>
      <c r="P793" s="0" t="s">
        <v>6221</v>
      </c>
      <c r="Q793" s="2" t="n">
        <v>43195</v>
      </c>
      <c r="S793" s="0" t="n">
        <f aca="false">YEAR(Q793)</f>
        <v>2018</v>
      </c>
      <c r="T793" s="0" t="n">
        <f aca="false">MONTH(Q793)</f>
        <v>4</v>
      </c>
    </row>
    <row r="794" customFormat="false" ht="14.25" hidden="true" customHeight="false" outlineLevel="0" collapsed="false">
      <c r="A794" s="0" t="n">
        <v>793</v>
      </c>
      <c r="B794" s="1" t="s">
        <v>799</v>
      </c>
      <c r="C794" s="1" t="s">
        <v>1479</v>
      </c>
      <c r="D794" s="1" t="s">
        <v>1487</v>
      </c>
      <c r="E794" s="0" t="s">
        <v>1488</v>
      </c>
      <c r="F794" s="0" t="s">
        <v>49</v>
      </c>
      <c r="G794" s="0" t="s">
        <v>6222</v>
      </c>
      <c r="I794" s="6" t="n">
        <v>0.916666666666667</v>
      </c>
      <c r="J794" s="6" t="n">
        <v>0.916666666666667</v>
      </c>
      <c r="K794" s="0" t="n">
        <v>0</v>
      </c>
      <c r="L794" s="0" t="n">
        <v>28</v>
      </c>
      <c r="M794" s="0" t="s">
        <v>6223</v>
      </c>
      <c r="N794" s="0" t="s">
        <v>6224</v>
      </c>
      <c r="P794" s="0" t="s">
        <v>6225</v>
      </c>
      <c r="Q794" s="2" t="n">
        <v>43195</v>
      </c>
      <c r="S794" s="0" t="n">
        <f aca="false">YEAR(Q794)</f>
        <v>2018</v>
      </c>
      <c r="T794" s="0" t="n">
        <f aca="false">MONTH(Q794)</f>
        <v>4</v>
      </c>
    </row>
    <row r="795" customFormat="false" ht="14.25" hidden="true" customHeight="false" outlineLevel="0" collapsed="false">
      <c r="A795" s="0" t="n">
        <v>794</v>
      </c>
      <c r="B795" s="1" t="s">
        <v>799</v>
      </c>
      <c r="C795" s="1" t="s">
        <v>1479</v>
      </c>
      <c r="D795" s="1" t="s">
        <v>1487</v>
      </c>
      <c r="E795" s="4" t="s">
        <v>1488</v>
      </c>
      <c r="F795" s="0" t="s">
        <v>49</v>
      </c>
      <c r="G795" s="0" t="s">
        <v>6226</v>
      </c>
      <c r="I795" s="6" t="n">
        <v>0.868055555555555</v>
      </c>
      <c r="J795" s="6" t="n">
        <v>0.888888888888889</v>
      </c>
      <c r="K795" s="0" t="n">
        <v>27</v>
      </c>
      <c r="L795" s="0" t="n">
        <v>43</v>
      </c>
      <c r="M795" s="0" t="s">
        <v>6227</v>
      </c>
      <c r="N795" s="0" t="s">
        <v>6228</v>
      </c>
      <c r="P795" s="0" t="s">
        <v>6229</v>
      </c>
      <c r="Q795" s="2" t="n">
        <v>43195</v>
      </c>
      <c r="S795" s="0" t="n">
        <f aca="false">YEAR(Q795)</f>
        <v>2018</v>
      </c>
      <c r="T795" s="0" t="n">
        <f aca="false">MONTH(Q795)</f>
        <v>4</v>
      </c>
    </row>
    <row r="796" customFormat="false" ht="57" hidden="true" customHeight="false" outlineLevel="0" collapsed="false">
      <c r="A796" s="0" t="n">
        <v>795</v>
      </c>
      <c r="B796" s="1" t="s">
        <v>799</v>
      </c>
      <c r="C796" s="1" t="s">
        <v>1479</v>
      </c>
      <c r="D796" s="1" t="s">
        <v>1487</v>
      </c>
      <c r="E796" s="4" t="s">
        <v>1488</v>
      </c>
      <c r="F796" s="0" t="s">
        <v>50</v>
      </c>
      <c r="G796" s="0" t="s">
        <v>6230</v>
      </c>
      <c r="I796" s="6" t="n">
        <v>0.00763888888888889</v>
      </c>
      <c r="J796" s="6" t="n">
        <v>0.0520833333333333</v>
      </c>
      <c r="K796" s="0" t="n">
        <v>15</v>
      </c>
      <c r="L796" s="0" t="n">
        <v>200</v>
      </c>
      <c r="M796" s="0" t="s">
        <v>6231</v>
      </c>
      <c r="N796" s="0" t="s">
        <v>6232</v>
      </c>
      <c r="P796" s="7" t="s">
        <v>6233</v>
      </c>
      <c r="Q796" s="2" t="n">
        <v>43195</v>
      </c>
      <c r="S796" s="0" t="n">
        <f aca="false">YEAR(Q796)</f>
        <v>2018</v>
      </c>
      <c r="T796" s="0" t="n">
        <f aca="false">MONTH(Q796)</f>
        <v>4</v>
      </c>
    </row>
    <row r="797" customFormat="false" ht="42.75" hidden="true" customHeight="false" outlineLevel="0" collapsed="false">
      <c r="A797" s="0" t="n">
        <v>796</v>
      </c>
      <c r="B797" s="1" t="s">
        <v>799</v>
      </c>
      <c r="C797" s="1" t="s">
        <v>1479</v>
      </c>
      <c r="D797" s="1" t="s">
        <v>1487</v>
      </c>
      <c r="E797" s="0" t="s">
        <v>1488</v>
      </c>
      <c r="F797" s="0" t="s">
        <v>50</v>
      </c>
      <c r="G797" s="0" t="s">
        <v>6234</v>
      </c>
      <c r="I797" s="6" t="n">
        <v>0.0798611111111111</v>
      </c>
      <c r="J797" s="6" t="n">
        <v>0.0833333333333333</v>
      </c>
      <c r="K797" s="0" t="n">
        <v>0</v>
      </c>
      <c r="L797" s="0" t="n">
        <v>20</v>
      </c>
      <c r="M797" s="0" t="s">
        <v>6235</v>
      </c>
      <c r="N797" s="0" t="s">
        <v>6236</v>
      </c>
      <c r="P797" s="7" t="s">
        <v>6237</v>
      </c>
      <c r="Q797" s="2" t="n">
        <v>43195</v>
      </c>
      <c r="S797" s="0" t="n">
        <f aca="false">YEAR(Q797)</f>
        <v>2018</v>
      </c>
      <c r="T797" s="0" t="n">
        <f aca="false">MONTH(Q797)</f>
        <v>4</v>
      </c>
    </row>
    <row r="798" customFormat="false" ht="42.75" hidden="true" customHeight="false" outlineLevel="0" collapsed="false">
      <c r="A798" s="0" t="n">
        <v>797</v>
      </c>
      <c r="B798" s="1" t="s">
        <v>800</v>
      </c>
      <c r="C798" s="1" t="s">
        <v>1479</v>
      </c>
      <c r="D798" s="1" t="s">
        <v>1487</v>
      </c>
      <c r="E798" s="4" t="s">
        <v>1488</v>
      </c>
      <c r="F798" s="0" t="s">
        <v>50</v>
      </c>
      <c r="G798" s="0" t="s">
        <v>6238</v>
      </c>
      <c r="I798" s="6" t="n">
        <v>0.00347222222222222</v>
      </c>
      <c r="J798" s="6" t="n">
        <v>0.0277777777777778</v>
      </c>
      <c r="K798" s="0" t="n">
        <v>14</v>
      </c>
      <c r="L798" s="0" t="n">
        <v>55</v>
      </c>
      <c r="M798" s="7" t="s">
        <v>6239</v>
      </c>
      <c r="N798" s="7" t="s">
        <v>6240</v>
      </c>
      <c r="O798" s="7"/>
      <c r="P798" s="7" t="s">
        <v>6241</v>
      </c>
      <c r="Q798" s="2" t="n">
        <v>43198</v>
      </c>
      <c r="S798" s="0" t="n">
        <f aca="false">YEAR(Q798)</f>
        <v>2018</v>
      </c>
      <c r="T798" s="0" t="n">
        <f aca="false">MONTH(Q798)</f>
        <v>4</v>
      </c>
    </row>
    <row r="799" customFormat="false" ht="14.25" hidden="true" customHeight="false" outlineLevel="0" collapsed="false">
      <c r="A799" s="0" t="n">
        <v>798</v>
      </c>
      <c r="B799" s="1" t="s">
        <v>801</v>
      </c>
      <c r="C799" s="1" t="s">
        <v>1503</v>
      </c>
      <c r="D799" s="1" t="s">
        <v>1535</v>
      </c>
      <c r="E799" s="0" t="s">
        <v>44</v>
      </c>
      <c r="F799" s="0" t="s">
        <v>48</v>
      </c>
      <c r="G799" s="0" t="s">
        <v>6242</v>
      </c>
      <c r="I799" s="6" t="n">
        <v>0.166666666666667</v>
      </c>
      <c r="J799" s="6" t="n">
        <v>0.305555555555555</v>
      </c>
      <c r="L799" s="0" t="n">
        <v>180</v>
      </c>
      <c r="M799" s="0" t="s">
        <v>6243</v>
      </c>
      <c r="N799" s="0" t="s">
        <v>6244</v>
      </c>
      <c r="P799" s="0" t="s">
        <v>6245</v>
      </c>
      <c r="Q799" s="2" t="n">
        <v>43199</v>
      </c>
      <c r="S799" s="0" t="n">
        <f aca="false">YEAR(Q799)</f>
        <v>2018</v>
      </c>
      <c r="T799" s="0" t="n">
        <f aca="false">MONTH(Q799)</f>
        <v>4</v>
      </c>
    </row>
    <row r="800" customFormat="false" ht="14.25" hidden="true" customHeight="false" outlineLevel="0" collapsed="false">
      <c r="A800" s="0" t="n">
        <v>799</v>
      </c>
      <c r="B800" s="1" t="s">
        <v>801</v>
      </c>
      <c r="C800" s="1" t="s">
        <v>1479</v>
      </c>
      <c r="D800" s="1" t="s">
        <v>1487</v>
      </c>
      <c r="E800" s="4" t="s">
        <v>1488</v>
      </c>
      <c r="F800" s="0" t="s">
        <v>50</v>
      </c>
      <c r="G800" s="0" t="s">
        <v>6246</v>
      </c>
      <c r="I800" s="6" t="n">
        <v>0.00347222222222222</v>
      </c>
      <c r="J800" s="6" t="n">
        <v>0.0277777777777778</v>
      </c>
      <c r="K800" s="0" t="n">
        <v>14</v>
      </c>
      <c r="L800" s="0" t="n">
        <v>55</v>
      </c>
      <c r="M800" s="0" t="s">
        <v>6247</v>
      </c>
      <c r="N800" s="0" t="s">
        <v>6248</v>
      </c>
      <c r="P800" s="0" t="s">
        <v>6249</v>
      </c>
      <c r="Q800" s="2" t="n">
        <v>43199</v>
      </c>
      <c r="S800" s="0" t="n">
        <f aca="false">YEAR(Q800)</f>
        <v>2018</v>
      </c>
      <c r="T800" s="0" t="n">
        <f aca="false">MONTH(Q800)</f>
        <v>4</v>
      </c>
    </row>
    <row r="801" customFormat="false" ht="14.25" hidden="true" customHeight="false" outlineLevel="0" collapsed="false">
      <c r="A801" s="0" t="n">
        <v>800</v>
      </c>
      <c r="B801" s="1" t="s">
        <v>804</v>
      </c>
      <c r="C801" s="1" t="s">
        <v>1479</v>
      </c>
      <c r="D801" s="1" t="s">
        <v>1487</v>
      </c>
      <c r="E801" s="0" t="s">
        <v>1488</v>
      </c>
      <c r="F801" s="0" t="s">
        <v>48</v>
      </c>
      <c r="G801" s="0" t="s">
        <v>6250</v>
      </c>
      <c r="J801" s="6" t="n">
        <v>0.254166666666667</v>
      </c>
      <c r="L801" s="0" t="n">
        <v>29</v>
      </c>
      <c r="M801" s="0" t="s">
        <v>6251</v>
      </c>
      <c r="N801" s="0" t="s">
        <v>6252</v>
      </c>
      <c r="P801" s="0" t="s">
        <v>6253</v>
      </c>
      <c r="Q801" s="2" t="n">
        <v>43200</v>
      </c>
      <c r="S801" s="0" t="n">
        <f aca="false">YEAR(Q801)</f>
        <v>2018</v>
      </c>
      <c r="T801" s="0" t="n">
        <f aca="false">MONTH(Q801)</f>
        <v>4</v>
      </c>
    </row>
    <row r="802" customFormat="false" ht="14.25" hidden="true" customHeight="false" outlineLevel="0" collapsed="false">
      <c r="A802" s="0" t="n">
        <v>801</v>
      </c>
      <c r="B802" s="1" t="s">
        <v>804</v>
      </c>
      <c r="C802" s="1" t="s">
        <v>1479</v>
      </c>
      <c r="D802" s="1" t="s">
        <v>1535</v>
      </c>
      <c r="E802" s="0" t="s">
        <v>39</v>
      </c>
      <c r="F802" s="0" t="s">
        <v>48</v>
      </c>
      <c r="G802" s="0" t="s">
        <v>6254</v>
      </c>
      <c r="I802" s="6" t="n">
        <v>0.245833333333333</v>
      </c>
      <c r="J802" s="6" t="n">
        <v>0.269444444444444</v>
      </c>
      <c r="M802" s="0" t="s">
        <v>6255</v>
      </c>
      <c r="N802" s="0" t="s">
        <v>6256</v>
      </c>
      <c r="P802" s="0" t="s">
        <v>6257</v>
      </c>
      <c r="Q802" s="2" t="n">
        <v>43200</v>
      </c>
      <c r="S802" s="0" t="n">
        <f aca="false">YEAR(Q802)</f>
        <v>2018</v>
      </c>
      <c r="T802" s="0" t="n">
        <f aca="false">MONTH(Q802)</f>
        <v>4</v>
      </c>
    </row>
    <row r="803" customFormat="false" ht="14.25" hidden="true" customHeight="false" outlineLevel="0" collapsed="false">
      <c r="A803" s="0" t="n">
        <v>802</v>
      </c>
      <c r="B803" s="1" t="s">
        <v>804</v>
      </c>
      <c r="C803" s="1" t="s">
        <v>1479</v>
      </c>
      <c r="D803" s="1" t="s">
        <v>1535</v>
      </c>
      <c r="E803" s="0" t="s">
        <v>39</v>
      </c>
      <c r="F803" s="0" t="s">
        <v>48</v>
      </c>
      <c r="G803" s="0" t="s">
        <v>6258</v>
      </c>
      <c r="J803" s="6" t="n">
        <v>0.0625</v>
      </c>
      <c r="M803" s="0" t="s">
        <v>6259</v>
      </c>
      <c r="N803" s="0" t="s">
        <v>6260</v>
      </c>
      <c r="P803" s="0" t="s">
        <v>6261</v>
      </c>
      <c r="Q803" s="2" t="n">
        <v>43200</v>
      </c>
      <c r="S803" s="0" t="n">
        <f aca="false">YEAR(Q803)</f>
        <v>2018</v>
      </c>
      <c r="T803" s="0" t="n">
        <f aca="false">MONTH(Q803)</f>
        <v>4</v>
      </c>
    </row>
    <row r="804" customFormat="false" ht="14.25" hidden="true" customHeight="false" outlineLevel="0" collapsed="false">
      <c r="A804" s="0" t="n">
        <v>803</v>
      </c>
      <c r="B804" s="1" t="s">
        <v>804</v>
      </c>
      <c r="C804" s="1" t="s">
        <v>1503</v>
      </c>
      <c r="D804" s="1" t="s">
        <v>1504</v>
      </c>
      <c r="E804" s="0" t="s">
        <v>45</v>
      </c>
      <c r="F804" s="0" t="s">
        <v>48</v>
      </c>
      <c r="G804" s="0" t="s">
        <v>6262</v>
      </c>
      <c r="J804" s="6" t="n">
        <v>0.4</v>
      </c>
      <c r="L804" s="0" t="n">
        <v>120</v>
      </c>
      <c r="M804" s="0" t="s">
        <v>6263</v>
      </c>
      <c r="N804" s="0" t="s">
        <v>6264</v>
      </c>
      <c r="P804" s="0" t="s">
        <v>6265</v>
      </c>
      <c r="Q804" s="2" t="n">
        <v>43200</v>
      </c>
      <c r="S804" s="0" t="n">
        <f aca="false">YEAR(Q804)</f>
        <v>2018</v>
      </c>
      <c r="T804" s="0" t="n">
        <f aca="false">MONTH(Q804)</f>
        <v>4</v>
      </c>
    </row>
    <row r="805" customFormat="false" ht="14.25" hidden="true" customHeight="false" outlineLevel="0" collapsed="false">
      <c r="A805" s="0" t="n">
        <v>804</v>
      </c>
      <c r="B805" s="1" t="s">
        <v>804</v>
      </c>
      <c r="C805" s="1" t="s">
        <v>1503</v>
      </c>
      <c r="D805" s="1" t="s">
        <v>1504</v>
      </c>
      <c r="E805" s="0" t="s">
        <v>45</v>
      </c>
      <c r="F805" s="0" t="s">
        <v>48</v>
      </c>
      <c r="G805" s="0" t="s">
        <v>6266</v>
      </c>
      <c r="M805" s="0" t="s">
        <v>6267</v>
      </c>
      <c r="N805" s="0" t="s">
        <v>6268</v>
      </c>
      <c r="P805" s="0" t="s">
        <v>6269</v>
      </c>
      <c r="Q805" s="2" t="n">
        <v>43200</v>
      </c>
      <c r="S805" s="0" t="n">
        <f aca="false">YEAR(Q805)</f>
        <v>2018</v>
      </c>
      <c r="T805" s="0" t="n">
        <f aca="false">MONTH(Q805)</f>
        <v>4</v>
      </c>
    </row>
    <row r="806" customFormat="false" ht="14.25" hidden="true" customHeight="false" outlineLevel="0" collapsed="false">
      <c r="A806" s="0" t="n">
        <v>805</v>
      </c>
      <c r="B806" s="1" t="s">
        <v>804</v>
      </c>
      <c r="C806" s="1" t="s">
        <v>1479</v>
      </c>
      <c r="D806" s="1" t="s">
        <v>1487</v>
      </c>
      <c r="E806" s="4" t="s">
        <v>1488</v>
      </c>
      <c r="F806" s="0" t="s">
        <v>49</v>
      </c>
      <c r="G806" s="0" t="s">
        <v>6270</v>
      </c>
      <c r="I806" s="6" t="n">
        <v>0.805555555555555</v>
      </c>
      <c r="J806" s="6" t="n">
        <v>0.8125</v>
      </c>
      <c r="K806" s="0" t="n">
        <v>21</v>
      </c>
      <c r="L806" s="0" t="n">
        <v>27</v>
      </c>
      <c r="M806" s="0" t="s">
        <v>6271</v>
      </c>
      <c r="N806" s="0" t="s">
        <v>6272</v>
      </c>
      <c r="P806" s="0" t="s">
        <v>6273</v>
      </c>
      <c r="Q806" s="2" t="n">
        <v>43200</v>
      </c>
      <c r="S806" s="0" t="n">
        <f aca="false">YEAR(Q806)</f>
        <v>2018</v>
      </c>
      <c r="T806" s="0" t="n">
        <f aca="false">MONTH(Q806)</f>
        <v>4</v>
      </c>
    </row>
    <row r="807" customFormat="false" ht="14.25" hidden="true" customHeight="false" outlineLevel="0" collapsed="false">
      <c r="A807" s="0" t="n">
        <v>806</v>
      </c>
      <c r="B807" s="1" t="s">
        <v>804</v>
      </c>
      <c r="C807" s="1" t="s">
        <v>1479</v>
      </c>
      <c r="D807" s="1" t="s">
        <v>1487</v>
      </c>
      <c r="E807" s="4" t="s">
        <v>1488</v>
      </c>
      <c r="F807" s="0" t="s">
        <v>49</v>
      </c>
      <c r="G807" s="0" t="s">
        <v>6274</v>
      </c>
      <c r="I807" s="6" t="n">
        <v>0.875</v>
      </c>
      <c r="J807" s="6" t="n">
        <v>0.878472222222222</v>
      </c>
      <c r="K807" s="0" t="n">
        <v>5</v>
      </c>
      <c r="L807" s="0" t="n">
        <v>9</v>
      </c>
      <c r="M807" s="0" t="s">
        <v>6275</v>
      </c>
      <c r="N807" s="0" t="s">
        <v>6276</v>
      </c>
      <c r="P807" s="0" t="s">
        <v>6277</v>
      </c>
      <c r="Q807" s="2" t="n">
        <v>43200</v>
      </c>
      <c r="S807" s="0" t="n">
        <f aca="false">YEAR(Q807)</f>
        <v>2018</v>
      </c>
      <c r="T807" s="0" t="n">
        <f aca="false">MONTH(Q807)</f>
        <v>4</v>
      </c>
    </row>
    <row r="808" customFormat="false" ht="14.25" hidden="true" customHeight="false" outlineLevel="0" collapsed="false">
      <c r="A808" s="0" t="n">
        <v>807</v>
      </c>
      <c r="B808" s="1" t="s">
        <v>804</v>
      </c>
      <c r="C808" s="1" t="s">
        <v>1479</v>
      </c>
      <c r="D808" s="1" t="s">
        <v>1496</v>
      </c>
      <c r="E808" s="0" t="s">
        <v>38</v>
      </c>
      <c r="F808" s="0" t="s">
        <v>49</v>
      </c>
      <c r="G808" s="0" t="s">
        <v>6278</v>
      </c>
      <c r="I808" s="6" t="n">
        <v>0.899305555555555</v>
      </c>
      <c r="J808" s="6" t="n">
        <v>0.908333333333333</v>
      </c>
      <c r="K808" s="0" t="n">
        <v>1</v>
      </c>
      <c r="L808" s="0" t="n">
        <v>11</v>
      </c>
      <c r="M808" s="0" t="s">
        <v>6279</v>
      </c>
      <c r="N808" s="0" t="s">
        <v>6280</v>
      </c>
      <c r="P808" s="0" t="s">
        <v>6281</v>
      </c>
      <c r="Q808" s="2" t="n">
        <v>43200</v>
      </c>
      <c r="S808" s="0" t="n">
        <f aca="false">YEAR(Q808)</f>
        <v>2018</v>
      </c>
      <c r="T808" s="0" t="n">
        <f aca="false">MONTH(Q808)</f>
        <v>4</v>
      </c>
    </row>
    <row r="809" customFormat="false" ht="14.25" hidden="true" customHeight="false" outlineLevel="0" collapsed="false">
      <c r="A809" s="0" t="n">
        <v>808</v>
      </c>
      <c r="B809" s="1" t="s">
        <v>804</v>
      </c>
      <c r="C809" s="1" t="s">
        <v>1503</v>
      </c>
      <c r="D809" s="1" t="s">
        <v>1535</v>
      </c>
      <c r="E809" s="0" t="s">
        <v>44</v>
      </c>
      <c r="F809" s="0" t="s">
        <v>49</v>
      </c>
      <c r="G809" s="0" t="s">
        <v>3451</v>
      </c>
      <c r="I809" s="6" t="n">
        <v>0.625</v>
      </c>
      <c r="J809" s="6" t="n">
        <v>0.708333333333333</v>
      </c>
      <c r="M809" s="0" t="s">
        <v>6282</v>
      </c>
      <c r="N809" s="0" t="s">
        <v>6283</v>
      </c>
      <c r="P809" s="0" t="s">
        <v>6284</v>
      </c>
      <c r="Q809" s="2" t="n">
        <v>43200</v>
      </c>
      <c r="S809" s="0" t="n">
        <f aca="false">YEAR(Q809)</f>
        <v>2018</v>
      </c>
      <c r="T809" s="0" t="n">
        <f aca="false">MONTH(Q809)</f>
        <v>4</v>
      </c>
    </row>
    <row r="810" customFormat="false" ht="14.25" hidden="true" customHeight="false" outlineLevel="0" collapsed="false">
      <c r="A810" s="0" t="n">
        <v>809</v>
      </c>
      <c r="B810" s="1" t="s">
        <v>804</v>
      </c>
      <c r="C810" s="1" t="s">
        <v>1479</v>
      </c>
      <c r="D810" s="1" t="s">
        <v>1496</v>
      </c>
      <c r="E810" s="0" t="s">
        <v>38</v>
      </c>
      <c r="F810" s="0" t="s">
        <v>50</v>
      </c>
      <c r="G810" s="0" t="s">
        <v>6278</v>
      </c>
      <c r="I810" s="6" t="n">
        <v>0.979861111111111</v>
      </c>
      <c r="J810" s="6" t="n">
        <v>0.989583333333333</v>
      </c>
      <c r="K810" s="0" t="n">
        <v>10</v>
      </c>
      <c r="L810" s="0" t="n">
        <v>300</v>
      </c>
      <c r="M810" s="0" t="s">
        <v>6285</v>
      </c>
      <c r="N810" s="0" t="s">
        <v>6286</v>
      </c>
      <c r="P810" s="0" t="s">
        <v>6287</v>
      </c>
      <c r="Q810" s="2" t="n">
        <v>43200</v>
      </c>
      <c r="S810" s="0" t="n">
        <f aca="false">YEAR(Q810)</f>
        <v>2018</v>
      </c>
      <c r="T810" s="0" t="n">
        <f aca="false">MONTH(Q810)</f>
        <v>4</v>
      </c>
    </row>
    <row r="811" customFormat="false" ht="14.25" hidden="true" customHeight="false" outlineLevel="0" collapsed="false">
      <c r="A811" s="0" t="n">
        <v>810</v>
      </c>
      <c r="B811" s="1" t="s">
        <v>805</v>
      </c>
      <c r="C811" s="1" t="s">
        <v>1503</v>
      </c>
      <c r="D811" s="1" t="s">
        <v>1504</v>
      </c>
      <c r="E811" s="0" t="s">
        <v>45</v>
      </c>
      <c r="F811" s="0" t="s">
        <v>48</v>
      </c>
      <c r="G811" s="0" t="s">
        <v>6288</v>
      </c>
      <c r="J811" s="6" t="n">
        <v>0.347222222222222</v>
      </c>
      <c r="M811" s="0" t="s">
        <v>6289</v>
      </c>
      <c r="N811" s="0" t="s">
        <v>6290</v>
      </c>
      <c r="P811" s="0" t="s">
        <v>6291</v>
      </c>
      <c r="Q811" s="2" t="n">
        <v>43201</v>
      </c>
      <c r="S811" s="0" t="n">
        <f aca="false">YEAR(Q811)</f>
        <v>2018</v>
      </c>
      <c r="T811" s="0" t="n">
        <f aca="false">MONTH(Q811)</f>
        <v>4</v>
      </c>
    </row>
    <row r="812" customFormat="false" ht="14.25" hidden="true" customHeight="false" outlineLevel="0" collapsed="false">
      <c r="A812" s="0" t="n">
        <v>811</v>
      </c>
      <c r="B812" s="1" t="s">
        <v>805</v>
      </c>
      <c r="C812" s="1" t="s">
        <v>1479</v>
      </c>
      <c r="D812" s="1" t="s">
        <v>1487</v>
      </c>
      <c r="E812" s="0" t="s">
        <v>1488</v>
      </c>
      <c r="F812" s="0" t="s">
        <v>48</v>
      </c>
      <c r="G812" s="0" t="s">
        <v>6292</v>
      </c>
      <c r="I812" s="6" t="n">
        <v>0.552083333333333</v>
      </c>
      <c r="J812" s="6" t="n">
        <v>0.559027777777778</v>
      </c>
      <c r="L812" s="0" t="n">
        <v>31</v>
      </c>
      <c r="M812" s="0" t="s">
        <v>6293</v>
      </c>
      <c r="N812" s="0" t="s">
        <v>6294</v>
      </c>
      <c r="P812" s="0" t="s">
        <v>6295</v>
      </c>
      <c r="Q812" s="2" t="n">
        <v>43201</v>
      </c>
      <c r="S812" s="0" t="n">
        <f aca="false">YEAR(Q812)</f>
        <v>2018</v>
      </c>
      <c r="T812" s="0" t="n">
        <f aca="false">MONTH(Q812)</f>
        <v>4</v>
      </c>
    </row>
    <row r="813" customFormat="false" ht="14.25" hidden="true" customHeight="false" outlineLevel="0" collapsed="false">
      <c r="A813" s="0" t="n">
        <v>812</v>
      </c>
      <c r="B813" s="1" t="s">
        <v>805</v>
      </c>
      <c r="C813" s="1" t="s">
        <v>1479</v>
      </c>
      <c r="D813" s="1" t="s">
        <v>1480</v>
      </c>
      <c r="E813" s="0" t="s">
        <v>43</v>
      </c>
      <c r="F813" s="0" t="s">
        <v>49</v>
      </c>
      <c r="G813" s="0" t="s">
        <v>3559</v>
      </c>
      <c r="I813" s="6" t="n">
        <v>0.611111111111111</v>
      </c>
      <c r="J813" s="6" t="n">
        <v>0.645833333333333</v>
      </c>
      <c r="L813" s="0" t="n">
        <v>120</v>
      </c>
      <c r="M813" s="0" t="s">
        <v>6296</v>
      </c>
      <c r="N813" s="0" t="s">
        <v>6297</v>
      </c>
      <c r="P813" s="0" t="s">
        <v>6298</v>
      </c>
      <c r="Q813" s="2" t="n">
        <v>43201</v>
      </c>
      <c r="S813" s="0" t="n">
        <f aca="false">YEAR(Q813)</f>
        <v>2018</v>
      </c>
      <c r="T813" s="0" t="n">
        <f aca="false">MONTH(Q813)</f>
        <v>4</v>
      </c>
    </row>
    <row r="814" customFormat="false" ht="14.25" hidden="true" customHeight="false" outlineLevel="0" collapsed="false">
      <c r="A814" s="0" t="n">
        <v>813</v>
      </c>
      <c r="B814" s="1" t="s">
        <v>805</v>
      </c>
      <c r="C814" s="1" t="s">
        <v>1479</v>
      </c>
      <c r="D814" s="1" t="s">
        <v>1487</v>
      </c>
      <c r="E814" s="0" t="s">
        <v>1488</v>
      </c>
      <c r="F814" s="0" t="s">
        <v>49</v>
      </c>
      <c r="G814" s="0" t="s">
        <v>6299</v>
      </c>
      <c r="I814" s="6" t="n">
        <v>0.854166666666667</v>
      </c>
      <c r="J814" s="6" t="n">
        <v>0.861111111111111</v>
      </c>
      <c r="K814" s="0" t="n">
        <v>43</v>
      </c>
      <c r="L814" s="0" t="n">
        <v>80</v>
      </c>
      <c r="M814" s="0" t="s">
        <v>6300</v>
      </c>
      <c r="N814" s="0" t="s">
        <v>6301</v>
      </c>
      <c r="P814" s="0" t="s">
        <v>6302</v>
      </c>
      <c r="Q814" s="2" t="n">
        <v>43201</v>
      </c>
      <c r="S814" s="0" t="n">
        <f aca="false">YEAR(Q814)</f>
        <v>2018</v>
      </c>
      <c r="T814" s="0" t="n">
        <f aca="false">MONTH(Q814)</f>
        <v>4</v>
      </c>
    </row>
    <row r="815" customFormat="false" ht="14.25" hidden="true" customHeight="false" outlineLevel="0" collapsed="false">
      <c r="A815" s="0" t="n">
        <v>814</v>
      </c>
      <c r="B815" s="1" t="s">
        <v>805</v>
      </c>
      <c r="C815" s="1" t="s">
        <v>1479</v>
      </c>
      <c r="D815" s="1" t="s">
        <v>1480</v>
      </c>
      <c r="E815" s="0" t="s">
        <v>43</v>
      </c>
      <c r="F815" s="0" t="s">
        <v>50</v>
      </c>
      <c r="G815" s="0" t="s">
        <v>3559</v>
      </c>
      <c r="I815" s="6" t="n">
        <v>0.611111111111111</v>
      </c>
      <c r="J815" s="6" t="n">
        <v>0.645833333333333</v>
      </c>
      <c r="L815" s="0" t="n">
        <v>120</v>
      </c>
      <c r="M815" s="0" t="s">
        <v>6296</v>
      </c>
      <c r="N815" s="0" t="s">
        <v>6303</v>
      </c>
      <c r="P815" s="0" t="s">
        <v>6304</v>
      </c>
      <c r="Q815" s="2" t="n">
        <v>43201</v>
      </c>
      <c r="S815" s="0" t="n">
        <f aca="false">YEAR(Q815)</f>
        <v>2018</v>
      </c>
      <c r="T815" s="0" t="n">
        <f aca="false">MONTH(Q815)</f>
        <v>4</v>
      </c>
    </row>
    <row r="816" customFormat="false" ht="14.25" hidden="true" customHeight="false" outlineLevel="0" collapsed="false">
      <c r="A816" s="0" t="n">
        <v>815</v>
      </c>
      <c r="B816" s="1" t="s">
        <v>805</v>
      </c>
      <c r="C816" s="1" t="s">
        <v>1479</v>
      </c>
      <c r="D816" s="1" t="s">
        <v>1496</v>
      </c>
      <c r="E816" s="0" t="s">
        <v>38</v>
      </c>
      <c r="F816" s="0" t="s">
        <v>50</v>
      </c>
      <c r="G816" s="0" t="s">
        <v>6305</v>
      </c>
      <c r="I816" s="6" t="n">
        <v>0.05</v>
      </c>
      <c r="J816" s="6" t="n">
        <v>0.0625</v>
      </c>
      <c r="K816" s="0" t="n">
        <v>60</v>
      </c>
      <c r="L816" s="0" t="n">
        <v>65</v>
      </c>
      <c r="M816" s="0" t="s">
        <v>6306</v>
      </c>
      <c r="N816" s="0" t="s">
        <v>6307</v>
      </c>
      <c r="P816" s="0" t="s">
        <v>6308</v>
      </c>
      <c r="Q816" s="2" t="n">
        <v>43201</v>
      </c>
      <c r="S816" s="0" t="n">
        <f aca="false">YEAR(Q816)</f>
        <v>2018</v>
      </c>
      <c r="T816" s="0" t="n">
        <f aca="false">MONTH(Q816)</f>
        <v>4</v>
      </c>
    </row>
    <row r="817" customFormat="false" ht="14.25" hidden="true" customHeight="false" outlineLevel="0" collapsed="false">
      <c r="A817" s="0" t="n">
        <v>816</v>
      </c>
      <c r="B817" s="1" t="s">
        <v>806</v>
      </c>
      <c r="C817" s="1" t="s">
        <v>1479</v>
      </c>
      <c r="D817" s="1" t="s">
        <v>1480</v>
      </c>
      <c r="E817" s="0" t="s">
        <v>43</v>
      </c>
      <c r="F817" s="0" t="s">
        <v>48</v>
      </c>
      <c r="G817" s="0" t="s">
        <v>6309</v>
      </c>
      <c r="M817" s="0" t="s">
        <v>6310</v>
      </c>
      <c r="N817" s="0" t="s">
        <v>6311</v>
      </c>
      <c r="P817" s="0" t="s">
        <v>6312</v>
      </c>
      <c r="Q817" s="2" t="n">
        <v>43202</v>
      </c>
      <c r="S817" s="0" t="n">
        <f aca="false">YEAR(Q817)</f>
        <v>2018</v>
      </c>
      <c r="T817" s="0" t="n">
        <f aca="false">MONTH(Q817)</f>
        <v>4</v>
      </c>
    </row>
    <row r="818" customFormat="false" ht="14.25" hidden="true" customHeight="false" outlineLevel="0" collapsed="false">
      <c r="A818" s="0" t="n">
        <v>817</v>
      </c>
      <c r="B818" s="1" t="s">
        <v>806</v>
      </c>
      <c r="C818" s="1" t="s">
        <v>1479</v>
      </c>
      <c r="D818" s="1" t="s">
        <v>1496</v>
      </c>
      <c r="E818" s="0" t="s">
        <v>38</v>
      </c>
      <c r="F818" s="0" t="s">
        <v>49</v>
      </c>
      <c r="G818" s="0" t="s">
        <v>6313</v>
      </c>
      <c r="I818" s="6" t="n">
        <v>0.742361111111111</v>
      </c>
      <c r="J818" s="6" t="n">
        <v>0.748611111111111</v>
      </c>
      <c r="K818" s="0" t="n">
        <v>8</v>
      </c>
      <c r="L818" s="0" t="n">
        <v>18</v>
      </c>
      <c r="M818" s="0" t="s">
        <v>6314</v>
      </c>
      <c r="N818" s="0" t="s">
        <v>6315</v>
      </c>
      <c r="P818" s="0" t="s">
        <v>6316</v>
      </c>
      <c r="Q818" s="2" t="n">
        <v>43202</v>
      </c>
      <c r="S818" s="0" t="n">
        <f aca="false">YEAR(Q818)</f>
        <v>2018</v>
      </c>
      <c r="T818" s="0" t="n">
        <f aca="false">MONTH(Q818)</f>
        <v>4</v>
      </c>
    </row>
    <row r="819" customFormat="false" ht="14.25" hidden="true" customHeight="false" outlineLevel="0" collapsed="false">
      <c r="A819" s="0" t="n">
        <v>818</v>
      </c>
      <c r="B819" s="1" t="s">
        <v>807</v>
      </c>
      <c r="C819" s="1" t="s">
        <v>1503</v>
      </c>
      <c r="D819" s="1" t="s">
        <v>1535</v>
      </c>
      <c r="E819" s="0" t="s">
        <v>44</v>
      </c>
      <c r="F819" s="0" t="s">
        <v>48</v>
      </c>
      <c r="G819" s="0" t="s">
        <v>6317</v>
      </c>
      <c r="J819" s="6" t="n">
        <v>0.291666666666667</v>
      </c>
      <c r="M819" s="0" t="s">
        <v>6318</v>
      </c>
      <c r="N819" s="0" t="s">
        <v>6319</v>
      </c>
      <c r="P819" s="0" t="s">
        <v>6320</v>
      </c>
      <c r="Q819" s="2" t="n">
        <v>43203</v>
      </c>
      <c r="S819" s="0" t="n">
        <f aca="false">YEAR(Q819)</f>
        <v>2018</v>
      </c>
      <c r="T819" s="0" t="n">
        <f aca="false">MONTH(Q819)</f>
        <v>4</v>
      </c>
    </row>
    <row r="820" customFormat="false" ht="14.25" hidden="true" customHeight="false" outlineLevel="0" collapsed="false">
      <c r="A820" s="0" t="n">
        <v>819</v>
      </c>
      <c r="B820" s="1" t="s">
        <v>807</v>
      </c>
      <c r="C820" s="1" t="s">
        <v>1479</v>
      </c>
      <c r="D820" s="1" t="s">
        <v>1480</v>
      </c>
      <c r="E820" s="0" t="s">
        <v>43</v>
      </c>
      <c r="F820" s="0" t="s">
        <v>48</v>
      </c>
      <c r="G820" s="0" t="s">
        <v>6309</v>
      </c>
      <c r="M820" s="0" t="s">
        <v>6310</v>
      </c>
      <c r="N820" s="0" t="s">
        <v>6321</v>
      </c>
      <c r="P820" s="0" t="s">
        <v>6322</v>
      </c>
      <c r="Q820" s="2" t="n">
        <v>43203</v>
      </c>
      <c r="S820" s="0" t="n">
        <f aca="false">YEAR(Q820)</f>
        <v>2018</v>
      </c>
      <c r="T820" s="0" t="n">
        <f aca="false">MONTH(Q820)</f>
        <v>4</v>
      </c>
    </row>
    <row r="821" customFormat="false" ht="14.25" hidden="true" customHeight="false" outlineLevel="0" collapsed="false">
      <c r="A821" s="0" t="n">
        <v>820</v>
      </c>
      <c r="B821" s="1" t="s">
        <v>807</v>
      </c>
      <c r="C821" s="1" t="s">
        <v>1479</v>
      </c>
      <c r="D821" s="1" t="s">
        <v>1487</v>
      </c>
      <c r="E821" s="0" t="s">
        <v>1488</v>
      </c>
      <c r="F821" s="0" t="s">
        <v>49</v>
      </c>
      <c r="G821" s="0" t="s">
        <v>6323</v>
      </c>
      <c r="I821" s="6" t="n">
        <v>0.75</v>
      </c>
      <c r="J821" s="6" t="n">
        <v>0.770833333333333</v>
      </c>
      <c r="M821" s="0" t="s">
        <v>6324</v>
      </c>
      <c r="N821" s="0" t="s">
        <v>6325</v>
      </c>
      <c r="P821" s="0" t="s">
        <v>6326</v>
      </c>
      <c r="Q821" s="2" t="n">
        <v>43203</v>
      </c>
      <c r="S821" s="0" t="n">
        <f aca="false">YEAR(Q821)</f>
        <v>2018</v>
      </c>
      <c r="T821" s="0" t="n">
        <f aca="false">MONTH(Q821)</f>
        <v>4</v>
      </c>
    </row>
    <row r="822" customFormat="false" ht="14.25" hidden="true" customHeight="false" outlineLevel="0" collapsed="false">
      <c r="A822" s="0" t="n">
        <v>821</v>
      </c>
      <c r="B822" s="1" t="s">
        <v>807</v>
      </c>
      <c r="C822" s="1" t="s">
        <v>1479</v>
      </c>
      <c r="D822" s="1" t="s">
        <v>1487</v>
      </c>
      <c r="E822" s="4" t="s">
        <v>1488</v>
      </c>
      <c r="F822" s="0" t="s">
        <v>49</v>
      </c>
      <c r="G822" s="0" t="s">
        <v>6327</v>
      </c>
      <c r="I822" s="6" t="n">
        <v>0.923611111111111</v>
      </c>
      <c r="J822" s="6" t="n">
        <v>0.93125</v>
      </c>
      <c r="K822" s="0" t="n">
        <v>18</v>
      </c>
      <c r="L822" s="0" t="n">
        <v>26</v>
      </c>
      <c r="M822" s="0" t="s">
        <v>6328</v>
      </c>
      <c r="N822" s="0" t="s">
        <v>6329</v>
      </c>
      <c r="P822" s="0" t="s">
        <v>6330</v>
      </c>
      <c r="Q822" s="2" t="n">
        <v>43203</v>
      </c>
      <c r="S822" s="0" t="n">
        <f aca="false">YEAR(Q822)</f>
        <v>2018</v>
      </c>
      <c r="T822" s="0" t="n">
        <f aca="false">MONTH(Q822)</f>
        <v>4</v>
      </c>
    </row>
    <row r="823" customFormat="false" ht="14.25" hidden="true" customHeight="false" outlineLevel="0" collapsed="false">
      <c r="A823" s="0" t="n">
        <v>822</v>
      </c>
      <c r="B823" s="1" t="s">
        <v>808</v>
      </c>
      <c r="C823" s="1" t="s">
        <v>1503</v>
      </c>
      <c r="D823" s="1" t="s">
        <v>1504</v>
      </c>
      <c r="E823" s="0" t="s">
        <v>45</v>
      </c>
      <c r="F823" s="0" t="s">
        <v>48</v>
      </c>
      <c r="G823" s="0" t="s">
        <v>6331</v>
      </c>
      <c r="I823" s="6" t="n">
        <v>0.1875</v>
      </c>
      <c r="J823" s="6" t="n">
        <v>0.253472222222222</v>
      </c>
      <c r="L823" s="0" t="n">
        <v>330</v>
      </c>
      <c r="M823" s="0" t="s">
        <v>6332</v>
      </c>
      <c r="N823" s="0" t="s">
        <v>6333</v>
      </c>
      <c r="P823" s="0" t="s">
        <v>6334</v>
      </c>
      <c r="Q823" s="2" t="n">
        <v>43206</v>
      </c>
      <c r="S823" s="0" t="n">
        <f aca="false">YEAR(Q823)</f>
        <v>2018</v>
      </c>
      <c r="T823" s="0" t="n">
        <f aca="false">MONTH(Q823)</f>
        <v>4</v>
      </c>
    </row>
    <row r="824" customFormat="false" ht="14.25" hidden="true" customHeight="false" outlineLevel="0" collapsed="false">
      <c r="A824" s="0" t="n">
        <v>823</v>
      </c>
      <c r="B824" s="1" t="s">
        <v>808</v>
      </c>
      <c r="C824" s="1" t="s">
        <v>1503</v>
      </c>
      <c r="D824" s="1" t="s">
        <v>1504</v>
      </c>
      <c r="E824" s="0" t="s">
        <v>45</v>
      </c>
      <c r="F824" s="0" t="s">
        <v>48</v>
      </c>
      <c r="G824" s="0" t="s">
        <v>6335</v>
      </c>
      <c r="J824" s="6" t="n">
        <v>0.416666666666667</v>
      </c>
      <c r="M824" s="0" t="s">
        <v>6336</v>
      </c>
      <c r="N824" s="0" t="s">
        <v>6337</v>
      </c>
      <c r="P824" s="0" t="s">
        <v>6338</v>
      </c>
      <c r="Q824" s="2" t="n">
        <v>43206</v>
      </c>
      <c r="S824" s="0" t="n">
        <f aca="false">YEAR(Q824)</f>
        <v>2018</v>
      </c>
      <c r="T824" s="0" t="n">
        <f aca="false">MONTH(Q824)</f>
        <v>4</v>
      </c>
    </row>
    <row r="825" customFormat="false" ht="14.25" hidden="true" customHeight="false" outlineLevel="0" collapsed="false">
      <c r="A825" s="0" t="n">
        <v>824</v>
      </c>
      <c r="B825" s="1" t="s">
        <v>808</v>
      </c>
      <c r="C825" s="1" t="s">
        <v>1503</v>
      </c>
      <c r="D825" s="1" t="s">
        <v>1535</v>
      </c>
      <c r="E825" s="0" t="s">
        <v>44</v>
      </c>
      <c r="F825" s="0" t="s">
        <v>48</v>
      </c>
      <c r="G825" s="0" t="s">
        <v>6317</v>
      </c>
      <c r="J825" s="6" t="n">
        <v>0.541666666666667</v>
      </c>
      <c r="M825" s="0" t="s">
        <v>6339</v>
      </c>
      <c r="N825" s="0" t="s">
        <v>6340</v>
      </c>
      <c r="P825" s="0" t="s">
        <v>6341</v>
      </c>
      <c r="Q825" s="2" t="n">
        <v>43206</v>
      </c>
      <c r="S825" s="0" t="n">
        <f aca="false">YEAR(Q825)</f>
        <v>2018</v>
      </c>
      <c r="T825" s="0" t="n">
        <f aca="false">MONTH(Q825)</f>
        <v>4</v>
      </c>
    </row>
    <row r="826" customFormat="false" ht="14.25" hidden="true" customHeight="false" outlineLevel="0" collapsed="false">
      <c r="A826" s="0" t="n">
        <v>825</v>
      </c>
      <c r="B826" s="1" t="s">
        <v>809</v>
      </c>
      <c r="C826" s="1" t="s">
        <v>1503</v>
      </c>
      <c r="D826" s="1" t="s">
        <v>1535</v>
      </c>
      <c r="E826" s="0" t="s">
        <v>44</v>
      </c>
      <c r="F826" s="0" t="s">
        <v>48</v>
      </c>
      <c r="G826" s="0" t="s">
        <v>6342</v>
      </c>
      <c r="I826" s="6" t="n">
        <v>0.277777777777778</v>
      </c>
      <c r="J826" s="6" t="n">
        <v>0.286111111111111</v>
      </c>
      <c r="K826" s="0" t="n">
        <v>35</v>
      </c>
      <c r="L826" s="0" t="n">
        <v>86</v>
      </c>
      <c r="M826" s="0" t="s">
        <v>6343</v>
      </c>
      <c r="N826" s="0" t="s">
        <v>6344</v>
      </c>
      <c r="P826" s="0" t="s">
        <v>6345</v>
      </c>
      <c r="Q826" s="2" t="n">
        <v>43207</v>
      </c>
      <c r="S826" s="0" t="n">
        <f aca="false">YEAR(Q826)</f>
        <v>2018</v>
      </c>
      <c r="T826" s="0" t="n">
        <f aca="false">MONTH(Q826)</f>
        <v>4</v>
      </c>
    </row>
    <row r="827" customFormat="false" ht="14.25" hidden="true" customHeight="false" outlineLevel="0" collapsed="false">
      <c r="A827" s="0" t="n">
        <v>826</v>
      </c>
      <c r="B827" s="1" t="s">
        <v>809</v>
      </c>
      <c r="C827" s="1" t="s">
        <v>1479</v>
      </c>
      <c r="D827" s="1" t="s">
        <v>1487</v>
      </c>
      <c r="E827" s="0" t="s">
        <v>1488</v>
      </c>
      <c r="F827" s="0" t="s">
        <v>49</v>
      </c>
      <c r="G827" s="0" t="s">
        <v>6346</v>
      </c>
      <c r="I827" s="6" t="n">
        <v>0.777777777777778</v>
      </c>
      <c r="J827" s="6" t="n">
        <v>0.786111111111111</v>
      </c>
      <c r="K827" s="0" t="n">
        <v>0</v>
      </c>
      <c r="L827" s="0" t="n">
        <v>17</v>
      </c>
      <c r="M827" s="0" t="s">
        <v>6347</v>
      </c>
      <c r="N827" s="0" t="s">
        <v>6348</v>
      </c>
      <c r="P827" s="0" t="s">
        <v>6349</v>
      </c>
      <c r="Q827" s="2" t="n">
        <v>43207</v>
      </c>
      <c r="S827" s="0" t="n">
        <f aca="false">YEAR(Q827)</f>
        <v>2018</v>
      </c>
      <c r="T827" s="0" t="n">
        <f aca="false">MONTH(Q827)</f>
        <v>4</v>
      </c>
    </row>
    <row r="828" customFormat="false" ht="14.25" hidden="true" customHeight="false" outlineLevel="0" collapsed="false">
      <c r="A828" s="0" t="n">
        <v>827</v>
      </c>
      <c r="B828" s="1" t="s">
        <v>809</v>
      </c>
      <c r="C828" s="1" t="s">
        <v>1503</v>
      </c>
      <c r="D828" s="1" t="s">
        <v>1535</v>
      </c>
      <c r="E828" s="0" t="s">
        <v>44</v>
      </c>
      <c r="F828" s="0" t="s">
        <v>49</v>
      </c>
      <c r="G828" s="0" t="s">
        <v>6350</v>
      </c>
      <c r="I828" s="6" t="n">
        <v>0.625</v>
      </c>
      <c r="J828" s="6" t="n">
        <v>0.708333333333333</v>
      </c>
      <c r="L828" s="0" t="n">
        <v>0</v>
      </c>
      <c r="M828" s="0" t="s">
        <v>6351</v>
      </c>
      <c r="N828" s="0" t="s">
        <v>6352</v>
      </c>
      <c r="P828" s="0" t="s">
        <v>6353</v>
      </c>
      <c r="Q828" s="2" t="n">
        <v>43207</v>
      </c>
      <c r="S828" s="0" t="n">
        <f aca="false">YEAR(Q828)</f>
        <v>2018</v>
      </c>
      <c r="T828" s="0" t="n">
        <f aca="false">MONTH(Q828)</f>
        <v>4</v>
      </c>
    </row>
    <row r="829" customFormat="false" ht="14.25" hidden="true" customHeight="false" outlineLevel="0" collapsed="false">
      <c r="A829" s="0" t="n">
        <v>828</v>
      </c>
      <c r="B829" s="1" t="s">
        <v>809</v>
      </c>
      <c r="C829" s="1" t="s">
        <v>1479</v>
      </c>
      <c r="D829" s="1" t="s">
        <v>1535</v>
      </c>
      <c r="E829" s="0" t="s">
        <v>39</v>
      </c>
      <c r="F829" s="0" t="s">
        <v>50</v>
      </c>
      <c r="G829" s="0" t="s">
        <v>6354</v>
      </c>
      <c r="M829" s="0" t="s">
        <v>6355</v>
      </c>
      <c r="N829" s="0" t="s">
        <v>6356</v>
      </c>
      <c r="P829" s="0" t="s">
        <v>6357</v>
      </c>
      <c r="Q829" s="2" t="n">
        <v>43207</v>
      </c>
      <c r="S829" s="0" t="n">
        <f aca="false">YEAR(Q829)</f>
        <v>2018</v>
      </c>
      <c r="T829" s="0" t="n">
        <f aca="false">MONTH(Q829)</f>
        <v>4</v>
      </c>
    </row>
    <row r="830" customFormat="false" ht="14.25" hidden="true" customHeight="false" outlineLevel="0" collapsed="false">
      <c r="A830" s="0" t="n">
        <v>829</v>
      </c>
      <c r="B830" s="1" t="s">
        <v>811</v>
      </c>
      <c r="C830" s="1" t="s">
        <v>1479</v>
      </c>
      <c r="D830" s="1" t="s">
        <v>1535</v>
      </c>
      <c r="E830" s="0" t="s">
        <v>39</v>
      </c>
      <c r="F830" s="0" t="s">
        <v>48</v>
      </c>
      <c r="I830" s="6" t="n">
        <v>0.364583333333333</v>
      </c>
      <c r="J830" s="6" t="n">
        <v>0.371527777777778</v>
      </c>
      <c r="K830" s="0" t="n">
        <v>3</v>
      </c>
      <c r="L830" s="0" t="n">
        <v>30</v>
      </c>
      <c r="M830" s="0" t="s">
        <v>6358</v>
      </c>
      <c r="N830" s="0" t="s">
        <v>6359</v>
      </c>
      <c r="P830" s="0" t="s">
        <v>6360</v>
      </c>
      <c r="Q830" s="2" t="n">
        <v>43210</v>
      </c>
      <c r="S830" s="0" t="n">
        <f aca="false">YEAR(Q830)</f>
        <v>2018</v>
      </c>
      <c r="T830" s="0" t="n">
        <f aca="false">MONTH(Q830)</f>
        <v>4</v>
      </c>
    </row>
    <row r="831" customFormat="false" ht="14.25" hidden="true" customHeight="false" outlineLevel="0" collapsed="false">
      <c r="A831" s="0" t="n">
        <v>830</v>
      </c>
      <c r="B831" s="1" t="s">
        <v>811</v>
      </c>
      <c r="C831" s="1" t="s">
        <v>1479</v>
      </c>
      <c r="D831" s="1" t="s">
        <v>1487</v>
      </c>
      <c r="E831" s="0" t="s">
        <v>1488</v>
      </c>
      <c r="F831" s="0" t="s">
        <v>48</v>
      </c>
      <c r="G831" s="0" t="s">
        <v>6361</v>
      </c>
      <c r="I831" s="6" t="n">
        <v>0.395833333333333</v>
      </c>
      <c r="J831" s="6" t="n">
        <v>0.408333333333333</v>
      </c>
      <c r="L831" s="0" t="n">
        <v>26</v>
      </c>
      <c r="M831" s="0" t="s">
        <v>6362</v>
      </c>
      <c r="N831" s="0" t="s">
        <v>6363</v>
      </c>
      <c r="P831" s="0" t="s">
        <v>6364</v>
      </c>
      <c r="Q831" s="2" t="n">
        <v>43210</v>
      </c>
      <c r="S831" s="0" t="n">
        <f aca="false">YEAR(Q831)</f>
        <v>2018</v>
      </c>
      <c r="T831" s="0" t="n">
        <f aca="false">MONTH(Q831)</f>
        <v>4</v>
      </c>
    </row>
    <row r="832" customFormat="false" ht="14.25" hidden="true" customHeight="false" outlineLevel="0" collapsed="false">
      <c r="A832" s="0" t="n">
        <v>831</v>
      </c>
      <c r="B832" s="1" t="s">
        <v>811</v>
      </c>
      <c r="C832" s="1" t="s">
        <v>1495</v>
      </c>
      <c r="D832" s="1" t="s">
        <v>6365</v>
      </c>
      <c r="E832" s="0" t="s">
        <v>1495</v>
      </c>
      <c r="F832" s="0" t="s">
        <v>48</v>
      </c>
      <c r="G832" s="0" t="s">
        <v>6366</v>
      </c>
      <c r="M832" s="0" t="s">
        <v>6367</v>
      </c>
      <c r="N832" s="0" t="s">
        <v>6368</v>
      </c>
      <c r="P832" s="0" t="s">
        <v>6369</v>
      </c>
      <c r="Q832" s="2" t="n">
        <v>43210</v>
      </c>
      <c r="S832" s="0" t="n">
        <f aca="false">YEAR(Q832)</f>
        <v>2018</v>
      </c>
      <c r="T832" s="0" t="n">
        <f aca="false">MONTH(Q832)</f>
        <v>4</v>
      </c>
    </row>
    <row r="833" customFormat="false" ht="14.25" hidden="true" customHeight="false" outlineLevel="0" collapsed="false">
      <c r="A833" s="0" t="n">
        <v>832</v>
      </c>
      <c r="B833" s="1" t="s">
        <v>811</v>
      </c>
      <c r="C833" s="1" t="s">
        <v>1479</v>
      </c>
      <c r="D833" s="1" t="s">
        <v>1535</v>
      </c>
      <c r="E833" s="0" t="s">
        <v>39</v>
      </c>
      <c r="F833" s="0" t="s">
        <v>49</v>
      </c>
      <c r="G833" s="0" t="s">
        <v>6370</v>
      </c>
      <c r="I833" s="6" t="n">
        <v>0.888194444444444</v>
      </c>
      <c r="J833" s="6" t="n">
        <v>0.891666666666667</v>
      </c>
      <c r="K833" s="0" t="n">
        <v>14</v>
      </c>
      <c r="L833" s="0" t="n">
        <v>30</v>
      </c>
      <c r="M833" s="0" t="s">
        <v>6371</v>
      </c>
      <c r="N833" s="0" t="s">
        <v>6372</v>
      </c>
      <c r="P833" s="0" t="s">
        <v>6373</v>
      </c>
      <c r="Q833" s="2" t="n">
        <v>43210</v>
      </c>
      <c r="S833" s="0" t="n">
        <f aca="false">YEAR(Q833)</f>
        <v>2018</v>
      </c>
      <c r="T833" s="0" t="n">
        <f aca="false">MONTH(Q833)</f>
        <v>4</v>
      </c>
    </row>
    <row r="834" customFormat="false" ht="28.5" hidden="true" customHeight="false" outlineLevel="0" collapsed="false">
      <c r="A834" s="0" t="n">
        <v>833</v>
      </c>
      <c r="B834" s="1" t="s">
        <v>812</v>
      </c>
      <c r="C834" s="1" t="s">
        <v>1479</v>
      </c>
      <c r="D834" s="1" t="s">
        <v>1487</v>
      </c>
      <c r="E834" s="4" t="s">
        <v>1488</v>
      </c>
      <c r="F834" s="0" t="s">
        <v>49</v>
      </c>
      <c r="G834" s="0" t="s">
        <v>6374</v>
      </c>
      <c r="I834" s="6" t="n">
        <v>0.634027777777778</v>
      </c>
      <c r="J834" s="6" t="n">
        <v>0.638888888888889</v>
      </c>
      <c r="K834" s="0" t="n">
        <v>9</v>
      </c>
      <c r="L834" s="0" t="n">
        <v>20</v>
      </c>
      <c r="M834" s="0" t="s">
        <v>6375</v>
      </c>
      <c r="N834" s="0" t="s">
        <v>6376</v>
      </c>
      <c r="P834" s="7" t="s">
        <v>6377</v>
      </c>
      <c r="Q834" s="2" t="n">
        <v>43209</v>
      </c>
      <c r="S834" s="0" t="n">
        <f aca="false">YEAR(Q834)</f>
        <v>2018</v>
      </c>
      <c r="T834" s="0" t="n">
        <f aca="false">MONTH(Q834)</f>
        <v>4</v>
      </c>
    </row>
    <row r="835" customFormat="false" ht="42.75" hidden="true" customHeight="false" outlineLevel="0" collapsed="false">
      <c r="A835" s="0" t="n">
        <v>834</v>
      </c>
      <c r="B835" s="1" t="s">
        <v>812</v>
      </c>
      <c r="C835" s="1" t="s">
        <v>1479</v>
      </c>
      <c r="D835" s="1" t="s">
        <v>1487</v>
      </c>
      <c r="E835" s="0" t="s">
        <v>1488</v>
      </c>
      <c r="F835" s="0" t="s">
        <v>49</v>
      </c>
      <c r="G835" s="0" t="s">
        <v>6378</v>
      </c>
      <c r="I835" s="6" t="n">
        <v>0.924305555555556</v>
      </c>
      <c r="J835" s="6" t="n">
        <v>0.935416666666667</v>
      </c>
      <c r="K835" s="0" t="n">
        <v>0</v>
      </c>
      <c r="L835" s="0" t="n">
        <v>47</v>
      </c>
      <c r="M835" s="7" t="s">
        <v>6379</v>
      </c>
      <c r="N835" s="7" t="s">
        <v>6380</v>
      </c>
      <c r="O835" s="7"/>
      <c r="P835" s="7" t="s">
        <v>6381</v>
      </c>
      <c r="Q835" s="2" t="n">
        <v>43209</v>
      </c>
      <c r="S835" s="0" t="n">
        <f aca="false">YEAR(Q835)</f>
        <v>2018</v>
      </c>
      <c r="T835" s="0" t="n">
        <f aca="false">MONTH(Q835)</f>
        <v>4</v>
      </c>
    </row>
    <row r="836" customFormat="false" ht="28.5" hidden="true" customHeight="false" outlineLevel="0" collapsed="false">
      <c r="A836" s="0" t="n">
        <v>835</v>
      </c>
      <c r="B836" s="1" t="s">
        <v>812</v>
      </c>
      <c r="C836" s="1" t="s">
        <v>1479</v>
      </c>
      <c r="D836" s="1" t="s">
        <v>1535</v>
      </c>
      <c r="E836" s="0" t="s">
        <v>39</v>
      </c>
      <c r="F836" s="0" t="s">
        <v>49</v>
      </c>
      <c r="G836" s="0" t="s">
        <v>4643</v>
      </c>
      <c r="I836" s="6" t="n">
        <v>0.961805555555555</v>
      </c>
      <c r="J836" s="6" t="n">
        <v>0.961805555555555</v>
      </c>
      <c r="L836" s="0" t="n">
        <v>20</v>
      </c>
      <c r="M836" s="7" t="s">
        <v>6382</v>
      </c>
      <c r="N836" s="7" t="s">
        <v>6383</v>
      </c>
      <c r="O836" s="7"/>
      <c r="P836" s="7" t="s">
        <v>6384</v>
      </c>
      <c r="Q836" s="2" t="n">
        <v>43209</v>
      </c>
      <c r="S836" s="0" t="n">
        <f aca="false">YEAR(Q836)</f>
        <v>2018</v>
      </c>
      <c r="T836" s="0" t="n">
        <f aca="false">MONTH(Q836)</f>
        <v>4</v>
      </c>
    </row>
    <row r="837" customFormat="false" ht="57" hidden="true" customHeight="false" outlineLevel="0" collapsed="false">
      <c r="A837" s="0" t="n">
        <v>836</v>
      </c>
      <c r="B837" s="1" t="s">
        <v>812</v>
      </c>
      <c r="C837" s="1" t="s">
        <v>1479</v>
      </c>
      <c r="D837" s="1" t="s">
        <v>1535</v>
      </c>
      <c r="E837" s="0" t="s">
        <v>39</v>
      </c>
      <c r="F837" s="0" t="s">
        <v>50</v>
      </c>
      <c r="G837" s="0" t="s">
        <v>6385</v>
      </c>
      <c r="J837" s="6" t="n">
        <v>0.972222222222222</v>
      </c>
      <c r="K837" s="0" t="n">
        <v>0</v>
      </c>
      <c r="M837" s="7" t="s">
        <v>6386</v>
      </c>
      <c r="N837" s="7" t="s">
        <v>6387</v>
      </c>
      <c r="O837" s="7"/>
      <c r="P837" s="7" t="s">
        <v>6388</v>
      </c>
      <c r="Q837" s="2" t="n">
        <v>43209</v>
      </c>
      <c r="S837" s="0" t="n">
        <f aca="false">YEAR(Q837)</f>
        <v>2018</v>
      </c>
      <c r="T837" s="0" t="n">
        <f aca="false">MONTH(Q837)</f>
        <v>4</v>
      </c>
    </row>
    <row r="838" customFormat="false" ht="57" hidden="true" customHeight="false" outlineLevel="0" collapsed="false">
      <c r="A838" s="0" t="n">
        <v>837</v>
      </c>
      <c r="B838" s="1" t="s">
        <v>812</v>
      </c>
      <c r="C838" s="1" t="s">
        <v>1495</v>
      </c>
      <c r="D838" s="1" t="s">
        <v>1535</v>
      </c>
      <c r="E838" s="0" t="s">
        <v>1495</v>
      </c>
      <c r="F838" s="0" t="s">
        <v>50</v>
      </c>
      <c r="G838" s="0" t="s">
        <v>6389</v>
      </c>
      <c r="I838" s="6" t="n">
        <v>0.166666666666667</v>
      </c>
      <c r="J838" s="6" t="n">
        <v>0.180555555555556</v>
      </c>
      <c r="L838" s="0" t="n">
        <v>65</v>
      </c>
      <c r="M838" s="7" t="s">
        <v>6390</v>
      </c>
      <c r="N838" s="7" t="s">
        <v>6391</v>
      </c>
      <c r="O838" s="7"/>
      <c r="P838" s="7" t="s">
        <v>6392</v>
      </c>
      <c r="Q838" s="2" t="n">
        <v>43209</v>
      </c>
      <c r="S838" s="0" t="n">
        <f aca="false">YEAR(Q838)</f>
        <v>2018</v>
      </c>
      <c r="T838" s="0" t="n">
        <f aca="false">MONTH(Q838)</f>
        <v>4</v>
      </c>
    </row>
    <row r="839" customFormat="false" ht="42.75" hidden="true" customHeight="false" outlineLevel="0" collapsed="false">
      <c r="A839" s="0" t="n">
        <v>838</v>
      </c>
      <c r="B839" s="1" t="s">
        <v>813</v>
      </c>
      <c r="C839" s="1" t="s">
        <v>1479</v>
      </c>
      <c r="D839" s="1" t="s">
        <v>1535</v>
      </c>
      <c r="E839" s="0" t="s">
        <v>39</v>
      </c>
      <c r="F839" s="0" t="s">
        <v>48</v>
      </c>
      <c r="G839" s="0" t="s">
        <v>6393</v>
      </c>
      <c r="I839" s="6" t="n">
        <v>0.392361111111111</v>
      </c>
      <c r="J839" s="6" t="n">
        <v>0.395833333333333</v>
      </c>
      <c r="K839" s="0" t="n">
        <v>112</v>
      </c>
      <c r="L839" s="0" t="n">
        <v>97</v>
      </c>
      <c r="M839" s="7" t="s">
        <v>6394</v>
      </c>
      <c r="N839" s="7" t="s">
        <v>6395</v>
      </c>
      <c r="O839" s="7"/>
      <c r="P839" s="7" t="s">
        <v>6396</v>
      </c>
      <c r="Q839" s="2" t="n">
        <v>43211</v>
      </c>
      <c r="S839" s="0" t="n">
        <f aca="false">YEAR(Q839)</f>
        <v>2018</v>
      </c>
      <c r="T839" s="0" t="n">
        <f aca="false">MONTH(Q839)</f>
        <v>4</v>
      </c>
    </row>
    <row r="840" customFormat="false" ht="28.5" hidden="true" customHeight="false" outlineLevel="0" collapsed="false">
      <c r="A840" s="0" t="n">
        <v>839</v>
      </c>
      <c r="B840" s="1" t="s">
        <v>813</v>
      </c>
      <c r="C840" s="1" t="s">
        <v>1479</v>
      </c>
      <c r="D840" s="1" t="s">
        <v>1535</v>
      </c>
      <c r="E840" s="0" t="s">
        <v>39</v>
      </c>
      <c r="F840" s="0" t="s">
        <v>49</v>
      </c>
      <c r="G840" s="0" t="s">
        <v>6397</v>
      </c>
      <c r="I840" s="6" t="n">
        <v>0</v>
      </c>
      <c r="J840" s="6" t="n">
        <v>0</v>
      </c>
      <c r="M840" s="7" t="s">
        <v>6398</v>
      </c>
      <c r="N840" s="7" t="s">
        <v>6399</v>
      </c>
      <c r="O840" s="7"/>
      <c r="P840" s="7" t="s">
        <v>6400</v>
      </c>
      <c r="Q840" s="2" t="n">
        <v>43211</v>
      </c>
      <c r="S840" s="0" t="n">
        <f aca="false">YEAR(Q840)</f>
        <v>2018</v>
      </c>
      <c r="T840" s="0" t="n">
        <f aca="false">MONTH(Q840)</f>
        <v>4</v>
      </c>
    </row>
    <row r="841" customFormat="false" ht="42.75" hidden="true" customHeight="false" outlineLevel="0" collapsed="false">
      <c r="A841" s="0" t="n">
        <v>840</v>
      </c>
      <c r="B841" s="1" t="s">
        <v>815</v>
      </c>
      <c r="C841" s="1" t="s">
        <v>1479</v>
      </c>
      <c r="D841" s="1" t="s">
        <v>1496</v>
      </c>
      <c r="E841" s="0" t="s">
        <v>38</v>
      </c>
      <c r="F841" s="0" t="s">
        <v>50</v>
      </c>
      <c r="G841" s="0" t="s">
        <v>6401</v>
      </c>
      <c r="I841" s="6" t="n">
        <v>0.929861111111111</v>
      </c>
      <c r="J841" s="6" t="n">
        <v>0.934027777777778</v>
      </c>
      <c r="K841" s="0" t="n">
        <v>0</v>
      </c>
      <c r="L841" s="0" t="n">
        <v>25</v>
      </c>
      <c r="M841" s="7" t="s">
        <v>6402</v>
      </c>
      <c r="N841" s="7" t="s">
        <v>6403</v>
      </c>
      <c r="O841" s="7"/>
      <c r="P841" s="7" t="s">
        <v>6404</v>
      </c>
      <c r="Q841" s="2" t="n">
        <v>43212</v>
      </c>
      <c r="S841" s="0" t="n">
        <f aca="false">YEAR(Q841)</f>
        <v>2018</v>
      </c>
      <c r="T841" s="0" t="n">
        <f aca="false">MONTH(Q841)</f>
        <v>4</v>
      </c>
    </row>
    <row r="842" customFormat="false" ht="42.75" hidden="true" customHeight="false" outlineLevel="0" collapsed="false">
      <c r="A842" s="0" t="n">
        <v>841</v>
      </c>
      <c r="B842" s="1" t="s">
        <v>815</v>
      </c>
      <c r="C842" s="1" t="s">
        <v>1479</v>
      </c>
      <c r="D842" s="1" t="s">
        <v>1496</v>
      </c>
      <c r="E842" s="0" t="s">
        <v>38</v>
      </c>
      <c r="F842" s="0" t="s">
        <v>50</v>
      </c>
      <c r="G842" s="0" t="s">
        <v>5370</v>
      </c>
      <c r="I842" s="6" t="n">
        <v>0.1125</v>
      </c>
      <c r="J842" s="6" t="n">
        <v>0.114583333333333</v>
      </c>
      <c r="K842" s="0" t="n">
        <v>8</v>
      </c>
      <c r="L842" s="0" t="n">
        <v>15</v>
      </c>
      <c r="M842" s="7" t="s">
        <v>6405</v>
      </c>
      <c r="N842" s="7" t="s">
        <v>6406</v>
      </c>
      <c r="O842" s="7"/>
      <c r="P842" s="7" t="s">
        <v>6407</v>
      </c>
      <c r="Q842" s="2" t="n">
        <v>43212</v>
      </c>
      <c r="S842" s="0" t="n">
        <f aca="false">YEAR(Q842)</f>
        <v>2018</v>
      </c>
      <c r="T842" s="0" t="n">
        <f aca="false">MONTH(Q842)</f>
        <v>4</v>
      </c>
    </row>
    <row r="843" customFormat="false" ht="28.5" hidden="true" customHeight="false" outlineLevel="0" collapsed="false">
      <c r="A843" s="0" t="n">
        <v>842</v>
      </c>
      <c r="B843" s="1" t="s">
        <v>815</v>
      </c>
      <c r="C843" s="1" t="s">
        <v>1479</v>
      </c>
      <c r="D843" s="1" t="s">
        <v>1487</v>
      </c>
      <c r="E843" s="4" t="s">
        <v>1488</v>
      </c>
      <c r="F843" s="0" t="s">
        <v>50</v>
      </c>
      <c r="G843" s="0" t="s">
        <v>6408</v>
      </c>
      <c r="I843" s="6" t="n">
        <v>0.0972222222222222</v>
      </c>
      <c r="J843" s="6" t="n">
        <v>0.125</v>
      </c>
      <c r="K843" s="0" t="n">
        <v>55</v>
      </c>
      <c r="L843" s="0" t="n">
        <v>65</v>
      </c>
      <c r="M843" s="7" t="s">
        <v>6409</v>
      </c>
      <c r="N843" s="7" t="s">
        <v>6410</v>
      </c>
      <c r="O843" s="7"/>
      <c r="P843" s="7" t="s">
        <v>6411</v>
      </c>
      <c r="Q843" s="2" t="n">
        <v>43212</v>
      </c>
      <c r="S843" s="0" t="n">
        <f aca="false">YEAR(Q843)</f>
        <v>2018</v>
      </c>
      <c r="T843" s="0" t="n">
        <f aca="false">MONTH(Q843)</f>
        <v>4</v>
      </c>
    </row>
    <row r="844" customFormat="false" ht="42.75" hidden="true" customHeight="false" outlineLevel="0" collapsed="false">
      <c r="A844" s="0" t="n">
        <v>843</v>
      </c>
      <c r="B844" s="1" t="s">
        <v>816</v>
      </c>
      <c r="C844" s="1" t="s">
        <v>1479</v>
      </c>
      <c r="D844" s="1" t="s">
        <v>1496</v>
      </c>
      <c r="E844" s="0" t="s">
        <v>38</v>
      </c>
      <c r="F844" s="0" t="s">
        <v>48</v>
      </c>
      <c r="G844" s="0" t="s">
        <v>6412</v>
      </c>
      <c r="I844" s="6" t="n">
        <v>0.508333333333333</v>
      </c>
      <c r="J844" s="6" t="n">
        <v>0.511805555555555</v>
      </c>
      <c r="K844" s="0" t="n">
        <v>5</v>
      </c>
      <c r="L844" s="0" t="n">
        <v>68</v>
      </c>
      <c r="M844" s="7" t="s">
        <v>6413</v>
      </c>
      <c r="N844" s="7" t="s">
        <v>6414</v>
      </c>
      <c r="O844" s="7"/>
      <c r="P844" s="7" t="s">
        <v>6415</v>
      </c>
      <c r="Q844" s="2" t="n">
        <v>43214</v>
      </c>
      <c r="S844" s="0" t="n">
        <f aca="false">YEAR(Q844)</f>
        <v>2018</v>
      </c>
      <c r="T844" s="0" t="n">
        <f aca="false">MONTH(Q844)</f>
        <v>4</v>
      </c>
    </row>
    <row r="845" customFormat="false" ht="28.5" hidden="true" customHeight="false" outlineLevel="0" collapsed="false">
      <c r="A845" s="0" t="n">
        <v>844</v>
      </c>
      <c r="B845" s="1" t="s">
        <v>816</v>
      </c>
      <c r="C845" s="1" t="s">
        <v>1479</v>
      </c>
      <c r="D845" s="1" t="s">
        <v>1535</v>
      </c>
      <c r="E845" s="0" t="s">
        <v>39</v>
      </c>
      <c r="F845" s="0" t="s">
        <v>48</v>
      </c>
      <c r="G845" s="0" t="s">
        <v>6416</v>
      </c>
      <c r="J845" s="6" t="n">
        <v>0.472916666666667</v>
      </c>
      <c r="L845" s="0" t="n">
        <v>40</v>
      </c>
      <c r="M845" s="7" t="s">
        <v>6417</v>
      </c>
      <c r="N845" s="7" t="s">
        <v>6418</v>
      </c>
      <c r="O845" s="7"/>
      <c r="P845" s="7" t="s">
        <v>6419</v>
      </c>
      <c r="Q845" s="2" t="n">
        <v>43214</v>
      </c>
      <c r="S845" s="0" t="n">
        <f aca="false">YEAR(Q845)</f>
        <v>2018</v>
      </c>
      <c r="T845" s="0" t="n">
        <f aca="false">MONTH(Q845)</f>
        <v>4</v>
      </c>
    </row>
    <row r="846" customFormat="false" ht="42.75" hidden="true" customHeight="false" outlineLevel="0" collapsed="false">
      <c r="A846" s="0" t="n">
        <v>845</v>
      </c>
      <c r="B846" s="1" t="s">
        <v>816</v>
      </c>
      <c r="C846" s="1" t="s">
        <v>1479</v>
      </c>
      <c r="D846" s="1" t="s">
        <v>1535</v>
      </c>
      <c r="E846" s="0" t="s">
        <v>39</v>
      </c>
      <c r="F846" s="0" t="s">
        <v>49</v>
      </c>
      <c r="G846" s="0" t="s">
        <v>6420</v>
      </c>
      <c r="I846" s="6" t="n">
        <v>0.688888888888889</v>
      </c>
      <c r="J846" s="6" t="n">
        <v>0.688888888888889</v>
      </c>
      <c r="L846" s="0" t="n">
        <v>9</v>
      </c>
      <c r="M846" s="7" t="s">
        <v>6421</v>
      </c>
      <c r="N846" s="7" t="s">
        <v>6422</v>
      </c>
      <c r="O846" s="7"/>
      <c r="P846" s="7" t="s">
        <v>6423</v>
      </c>
      <c r="Q846" s="2" t="n">
        <v>43214</v>
      </c>
      <c r="S846" s="0" t="n">
        <f aca="false">YEAR(Q846)</f>
        <v>2018</v>
      </c>
      <c r="T846" s="0" t="n">
        <f aca="false">MONTH(Q846)</f>
        <v>4</v>
      </c>
    </row>
    <row r="847" customFormat="false" ht="28.5" hidden="true" customHeight="false" outlineLevel="0" collapsed="false">
      <c r="A847" s="0" t="n">
        <v>846</v>
      </c>
      <c r="B847" s="1" t="s">
        <v>817</v>
      </c>
      <c r="C847" s="1" t="s">
        <v>1479</v>
      </c>
      <c r="D847" s="1" t="s">
        <v>1487</v>
      </c>
      <c r="E847" s="4" t="s">
        <v>1488</v>
      </c>
      <c r="F847" s="0" t="s">
        <v>48</v>
      </c>
      <c r="G847" s="0" t="s">
        <v>6424</v>
      </c>
      <c r="I847" s="6" t="n">
        <v>0.270138888888889</v>
      </c>
      <c r="J847" s="6" t="n">
        <v>0.286805555555556</v>
      </c>
      <c r="K847" s="0" t="n">
        <v>12</v>
      </c>
      <c r="L847" s="0" t="n">
        <v>15</v>
      </c>
      <c r="M847" s="7" t="s">
        <v>6425</v>
      </c>
      <c r="N847" s="7" t="s">
        <v>6426</v>
      </c>
      <c r="O847" s="7"/>
      <c r="P847" s="7" t="s">
        <v>6427</v>
      </c>
      <c r="Q847" s="2" t="n">
        <v>43217</v>
      </c>
      <c r="S847" s="0" t="n">
        <f aca="false">YEAR(Q847)</f>
        <v>2018</v>
      </c>
      <c r="T847" s="0" t="n">
        <f aca="false">MONTH(Q847)</f>
        <v>4</v>
      </c>
    </row>
    <row r="848" customFormat="false" ht="42.75" hidden="true" customHeight="false" outlineLevel="0" collapsed="false">
      <c r="A848" s="0" t="n">
        <v>847</v>
      </c>
      <c r="B848" s="1" t="s">
        <v>817</v>
      </c>
      <c r="C848" s="1" t="s">
        <v>1479</v>
      </c>
      <c r="D848" s="1" t="s">
        <v>1535</v>
      </c>
      <c r="E848" s="0" t="s">
        <v>39</v>
      </c>
      <c r="F848" s="0" t="s">
        <v>49</v>
      </c>
      <c r="G848" s="0" t="s">
        <v>6428</v>
      </c>
      <c r="I848" s="6" t="n">
        <v>0.875</v>
      </c>
      <c r="J848" s="6" t="n">
        <v>0.883333333333333</v>
      </c>
      <c r="K848" s="0" t="n">
        <v>14</v>
      </c>
      <c r="L848" s="0" t="n">
        <v>20</v>
      </c>
      <c r="M848" s="7" t="s">
        <v>6429</v>
      </c>
      <c r="N848" s="7" t="s">
        <v>6430</v>
      </c>
      <c r="O848" s="7"/>
      <c r="P848" s="7" t="s">
        <v>6431</v>
      </c>
      <c r="Q848" s="2" t="n">
        <v>43217</v>
      </c>
      <c r="S848" s="0" t="n">
        <f aca="false">YEAR(Q848)</f>
        <v>2018</v>
      </c>
      <c r="T848" s="0" t="n">
        <f aca="false">MONTH(Q848)</f>
        <v>4</v>
      </c>
    </row>
    <row r="849" customFormat="false" ht="28.5" hidden="true" customHeight="false" outlineLevel="0" collapsed="false">
      <c r="A849" s="0" t="n">
        <v>848</v>
      </c>
      <c r="B849" s="1" t="s">
        <v>817</v>
      </c>
      <c r="C849" s="1" t="s">
        <v>1479</v>
      </c>
      <c r="D849" s="1" t="s">
        <v>1496</v>
      </c>
      <c r="E849" s="0" t="s">
        <v>38</v>
      </c>
      <c r="F849" s="0" t="s">
        <v>50</v>
      </c>
      <c r="G849" s="0" t="s">
        <v>6432</v>
      </c>
      <c r="I849" s="6" t="n">
        <v>0.0284722222222222</v>
      </c>
      <c r="J849" s="6" t="n">
        <v>0.0347222222222222</v>
      </c>
      <c r="K849" s="0" t="n">
        <v>30</v>
      </c>
      <c r="L849" s="0" t="n">
        <v>35</v>
      </c>
      <c r="M849" s="7" t="s">
        <v>6433</v>
      </c>
      <c r="N849" s="7" t="s">
        <v>6434</v>
      </c>
      <c r="O849" s="7"/>
      <c r="P849" s="7" t="s">
        <v>6435</v>
      </c>
      <c r="Q849" s="2" t="n">
        <v>43217</v>
      </c>
      <c r="S849" s="0" t="n">
        <f aca="false">YEAR(Q849)</f>
        <v>2018</v>
      </c>
      <c r="T849" s="0" t="n">
        <f aca="false">MONTH(Q849)</f>
        <v>4</v>
      </c>
    </row>
    <row r="850" customFormat="false" ht="72" hidden="true" customHeight="false" outlineLevel="0" collapsed="false">
      <c r="A850" s="0" t="n">
        <v>849</v>
      </c>
      <c r="B850" s="1" t="s">
        <v>819</v>
      </c>
      <c r="C850" s="1" t="s">
        <v>1479</v>
      </c>
      <c r="D850" s="1" t="s">
        <v>1535</v>
      </c>
      <c r="E850" s="0" t="s">
        <v>39</v>
      </c>
      <c r="F850" s="0" t="s">
        <v>50</v>
      </c>
      <c r="G850" s="0" t="s">
        <v>6436</v>
      </c>
      <c r="I850" s="6" t="n">
        <v>0.994444444444444</v>
      </c>
      <c r="J850" s="6" t="n">
        <v>0.999305555555556</v>
      </c>
      <c r="K850" s="0" t="n">
        <v>20</v>
      </c>
      <c r="L850" s="0" t="n">
        <v>22</v>
      </c>
      <c r="M850" s="7" t="s">
        <v>6437</v>
      </c>
      <c r="N850" s="7" t="s">
        <v>6438</v>
      </c>
      <c r="O850" s="7"/>
      <c r="P850" s="7" t="s">
        <v>6439</v>
      </c>
      <c r="Q850" s="2" t="n">
        <v>43221</v>
      </c>
      <c r="S850" s="0" t="n">
        <f aca="false">YEAR(Q850)</f>
        <v>2018</v>
      </c>
      <c r="T850" s="0" t="n">
        <f aca="false">MONTH(Q850)</f>
        <v>5</v>
      </c>
    </row>
    <row r="851" customFormat="false" ht="57" hidden="true" customHeight="false" outlineLevel="0" collapsed="false">
      <c r="A851" s="0" t="n">
        <v>850</v>
      </c>
      <c r="B851" s="1" t="s">
        <v>819</v>
      </c>
      <c r="C851" s="1" t="s">
        <v>1479</v>
      </c>
      <c r="D851" s="1" t="s">
        <v>1487</v>
      </c>
      <c r="E851" s="0" t="s">
        <v>1488</v>
      </c>
      <c r="F851" s="0" t="s">
        <v>50</v>
      </c>
      <c r="G851" s="0" t="s">
        <v>6440</v>
      </c>
      <c r="I851" s="6" t="n">
        <v>0.104861111111111</v>
      </c>
      <c r="J851" s="6" t="n">
        <v>0.122916666666667</v>
      </c>
      <c r="L851" s="0" t="n">
        <v>90</v>
      </c>
      <c r="M851" s="7" t="s">
        <v>6441</v>
      </c>
      <c r="N851" s="7" t="s">
        <v>6442</v>
      </c>
      <c r="O851" s="7"/>
      <c r="P851" s="7" t="s">
        <v>6443</v>
      </c>
      <c r="Q851" s="2" t="n">
        <v>43221</v>
      </c>
      <c r="S851" s="0" t="n">
        <f aca="false">YEAR(Q851)</f>
        <v>2018</v>
      </c>
      <c r="T851" s="0" t="n">
        <f aca="false">MONTH(Q851)</f>
        <v>5</v>
      </c>
    </row>
    <row r="852" customFormat="false" ht="42.75" hidden="true" customHeight="false" outlineLevel="0" collapsed="false">
      <c r="A852" s="0" t="n">
        <v>851</v>
      </c>
      <c r="B852" s="1" t="s">
        <v>820</v>
      </c>
      <c r="C852" s="1" t="s">
        <v>1479</v>
      </c>
      <c r="D852" s="1" t="s">
        <v>1535</v>
      </c>
      <c r="E852" s="0" t="s">
        <v>39</v>
      </c>
      <c r="F852" s="0" t="s">
        <v>50</v>
      </c>
      <c r="G852" s="0" t="s">
        <v>3583</v>
      </c>
      <c r="I852" s="6" t="n">
        <v>0.0159722222222222</v>
      </c>
      <c r="J852" s="6" t="n">
        <v>0.0277777777777778</v>
      </c>
      <c r="K852" s="0" t="n">
        <v>15</v>
      </c>
      <c r="L852" s="0" t="n">
        <v>30</v>
      </c>
      <c r="M852" s="7" t="s">
        <v>6444</v>
      </c>
      <c r="N852" s="7" t="s">
        <v>6445</v>
      </c>
      <c r="O852" s="7"/>
      <c r="P852" s="7" t="s">
        <v>6446</v>
      </c>
      <c r="Q852" s="2" t="n">
        <v>43227</v>
      </c>
      <c r="S852" s="0" t="n">
        <f aca="false">YEAR(Q852)</f>
        <v>2018</v>
      </c>
      <c r="T852" s="0" t="n">
        <f aca="false">MONTH(Q852)</f>
        <v>5</v>
      </c>
    </row>
    <row r="853" customFormat="false" ht="28.5" hidden="true" customHeight="false" outlineLevel="0" collapsed="false">
      <c r="A853" s="0" t="n">
        <v>852</v>
      </c>
      <c r="B853" s="1" t="s">
        <v>820</v>
      </c>
      <c r="C853" s="1" t="s">
        <v>1479</v>
      </c>
      <c r="D853" s="1" t="s">
        <v>1487</v>
      </c>
      <c r="E853" s="0" t="s">
        <v>1488</v>
      </c>
      <c r="F853" s="0" t="s">
        <v>50</v>
      </c>
      <c r="G853" s="0" t="s">
        <v>6447</v>
      </c>
      <c r="I853" s="6" t="n">
        <v>0.0395833333333333</v>
      </c>
      <c r="J853" s="6" t="n">
        <v>0.0555555555555556</v>
      </c>
      <c r="L853" s="0" t="n">
        <v>33</v>
      </c>
      <c r="M853" s="7" t="s">
        <v>6448</v>
      </c>
      <c r="N853" s="7" t="s">
        <v>6449</v>
      </c>
      <c r="O853" s="7"/>
      <c r="P853" s="7" t="s">
        <v>6450</v>
      </c>
      <c r="Q853" s="2" t="n">
        <v>43227</v>
      </c>
      <c r="S853" s="0" t="n">
        <f aca="false">YEAR(Q853)</f>
        <v>2018</v>
      </c>
      <c r="T853" s="0" t="n">
        <f aca="false">MONTH(Q853)</f>
        <v>5</v>
      </c>
    </row>
    <row r="854" customFormat="false" ht="28.5" hidden="true" customHeight="false" outlineLevel="0" collapsed="false">
      <c r="A854" s="0" t="n">
        <v>853</v>
      </c>
      <c r="B854" s="1" t="s">
        <v>820</v>
      </c>
      <c r="C854" s="1" t="s">
        <v>1503</v>
      </c>
      <c r="D854" s="1" t="s">
        <v>1535</v>
      </c>
      <c r="E854" s="0" t="s">
        <v>44</v>
      </c>
      <c r="F854" s="0" t="s">
        <v>50</v>
      </c>
      <c r="G854" s="0" t="s">
        <v>6451</v>
      </c>
      <c r="I854" s="6" t="n">
        <v>0.977083333333333</v>
      </c>
      <c r="J854" s="6" t="n">
        <v>0.0833333333333333</v>
      </c>
      <c r="M854" s="7" t="s">
        <v>6452</v>
      </c>
      <c r="N854" s="7" t="s">
        <v>6453</v>
      </c>
      <c r="O854" s="7"/>
      <c r="P854" s="7" t="s">
        <v>6454</v>
      </c>
      <c r="Q854" s="2" t="n">
        <v>43227</v>
      </c>
      <c r="S854" s="0" t="n">
        <f aca="false">YEAR(Q854)</f>
        <v>2018</v>
      </c>
      <c r="T854" s="0" t="n">
        <f aca="false">MONTH(Q854)</f>
        <v>5</v>
      </c>
    </row>
    <row r="855" customFormat="false" ht="28.5" hidden="true" customHeight="false" outlineLevel="0" collapsed="false">
      <c r="A855" s="0" t="n">
        <v>854</v>
      </c>
      <c r="B855" s="1" t="s">
        <v>821</v>
      </c>
      <c r="C855" s="1" t="s">
        <v>1503</v>
      </c>
      <c r="D855" s="1" t="s">
        <v>1535</v>
      </c>
      <c r="E855" s="0" t="s">
        <v>44</v>
      </c>
      <c r="F855" s="0" t="s">
        <v>48</v>
      </c>
      <c r="G855" s="0" t="s">
        <v>6455</v>
      </c>
      <c r="I855" s="6" t="n">
        <v>0.25625</v>
      </c>
      <c r="J855" s="6" t="n">
        <v>0.263194444444444</v>
      </c>
      <c r="L855" s="0" t="n">
        <v>36</v>
      </c>
      <c r="M855" s="7" t="s">
        <v>6456</v>
      </c>
      <c r="N855" s="7" t="s">
        <v>6457</v>
      </c>
      <c r="O855" s="7"/>
      <c r="P855" s="7" t="s">
        <v>6458</v>
      </c>
      <c r="Q855" s="2" t="n">
        <v>43228</v>
      </c>
      <c r="S855" s="0" t="n">
        <f aca="false">YEAR(Q855)</f>
        <v>2018</v>
      </c>
      <c r="T855" s="0" t="n">
        <f aca="false">MONTH(Q855)</f>
        <v>5</v>
      </c>
    </row>
    <row r="856" customFormat="false" ht="28.5" hidden="true" customHeight="false" outlineLevel="0" collapsed="false">
      <c r="A856" s="0" t="n">
        <v>855</v>
      </c>
      <c r="B856" s="1" t="s">
        <v>821</v>
      </c>
      <c r="C856" s="1" t="s">
        <v>1479</v>
      </c>
      <c r="D856" s="1" t="s">
        <v>1487</v>
      </c>
      <c r="E856" s="4" t="s">
        <v>1488</v>
      </c>
      <c r="F856" s="0" t="s">
        <v>48</v>
      </c>
      <c r="G856" s="0" t="s">
        <v>6459</v>
      </c>
      <c r="I856" s="6" t="n">
        <v>0.4125</v>
      </c>
      <c r="J856" s="6" t="n">
        <v>0.420138888888889</v>
      </c>
      <c r="K856" s="0" t="n">
        <v>13</v>
      </c>
      <c r="L856" s="0" t="n">
        <v>29</v>
      </c>
      <c r="M856" s="7" t="s">
        <v>6460</v>
      </c>
      <c r="N856" s="7" t="s">
        <v>6461</v>
      </c>
      <c r="O856" s="7"/>
      <c r="P856" s="7" t="s">
        <v>6462</v>
      </c>
      <c r="Q856" s="2" t="n">
        <v>43228</v>
      </c>
      <c r="S856" s="0" t="n">
        <f aca="false">YEAR(Q856)</f>
        <v>2018</v>
      </c>
      <c r="T856" s="0" t="n">
        <f aca="false">MONTH(Q856)</f>
        <v>5</v>
      </c>
    </row>
    <row r="857" customFormat="false" ht="42.75" hidden="true" customHeight="false" outlineLevel="0" collapsed="false">
      <c r="A857" s="0" t="n">
        <v>856</v>
      </c>
      <c r="B857" s="1" t="s">
        <v>821</v>
      </c>
      <c r="C857" s="1" t="s">
        <v>1479</v>
      </c>
      <c r="D857" s="1" t="s">
        <v>1496</v>
      </c>
      <c r="E857" s="0" t="s">
        <v>38</v>
      </c>
      <c r="F857" s="0" t="s">
        <v>49</v>
      </c>
      <c r="G857" s="0" t="s">
        <v>6463</v>
      </c>
      <c r="I857" s="6" t="n">
        <v>0.704861111111111</v>
      </c>
      <c r="J857" s="6" t="n">
        <v>0.708333333333333</v>
      </c>
      <c r="M857" s="7" t="s">
        <v>6464</v>
      </c>
      <c r="N857" s="7" t="s">
        <v>6465</v>
      </c>
      <c r="O857" s="7"/>
      <c r="P857" s="7" t="s">
        <v>6466</v>
      </c>
      <c r="Q857" s="2" t="n">
        <v>43228</v>
      </c>
      <c r="S857" s="0" t="n">
        <f aca="false">YEAR(Q857)</f>
        <v>2018</v>
      </c>
      <c r="T857" s="0" t="n">
        <f aca="false">MONTH(Q857)</f>
        <v>5</v>
      </c>
    </row>
    <row r="858" customFormat="false" ht="42.75" hidden="true" customHeight="false" outlineLevel="0" collapsed="false">
      <c r="A858" s="0" t="n">
        <v>857</v>
      </c>
      <c r="B858" s="1" t="s">
        <v>821</v>
      </c>
      <c r="C858" s="1" t="s">
        <v>1479</v>
      </c>
      <c r="D858" s="1" t="s">
        <v>1535</v>
      </c>
      <c r="E858" s="0" t="s">
        <v>39</v>
      </c>
      <c r="F858" s="0" t="s">
        <v>49</v>
      </c>
      <c r="G858" s="0" t="s">
        <v>6467</v>
      </c>
      <c r="I858" s="6" t="n">
        <v>0.753472222222222</v>
      </c>
      <c r="J858" s="6" t="n">
        <v>0.763194444444444</v>
      </c>
      <c r="M858" s="7" t="s">
        <v>6468</v>
      </c>
      <c r="N858" s="7" t="s">
        <v>6469</v>
      </c>
      <c r="O858" s="7"/>
      <c r="P858" s="7" t="s">
        <v>6470</v>
      </c>
      <c r="Q858" s="2" t="n">
        <v>43228</v>
      </c>
      <c r="S858" s="0" t="n">
        <f aca="false">YEAR(Q858)</f>
        <v>2018</v>
      </c>
      <c r="T858" s="0" t="n">
        <f aca="false">MONTH(Q858)</f>
        <v>5</v>
      </c>
    </row>
    <row r="859" customFormat="false" ht="42.75" hidden="true" customHeight="false" outlineLevel="0" collapsed="false">
      <c r="A859" s="0" t="n">
        <v>858</v>
      </c>
      <c r="B859" s="1" t="s">
        <v>821</v>
      </c>
      <c r="C859" s="1" t="s">
        <v>1479</v>
      </c>
      <c r="D859" s="1" t="s">
        <v>1535</v>
      </c>
      <c r="E859" s="0" t="s">
        <v>39</v>
      </c>
      <c r="F859" s="0" t="s">
        <v>50</v>
      </c>
      <c r="G859" s="0" t="s">
        <v>6471</v>
      </c>
      <c r="I859" s="6" t="n">
        <v>0.177777777777778</v>
      </c>
      <c r="J859" s="6" t="n">
        <v>0.180555555555556</v>
      </c>
      <c r="K859" s="0" t="n">
        <v>8</v>
      </c>
      <c r="L859" s="0" t="n">
        <v>9</v>
      </c>
      <c r="M859" s="7" t="s">
        <v>6472</v>
      </c>
      <c r="N859" s="7" t="s">
        <v>6473</v>
      </c>
      <c r="O859" s="7"/>
      <c r="P859" s="7" t="s">
        <v>6474</v>
      </c>
      <c r="Q859" s="2" t="n">
        <v>43228</v>
      </c>
      <c r="S859" s="0" t="n">
        <f aca="false">YEAR(Q859)</f>
        <v>2018</v>
      </c>
      <c r="T859" s="0" t="n">
        <f aca="false">MONTH(Q859)</f>
        <v>5</v>
      </c>
    </row>
    <row r="860" customFormat="false" ht="28.5" hidden="true" customHeight="false" outlineLevel="0" collapsed="false">
      <c r="A860" s="0" t="n">
        <v>859</v>
      </c>
      <c r="B860" s="1" t="s">
        <v>821</v>
      </c>
      <c r="C860" s="1" t="s">
        <v>1479</v>
      </c>
      <c r="D860" s="1" t="s">
        <v>1535</v>
      </c>
      <c r="E860" s="0" t="s">
        <v>39</v>
      </c>
      <c r="F860" s="0" t="s">
        <v>50</v>
      </c>
      <c r="G860" s="0" t="s">
        <v>6475</v>
      </c>
      <c r="I860" s="6" t="n">
        <v>0.220833333333333</v>
      </c>
      <c r="J860" s="6" t="n">
        <v>0.225694444444444</v>
      </c>
      <c r="K860" s="0" t="n">
        <v>14</v>
      </c>
      <c r="L860" s="0" t="n">
        <v>17</v>
      </c>
      <c r="M860" s="7" t="s">
        <v>6476</v>
      </c>
      <c r="N860" s="7" t="s">
        <v>6477</v>
      </c>
      <c r="O860" s="7"/>
      <c r="P860" s="7" t="s">
        <v>6478</v>
      </c>
      <c r="Q860" s="2" t="n">
        <v>43228</v>
      </c>
      <c r="S860" s="0" t="n">
        <f aca="false">YEAR(Q860)</f>
        <v>2018</v>
      </c>
      <c r="T860" s="0" t="n">
        <f aca="false">MONTH(Q860)</f>
        <v>5</v>
      </c>
    </row>
    <row r="861" customFormat="false" ht="28.5" hidden="true" customHeight="false" outlineLevel="0" collapsed="false">
      <c r="A861" s="0" t="n">
        <v>860</v>
      </c>
      <c r="B861" s="1" t="s">
        <v>823</v>
      </c>
      <c r="C861" s="1" t="s">
        <v>1479</v>
      </c>
      <c r="D861" s="1" t="s">
        <v>1480</v>
      </c>
      <c r="E861" s="0" t="s">
        <v>43</v>
      </c>
      <c r="F861" s="0" t="s">
        <v>48</v>
      </c>
      <c r="G861" s="0" t="s">
        <v>6479</v>
      </c>
      <c r="I861" s="6" t="n">
        <v>0.297222222222222</v>
      </c>
      <c r="J861" s="6" t="n">
        <v>0.333333333333333</v>
      </c>
      <c r="L861" s="0" t="n">
        <v>81</v>
      </c>
      <c r="M861" s="7" t="s">
        <v>6480</v>
      </c>
      <c r="N861" s="7" t="s">
        <v>6481</v>
      </c>
      <c r="O861" s="7"/>
      <c r="P861" s="7" t="s">
        <v>6482</v>
      </c>
      <c r="Q861" s="2" t="n">
        <v>43229</v>
      </c>
      <c r="S861" s="0" t="n">
        <f aca="false">YEAR(Q861)</f>
        <v>2018</v>
      </c>
      <c r="T861" s="0" t="n">
        <f aca="false">MONTH(Q861)</f>
        <v>5</v>
      </c>
    </row>
    <row r="862" customFormat="false" ht="42.75" hidden="true" customHeight="false" outlineLevel="0" collapsed="false">
      <c r="A862" s="0" t="n">
        <v>861</v>
      </c>
      <c r="B862" s="1" t="s">
        <v>823</v>
      </c>
      <c r="C862" s="1" t="s">
        <v>1479</v>
      </c>
      <c r="D862" s="1" t="s">
        <v>1496</v>
      </c>
      <c r="E862" s="0" t="s">
        <v>38</v>
      </c>
      <c r="F862" s="0" t="s">
        <v>48</v>
      </c>
      <c r="G862" s="0" t="s">
        <v>6483</v>
      </c>
      <c r="I862" s="6" t="n">
        <v>0.4125</v>
      </c>
      <c r="J862" s="6" t="n">
        <v>0.461805555555556</v>
      </c>
      <c r="K862" s="0" t="n">
        <v>18</v>
      </c>
      <c r="L862" s="0" t="n">
        <v>24</v>
      </c>
      <c r="M862" s="7" t="s">
        <v>6484</v>
      </c>
      <c r="N862" s="7" t="s">
        <v>6485</v>
      </c>
      <c r="O862" s="7"/>
      <c r="P862" s="7" t="s">
        <v>6486</v>
      </c>
      <c r="Q862" s="2" t="n">
        <v>43229</v>
      </c>
      <c r="S862" s="0" t="n">
        <f aca="false">YEAR(Q862)</f>
        <v>2018</v>
      </c>
      <c r="T862" s="0" t="n">
        <f aca="false">MONTH(Q862)</f>
        <v>5</v>
      </c>
    </row>
    <row r="863" customFormat="false" ht="28.5" hidden="true" customHeight="false" outlineLevel="0" collapsed="false">
      <c r="A863" s="0" t="n">
        <v>862</v>
      </c>
      <c r="B863" s="1" t="s">
        <v>823</v>
      </c>
      <c r="C863" s="1" t="s">
        <v>1479</v>
      </c>
      <c r="D863" s="1" t="s">
        <v>1496</v>
      </c>
      <c r="E863" s="0" t="s">
        <v>38</v>
      </c>
      <c r="F863" s="0" t="s">
        <v>48</v>
      </c>
      <c r="G863" s="0" t="s">
        <v>6487</v>
      </c>
      <c r="I863" s="6" t="n">
        <v>0.236111111111111</v>
      </c>
      <c r="J863" s="6" t="n">
        <v>0.354166666666667</v>
      </c>
      <c r="K863" s="0" t="n">
        <v>9</v>
      </c>
      <c r="L863" s="0" t="n">
        <v>23</v>
      </c>
      <c r="M863" s="7" t="s">
        <v>6488</v>
      </c>
      <c r="N863" s="7" t="s">
        <v>6489</v>
      </c>
      <c r="O863" s="7"/>
      <c r="P863" s="7" t="s">
        <v>6490</v>
      </c>
      <c r="Q863" s="2" t="n">
        <v>43229</v>
      </c>
      <c r="S863" s="0" t="n">
        <f aca="false">YEAR(Q863)</f>
        <v>2018</v>
      </c>
      <c r="T863" s="0" t="n">
        <f aca="false">MONTH(Q863)</f>
        <v>5</v>
      </c>
    </row>
    <row r="864" customFormat="false" ht="28.5" hidden="true" customHeight="false" outlineLevel="0" collapsed="false">
      <c r="A864" s="0" t="n">
        <v>863</v>
      </c>
      <c r="B864" s="1" t="s">
        <v>828</v>
      </c>
      <c r="C864" s="1" t="s">
        <v>1479</v>
      </c>
      <c r="D864" s="1" t="s">
        <v>1496</v>
      </c>
      <c r="E864" s="0" t="s">
        <v>38</v>
      </c>
      <c r="F864" s="0" t="s">
        <v>49</v>
      </c>
      <c r="G864" s="0" t="s">
        <v>6491</v>
      </c>
      <c r="I864" s="6" t="n">
        <v>0.705555555555556</v>
      </c>
      <c r="J864" s="6" t="n">
        <v>0.711805555555555</v>
      </c>
      <c r="K864" s="0" t="n">
        <v>8</v>
      </c>
      <c r="L864" s="0" t="n">
        <v>12</v>
      </c>
      <c r="M864" s="7" t="s">
        <v>6492</v>
      </c>
      <c r="N864" s="7" t="s">
        <v>6493</v>
      </c>
      <c r="O864" s="7"/>
      <c r="P864" s="7" t="s">
        <v>6494</v>
      </c>
      <c r="Q864" s="2" t="n">
        <v>43231</v>
      </c>
      <c r="S864" s="0" t="n">
        <f aca="false">YEAR(Q864)</f>
        <v>2018</v>
      </c>
      <c r="T864" s="0" t="n">
        <f aca="false">MONTH(Q864)</f>
        <v>5</v>
      </c>
    </row>
    <row r="865" customFormat="false" ht="42.75" hidden="true" customHeight="false" outlineLevel="0" collapsed="false">
      <c r="A865" s="0" t="n">
        <v>864</v>
      </c>
      <c r="B865" s="1" t="s">
        <v>831</v>
      </c>
      <c r="C865" s="1" t="s">
        <v>1479</v>
      </c>
      <c r="D865" s="1" t="s">
        <v>1535</v>
      </c>
      <c r="E865" s="0" t="s">
        <v>4643</v>
      </c>
      <c r="F865" s="0" t="s">
        <v>49</v>
      </c>
      <c r="G865" s="0" t="s">
        <v>4643</v>
      </c>
      <c r="I865" s="6" t="n">
        <v>0.527777777777778</v>
      </c>
      <c r="J865" s="6" t="n">
        <v>0.527777777777778</v>
      </c>
      <c r="K865" s="0" t="n">
        <v>16</v>
      </c>
      <c r="L865" s="0" t="n">
        <v>300</v>
      </c>
      <c r="M865" s="7" t="s">
        <v>6495</v>
      </c>
      <c r="N865" s="7" t="s">
        <v>6496</v>
      </c>
      <c r="O865" s="7"/>
      <c r="P865" s="7" t="s">
        <v>6497</v>
      </c>
      <c r="Q865" s="2" t="n">
        <v>43232</v>
      </c>
      <c r="S865" s="0" t="n">
        <f aca="false">YEAR(Q865)</f>
        <v>2018</v>
      </c>
      <c r="T865" s="0" t="n">
        <f aca="false">MONTH(Q865)</f>
        <v>5</v>
      </c>
    </row>
    <row r="866" customFormat="false" ht="42.75" hidden="true" customHeight="false" outlineLevel="0" collapsed="false">
      <c r="A866" s="0" t="n">
        <v>865</v>
      </c>
      <c r="B866" s="1" t="s">
        <v>832</v>
      </c>
      <c r="C866" s="1" t="s">
        <v>1479</v>
      </c>
      <c r="D866" s="1" t="s">
        <v>1487</v>
      </c>
      <c r="E866" s="0" t="s">
        <v>1488</v>
      </c>
      <c r="F866" s="0" t="s">
        <v>50</v>
      </c>
      <c r="G866" s="0" t="s">
        <v>6498</v>
      </c>
      <c r="I866" s="6" t="n">
        <v>0.395833333333333</v>
      </c>
      <c r="J866" s="6" t="n">
        <v>0.170833333333333</v>
      </c>
      <c r="L866" s="0" t="n">
        <v>75</v>
      </c>
      <c r="M866" s="7" t="s">
        <v>6499</v>
      </c>
      <c r="N866" s="7" t="s">
        <v>6500</v>
      </c>
      <c r="O866" s="7"/>
      <c r="P866" s="7" t="s">
        <v>6501</v>
      </c>
      <c r="Q866" s="2" t="n">
        <v>43233</v>
      </c>
      <c r="S866" s="0" t="n">
        <f aca="false">YEAR(Q866)</f>
        <v>2018</v>
      </c>
      <c r="T866" s="0" t="n">
        <f aca="false">MONTH(Q866)</f>
        <v>5</v>
      </c>
    </row>
    <row r="867" customFormat="false" ht="28.5" hidden="true" customHeight="false" outlineLevel="0" collapsed="false">
      <c r="A867" s="0" t="n">
        <v>866</v>
      </c>
      <c r="B867" s="1" t="s">
        <v>833</v>
      </c>
      <c r="C867" s="1" t="s">
        <v>1479</v>
      </c>
      <c r="D867" s="1" t="s">
        <v>1535</v>
      </c>
      <c r="E867" s="0" t="s">
        <v>39</v>
      </c>
      <c r="F867" s="0" t="s">
        <v>48</v>
      </c>
      <c r="G867" s="0" t="s">
        <v>6502</v>
      </c>
      <c r="I867" s="6" t="n">
        <v>0.510416666666667</v>
      </c>
      <c r="J867" s="6" t="n">
        <v>0.540277777777778</v>
      </c>
      <c r="K867" s="0" t="n">
        <v>4</v>
      </c>
      <c r="L867" s="0" t="n">
        <v>45</v>
      </c>
      <c r="M867" s="7" t="s">
        <v>6503</v>
      </c>
      <c r="N867" s="7" t="s">
        <v>6504</v>
      </c>
      <c r="O867" s="7"/>
      <c r="P867" s="7" t="s">
        <v>6505</v>
      </c>
      <c r="Q867" s="2" t="n">
        <v>43234</v>
      </c>
      <c r="S867" s="0" t="n">
        <f aca="false">YEAR(Q867)</f>
        <v>2018</v>
      </c>
      <c r="T867" s="0" t="n">
        <f aca="false">MONTH(Q867)</f>
        <v>5</v>
      </c>
    </row>
    <row r="868" customFormat="false" ht="28.5" hidden="true" customHeight="false" outlineLevel="0" collapsed="false">
      <c r="A868" s="0" t="n">
        <v>867</v>
      </c>
      <c r="B868" s="1" t="s">
        <v>833</v>
      </c>
      <c r="C868" s="1" t="s">
        <v>1479</v>
      </c>
      <c r="D868" s="1" t="s">
        <v>1496</v>
      </c>
      <c r="E868" s="0" t="s">
        <v>38</v>
      </c>
      <c r="F868" s="0" t="s">
        <v>48</v>
      </c>
      <c r="G868" s="0" t="s">
        <v>6506</v>
      </c>
      <c r="I868" s="6" t="n">
        <v>0.5</v>
      </c>
      <c r="J868" s="6" t="n">
        <v>0.513888888888889</v>
      </c>
      <c r="L868" s="0" t="n">
        <v>60</v>
      </c>
      <c r="M868" s="7" t="s">
        <v>6507</v>
      </c>
      <c r="N868" s="7" t="s">
        <v>6508</v>
      </c>
      <c r="O868" s="7"/>
      <c r="P868" s="7" t="s">
        <v>6509</v>
      </c>
      <c r="Q868" s="2" t="n">
        <v>43234</v>
      </c>
      <c r="S868" s="0" t="n">
        <f aca="false">YEAR(Q868)</f>
        <v>2018</v>
      </c>
      <c r="T868" s="0" t="n">
        <f aca="false">MONTH(Q868)</f>
        <v>5</v>
      </c>
    </row>
    <row r="869" customFormat="false" ht="42.75" hidden="true" customHeight="false" outlineLevel="0" collapsed="false">
      <c r="A869" s="0" t="n">
        <v>868</v>
      </c>
      <c r="B869" s="1" t="s">
        <v>833</v>
      </c>
      <c r="C869" s="1" t="s">
        <v>1479</v>
      </c>
      <c r="D869" s="1" t="s">
        <v>1496</v>
      </c>
      <c r="E869" s="0" t="s">
        <v>38</v>
      </c>
      <c r="F869" s="0" t="s">
        <v>49</v>
      </c>
      <c r="G869" s="0" t="s">
        <v>6510</v>
      </c>
      <c r="I869" s="6" t="n">
        <v>0.75625</v>
      </c>
      <c r="J869" s="6" t="n">
        <v>0.765972222222222</v>
      </c>
      <c r="K869" s="0" t="n">
        <v>70</v>
      </c>
      <c r="L869" s="0" t="n">
        <v>210</v>
      </c>
      <c r="M869" s="7" t="s">
        <v>6511</v>
      </c>
      <c r="N869" s="7" t="s">
        <v>6512</v>
      </c>
      <c r="O869" s="7"/>
      <c r="P869" s="7" t="s">
        <v>6513</v>
      </c>
      <c r="Q869" s="2" t="n">
        <v>43234</v>
      </c>
      <c r="S869" s="0" t="n">
        <f aca="false">YEAR(Q869)</f>
        <v>2018</v>
      </c>
      <c r="T869" s="0" t="n">
        <f aca="false">MONTH(Q869)</f>
        <v>5</v>
      </c>
    </row>
    <row r="870" customFormat="false" ht="42.75" hidden="true" customHeight="false" outlineLevel="0" collapsed="false">
      <c r="A870" s="0" t="n">
        <v>869</v>
      </c>
      <c r="B870" s="1" t="s">
        <v>833</v>
      </c>
      <c r="C870" s="1" t="s">
        <v>1503</v>
      </c>
      <c r="D870" s="1" t="s">
        <v>1535</v>
      </c>
      <c r="E870" s="0" t="s">
        <v>44</v>
      </c>
      <c r="F870" s="0" t="s">
        <v>50</v>
      </c>
      <c r="G870" s="0" t="s">
        <v>6514</v>
      </c>
      <c r="I870" s="6" t="n">
        <v>0</v>
      </c>
      <c r="J870" s="6" t="n">
        <v>0.0173611111111111</v>
      </c>
      <c r="L870" s="0" t="n">
        <v>45</v>
      </c>
      <c r="M870" s="7" t="s">
        <v>6515</v>
      </c>
      <c r="N870" s="7" t="s">
        <v>6516</v>
      </c>
      <c r="O870" s="7"/>
      <c r="P870" s="7" t="s">
        <v>6517</v>
      </c>
      <c r="Q870" s="2" t="n">
        <v>43234</v>
      </c>
      <c r="S870" s="0" t="n">
        <f aca="false">YEAR(Q870)</f>
        <v>2018</v>
      </c>
      <c r="T870" s="0" t="n">
        <f aca="false">MONTH(Q870)</f>
        <v>5</v>
      </c>
    </row>
    <row r="871" customFormat="false" ht="42.75" hidden="true" customHeight="false" outlineLevel="0" collapsed="false">
      <c r="A871" s="0" t="n">
        <v>870</v>
      </c>
      <c r="B871" s="1" t="s">
        <v>835</v>
      </c>
      <c r="C871" s="1" t="s">
        <v>1479</v>
      </c>
      <c r="D871" s="1" t="s">
        <v>1487</v>
      </c>
      <c r="E871" s="4" t="s">
        <v>1488</v>
      </c>
      <c r="F871" s="0" t="s">
        <v>48</v>
      </c>
      <c r="G871" s="0" t="s">
        <v>6518</v>
      </c>
      <c r="I871" s="6" t="n">
        <v>0.254861111111111</v>
      </c>
      <c r="J871" s="6" t="n">
        <v>0.265277777777778</v>
      </c>
      <c r="K871" s="0" t="n">
        <v>8</v>
      </c>
      <c r="L871" s="0" t="n">
        <v>28</v>
      </c>
      <c r="M871" s="7" t="s">
        <v>6519</v>
      </c>
      <c r="N871" s="7" t="s">
        <v>6520</v>
      </c>
      <c r="O871" s="7"/>
      <c r="P871" s="7" t="s">
        <v>6521</v>
      </c>
      <c r="Q871" s="2" t="n">
        <v>43237</v>
      </c>
      <c r="S871" s="0" t="n">
        <f aca="false">YEAR(Q871)</f>
        <v>2018</v>
      </c>
      <c r="T871" s="0" t="n">
        <f aca="false">MONTH(Q871)</f>
        <v>5</v>
      </c>
    </row>
    <row r="872" customFormat="false" ht="28.5" hidden="true" customHeight="false" outlineLevel="0" collapsed="false">
      <c r="A872" s="0" t="n">
        <v>871</v>
      </c>
      <c r="B872" s="1" t="s">
        <v>835</v>
      </c>
      <c r="C872" s="1" t="s">
        <v>1479</v>
      </c>
      <c r="D872" s="1" t="s">
        <v>1480</v>
      </c>
      <c r="E872" s="0" t="s">
        <v>43</v>
      </c>
      <c r="F872" s="0" t="s">
        <v>48</v>
      </c>
      <c r="G872" s="0" t="s">
        <v>6522</v>
      </c>
      <c r="J872" s="6" t="n">
        <v>0.416666666666667</v>
      </c>
      <c r="M872" s="7" t="s">
        <v>6523</v>
      </c>
      <c r="N872" s="7" t="s">
        <v>6524</v>
      </c>
      <c r="O872" s="7"/>
      <c r="P872" s="7" t="s">
        <v>6525</v>
      </c>
      <c r="Q872" s="2" t="n">
        <v>43237</v>
      </c>
      <c r="S872" s="0" t="n">
        <f aca="false">YEAR(Q872)</f>
        <v>2018</v>
      </c>
      <c r="T872" s="0" t="n">
        <f aca="false">MONTH(Q872)</f>
        <v>5</v>
      </c>
    </row>
    <row r="873" customFormat="false" ht="28.5" hidden="true" customHeight="false" outlineLevel="0" collapsed="false">
      <c r="A873" s="0" t="n">
        <v>872</v>
      </c>
      <c r="B873" s="1" t="s">
        <v>835</v>
      </c>
      <c r="C873" s="1" t="s">
        <v>1479</v>
      </c>
      <c r="D873" s="1" t="s">
        <v>1496</v>
      </c>
      <c r="E873" s="0" t="s">
        <v>38</v>
      </c>
      <c r="F873" s="0" t="s">
        <v>49</v>
      </c>
      <c r="G873" s="0" t="s">
        <v>6526</v>
      </c>
      <c r="I873" s="6" t="n">
        <v>0.631944444444444</v>
      </c>
      <c r="J873" s="6" t="n">
        <v>0.645833333333333</v>
      </c>
      <c r="K873" s="0" t="n">
        <v>17</v>
      </c>
      <c r="L873" s="0" t="n">
        <v>120</v>
      </c>
      <c r="M873" s="7" t="s">
        <v>6527</v>
      </c>
      <c r="N873" s="7" t="s">
        <v>6528</v>
      </c>
      <c r="O873" s="7"/>
      <c r="P873" s="0" t="s">
        <v>6529</v>
      </c>
      <c r="Q873" s="2" t="n">
        <v>43237</v>
      </c>
      <c r="S873" s="0" t="n">
        <f aca="false">YEAR(Q873)</f>
        <v>2018</v>
      </c>
      <c r="T873" s="0" t="n">
        <f aca="false">MONTH(Q873)</f>
        <v>5</v>
      </c>
    </row>
    <row r="874" customFormat="false" ht="114.75" hidden="true" customHeight="false" outlineLevel="0" collapsed="false">
      <c r="A874" s="0" t="n">
        <v>873</v>
      </c>
      <c r="B874" s="1" t="s">
        <v>835</v>
      </c>
      <c r="C874" s="1" t="s">
        <v>1503</v>
      </c>
      <c r="D874" s="1" t="s">
        <v>1504</v>
      </c>
      <c r="E874" s="0" t="s">
        <v>45</v>
      </c>
      <c r="F874" s="0" t="s">
        <v>49</v>
      </c>
      <c r="G874" s="0" t="s">
        <v>6530</v>
      </c>
      <c r="I874" s="6" t="n">
        <v>0.583333333333333</v>
      </c>
      <c r="J874" s="6" t="n">
        <v>0.756944444444444</v>
      </c>
      <c r="L874" s="0" t="n">
        <v>510</v>
      </c>
      <c r="M874" s="7" t="s">
        <v>6531</v>
      </c>
      <c r="N874" s="7" t="s">
        <v>6532</v>
      </c>
      <c r="O874" s="7"/>
      <c r="P874" s="7" t="s">
        <v>6533</v>
      </c>
      <c r="Q874" s="2" t="n">
        <v>43237</v>
      </c>
      <c r="S874" s="0" t="n">
        <f aca="false">YEAR(Q874)</f>
        <v>2018</v>
      </c>
      <c r="T874" s="0" t="n">
        <f aca="false">MONTH(Q874)</f>
        <v>5</v>
      </c>
    </row>
    <row r="875" customFormat="false" ht="28.5" hidden="true" customHeight="false" outlineLevel="0" collapsed="false">
      <c r="A875" s="0" t="n">
        <v>874</v>
      </c>
      <c r="B875" s="1" t="s">
        <v>836</v>
      </c>
      <c r="C875" s="1" t="s">
        <v>1479</v>
      </c>
      <c r="D875" s="1" t="s">
        <v>1496</v>
      </c>
      <c r="E875" s="0" t="s">
        <v>38</v>
      </c>
      <c r="F875" s="0" t="s">
        <v>50</v>
      </c>
      <c r="G875" s="0" t="s">
        <v>6534</v>
      </c>
      <c r="I875" s="6" t="n">
        <v>0.791666666666667</v>
      </c>
      <c r="K875" s="0" t="n">
        <v>220</v>
      </c>
      <c r="L875" s="0" t="n">
        <v>220</v>
      </c>
      <c r="M875" s="7" t="s">
        <v>6535</v>
      </c>
      <c r="N875" s="7" t="s">
        <v>6536</v>
      </c>
      <c r="O875" s="7"/>
      <c r="P875" s="7" t="s">
        <v>6537</v>
      </c>
      <c r="Q875" s="2" t="n">
        <v>43240</v>
      </c>
      <c r="S875" s="0" t="n">
        <f aca="false">YEAR(Q875)</f>
        <v>2018</v>
      </c>
      <c r="T875" s="0" t="n">
        <f aca="false">MONTH(Q875)</f>
        <v>5</v>
      </c>
    </row>
    <row r="876" customFormat="false" ht="42.75" hidden="true" customHeight="false" outlineLevel="0" collapsed="false">
      <c r="A876" s="0" t="n">
        <v>875</v>
      </c>
      <c r="B876" s="1" t="s">
        <v>836</v>
      </c>
      <c r="C876" s="1" t="s">
        <v>1479</v>
      </c>
      <c r="D876" s="1" t="s">
        <v>1535</v>
      </c>
      <c r="E876" s="0" t="s">
        <v>39</v>
      </c>
      <c r="F876" s="0" t="s">
        <v>50</v>
      </c>
      <c r="G876" s="0" t="s">
        <v>6538</v>
      </c>
      <c r="I876" s="6" t="n">
        <v>0.921527777777778</v>
      </c>
      <c r="J876" s="6" t="n">
        <v>0.104166666666667</v>
      </c>
      <c r="L876" s="0" t="n">
        <v>368</v>
      </c>
      <c r="M876" s="7" t="s">
        <v>6539</v>
      </c>
      <c r="N876" s="7" t="s">
        <v>6540</v>
      </c>
      <c r="O876" s="7"/>
      <c r="P876" s="7" t="s">
        <v>6541</v>
      </c>
      <c r="Q876" s="2" t="n">
        <v>43240</v>
      </c>
      <c r="S876" s="0" t="n">
        <f aca="false">YEAR(Q876)</f>
        <v>2018</v>
      </c>
      <c r="T876" s="0" t="n">
        <f aca="false">MONTH(Q876)</f>
        <v>5</v>
      </c>
    </row>
    <row r="877" customFormat="false" ht="28.5" hidden="true" customHeight="false" outlineLevel="0" collapsed="false">
      <c r="A877" s="0" t="n">
        <v>876</v>
      </c>
      <c r="B877" s="1" t="s">
        <v>837</v>
      </c>
      <c r="C877" s="1" t="s">
        <v>1503</v>
      </c>
      <c r="D877" s="1" t="s">
        <v>1535</v>
      </c>
      <c r="E877" s="0" t="s">
        <v>44</v>
      </c>
      <c r="F877" s="0" t="s">
        <v>48</v>
      </c>
      <c r="G877" s="0" t="s">
        <v>6542</v>
      </c>
      <c r="I877" s="6" t="n">
        <v>0.246527777777778</v>
      </c>
      <c r="J877" s="6" t="n">
        <v>0.253472222222222</v>
      </c>
      <c r="K877" s="0" t="n">
        <v>15</v>
      </c>
      <c r="L877" s="0" t="n">
        <v>20</v>
      </c>
      <c r="M877" s="7" t="s">
        <v>6543</v>
      </c>
      <c r="N877" s="7" t="s">
        <v>6544</v>
      </c>
      <c r="O877" s="7"/>
      <c r="P877" s="7" t="s">
        <v>6545</v>
      </c>
      <c r="Q877" s="2" t="n">
        <v>43241</v>
      </c>
      <c r="S877" s="0" t="n">
        <f aca="false">YEAR(Q877)</f>
        <v>2018</v>
      </c>
      <c r="T877" s="0" t="n">
        <f aca="false">MONTH(Q877)</f>
        <v>5</v>
      </c>
    </row>
    <row r="878" customFormat="false" ht="42.75" hidden="true" customHeight="false" outlineLevel="0" collapsed="false">
      <c r="A878" s="0" t="n">
        <v>877</v>
      </c>
      <c r="B878" s="1" t="s">
        <v>837</v>
      </c>
      <c r="C878" s="1" t="s">
        <v>1479</v>
      </c>
      <c r="D878" s="1" t="s">
        <v>1487</v>
      </c>
      <c r="E878" s="0" t="s">
        <v>1488</v>
      </c>
      <c r="F878" s="0" t="s">
        <v>48</v>
      </c>
      <c r="G878" s="0" t="s">
        <v>6546</v>
      </c>
      <c r="I878" s="6" t="n">
        <v>0.240972222222222</v>
      </c>
      <c r="J878" s="6" t="n">
        <v>0.246527777777778</v>
      </c>
      <c r="K878" s="0" t="n">
        <v>135</v>
      </c>
      <c r="L878" s="0" t="n">
        <v>138</v>
      </c>
      <c r="M878" s="7" t="s">
        <v>6547</v>
      </c>
      <c r="N878" s="7" t="s">
        <v>6548</v>
      </c>
      <c r="O878" s="7"/>
      <c r="P878" s="7" t="s">
        <v>6549</v>
      </c>
      <c r="Q878" s="2" t="n">
        <v>43241</v>
      </c>
      <c r="S878" s="0" t="n">
        <f aca="false">YEAR(Q878)</f>
        <v>2018</v>
      </c>
      <c r="T878" s="0" t="n">
        <f aca="false">MONTH(Q878)</f>
        <v>5</v>
      </c>
    </row>
    <row r="879" customFormat="false" ht="28.5" hidden="true" customHeight="false" outlineLevel="0" collapsed="false">
      <c r="A879" s="0" t="n">
        <v>878</v>
      </c>
      <c r="B879" s="1" t="s">
        <v>837</v>
      </c>
      <c r="C879" s="1" t="s">
        <v>1503</v>
      </c>
      <c r="D879" s="1" t="s">
        <v>1535</v>
      </c>
      <c r="E879" s="0" t="s">
        <v>44</v>
      </c>
      <c r="F879" s="0" t="s">
        <v>48</v>
      </c>
      <c r="G879" s="0" t="s">
        <v>6455</v>
      </c>
      <c r="K879" s="0" t="n">
        <v>5</v>
      </c>
      <c r="L879" s="0" t="n">
        <v>8</v>
      </c>
      <c r="M879" s="7" t="s">
        <v>6550</v>
      </c>
      <c r="N879" s="7" t="s">
        <v>6551</v>
      </c>
      <c r="O879" s="7"/>
      <c r="P879" s="7" t="s">
        <v>6458</v>
      </c>
      <c r="Q879" s="2" t="n">
        <v>43241</v>
      </c>
      <c r="S879" s="0" t="n">
        <f aca="false">YEAR(Q879)</f>
        <v>2018</v>
      </c>
      <c r="T879" s="0" t="n">
        <f aca="false">MONTH(Q879)</f>
        <v>5</v>
      </c>
    </row>
    <row r="880" customFormat="false" ht="42.75" hidden="true" customHeight="false" outlineLevel="0" collapsed="false">
      <c r="A880" s="0" t="n">
        <v>879</v>
      </c>
      <c r="B880" s="1" t="s">
        <v>837</v>
      </c>
      <c r="C880" s="1" t="s">
        <v>1503</v>
      </c>
      <c r="D880" s="1" t="s">
        <v>1535</v>
      </c>
      <c r="E880" s="0" t="s">
        <v>44</v>
      </c>
      <c r="F880" s="0" t="s">
        <v>48</v>
      </c>
      <c r="G880" s="0" t="s">
        <v>6552</v>
      </c>
      <c r="J880" s="6" t="n">
        <v>0.416666666666667</v>
      </c>
      <c r="L880" s="0" t="n">
        <v>658</v>
      </c>
      <c r="M880" s="7" t="s">
        <v>6553</v>
      </c>
      <c r="N880" s="7" t="s">
        <v>6554</v>
      </c>
      <c r="O880" s="7"/>
      <c r="P880" s="7" t="s">
        <v>6555</v>
      </c>
      <c r="Q880" s="2" t="n">
        <v>43241</v>
      </c>
      <c r="S880" s="0" t="n">
        <f aca="false">YEAR(Q880)</f>
        <v>2018</v>
      </c>
      <c r="T880" s="0" t="n">
        <f aca="false">MONTH(Q880)</f>
        <v>5</v>
      </c>
    </row>
    <row r="881" customFormat="false" ht="28.5" hidden="true" customHeight="false" outlineLevel="0" collapsed="false">
      <c r="A881" s="0" t="n">
        <v>880</v>
      </c>
      <c r="B881" s="1" t="s">
        <v>837</v>
      </c>
      <c r="C881" s="1" t="s">
        <v>1479</v>
      </c>
      <c r="D881" s="1" t="s">
        <v>1496</v>
      </c>
      <c r="E881" s="0" t="s">
        <v>38</v>
      </c>
      <c r="F881" s="0" t="s">
        <v>49</v>
      </c>
      <c r="G881" s="0" t="s">
        <v>6556</v>
      </c>
      <c r="I881" s="6" t="n">
        <v>0.668055555555556</v>
      </c>
      <c r="J881" s="6" t="n">
        <v>0.685416666666667</v>
      </c>
      <c r="M881" s="7" t="s">
        <v>6557</v>
      </c>
      <c r="N881" s="7" t="s">
        <v>6558</v>
      </c>
      <c r="O881" s="7"/>
      <c r="P881" s="7" t="s">
        <v>6559</v>
      </c>
      <c r="Q881" s="2" t="n">
        <v>43241</v>
      </c>
      <c r="S881" s="0" t="n">
        <f aca="false">YEAR(Q881)</f>
        <v>2018</v>
      </c>
      <c r="T881" s="0" t="n">
        <f aca="false">MONTH(Q881)</f>
        <v>5</v>
      </c>
    </row>
    <row r="882" customFormat="false" ht="28.5" hidden="true" customHeight="false" outlineLevel="0" collapsed="false">
      <c r="A882" s="0" t="n">
        <v>881</v>
      </c>
      <c r="B882" s="1" t="s">
        <v>837</v>
      </c>
      <c r="C882" s="1" t="s">
        <v>1479</v>
      </c>
      <c r="D882" s="1" t="s">
        <v>1487</v>
      </c>
      <c r="E882" s="0" t="s">
        <v>1488</v>
      </c>
      <c r="F882" s="0" t="s">
        <v>49</v>
      </c>
      <c r="G882" s="0" t="s">
        <v>6560</v>
      </c>
      <c r="I882" s="6" t="n">
        <v>0.826388888888889</v>
      </c>
      <c r="J882" s="6" t="n">
        <v>0.826388888888889</v>
      </c>
      <c r="K882" s="0" t="n">
        <v>0</v>
      </c>
      <c r="L882" s="0" t="n">
        <v>0</v>
      </c>
      <c r="M882" s="7" t="s">
        <v>6561</v>
      </c>
      <c r="N882" s="7" t="s">
        <v>6562</v>
      </c>
      <c r="O882" s="7"/>
      <c r="P882" s="7" t="s">
        <v>6563</v>
      </c>
      <c r="Q882" s="2" t="n">
        <v>43241</v>
      </c>
      <c r="S882" s="0" t="n">
        <f aca="false">YEAR(Q882)</f>
        <v>2018</v>
      </c>
      <c r="T882" s="0" t="n">
        <f aca="false">MONTH(Q882)</f>
        <v>5</v>
      </c>
    </row>
    <row r="883" customFormat="false" ht="86.25" hidden="true" customHeight="false" outlineLevel="0" collapsed="false">
      <c r="A883" s="0" t="n">
        <v>882</v>
      </c>
      <c r="B883" s="1" t="s">
        <v>837</v>
      </c>
      <c r="C883" s="1" t="s">
        <v>1479</v>
      </c>
      <c r="D883" s="1" t="s">
        <v>1496</v>
      </c>
      <c r="E883" s="0" t="s">
        <v>38</v>
      </c>
      <c r="F883" s="0" t="s">
        <v>49</v>
      </c>
      <c r="G883" s="0" t="s">
        <v>6564</v>
      </c>
      <c r="I883" s="6" t="n">
        <v>0.879861111111111</v>
      </c>
      <c r="J883" s="6" t="n">
        <v>0.884027777777778</v>
      </c>
      <c r="L883" s="0" t="n">
        <v>122</v>
      </c>
      <c r="M883" s="7" t="s">
        <v>6565</v>
      </c>
      <c r="N883" s="7" t="s">
        <v>6566</v>
      </c>
      <c r="O883" s="7"/>
      <c r="P883" s="7" t="s">
        <v>6567</v>
      </c>
      <c r="Q883" s="2" t="n">
        <v>43241</v>
      </c>
      <c r="S883" s="0" t="n">
        <f aca="false">YEAR(Q883)</f>
        <v>2018</v>
      </c>
      <c r="T883" s="0" t="n">
        <f aca="false">MONTH(Q883)</f>
        <v>5</v>
      </c>
    </row>
    <row r="884" customFormat="false" ht="28.5" hidden="true" customHeight="false" outlineLevel="0" collapsed="false">
      <c r="A884" s="0" t="n">
        <v>883</v>
      </c>
      <c r="B884" s="1" t="s">
        <v>837</v>
      </c>
      <c r="C884" s="1" t="s">
        <v>1479</v>
      </c>
      <c r="D884" s="1" t="s">
        <v>1496</v>
      </c>
      <c r="E884" s="0" t="s">
        <v>38</v>
      </c>
      <c r="F884" s="0" t="s">
        <v>50</v>
      </c>
      <c r="G884" s="0" t="s">
        <v>6568</v>
      </c>
      <c r="J884" s="6" t="n">
        <v>0.0277777777777778</v>
      </c>
      <c r="M884" s="7" t="s">
        <v>6569</v>
      </c>
      <c r="N884" s="7" t="s">
        <v>6570</v>
      </c>
      <c r="O884" s="7"/>
      <c r="P884" s="7" t="s">
        <v>6571</v>
      </c>
      <c r="Q884" s="2" t="n">
        <v>43241</v>
      </c>
      <c r="S884" s="0" t="n">
        <f aca="false">YEAR(Q884)</f>
        <v>2018</v>
      </c>
      <c r="T884" s="0" t="n">
        <f aca="false">MONTH(Q884)</f>
        <v>5</v>
      </c>
    </row>
    <row r="885" customFormat="false" ht="28.5" hidden="true" customHeight="false" outlineLevel="0" collapsed="false">
      <c r="A885" s="0" t="n">
        <v>884</v>
      </c>
      <c r="B885" s="1" t="s">
        <v>837</v>
      </c>
      <c r="C885" s="1" t="s">
        <v>1479</v>
      </c>
      <c r="D885" s="1" t="s">
        <v>1535</v>
      </c>
      <c r="E885" s="0" t="s">
        <v>39</v>
      </c>
      <c r="F885" s="0" t="s">
        <v>50</v>
      </c>
      <c r="G885" s="0" t="s">
        <v>6572</v>
      </c>
      <c r="J885" s="6" t="n">
        <v>0.0555555555555556</v>
      </c>
      <c r="M885" s="7" t="s">
        <v>6573</v>
      </c>
      <c r="N885" s="7" t="s">
        <v>6574</v>
      </c>
      <c r="O885" s="7"/>
      <c r="P885" s="7" t="s">
        <v>6575</v>
      </c>
      <c r="Q885" s="2" t="n">
        <v>43241</v>
      </c>
      <c r="S885" s="0" t="n">
        <f aca="false">YEAR(Q885)</f>
        <v>2018</v>
      </c>
      <c r="T885" s="0" t="n">
        <f aca="false">MONTH(Q885)</f>
        <v>5</v>
      </c>
    </row>
    <row r="886" customFormat="false" ht="42.75" hidden="true" customHeight="false" outlineLevel="0" collapsed="false">
      <c r="A886" s="0" t="n">
        <v>885</v>
      </c>
      <c r="B886" s="1" t="s">
        <v>837</v>
      </c>
      <c r="C886" s="1" t="s">
        <v>1503</v>
      </c>
      <c r="D886" s="1" t="s">
        <v>1535</v>
      </c>
      <c r="E886" s="0" t="s">
        <v>44</v>
      </c>
      <c r="F886" s="0" t="s">
        <v>50</v>
      </c>
      <c r="G886" s="0" t="s">
        <v>6576</v>
      </c>
      <c r="J886" s="6" t="n">
        <v>0.03125</v>
      </c>
      <c r="K886" s="0" t="n">
        <v>0</v>
      </c>
      <c r="L886" s="0" t="n">
        <v>160</v>
      </c>
      <c r="M886" s="7" t="s">
        <v>6577</v>
      </c>
      <c r="N886" s="7" t="s">
        <v>6578</v>
      </c>
      <c r="O886" s="7"/>
      <c r="P886" s="7" t="s">
        <v>6579</v>
      </c>
      <c r="Q886" s="2" t="n">
        <v>43241</v>
      </c>
      <c r="S886" s="0" t="n">
        <f aca="false">YEAR(Q886)</f>
        <v>2018</v>
      </c>
      <c r="T886" s="0" t="n">
        <f aca="false">MONTH(Q886)</f>
        <v>5</v>
      </c>
    </row>
    <row r="887" customFormat="false" ht="28.5" hidden="true" customHeight="false" outlineLevel="0" collapsed="false">
      <c r="A887" s="0" t="n">
        <v>886</v>
      </c>
      <c r="B887" s="1" t="s">
        <v>837</v>
      </c>
      <c r="C887" s="1" t="s">
        <v>1479</v>
      </c>
      <c r="D887" s="1" t="s">
        <v>1496</v>
      </c>
      <c r="E887" s="0" t="s">
        <v>38</v>
      </c>
      <c r="F887" s="0" t="s">
        <v>50</v>
      </c>
      <c r="G887" s="0" t="s">
        <v>6580</v>
      </c>
      <c r="I887" s="6" t="n">
        <v>0.161111111111111</v>
      </c>
      <c r="J887" s="6" t="n">
        <v>0.166666666666667</v>
      </c>
      <c r="K887" s="0" t="n">
        <v>140</v>
      </c>
      <c r="L887" s="0" t="n">
        <v>133</v>
      </c>
      <c r="M887" s="7" t="s">
        <v>6581</v>
      </c>
      <c r="N887" s="7" t="s">
        <v>6582</v>
      </c>
      <c r="O887" s="7"/>
      <c r="P887" s="7" t="s">
        <v>6583</v>
      </c>
      <c r="Q887" s="2" t="n">
        <v>43241</v>
      </c>
      <c r="S887" s="0" t="n">
        <f aca="false">YEAR(Q887)</f>
        <v>2018</v>
      </c>
      <c r="T887" s="0" t="n">
        <f aca="false">MONTH(Q887)</f>
        <v>5</v>
      </c>
    </row>
    <row r="888" customFormat="false" ht="28.5" hidden="true" customHeight="false" outlineLevel="0" collapsed="false">
      <c r="A888" s="0" t="n">
        <v>887</v>
      </c>
      <c r="B888" s="1" t="s">
        <v>838</v>
      </c>
      <c r="C888" s="1" t="s">
        <v>1503</v>
      </c>
      <c r="D888" s="1" t="s">
        <v>1535</v>
      </c>
      <c r="E888" s="0" t="s">
        <v>44</v>
      </c>
      <c r="F888" s="0" t="s">
        <v>48</v>
      </c>
      <c r="G888" s="0" t="s">
        <v>6584</v>
      </c>
      <c r="I888" s="6" t="n">
        <v>0.283333333333333</v>
      </c>
      <c r="J888" s="6" t="n">
        <v>0.284722222222222</v>
      </c>
      <c r="K888" s="0" t="n">
        <v>25</v>
      </c>
      <c r="L888" s="0" t="n">
        <v>35</v>
      </c>
      <c r="M888" s="7" t="s">
        <v>6585</v>
      </c>
      <c r="N888" s="7" t="s">
        <v>6586</v>
      </c>
      <c r="O888" s="7"/>
      <c r="P888" s="7" t="s">
        <v>6587</v>
      </c>
      <c r="Q888" s="2" t="n">
        <v>43242</v>
      </c>
      <c r="S888" s="0" t="n">
        <f aca="false">YEAR(Q888)</f>
        <v>2018</v>
      </c>
      <c r="T888" s="0" t="n">
        <f aca="false">MONTH(Q888)</f>
        <v>5</v>
      </c>
    </row>
    <row r="889" customFormat="false" ht="28.5" hidden="true" customHeight="false" outlineLevel="0" collapsed="false">
      <c r="A889" s="0" t="n">
        <v>888</v>
      </c>
      <c r="B889" s="1" t="s">
        <v>838</v>
      </c>
      <c r="C889" s="1" t="s">
        <v>1479</v>
      </c>
      <c r="D889" s="1" t="s">
        <v>1487</v>
      </c>
      <c r="E889" s="4" t="s">
        <v>1488</v>
      </c>
      <c r="F889" s="0" t="s">
        <v>48</v>
      </c>
      <c r="G889" s="0" t="s">
        <v>6588</v>
      </c>
      <c r="I889" s="6" t="n">
        <v>0.319444444444444</v>
      </c>
      <c r="J889" s="6" t="n">
        <v>0.326388888888889</v>
      </c>
      <c r="K889" s="0" t="n">
        <v>5</v>
      </c>
      <c r="L889" s="0" t="n">
        <v>100</v>
      </c>
      <c r="M889" s="7" t="s">
        <v>6589</v>
      </c>
      <c r="N889" s="7" t="s">
        <v>6590</v>
      </c>
      <c r="O889" s="7"/>
      <c r="P889" s="7" t="s">
        <v>6591</v>
      </c>
      <c r="Q889" s="2" t="n">
        <v>43242</v>
      </c>
      <c r="S889" s="0" t="n">
        <f aca="false">YEAR(Q889)</f>
        <v>2018</v>
      </c>
      <c r="T889" s="0" t="n">
        <f aca="false">MONTH(Q889)</f>
        <v>5</v>
      </c>
    </row>
    <row r="890" customFormat="false" ht="42.75" hidden="true" customHeight="false" outlineLevel="0" collapsed="false">
      <c r="A890" s="0" t="n">
        <v>889</v>
      </c>
      <c r="B890" s="1" t="s">
        <v>838</v>
      </c>
      <c r="C890" s="1" t="s">
        <v>1479</v>
      </c>
      <c r="D890" s="1" t="s">
        <v>1487</v>
      </c>
      <c r="E890" s="0" t="s">
        <v>1488</v>
      </c>
      <c r="F890" s="0" t="s">
        <v>48</v>
      </c>
      <c r="G890" s="0" t="s">
        <v>6592</v>
      </c>
      <c r="I890" s="6" t="n">
        <v>0.41875</v>
      </c>
      <c r="J890" s="6" t="n">
        <v>0.429166666666667</v>
      </c>
      <c r="L890" s="0" t="n">
        <v>18</v>
      </c>
      <c r="M890" s="7" t="s">
        <v>6593</v>
      </c>
      <c r="N890" s="7" t="s">
        <v>6594</v>
      </c>
      <c r="O890" s="7"/>
      <c r="P890" s="7" t="s">
        <v>6595</v>
      </c>
      <c r="Q890" s="2" t="n">
        <v>43242</v>
      </c>
      <c r="S890" s="0" t="n">
        <f aca="false">YEAR(Q890)</f>
        <v>2018</v>
      </c>
      <c r="T890" s="0" t="n">
        <f aca="false">MONTH(Q890)</f>
        <v>5</v>
      </c>
    </row>
    <row r="891" customFormat="false" ht="28.5" hidden="true" customHeight="false" outlineLevel="0" collapsed="false">
      <c r="A891" s="0" t="n">
        <v>890</v>
      </c>
      <c r="B891" s="1" t="s">
        <v>838</v>
      </c>
      <c r="C891" s="1" t="s">
        <v>1479</v>
      </c>
      <c r="D891" s="1" t="s">
        <v>1535</v>
      </c>
      <c r="E891" s="0" t="s">
        <v>39</v>
      </c>
      <c r="F891" s="0" t="s">
        <v>49</v>
      </c>
      <c r="G891" s="0" t="s">
        <v>6596</v>
      </c>
      <c r="I891" s="6" t="n">
        <v>0.614583333333333</v>
      </c>
      <c r="J891" s="6" t="n">
        <v>0.748611111111111</v>
      </c>
      <c r="K891" s="0" t="n">
        <v>0</v>
      </c>
      <c r="L891" s="0" t="n">
        <v>22</v>
      </c>
      <c r="M891" s="7" t="s">
        <v>6597</v>
      </c>
      <c r="N891" s="7" t="s">
        <v>6598</v>
      </c>
      <c r="O891" s="7"/>
      <c r="P891" s="7" t="s">
        <v>6599</v>
      </c>
      <c r="Q891" s="2" t="n">
        <v>43242</v>
      </c>
      <c r="S891" s="0" t="n">
        <f aca="false">YEAR(Q891)</f>
        <v>2018</v>
      </c>
      <c r="T891" s="0" t="n">
        <f aca="false">MONTH(Q891)</f>
        <v>5</v>
      </c>
    </row>
    <row r="892" customFormat="false" ht="42.75" hidden="true" customHeight="false" outlineLevel="0" collapsed="false">
      <c r="A892" s="0" t="n">
        <v>891</v>
      </c>
      <c r="B892" s="1" t="s">
        <v>838</v>
      </c>
      <c r="C892" s="1" t="s">
        <v>1479</v>
      </c>
      <c r="D892" s="1" t="s">
        <v>1535</v>
      </c>
      <c r="E892" s="0" t="s">
        <v>39</v>
      </c>
      <c r="F892" s="0" t="s">
        <v>49</v>
      </c>
      <c r="G892" s="0" t="s">
        <v>6600</v>
      </c>
      <c r="I892" s="6" t="n">
        <v>0.944444444444444</v>
      </c>
      <c r="J892" s="6" t="n">
        <v>0.95</v>
      </c>
      <c r="K892" s="0" t="n">
        <v>3</v>
      </c>
      <c r="L892" s="0" t="n">
        <v>60</v>
      </c>
      <c r="M892" s="7" t="s">
        <v>6601</v>
      </c>
      <c r="N892" s="7" t="s">
        <v>6602</v>
      </c>
      <c r="O892" s="7"/>
      <c r="P892" s="7" t="s">
        <v>6603</v>
      </c>
      <c r="Q892" s="2" t="n">
        <v>43242</v>
      </c>
      <c r="S892" s="0" t="n">
        <f aca="false">YEAR(Q892)</f>
        <v>2018</v>
      </c>
      <c r="T892" s="0" t="n">
        <f aca="false">MONTH(Q892)</f>
        <v>5</v>
      </c>
    </row>
    <row r="893" customFormat="false" ht="28.5" hidden="true" customHeight="false" outlineLevel="0" collapsed="false">
      <c r="A893" s="0" t="n">
        <v>892</v>
      </c>
      <c r="B893" s="1" t="s">
        <v>838</v>
      </c>
      <c r="C893" s="1" t="s">
        <v>1479</v>
      </c>
      <c r="D893" s="1" t="s">
        <v>1487</v>
      </c>
      <c r="E893" s="0" t="s">
        <v>1488</v>
      </c>
      <c r="F893" s="0" t="s">
        <v>49</v>
      </c>
      <c r="G893" s="0" t="s">
        <v>6604</v>
      </c>
      <c r="I893" s="6" t="n">
        <v>0.930555555555555</v>
      </c>
      <c r="J893" s="6" t="n">
        <v>0.934027777777778</v>
      </c>
      <c r="K893" s="0" t="n">
        <v>0</v>
      </c>
      <c r="L893" s="0" t="n">
        <v>25</v>
      </c>
      <c r="M893" s="7" t="s">
        <v>6605</v>
      </c>
      <c r="N893" s="7" t="s">
        <v>6606</v>
      </c>
      <c r="O893" s="7"/>
      <c r="P893" s="7" t="s">
        <v>6607</v>
      </c>
      <c r="Q893" s="2" t="n">
        <v>43242</v>
      </c>
      <c r="S893" s="0" t="n">
        <f aca="false">YEAR(Q893)</f>
        <v>2018</v>
      </c>
      <c r="T893" s="0" t="n">
        <f aca="false">MONTH(Q893)</f>
        <v>5</v>
      </c>
    </row>
    <row r="894" customFormat="false" ht="28.5" hidden="true" customHeight="false" outlineLevel="0" collapsed="false">
      <c r="A894" s="0" t="n">
        <v>893</v>
      </c>
      <c r="B894" s="1" t="s">
        <v>838</v>
      </c>
      <c r="C894" s="1" t="s">
        <v>1479</v>
      </c>
      <c r="D894" s="1" t="s">
        <v>1535</v>
      </c>
      <c r="E894" s="0" t="s">
        <v>39</v>
      </c>
      <c r="F894" s="0" t="s">
        <v>50</v>
      </c>
      <c r="G894" s="0" t="s">
        <v>6600</v>
      </c>
      <c r="I894" s="6" t="n">
        <v>0.944444444444444</v>
      </c>
      <c r="M894" s="7" t="s">
        <v>6608</v>
      </c>
      <c r="N894" s="7" t="s">
        <v>6602</v>
      </c>
      <c r="O894" s="7"/>
      <c r="P894" s="7" t="s">
        <v>6609</v>
      </c>
      <c r="Q894" s="2" t="n">
        <v>43242</v>
      </c>
      <c r="S894" s="0" t="n">
        <f aca="false">YEAR(Q894)</f>
        <v>2018</v>
      </c>
      <c r="T894" s="0" t="n">
        <f aca="false">MONTH(Q894)</f>
        <v>5</v>
      </c>
    </row>
    <row r="895" customFormat="false" ht="28.5" hidden="true" customHeight="false" outlineLevel="0" collapsed="false">
      <c r="A895" s="0" t="n">
        <v>894</v>
      </c>
      <c r="B895" s="1" t="s">
        <v>838</v>
      </c>
      <c r="C895" s="1" t="s">
        <v>1479</v>
      </c>
      <c r="D895" s="1" t="s">
        <v>1535</v>
      </c>
      <c r="E895" s="0" t="s">
        <v>39</v>
      </c>
      <c r="F895" s="0" t="s">
        <v>50</v>
      </c>
      <c r="G895" s="0" t="s">
        <v>6610</v>
      </c>
      <c r="I895" s="6" t="n">
        <v>0.0833333333333333</v>
      </c>
      <c r="J895" s="6" t="n">
        <v>0.100694444444444</v>
      </c>
      <c r="K895" s="0" t="n">
        <v>0</v>
      </c>
      <c r="L895" s="0" t="n">
        <v>120</v>
      </c>
      <c r="M895" s="7" t="s">
        <v>6611</v>
      </c>
      <c r="N895" s="7" t="s">
        <v>6612</v>
      </c>
      <c r="O895" s="7"/>
      <c r="P895" s="7" t="s">
        <v>6613</v>
      </c>
      <c r="Q895" s="2" t="n">
        <v>43242</v>
      </c>
      <c r="S895" s="0" t="n">
        <f aca="false">YEAR(Q895)</f>
        <v>2018</v>
      </c>
      <c r="T895" s="0" t="n">
        <f aca="false">MONTH(Q895)</f>
        <v>5</v>
      </c>
    </row>
    <row r="896" customFormat="false" ht="28.5" hidden="true" customHeight="false" outlineLevel="0" collapsed="false">
      <c r="A896" s="0" t="n">
        <v>895</v>
      </c>
      <c r="B896" s="1" t="s">
        <v>839</v>
      </c>
      <c r="C896" s="1" t="s">
        <v>1503</v>
      </c>
      <c r="D896" s="1" t="s">
        <v>1535</v>
      </c>
      <c r="E896" s="0" t="s">
        <v>44</v>
      </c>
      <c r="F896" s="0" t="s">
        <v>48</v>
      </c>
      <c r="G896" s="0" t="s">
        <v>6614</v>
      </c>
      <c r="I896" s="6" t="n">
        <v>0.375</v>
      </c>
      <c r="J896" s="6" t="n">
        <v>0.384027777777778</v>
      </c>
      <c r="L896" s="0" t="n">
        <v>180</v>
      </c>
      <c r="M896" s="7" t="s">
        <v>6456</v>
      </c>
      <c r="N896" s="7" t="s">
        <v>6457</v>
      </c>
      <c r="O896" s="7"/>
      <c r="P896" s="7" t="s">
        <v>6615</v>
      </c>
      <c r="Q896" s="2" t="n">
        <v>43243</v>
      </c>
      <c r="S896" s="0" t="n">
        <f aca="false">YEAR(Q896)</f>
        <v>2018</v>
      </c>
      <c r="T896" s="0" t="n">
        <f aca="false">MONTH(Q896)</f>
        <v>5</v>
      </c>
    </row>
    <row r="897" customFormat="false" ht="28.5" hidden="true" customHeight="false" outlineLevel="0" collapsed="false">
      <c r="A897" s="0" t="n">
        <v>896</v>
      </c>
      <c r="B897" s="1" t="s">
        <v>839</v>
      </c>
      <c r="C897" s="1" t="s">
        <v>1479</v>
      </c>
      <c r="D897" s="1" t="s">
        <v>1496</v>
      </c>
      <c r="E897" s="0" t="s">
        <v>38</v>
      </c>
      <c r="F897" s="0" t="s">
        <v>48</v>
      </c>
      <c r="G897" s="0" t="s">
        <v>6616</v>
      </c>
      <c r="J897" s="6" t="n">
        <v>0.563194444444444</v>
      </c>
      <c r="M897" s="7" t="s">
        <v>6617</v>
      </c>
      <c r="N897" s="7" t="s">
        <v>6618</v>
      </c>
      <c r="O897" s="7"/>
      <c r="P897" s="7" t="s">
        <v>6619</v>
      </c>
      <c r="Q897" s="2" t="n">
        <v>43243</v>
      </c>
      <c r="S897" s="0" t="n">
        <f aca="false">YEAR(Q897)</f>
        <v>2018</v>
      </c>
      <c r="T897" s="0" t="n">
        <f aca="false">MONTH(Q897)</f>
        <v>5</v>
      </c>
    </row>
    <row r="898" customFormat="false" ht="42.75" hidden="true" customHeight="false" outlineLevel="0" collapsed="false">
      <c r="A898" s="0" t="n">
        <v>897</v>
      </c>
      <c r="B898" s="1" t="s">
        <v>840</v>
      </c>
      <c r="C898" s="1" t="s">
        <v>1479</v>
      </c>
      <c r="D898" s="1" t="s">
        <v>1535</v>
      </c>
      <c r="E898" s="0" t="s">
        <v>39</v>
      </c>
      <c r="F898" s="0" t="s">
        <v>50</v>
      </c>
      <c r="G898" s="0" t="s">
        <v>6620</v>
      </c>
      <c r="I898" s="6" t="n">
        <v>0.922916666666667</v>
      </c>
      <c r="J898" s="6" t="n">
        <v>0.930555555555555</v>
      </c>
      <c r="K898" s="0" t="n">
        <v>28</v>
      </c>
      <c r="L898" s="0" t="n">
        <v>30</v>
      </c>
      <c r="M898" s="0" t="s">
        <v>6621</v>
      </c>
      <c r="N898" s="0" t="s">
        <v>6622</v>
      </c>
      <c r="P898" s="7" t="s">
        <v>6623</v>
      </c>
      <c r="Q898" s="2" t="n">
        <v>43254</v>
      </c>
      <c r="S898" s="0" t="n">
        <f aca="false">YEAR(Q898)</f>
        <v>2018</v>
      </c>
      <c r="T898" s="0" t="n">
        <f aca="false">MONTH(Q898)</f>
        <v>6</v>
      </c>
    </row>
    <row r="899" customFormat="false" ht="28.5" hidden="true" customHeight="false" outlineLevel="0" collapsed="false">
      <c r="A899" s="0" t="n">
        <v>898</v>
      </c>
      <c r="B899" s="1" t="s">
        <v>841</v>
      </c>
      <c r="C899" s="1" t="s">
        <v>1479</v>
      </c>
      <c r="D899" s="1" t="s">
        <v>1496</v>
      </c>
      <c r="E899" s="0" t="s">
        <v>38</v>
      </c>
      <c r="F899" s="0" t="s">
        <v>50</v>
      </c>
      <c r="G899" s="0" t="s">
        <v>6624</v>
      </c>
      <c r="K899" s="0" t="n">
        <v>0</v>
      </c>
      <c r="L899" s="0" t="n">
        <v>0</v>
      </c>
      <c r="M899" s="7" t="s">
        <v>6625</v>
      </c>
      <c r="N899" s="7" t="s">
        <v>6626</v>
      </c>
      <c r="O899" s="7"/>
      <c r="P899" s="7" t="s">
        <v>6627</v>
      </c>
      <c r="Q899" s="2" t="n">
        <v>43251</v>
      </c>
      <c r="S899" s="0" t="n">
        <f aca="false">YEAR(Q899)</f>
        <v>2018</v>
      </c>
      <c r="T899" s="0" t="n">
        <f aca="false">MONTH(Q899)</f>
        <v>5</v>
      </c>
    </row>
    <row r="900" customFormat="false" ht="57" hidden="true" customHeight="false" outlineLevel="0" collapsed="false">
      <c r="A900" s="0" t="n">
        <v>899</v>
      </c>
      <c r="B900" s="1" t="s">
        <v>841</v>
      </c>
      <c r="C900" s="1" t="s">
        <v>1479</v>
      </c>
      <c r="D900" s="1" t="s">
        <v>1535</v>
      </c>
      <c r="E900" s="0" t="s">
        <v>39</v>
      </c>
      <c r="F900" s="0" t="s">
        <v>50</v>
      </c>
      <c r="G900" s="0" t="s">
        <v>6628</v>
      </c>
      <c r="J900" s="6" t="n">
        <v>0.0555555555555556</v>
      </c>
      <c r="M900" s="7" t="s">
        <v>6629</v>
      </c>
      <c r="N900" s="7" t="s">
        <v>6630</v>
      </c>
      <c r="O900" s="7"/>
      <c r="P900" s="7" t="s">
        <v>6631</v>
      </c>
      <c r="Q900" s="2" t="n">
        <v>43251</v>
      </c>
      <c r="S900" s="0" t="n">
        <f aca="false">YEAR(Q900)</f>
        <v>2018</v>
      </c>
      <c r="T900" s="0" t="n">
        <f aca="false">MONTH(Q900)</f>
        <v>5</v>
      </c>
    </row>
    <row r="901" customFormat="false" ht="42.75" hidden="true" customHeight="false" outlineLevel="0" collapsed="false">
      <c r="A901" s="0" t="n">
        <v>900</v>
      </c>
      <c r="B901" s="1" t="s">
        <v>842</v>
      </c>
      <c r="C901" s="1" t="s">
        <v>1479</v>
      </c>
      <c r="D901" s="1" t="s">
        <v>1487</v>
      </c>
      <c r="E901" s="4" t="s">
        <v>1488</v>
      </c>
      <c r="F901" s="0" t="s">
        <v>50</v>
      </c>
      <c r="G901" s="0" t="s">
        <v>6632</v>
      </c>
      <c r="I901" s="6" t="n">
        <v>0.0972222222222222</v>
      </c>
      <c r="J901" s="6" t="n">
        <v>0.131944444444444</v>
      </c>
      <c r="K901" s="0" t="n">
        <v>5</v>
      </c>
      <c r="L901" s="0" t="n">
        <v>60</v>
      </c>
      <c r="M901" s="7" t="s">
        <v>6633</v>
      </c>
      <c r="N901" s="7" t="s">
        <v>6634</v>
      </c>
      <c r="O901" s="7"/>
      <c r="P901" s="7" t="s">
        <v>6635</v>
      </c>
      <c r="Q901" s="2" t="n">
        <v>43252</v>
      </c>
      <c r="S901" s="0" t="n">
        <f aca="false">YEAR(Q901)</f>
        <v>2018</v>
      </c>
      <c r="T901" s="0" t="n">
        <f aca="false">MONTH(Q901)</f>
        <v>6</v>
      </c>
    </row>
    <row r="902" customFormat="false" ht="42.75" hidden="true" customHeight="false" outlineLevel="0" collapsed="false">
      <c r="A902" s="0" t="n">
        <v>901</v>
      </c>
      <c r="B902" s="1" t="s">
        <v>843</v>
      </c>
      <c r="C902" s="1" t="s">
        <v>1503</v>
      </c>
      <c r="D902" s="1" t="s">
        <v>1504</v>
      </c>
      <c r="E902" s="0" t="s">
        <v>45</v>
      </c>
      <c r="F902" s="0" t="s">
        <v>48</v>
      </c>
      <c r="G902" s="0" t="s">
        <v>6636</v>
      </c>
      <c r="I902" s="0" t="s">
        <v>6637</v>
      </c>
      <c r="J902" s="6" t="n">
        <v>0.274305555555555</v>
      </c>
      <c r="L902" s="0" t="n">
        <v>180</v>
      </c>
      <c r="M902" s="7" t="s">
        <v>6638</v>
      </c>
      <c r="N902" s="7" t="s">
        <v>6639</v>
      </c>
      <c r="O902" s="7"/>
      <c r="P902" s="7" t="s">
        <v>6640</v>
      </c>
      <c r="Q902" s="2" t="n">
        <v>43255</v>
      </c>
      <c r="S902" s="0" t="n">
        <f aca="false">YEAR(Q902)</f>
        <v>2018</v>
      </c>
      <c r="T902" s="0" t="n">
        <f aca="false">MONTH(Q902)</f>
        <v>6</v>
      </c>
    </row>
    <row r="903" customFormat="false" ht="28.5" hidden="true" customHeight="false" outlineLevel="0" collapsed="false">
      <c r="A903" s="0" t="n">
        <v>902</v>
      </c>
      <c r="B903" s="1" t="s">
        <v>843</v>
      </c>
      <c r="C903" s="1" t="s">
        <v>1503</v>
      </c>
      <c r="D903" s="1" t="s">
        <v>1504</v>
      </c>
      <c r="E903" s="0" t="s">
        <v>45</v>
      </c>
      <c r="F903" s="0" t="s">
        <v>48</v>
      </c>
      <c r="G903" s="0" t="s">
        <v>6641</v>
      </c>
      <c r="I903" s="6" t="n">
        <v>0.236111111111111</v>
      </c>
      <c r="J903" s="6" t="n">
        <v>0.281944444444444</v>
      </c>
      <c r="L903" s="0" t="n">
        <v>150</v>
      </c>
      <c r="M903" s="7" t="s">
        <v>6642</v>
      </c>
      <c r="N903" s="7" t="s">
        <v>6643</v>
      </c>
      <c r="O903" s="7"/>
      <c r="P903" s="7" t="s">
        <v>6644</v>
      </c>
      <c r="Q903" s="2" t="n">
        <v>43255</v>
      </c>
      <c r="S903" s="0" t="n">
        <f aca="false">YEAR(Q903)</f>
        <v>2018</v>
      </c>
      <c r="T903" s="0" t="n">
        <f aca="false">MONTH(Q903)</f>
        <v>6</v>
      </c>
    </row>
    <row r="904" customFormat="false" ht="28.5" hidden="true" customHeight="false" outlineLevel="0" collapsed="false">
      <c r="A904" s="0" t="n">
        <v>903</v>
      </c>
      <c r="B904" s="1" t="s">
        <v>843</v>
      </c>
      <c r="C904" s="1" t="s">
        <v>1503</v>
      </c>
      <c r="D904" s="1" t="s">
        <v>1535</v>
      </c>
      <c r="E904" s="0" t="s">
        <v>44</v>
      </c>
      <c r="F904" s="0" t="s">
        <v>48</v>
      </c>
      <c r="G904" s="0" t="s">
        <v>6645</v>
      </c>
      <c r="I904" s="6" t="n">
        <v>0.368055555555556</v>
      </c>
      <c r="J904" s="6" t="n">
        <v>0.391666666666667</v>
      </c>
      <c r="L904" s="0" t="n">
        <v>60</v>
      </c>
      <c r="M904" s="7" t="s">
        <v>6646</v>
      </c>
      <c r="N904" s="7" t="s">
        <v>6647</v>
      </c>
      <c r="O904" s="7"/>
      <c r="P904" s="7" t="s">
        <v>6648</v>
      </c>
      <c r="Q904" s="2" t="n">
        <v>43255</v>
      </c>
      <c r="S904" s="0" t="n">
        <f aca="false">YEAR(Q904)</f>
        <v>2018</v>
      </c>
      <c r="T904" s="0" t="n">
        <f aca="false">MONTH(Q904)</f>
        <v>6</v>
      </c>
    </row>
    <row r="905" customFormat="false" ht="42.75" hidden="true" customHeight="false" outlineLevel="0" collapsed="false">
      <c r="A905" s="0" t="n">
        <v>904</v>
      </c>
      <c r="B905" s="1" t="s">
        <v>843</v>
      </c>
      <c r="C905" s="1" t="s">
        <v>1479</v>
      </c>
      <c r="D905" s="1" t="s">
        <v>1487</v>
      </c>
      <c r="E905" s="0" t="s">
        <v>1488</v>
      </c>
      <c r="F905" s="0" t="s">
        <v>49</v>
      </c>
      <c r="G905" s="0" t="s">
        <v>6649</v>
      </c>
      <c r="I905" s="6" t="n">
        <v>0.628472222222222</v>
      </c>
      <c r="J905" s="6" t="n">
        <v>0.638888888888889</v>
      </c>
      <c r="K905" s="0" t="n">
        <v>0</v>
      </c>
      <c r="L905" s="0" t="n">
        <v>23</v>
      </c>
      <c r="M905" s="7" t="s">
        <v>6650</v>
      </c>
      <c r="N905" s="7" t="s">
        <v>6651</v>
      </c>
      <c r="O905" s="7"/>
      <c r="P905" s="7" t="s">
        <v>6652</v>
      </c>
      <c r="Q905" s="2" t="n">
        <v>43255</v>
      </c>
      <c r="S905" s="0" t="n">
        <f aca="false">YEAR(Q905)</f>
        <v>2018</v>
      </c>
      <c r="T905" s="0" t="n">
        <f aca="false">MONTH(Q905)</f>
        <v>6</v>
      </c>
    </row>
    <row r="906" customFormat="false" ht="28.5" hidden="true" customHeight="false" outlineLevel="0" collapsed="false">
      <c r="A906" s="0" t="n">
        <v>905</v>
      </c>
      <c r="B906" s="1" t="s">
        <v>844</v>
      </c>
      <c r="C906" s="1" t="s">
        <v>1479</v>
      </c>
      <c r="D906" s="1" t="s">
        <v>1496</v>
      </c>
      <c r="E906" s="0" t="s">
        <v>38</v>
      </c>
      <c r="F906" s="0" t="s">
        <v>48</v>
      </c>
      <c r="G906" s="0" t="s">
        <v>6653</v>
      </c>
      <c r="M906" s="7" t="s">
        <v>6654</v>
      </c>
      <c r="N906" s="7" t="s">
        <v>6655</v>
      </c>
      <c r="O906" s="7"/>
      <c r="P906" s="7" t="s">
        <v>6656</v>
      </c>
      <c r="Q906" s="2" t="n">
        <v>43256</v>
      </c>
      <c r="S906" s="0" t="n">
        <f aca="false">YEAR(Q906)</f>
        <v>2018</v>
      </c>
      <c r="T906" s="0" t="n">
        <f aca="false">MONTH(Q906)</f>
        <v>6</v>
      </c>
    </row>
    <row r="907" customFormat="false" ht="28.5" hidden="true" customHeight="false" outlineLevel="0" collapsed="false">
      <c r="A907" s="0" t="n">
        <v>906</v>
      </c>
      <c r="B907" s="1" t="s">
        <v>844</v>
      </c>
      <c r="C907" s="1" t="s">
        <v>1479</v>
      </c>
      <c r="D907" s="1" t="s">
        <v>1535</v>
      </c>
      <c r="E907" s="0" t="s">
        <v>39</v>
      </c>
      <c r="F907" s="0" t="s">
        <v>48</v>
      </c>
      <c r="G907" s="0" t="s">
        <v>6657</v>
      </c>
      <c r="I907" s="6" t="n">
        <v>0.542361111111111</v>
      </c>
      <c r="K907" s="0" t="n">
        <v>1</v>
      </c>
      <c r="L907" s="0" t="n">
        <v>60</v>
      </c>
      <c r="M907" s="7" t="s">
        <v>6658</v>
      </c>
      <c r="N907" s="7" t="s">
        <v>6659</v>
      </c>
      <c r="O907" s="7"/>
      <c r="P907" s="7" t="s">
        <v>6660</v>
      </c>
      <c r="Q907" s="2" t="n">
        <v>43256</v>
      </c>
      <c r="S907" s="0" t="n">
        <f aca="false">YEAR(Q907)</f>
        <v>2018</v>
      </c>
      <c r="T907" s="0" t="n">
        <f aca="false">MONTH(Q907)</f>
        <v>6</v>
      </c>
    </row>
    <row r="908" customFormat="false" ht="42.75" hidden="true" customHeight="false" outlineLevel="0" collapsed="false">
      <c r="A908" s="0" t="n">
        <v>907</v>
      </c>
      <c r="B908" s="1" t="s">
        <v>846</v>
      </c>
      <c r="C908" s="1" t="s">
        <v>1479</v>
      </c>
      <c r="D908" s="1" t="s">
        <v>1535</v>
      </c>
      <c r="E908" s="0" t="s">
        <v>39</v>
      </c>
      <c r="F908" s="0" t="s">
        <v>48</v>
      </c>
      <c r="G908" s="0" t="s">
        <v>6600</v>
      </c>
      <c r="I908" s="6" t="n">
        <v>0.303472222222222</v>
      </c>
      <c r="J908" s="6" t="n">
        <v>0.329166666666667</v>
      </c>
      <c r="K908" s="0" t="n">
        <v>7</v>
      </c>
      <c r="L908" s="0" t="n">
        <v>30</v>
      </c>
      <c r="M908" s="7" t="s">
        <v>6661</v>
      </c>
      <c r="N908" s="7" t="s">
        <v>6662</v>
      </c>
      <c r="O908" s="7"/>
      <c r="P908" s="7" t="s">
        <v>6663</v>
      </c>
      <c r="Q908" s="2" t="n">
        <v>43257</v>
      </c>
      <c r="S908" s="0" t="n">
        <f aca="false">YEAR(Q908)</f>
        <v>2018</v>
      </c>
      <c r="T908" s="0" t="n">
        <f aca="false">MONTH(Q908)</f>
        <v>6</v>
      </c>
    </row>
    <row r="909" customFormat="false" ht="28.5" hidden="true" customHeight="false" outlineLevel="0" collapsed="false">
      <c r="A909" s="0" t="n">
        <v>908</v>
      </c>
      <c r="B909" s="1" t="s">
        <v>846</v>
      </c>
      <c r="C909" s="1" t="s">
        <v>1479</v>
      </c>
      <c r="D909" s="1" t="s">
        <v>1535</v>
      </c>
      <c r="E909" s="0" t="s">
        <v>39</v>
      </c>
      <c r="F909" s="0" t="s">
        <v>49</v>
      </c>
      <c r="G909" s="0" t="s">
        <v>3583</v>
      </c>
      <c r="I909" s="6" t="n">
        <v>0.618055555555556</v>
      </c>
      <c r="J909" s="6" t="n">
        <v>0.620138888888889</v>
      </c>
      <c r="K909" s="0" t="n">
        <v>2</v>
      </c>
      <c r="L909" s="0" t="n">
        <v>4</v>
      </c>
      <c r="M909" s="7" t="s">
        <v>6664</v>
      </c>
      <c r="N909" s="7" t="s">
        <v>6665</v>
      </c>
      <c r="O909" s="7"/>
      <c r="P909" s="7" t="s">
        <v>6666</v>
      </c>
      <c r="Q909" s="2" t="n">
        <v>43257</v>
      </c>
      <c r="S909" s="0" t="n">
        <f aca="false">YEAR(Q909)</f>
        <v>2018</v>
      </c>
      <c r="T909" s="0" t="n">
        <f aca="false">MONTH(Q909)</f>
        <v>6</v>
      </c>
    </row>
    <row r="910" customFormat="false" ht="28.5" hidden="true" customHeight="false" outlineLevel="0" collapsed="false">
      <c r="A910" s="0" t="n">
        <v>909</v>
      </c>
      <c r="B910" s="1" t="s">
        <v>846</v>
      </c>
      <c r="C910" s="1" t="s">
        <v>1479</v>
      </c>
      <c r="D910" s="1" t="s">
        <v>1487</v>
      </c>
      <c r="E910" s="4" t="s">
        <v>1488</v>
      </c>
      <c r="F910" s="0" t="s">
        <v>49</v>
      </c>
      <c r="G910" s="0" t="s">
        <v>6667</v>
      </c>
      <c r="I910" s="6" t="n">
        <v>0.707638888888889</v>
      </c>
      <c r="J910" s="6" t="n">
        <v>0.75</v>
      </c>
      <c r="K910" s="0" t="n">
        <v>30</v>
      </c>
      <c r="L910" s="0" t="n">
        <v>190</v>
      </c>
      <c r="M910" s="7" t="s">
        <v>6668</v>
      </c>
      <c r="N910" s="7" t="s">
        <v>6669</v>
      </c>
      <c r="O910" s="7"/>
      <c r="P910" s="7" t="s">
        <v>6670</v>
      </c>
      <c r="Q910" s="2" t="n">
        <v>43257</v>
      </c>
      <c r="S910" s="0" t="n">
        <f aca="false">YEAR(Q910)</f>
        <v>2018</v>
      </c>
      <c r="T910" s="0" t="n">
        <f aca="false">MONTH(Q910)</f>
        <v>6</v>
      </c>
    </row>
    <row r="911" customFormat="false" ht="42.75" hidden="true" customHeight="false" outlineLevel="0" collapsed="false">
      <c r="A911" s="0" t="n">
        <v>910</v>
      </c>
      <c r="B911" s="1" t="s">
        <v>846</v>
      </c>
      <c r="C911" s="1" t="s">
        <v>1479</v>
      </c>
      <c r="D911" s="1" t="s">
        <v>1535</v>
      </c>
      <c r="E911" s="0" t="s">
        <v>39</v>
      </c>
      <c r="F911" s="0" t="s">
        <v>50</v>
      </c>
      <c r="G911" s="0" t="s">
        <v>6600</v>
      </c>
      <c r="I911" s="6" t="n">
        <v>0.986111111111111</v>
      </c>
      <c r="J911" s="6" t="n">
        <v>0.0381944444444444</v>
      </c>
      <c r="K911" s="0" t="n">
        <v>55</v>
      </c>
      <c r="L911" s="0" t="n">
        <v>70</v>
      </c>
      <c r="M911" s="7" t="s">
        <v>6671</v>
      </c>
      <c r="N911" s="7" t="s">
        <v>6672</v>
      </c>
      <c r="O911" s="7"/>
      <c r="P911" s="7" t="s">
        <v>6673</v>
      </c>
      <c r="Q911" s="2" t="n">
        <v>43257</v>
      </c>
      <c r="S911" s="0" t="n">
        <f aca="false">YEAR(Q911)</f>
        <v>2018</v>
      </c>
      <c r="T911" s="0" t="n">
        <f aca="false">MONTH(Q911)</f>
        <v>6</v>
      </c>
    </row>
    <row r="912" customFormat="false" ht="42.75" hidden="true" customHeight="false" outlineLevel="0" collapsed="false">
      <c r="A912" s="0" t="n">
        <v>911</v>
      </c>
      <c r="B912" s="1" t="s">
        <v>847</v>
      </c>
      <c r="C912" s="1" t="s">
        <v>1479</v>
      </c>
      <c r="D912" s="1" t="s">
        <v>1480</v>
      </c>
      <c r="E912" s="0" t="s">
        <v>43</v>
      </c>
      <c r="F912" s="0" t="s">
        <v>48</v>
      </c>
      <c r="G912" s="0" t="s">
        <v>6674</v>
      </c>
      <c r="I912" s="6" t="n">
        <v>0.307638888888889</v>
      </c>
      <c r="J912" s="6" t="n">
        <v>0.377083333333333</v>
      </c>
      <c r="K912" s="0" t="n">
        <v>120</v>
      </c>
      <c r="L912" s="0" t="n">
        <v>130</v>
      </c>
      <c r="M912" s="7" t="s">
        <v>6675</v>
      </c>
      <c r="N912" s="7" t="s">
        <v>6676</v>
      </c>
      <c r="O912" s="7"/>
      <c r="P912" s="7" t="s">
        <v>6677</v>
      </c>
      <c r="Q912" s="2" t="n">
        <v>43258</v>
      </c>
      <c r="S912" s="0" t="n">
        <f aca="false">YEAR(Q912)</f>
        <v>2018</v>
      </c>
      <c r="T912" s="0" t="n">
        <f aca="false">MONTH(Q912)</f>
        <v>6</v>
      </c>
    </row>
    <row r="913" customFormat="false" ht="28.5" hidden="true" customHeight="false" outlineLevel="0" collapsed="false">
      <c r="A913" s="0" t="n">
        <v>912</v>
      </c>
      <c r="B913" s="1" t="s">
        <v>847</v>
      </c>
      <c r="C913" s="1" t="s">
        <v>1479</v>
      </c>
      <c r="D913" s="1" t="s">
        <v>1487</v>
      </c>
      <c r="E913" s="0" t="s">
        <v>1488</v>
      </c>
      <c r="F913" s="0" t="s">
        <v>48</v>
      </c>
      <c r="G913" s="0" t="s">
        <v>6678</v>
      </c>
      <c r="J913" s="6" t="n">
        <v>0.402777777777778</v>
      </c>
      <c r="M913" s="7" t="s">
        <v>6679</v>
      </c>
      <c r="N913" s="7" t="s">
        <v>6680</v>
      </c>
      <c r="O913" s="7"/>
      <c r="P913" s="7" t="s">
        <v>6681</v>
      </c>
      <c r="Q913" s="2" t="n">
        <v>43258</v>
      </c>
      <c r="S913" s="0" t="n">
        <f aca="false">YEAR(Q913)</f>
        <v>2018</v>
      </c>
      <c r="T913" s="0" t="n">
        <f aca="false">MONTH(Q913)</f>
        <v>6</v>
      </c>
    </row>
    <row r="914" customFormat="false" ht="42.75" hidden="true" customHeight="false" outlineLevel="0" collapsed="false">
      <c r="A914" s="0" t="n">
        <v>913</v>
      </c>
      <c r="B914" s="1" t="s">
        <v>847</v>
      </c>
      <c r="C914" s="1" t="s">
        <v>1479</v>
      </c>
      <c r="D914" s="1" t="s">
        <v>1487</v>
      </c>
      <c r="E914" s="0" t="s">
        <v>1488</v>
      </c>
      <c r="F914" s="0" t="s">
        <v>49</v>
      </c>
      <c r="G914" s="0" t="s">
        <v>6682</v>
      </c>
      <c r="I914" s="6" t="n">
        <v>0.620833333333333</v>
      </c>
      <c r="J914" s="6" t="n">
        <v>0.631944444444444</v>
      </c>
      <c r="L914" s="0" t="n">
        <v>22</v>
      </c>
      <c r="M914" s="7" t="s">
        <v>6683</v>
      </c>
      <c r="N914" s="7" t="s">
        <v>6684</v>
      </c>
      <c r="O914" s="7"/>
      <c r="P914" s="7" t="s">
        <v>6685</v>
      </c>
      <c r="Q914" s="2" t="n">
        <v>43258</v>
      </c>
      <c r="S914" s="0" t="n">
        <f aca="false">YEAR(Q914)</f>
        <v>2018</v>
      </c>
      <c r="T914" s="0" t="n">
        <f aca="false">MONTH(Q914)</f>
        <v>6</v>
      </c>
    </row>
    <row r="915" customFormat="false" ht="42.75" hidden="true" customHeight="false" outlineLevel="0" collapsed="false">
      <c r="A915" s="0" t="n">
        <v>914</v>
      </c>
      <c r="B915" s="1" t="s">
        <v>847</v>
      </c>
      <c r="C915" s="1" t="s">
        <v>1479</v>
      </c>
      <c r="D915" s="1" t="s">
        <v>1487</v>
      </c>
      <c r="E915" s="0" t="s">
        <v>1488</v>
      </c>
      <c r="F915" s="0" t="s">
        <v>50</v>
      </c>
      <c r="G915" s="0" t="s">
        <v>6686</v>
      </c>
      <c r="I915" s="6" t="n">
        <v>0.182638888888889</v>
      </c>
      <c r="J915" s="6" t="n">
        <v>0.208333333333333</v>
      </c>
      <c r="L915" s="0" t="n">
        <v>53</v>
      </c>
      <c r="M915" s="7" t="s">
        <v>6687</v>
      </c>
      <c r="N915" s="7" t="s">
        <v>6688</v>
      </c>
      <c r="O915" s="7"/>
      <c r="P915" s="7" t="s">
        <v>6689</v>
      </c>
      <c r="Q915" s="2" t="n">
        <v>43258</v>
      </c>
      <c r="S915" s="0" t="n">
        <f aca="false">YEAR(Q915)</f>
        <v>2018</v>
      </c>
      <c r="T915" s="0" t="n">
        <f aca="false">MONTH(Q915)</f>
        <v>6</v>
      </c>
    </row>
    <row r="916" customFormat="false" ht="28.5" hidden="true" customHeight="false" outlineLevel="0" collapsed="false">
      <c r="A916" s="0" t="n">
        <v>915</v>
      </c>
      <c r="B916" s="1" t="s">
        <v>849</v>
      </c>
      <c r="C916" s="1" t="s">
        <v>1479</v>
      </c>
      <c r="D916" s="1" t="s">
        <v>1487</v>
      </c>
      <c r="E916" s="4" t="s">
        <v>1488</v>
      </c>
      <c r="F916" s="0" t="s">
        <v>48</v>
      </c>
      <c r="G916" s="0" t="s">
        <v>6690</v>
      </c>
      <c r="I916" s="6" t="n">
        <v>0.354166666666667</v>
      </c>
      <c r="J916" s="6" t="n">
        <v>0.367361111111111</v>
      </c>
      <c r="K916" s="0" t="n">
        <v>18</v>
      </c>
      <c r="L916" s="0" t="n">
        <v>50</v>
      </c>
      <c r="M916" s="7" t="s">
        <v>6691</v>
      </c>
      <c r="N916" s="7" t="s">
        <v>6692</v>
      </c>
      <c r="O916" s="7"/>
      <c r="P916" s="7" t="s">
        <v>6693</v>
      </c>
      <c r="Q916" s="2" t="n">
        <v>43259</v>
      </c>
      <c r="S916" s="0" t="n">
        <f aca="false">YEAR(Q916)</f>
        <v>2018</v>
      </c>
      <c r="T916" s="0" t="n">
        <f aca="false">MONTH(Q916)</f>
        <v>6</v>
      </c>
    </row>
    <row r="917" customFormat="false" ht="28.5" hidden="true" customHeight="false" outlineLevel="0" collapsed="false">
      <c r="A917" s="0" t="n">
        <v>916</v>
      </c>
      <c r="B917" s="1" t="s">
        <v>849</v>
      </c>
      <c r="C917" s="1" t="s">
        <v>1503</v>
      </c>
      <c r="D917" s="1" t="s">
        <v>1535</v>
      </c>
      <c r="E917" s="0" t="s">
        <v>44</v>
      </c>
      <c r="F917" s="0" t="s">
        <v>48</v>
      </c>
      <c r="G917" s="0" t="s">
        <v>6694</v>
      </c>
      <c r="I917" s="6" t="n">
        <v>0.541666666666667</v>
      </c>
      <c r="J917" s="6" t="n">
        <v>0.559027777777778</v>
      </c>
      <c r="K917" s="0" t="n">
        <v>22</v>
      </c>
      <c r="L917" s="0" t="n">
        <v>90</v>
      </c>
      <c r="M917" s="7" t="s">
        <v>6695</v>
      </c>
      <c r="N917" s="7" t="s">
        <v>6696</v>
      </c>
      <c r="O917" s="7"/>
      <c r="P917" s="7" t="s">
        <v>6697</v>
      </c>
      <c r="Q917" s="2" t="n">
        <v>43259</v>
      </c>
      <c r="S917" s="0" t="n">
        <f aca="false">YEAR(Q917)</f>
        <v>2018</v>
      </c>
      <c r="T917" s="0" t="n">
        <f aca="false">MONTH(Q917)</f>
        <v>6</v>
      </c>
    </row>
    <row r="918" customFormat="false" ht="28.5" hidden="true" customHeight="false" outlineLevel="0" collapsed="false">
      <c r="A918" s="0" t="n">
        <v>917</v>
      </c>
      <c r="B918" s="1" t="s">
        <v>849</v>
      </c>
      <c r="C918" s="1" t="s">
        <v>1479</v>
      </c>
      <c r="D918" s="1" t="s">
        <v>1487</v>
      </c>
      <c r="E918" s="4" t="s">
        <v>1488</v>
      </c>
      <c r="F918" s="0" t="s">
        <v>49</v>
      </c>
      <c r="G918" s="0" t="s">
        <v>6698</v>
      </c>
      <c r="I918" s="6" t="n">
        <v>0.954861111111111</v>
      </c>
      <c r="J918" s="6" t="n">
        <v>0.958333333333333</v>
      </c>
      <c r="K918" s="0" t="n">
        <v>13</v>
      </c>
      <c r="L918" s="0" t="n">
        <v>15</v>
      </c>
      <c r="M918" s="7" t="s">
        <v>6699</v>
      </c>
      <c r="N918" s="7" t="s">
        <v>6700</v>
      </c>
      <c r="O918" s="7"/>
      <c r="P918" s="7" t="s">
        <v>6701</v>
      </c>
      <c r="Q918" s="2" t="n">
        <v>43259</v>
      </c>
      <c r="S918" s="0" t="n">
        <f aca="false">YEAR(Q918)</f>
        <v>2018</v>
      </c>
      <c r="T918" s="0" t="n">
        <f aca="false">MONTH(Q918)</f>
        <v>6</v>
      </c>
    </row>
    <row r="919" customFormat="false" ht="42.75" hidden="true" customHeight="false" outlineLevel="0" collapsed="false">
      <c r="A919" s="0" t="n">
        <v>918</v>
      </c>
      <c r="B919" s="1" t="s">
        <v>850</v>
      </c>
      <c r="C919" s="1" t="s">
        <v>1479</v>
      </c>
      <c r="D919" s="1" t="s">
        <v>1535</v>
      </c>
      <c r="E919" s="0" t="s">
        <v>39</v>
      </c>
      <c r="F919" s="0" t="s">
        <v>48</v>
      </c>
      <c r="G919" s="0" t="s">
        <v>6702</v>
      </c>
      <c r="I919" s="6" t="n">
        <v>0.284722222222222</v>
      </c>
      <c r="J919" s="6" t="n">
        <v>0.290277777777778</v>
      </c>
      <c r="K919" s="0" t="n">
        <v>10</v>
      </c>
      <c r="M919" s="7" t="s">
        <v>6703</v>
      </c>
      <c r="N919" s="7" t="s">
        <v>6704</v>
      </c>
      <c r="O919" s="7"/>
      <c r="P919" s="7" t="s">
        <v>6705</v>
      </c>
      <c r="Q919" s="2" t="n">
        <v>43260</v>
      </c>
      <c r="S919" s="0" t="n">
        <f aca="false">YEAR(Q919)</f>
        <v>2018</v>
      </c>
      <c r="T919" s="0" t="n">
        <f aca="false">MONTH(Q919)</f>
        <v>6</v>
      </c>
    </row>
    <row r="920" customFormat="false" ht="42.75" hidden="true" customHeight="false" outlineLevel="0" collapsed="false">
      <c r="A920" s="0" t="n">
        <v>919</v>
      </c>
      <c r="B920" s="1" t="s">
        <v>850</v>
      </c>
      <c r="C920" s="1" t="s">
        <v>1479</v>
      </c>
      <c r="D920" s="1" t="s">
        <v>1535</v>
      </c>
      <c r="E920" s="0" t="s">
        <v>39</v>
      </c>
      <c r="F920" s="0" t="s">
        <v>48</v>
      </c>
      <c r="G920" s="0" t="s">
        <v>6600</v>
      </c>
      <c r="M920" s="7" t="s">
        <v>6706</v>
      </c>
      <c r="N920" s="7" t="s">
        <v>6707</v>
      </c>
      <c r="O920" s="7"/>
      <c r="P920" s="7" t="s">
        <v>6708</v>
      </c>
      <c r="Q920" s="2" t="n">
        <v>43260</v>
      </c>
      <c r="S920" s="0" t="n">
        <f aca="false">YEAR(Q920)</f>
        <v>2018</v>
      </c>
      <c r="T920" s="0" t="n">
        <f aca="false">MONTH(Q920)</f>
        <v>6</v>
      </c>
    </row>
    <row r="921" customFormat="false" ht="28.5" hidden="true" customHeight="false" outlineLevel="0" collapsed="false">
      <c r="A921" s="0" t="n">
        <v>920</v>
      </c>
      <c r="B921" s="1" t="s">
        <v>850</v>
      </c>
      <c r="C921" s="1" t="s">
        <v>1479</v>
      </c>
      <c r="D921" s="1" t="s">
        <v>1487</v>
      </c>
      <c r="E921" s="0" t="s">
        <v>1488</v>
      </c>
      <c r="F921" s="0" t="s">
        <v>49</v>
      </c>
      <c r="G921" s="0" t="s">
        <v>6709</v>
      </c>
      <c r="I921" s="6" t="n">
        <v>0.527777777777778</v>
      </c>
      <c r="J921" s="6" t="n">
        <v>0.552083333333333</v>
      </c>
      <c r="L921" s="0" t="n">
        <v>45</v>
      </c>
      <c r="M921" s="7" t="s">
        <v>6710</v>
      </c>
      <c r="N921" s="7" t="s">
        <v>6711</v>
      </c>
      <c r="O921" s="7"/>
      <c r="P921" s="7" t="s">
        <v>6712</v>
      </c>
      <c r="Q921" s="2" t="n">
        <v>43260</v>
      </c>
      <c r="S921" s="0" t="n">
        <f aca="false">YEAR(Q921)</f>
        <v>2018</v>
      </c>
      <c r="T921" s="0" t="n">
        <f aca="false">MONTH(Q921)</f>
        <v>6</v>
      </c>
    </row>
    <row r="922" customFormat="false" ht="28.5" hidden="true" customHeight="false" outlineLevel="0" collapsed="false">
      <c r="A922" s="0" t="n">
        <v>921</v>
      </c>
      <c r="B922" s="1" t="s">
        <v>853</v>
      </c>
      <c r="C922" s="1" t="s">
        <v>1503</v>
      </c>
      <c r="D922" s="1" t="s">
        <v>1535</v>
      </c>
      <c r="E922" s="0" t="s">
        <v>44</v>
      </c>
      <c r="F922" s="0" t="s">
        <v>48</v>
      </c>
      <c r="G922" s="0" t="s">
        <v>6645</v>
      </c>
      <c r="I922" s="6" t="n">
        <v>0.284722222222222</v>
      </c>
      <c r="J922" s="6" t="n">
        <v>0.290277777777778</v>
      </c>
      <c r="M922" s="7" t="s">
        <v>6713</v>
      </c>
      <c r="N922" s="7" t="s">
        <v>6714</v>
      </c>
      <c r="O922" s="7"/>
      <c r="P922" s="7" t="s">
        <v>6715</v>
      </c>
      <c r="Q922" s="2" t="n">
        <v>43262</v>
      </c>
      <c r="S922" s="0" t="n">
        <f aca="false">YEAR(Q922)</f>
        <v>2018</v>
      </c>
      <c r="T922" s="0" t="n">
        <f aca="false">MONTH(Q922)</f>
        <v>6</v>
      </c>
    </row>
    <row r="923" customFormat="false" ht="28.5" hidden="true" customHeight="false" outlineLevel="0" collapsed="false">
      <c r="A923" s="0" t="n">
        <v>922</v>
      </c>
      <c r="B923" s="1" t="s">
        <v>853</v>
      </c>
      <c r="C923" s="1" t="s">
        <v>1503</v>
      </c>
      <c r="D923" s="1" t="s">
        <v>1504</v>
      </c>
      <c r="E923" s="0" t="s">
        <v>45</v>
      </c>
      <c r="F923" s="0" t="s">
        <v>48</v>
      </c>
      <c r="G923" s="0" t="s">
        <v>6716</v>
      </c>
      <c r="I923" s="6" t="n">
        <v>0.284722222222222</v>
      </c>
      <c r="J923" s="6" t="n">
        <v>0.408333333333333</v>
      </c>
      <c r="M923" s="7" t="s">
        <v>6717</v>
      </c>
      <c r="N923" s="7" t="s">
        <v>6718</v>
      </c>
      <c r="O923" s="7"/>
      <c r="P923" s="7" t="s">
        <v>6719</v>
      </c>
      <c r="Q923" s="2" t="n">
        <v>43262</v>
      </c>
      <c r="S923" s="0" t="n">
        <f aca="false">YEAR(Q923)</f>
        <v>2018</v>
      </c>
      <c r="T923" s="0" t="n">
        <f aca="false">MONTH(Q923)</f>
        <v>6</v>
      </c>
    </row>
    <row r="924" customFormat="false" ht="42.75" hidden="true" customHeight="false" outlineLevel="0" collapsed="false">
      <c r="A924" s="0" t="n">
        <v>923</v>
      </c>
      <c r="B924" s="1" t="s">
        <v>853</v>
      </c>
      <c r="C924" s="1" t="s">
        <v>1479</v>
      </c>
      <c r="D924" s="1" t="s">
        <v>1535</v>
      </c>
      <c r="E924" s="0" t="s">
        <v>39</v>
      </c>
      <c r="F924" s="0" t="s">
        <v>49</v>
      </c>
      <c r="G924" s="0" t="s">
        <v>6720</v>
      </c>
      <c r="I924" s="6" t="n">
        <v>0.673611111111111</v>
      </c>
      <c r="J924" s="6" t="n">
        <v>0.677083333333333</v>
      </c>
      <c r="K924" s="0" t="n">
        <v>6</v>
      </c>
      <c r="L924" s="0" t="n">
        <v>22</v>
      </c>
      <c r="M924" s="7" t="s">
        <v>6721</v>
      </c>
      <c r="N924" s="7" t="s">
        <v>6722</v>
      </c>
      <c r="O924" s="7"/>
      <c r="P924" s="7" t="s">
        <v>6723</v>
      </c>
      <c r="Q924" s="2" t="n">
        <v>43262</v>
      </c>
      <c r="S924" s="0" t="n">
        <f aca="false">YEAR(Q924)</f>
        <v>2018</v>
      </c>
      <c r="T924" s="0" t="n">
        <f aca="false">MONTH(Q924)</f>
        <v>6</v>
      </c>
    </row>
    <row r="925" customFormat="false" ht="42.75" hidden="true" customHeight="false" outlineLevel="0" collapsed="false">
      <c r="A925" s="0" t="n">
        <v>924</v>
      </c>
      <c r="B925" s="1" t="s">
        <v>853</v>
      </c>
      <c r="C925" s="1" t="s">
        <v>1479</v>
      </c>
      <c r="D925" s="1" t="s">
        <v>1496</v>
      </c>
      <c r="E925" s="0" t="s">
        <v>38</v>
      </c>
      <c r="F925" s="0" t="s">
        <v>49</v>
      </c>
      <c r="G925" s="0" t="s">
        <v>6724</v>
      </c>
      <c r="I925" s="6" t="n">
        <v>0.876388888888889</v>
      </c>
      <c r="J925" s="6" t="n">
        <v>0.883333333333333</v>
      </c>
      <c r="K925" s="0" t="n">
        <v>7</v>
      </c>
      <c r="L925" s="0" t="n">
        <v>16</v>
      </c>
      <c r="M925" s="7" t="s">
        <v>6725</v>
      </c>
      <c r="N925" s="7" t="s">
        <v>6726</v>
      </c>
      <c r="O925" s="7"/>
      <c r="P925" s="7" t="s">
        <v>6727</v>
      </c>
      <c r="Q925" s="2" t="n">
        <v>43262</v>
      </c>
      <c r="S925" s="0" t="n">
        <f aca="false">YEAR(Q925)</f>
        <v>2018</v>
      </c>
      <c r="T925" s="0" t="n">
        <f aca="false">MONTH(Q925)</f>
        <v>6</v>
      </c>
    </row>
    <row r="926" customFormat="false" ht="42.75" hidden="true" customHeight="false" outlineLevel="0" collapsed="false">
      <c r="A926" s="0" t="n">
        <v>925</v>
      </c>
      <c r="B926" s="1" t="s">
        <v>853</v>
      </c>
      <c r="C926" s="1" t="s">
        <v>1479</v>
      </c>
      <c r="D926" s="1" t="s">
        <v>1535</v>
      </c>
      <c r="E926" s="0" t="s">
        <v>39</v>
      </c>
      <c r="F926" s="0" t="s">
        <v>49</v>
      </c>
      <c r="G926" s="0" t="s">
        <v>6467</v>
      </c>
      <c r="I926" s="6" t="n">
        <v>0.944444444444444</v>
      </c>
      <c r="J926" s="6" t="n">
        <v>0.946527777777778</v>
      </c>
      <c r="L926" s="0" t="n">
        <v>7</v>
      </c>
      <c r="M926" s="7" t="s">
        <v>6728</v>
      </c>
      <c r="N926" s="7" t="s">
        <v>6558</v>
      </c>
      <c r="O926" s="7"/>
      <c r="P926" s="7" t="s">
        <v>6729</v>
      </c>
      <c r="Q926" s="2" t="n">
        <v>43262</v>
      </c>
      <c r="S926" s="0" t="n">
        <f aca="false">YEAR(Q926)</f>
        <v>2018</v>
      </c>
      <c r="T926" s="0" t="n">
        <f aca="false">MONTH(Q926)</f>
        <v>6</v>
      </c>
    </row>
    <row r="927" customFormat="false" ht="42.75" hidden="true" customHeight="false" outlineLevel="0" collapsed="false">
      <c r="A927" s="0" t="n">
        <v>926</v>
      </c>
      <c r="B927" s="1" t="s">
        <v>853</v>
      </c>
      <c r="C927" s="1" t="s">
        <v>1479</v>
      </c>
      <c r="D927" s="1" t="s">
        <v>1535</v>
      </c>
      <c r="E927" s="0" t="s">
        <v>39</v>
      </c>
      <c r="F927" s="0" t="s">
        <v>49</v>
      </c>
      <c r="G927" s="0" t="s">
        <v>6730</v>
      </c>
      <c r="I927" s="6" t="n">
        <v>0.965277777777778</v>
      </c>
      <c r="J927" s="6" t="n">
        <v>0.965277777777778</v>
      </c>
      <c r="K927" s="0" t="n">
        <v>6</v>
      </c>
      <c r="L927" s="0" t="n">
        <v>7</v>
      </c>
      <c r="M927" s="7" t="s">
        <v>6731</v>
      </c>
      <c r="N927" s="7" t="s">
        <v>6732</v>
      </c>
      <c r="O927" s="7"/>
      <c r="P927" s="7" t="s">
        <v>6733</v>
      </c>
      <c r="Q927" s="2" t="n">
        <v>43262</v>
      </c>
      <c r="S927" s="0" t="n">
        <f aca="false">YEAR(Q927)</f>
        <v>2018</v>
      </c>
      <c r="T927" s="0" t="n">
        <f aca="false">MONTH(Q927)</f>
        <v>6</v>
      </c>
    </row>
    <row r="928" customFormat="false" ht="42.75" hidden="true" customHeight="false" outlineLevel="0" collapsed="false">
      <c r="A928" s="0" t="n">
        <v>927</v>
      </c>
      <c r="B928" s="1" t="s">
        <v>853</v>
      </c>
      <c r="C928" s="1" t="s">
        <v>1479</v>
      </c>
      <c r="D928" s="1" t="s">
        <v>1535</v>
      </c>
      <c r="E928" s="0" t="s">
        <v>39</v>
      </c>
      <c r="F928" s="0" t="s">
        <v>49</v>
      </c>
      <c r="G928" s="0" t="s">
        <v>6734</v>
      </c>
      <c r="J928" s="6" t="n">
        <v>0.875</v>
      </c>
      <c r="K928" s="0" t="n">
        <v>6</v>
      </c>
      <c r="M928" s="7" t="s">
        <v>6735</v>
      </c>
      <c r="N928" s="7" t="s">
        <v>6736</v>
      </c>
      <c r="O928" s="7"/>
      <c r="P928" s="7" t="s">
        <v>6737</v>
      </c>
      <c r="Q928" s="2" t="n">
        <v>43262</v>
      </c>
      <c r="S928" s="0" t="n">
        <f aca="false">YEAR(Q928)</f>
        <v>2018</v>
      </c>
      <c r="T928" s="0" t="n">
        <f aca="false">MONTH(Q928)</f>
        <v>6</v>
      </c>
    </row>
    <row r="929" customFormat="false" ht="28.5" hidden="true" customHeight="false" outlineLevel="0" collapsed="false">
      <c r="A929" s="0" t="n">
        <v>928</v>
      </c>
      <c r="B929" s="1" t="s">
        <v>853</v>
      </c>
      <c r="C929" s="1" t="s">
        <v>1479</v>
      </c>
      <c r="D929" s="1" t="s">
        <v>1496</v>
      </c>
      <c r="E929" s="0" t="s">
        <v>38</v>
      </c>
      <c r="F929" s="0" t="s">
        <v>50</v>
      </c>
      <c r="G929" s="0" t="s">
        <v>6738</v>
      </c>
      <c r="I929" s="6" t="n">
        <v>0.145833333333333</v>
      </c>
      <c r="J929" s="6" t="n">
        <v>0.152777777777778</v>
      </c>
      <c r="L929" s="0" t="n">
        <v>165</v>
      </c>
      <c r="M929" s="7" t="s">
        <v>6739</v>
      </c>
      <c r="N929" s="7" t="s">
        <v>6740</v>
      </c>
      <c r="O929" s="7"/>
      <c r="P929" s="7" t="s">
        <v>6741</v>
      </c>
      <c r="Q929" s="2" t="n">
        <v>43262</v>
      </c>
      <c r="S929" s="0" t="n">
        <f aca="false">YEAR(Q929)</f>
        <v>2018</v>
      </c>
      <c r="T929" s="0" t="n">
        <f aca="false">MONTH(Q929)</f>
        <v>6</v>
      </c>
    </row>
    <row r="930" customFormat="false" ht="28.5" hidden="true" customHeight="false" outlineLevel="0" collapsed="false">
      <c r="A930" s="0" t="n">
        <v>929</v>
      </c>
      <c r="B930" s="1" t="s">
        <v>854</v>
      </c>
      <c r="C930" s="1" t="s">
        <v>1479</v>
      </c>
      <c r="D930" s="1" t="s">
        <v>1496</v>
      </c>
      <c r="E930" s="0" t="s">
        <v>38</v>
      </c>
      <c r="F930" s="0" t="s">
        <v>48</v>
      </c>
      <c r="G930" s="0" t="s">
        <v>6738</v>
      </c>
      <c r="I930" s="6" t="n">
        <v>0.145833333333333</v>
      </c>
      <c r="J930" s="6" t="n">
        <v>0.152777777777778</v>
      </c>
      <c r="L930" s="0" t="n">
        <v>165</v>
      </c>
      <c r="M930" s="7" t="s">
        <v>6739</v>
      </c>
      <c r="N930" s="7" t="s">
        <v>6740</v>
      </c>
      <c r="O930" s="7"/>
      <c r="P930" s="7" t="s">
        <v>6742</v>
      </c>
      <c r="Q930" s="2" t="n">
        <v>43263</v>
      </c>
      <c r="S930" s="0" t="n">
        <f aca="false">YEAR(Q930)</f>
        <v>2018</v>
      </c>
      <c r="T930" s="0" t="n">
        <f aca="false">MONTH(Q930)</f>
        <v>6</v>
      </c>
    </row>
    <row r="931" customFormat="false" ht="28.5" hidden="true" customHeight="false" outlineLevel="0" collapsed="false">
      <c r="A931" s="0" t="n">
        <v>930</v>
      </c>
      <c r="B931" s="1" t="s">
        <v>854</v>
      </c>
      <c r="C931" s="1" t="s">
        <v>1479</v>
      </c>
      <c r="D931" s="1" t="s">
        <v>1496</v>
      </c>
      <c r="E931" s="0" t="s">
        <v>38</v>
      </c>
      <c r="F931" s="0" t="s">
        <v>49</v>
      </c>
      <c r="G931" s="0" t="s">
        <v>6743</v>
      </c>
      <c r="I931" s="6" t="n">
        <v>0.711805555555555</v>
      </c>
      <c r="J931" s="6" t="n">
        <v>0.717361111111111</v>
      </c>
      <c r="K931" s="0" t="n">
        <v>22</v>
      </c>
      <c r="L931" s="0" t="n">
        <v>40</v>
      </c>
      <c r="M931" s="7" t="s">
        <v>6744</v>
      </c>
      <c r="N931" s="7" t="s">
        <v>6745</v>
      </c>
      <c r="O931" s="7"/>
      <c r="P931" s="7" t="s">
        <v>6746</v>
      </c>
      <c r="Q931" s="2" t="n">
        <v>43263</v>
      </c>
      <c r="S931" s="0" t="n">
        <f aca="false">YEAR(Q931)</f>
        <v>2018</v>
      </c>
      <c r="T931" s="0" t="n">
        <f aca="false">MONTH(Q931)</f>
        <v>6</v>
      </c>
    </row>
    <row r="932" customFormat="false" ht="28.5" hidden="true" customHeight="false" outlineLevel="0" collapsed="false">
      <c r="A932" s="0" t="n">
        <v>931</v>
      </c>
      <c r="B932" s="1" t="s">
        <v>854</v>
      </c>
      <c r="C932" s="1" t="s">
        <v>1479</v>
      </c>
      <c r="D932" s="1" t="s">
        <v>1496</v>
      </c>
      <c r="E932" s="0" t="s">
        <v>38</v>
      </c>
      <c r="F932" s="0" t="s">
        <v>49</v>
      </c>
      <c r="G932" s="0" t="s">
        <v>6747</v>
      </c>
      <c r="I932" s="6" t="n">
        <v>0.770833333333333</v>
      </c>
      <c r="J932" s="6" t="n">
        <v>0.772916666666667</v>
      </c>
      <c r="L932" s="0" t="n">
        <v>6</v>
      </c>
      <c r="M932" s="7" t="s">
        <v>6748</v>
      </c>
      <c r="N932" s="7" t="s">
        <v>6749</v>
      </c>
      <c r="O932" s="7"/>
      <c r="P932" s="7" t="s">
        <v>6750</v>
      </c>
      <c r="Q932" s="2" t="n">
        <v>43263</v>
      </c>
      <c r="S932" s="0" t="n">
        <f aca="false">YEAR(Q932)</f>
        <v>2018</v>
      </c>
      <c r="T932" s="0" t="n">
        <f aca="false">MONTH(Q932)</f>
        <v>6</v>
      </c>
    </row>
    <row r="933" customFormat="false" ht="42.75" hidden="true" customHeight="false" outlineLevel="0" collapsed="false">
      <c r="A933" s="0" t="n">
        <v>932</v>
      </c>
      <c r="B933" s="1" t="s">
        <v>854</v>
      </c>
      <c r="C933" s="1" t="s">
        <v>1479</v>
      </c>
      <c r="D933" s="1" t="s">
        <v>1535</v>
      </c>
      <c r="E933" s="0" t="s">
        <v>39</v>
      </c>
      <c r="F933" s="0" t="s">
        <v>49</v>
      </c>
      <c r="G933" s="0" t="s">
        <v>6751</v>
      </c>
      <c r="I933" s="6" t="n">
        <v>0.916666666666667</v>
      </c>
      <c r="J933" s="6" t="n">
        <v>0.920138888888889</v>
      </c>
      <c r="L933" s="0" t="n">
        <v>8</v>
      </c>
      <c r="M933" s="7" t="s">
        <v>6752</v>
      </c>
      <c r="N933" s="7" t="s">
        <v>6753</v>
      </c>
      <c r="O933" s="7"/>
      <c r="P933" s="7" t="s">
        <v>6754</v>
      </c>
      <c r="Q933" s="2" t="n">
        <v>43263</v>
      </c>
      <c r="S933" s="0" t="n">
        <f aca="false">YEAR(Q933)</f>
        <v>2018</v>
      </c>
      <c r="T933" s="0" t="n">
        <f aca="false">MONTH(Q933)</f>
        <v>6</v>
      </c>
    </row>
    <row r="934" customFormat="false" ht="28.5" hidden="true" customHeight="false" outlineLevel="0" collapsed="false">
      <c r="A934" s="0" t="n">
        <v>933</v>
      </c>
      <c r="B934" s="1" t="s">
        <v>854</v>
      </c>
      <c r="C934" s="1" t="s">
        <v>1479</v>
      </c>
      <c r="D934" s="1" t="s">
        <v>1487</v>
      </c>
      <c r="E934" s="4" t="s">
        <v>1488</v>
      </c>
      <c r="F934" s="0" t="s">
        <v>49</v>
      </c>
      <c r="G934" s="0" t="s">
        <v>6755</v>
      </c>
      <c r="I934" s="6" t="n">
        <v>0.923611111111111</v>
      </c>
      <c r="J934" s="6" t="n">
        <v>0.934722222222222</v>
      </c>
      <c r="K934" s="0" t="n">
        <v>24</v>
      </c>
      <c r="L934" s="0" t="n">
        <v>3</v>
      </c>
      <c r="M934" s="7" t="s">
        <v>6756</v>
      </c>
      <c r="N934" s="7" t="s">
        <v>6757</v>
      </c>
      <c r="O934" s="7"/>
      <c r="P934" s="7" t="s">
        <v>6758</v>
      </c>
      <c r="Q934" s="2" t="n">
        <v>43263</v>
      </c>
      <c r="S934" s="0" t="n">
        <f aca="false">YEAR(Q934)</f>
        <v>2018</v>
      </c>
      <c r="T934" s="0" t="n">
        <f aca="false">MONTH(Q934)</f>
        <v>6</v>
      </c>
    </row>
    <row r="935" customFormat="false" ht="28.5" hidden="true" customHeight="false" outlineLevel="0" collapsed="false">
      <c r="A935" s="0" t="n">
        <v>934</v>
      </c>
      <c r="B935" s="1" t="s">
        <v>855</v>
      </c>
      <c r="C935" s="1" t="s">
        <v>1503</v>
      </c>
      <c r="D935" s="1" t="s">
        <v>1535</v>
      </c>
      <c r="E935" s="0" t="s">
        <v>44</v>
      </c>
      <c r="F935" s="0" t="s">
        <v>48</v>
      </c>
      <c r="G935" s="0" t="s">
        <v>6759</v>
      </c>
      <c r="I935" s="6" t="n">
        <v>0.395833333333333</v>
      </c>
      <c r="J935" s="6" t="n">
        <v>0.402777777777778</v>
      </c>
      <c r="L935" s="0" t="n">
        <v>22</v>
      </c>
      <c r="M935" s="7" t="s">
        <v>6760</v>
      </c>
      <c r="N935" s="7" t="s">
        <v>6761</v>
      </c>
      <c r="O935" s="7"/>
      <c r="P935" s="7" t="s">
        <v>6762</v>
      </c>
      <c r="Q935" s="2" t="n">
        <v>43264</v>
      </c>
      <c r="S935" s="0" t="n">
        <f aca="false">YEAR(Q935)</f>
        <v>2018</v>
      </c>
      <c r="T935" s="0" t="n">
        <f aca="false">MONTH(Q935)</f>
        <v>6</v>
      </c>
    </row>
    <row r="936" customFormat="false" ht="28.5" hidden="true" customHeight="false" outlineLevel="0" collapsed="false">
      <c r="A936" s="0" t="n">
        <v>935</v>
      </c>
      <c r="B936" s="1" t="s">
        <v>855</v>
      </c>
      <c r="C936" s="1" t="s">
        <v>1479</v>
      </c>
      <c r="D936" s="1" t="s">
        <v>1496</v>
      </c>
      <c r="E936" s="0" t="s">
        <v>38</v>
      </c>
      <c r="F936" s="0" t="s">
        <v>49</v>
      </c>
      <c r="G936" s="0" t="s">
        <v>6763</v>
      </c>
      <c r="I936" s="6" t="n">
        <v>0.663194444444444</v>
      </c>
      <c r="J936" s="6" t="n">
        <v>0.665277777777778</v>
      </c>
      <c r="L936" s="0" t="n">
        <v>11</v>
      </c>
      <c r="M936" s="7" t="s">
        <v>6764</v>
      </c>
      <c r="N936" s="7" t="s">
        <v>6765</v>
      </c>
      <c r="O936" s="7"/>
      <c r="P936" s="7" t="s">
        <v>6766</v>
      </c>
      <c r="Q936" s="2" t="n">
        <v>43264</v>
      </c>
      <c r="S936" s="0" t="n">
        <f aca="false">YEAR(Q936)</f>
        <v>2018</v>
      </c>
      <c r="T936" s="0" t="n">
        <f aca="false">MONTH(Q936)</f>
        <v>6</v>
      </c>
    </row>
    <row r="937" customFormat="false" ht="42.75" hidden="true" customHeight="false" outlineLevel="0" collapsed="false">
      <c r="A937" s="0" t="n">
        <v>936</v>
      </c>
      <c r="B937" s="1" t="s">
        <v>856</v>
      </c>
      <c r="C937" s="1" t="s">
        <v>1503</v>
      </c>
      <c r="D937" s="1" t="s">
        <v>1535</v>
      </c>
      <c r="E937" s="0" t="s">
        <v>44</v>
      </c>
      <c r="F937" s="0" t="s">
        <v>48</v>
      </c>
      <c r="G937" s="0" t="s">
        <v>6767</v>
      </c>
      <c r="M937" s="7" t="s">
        <v>6768</v>
      </c>
      <c r="N937" s="7" t="s">
        <v>6769</v>
      </c>
      <c r="O937" s="7"/>
      <c r="P937" s="7" t="s">
        <v>6770</v>
      </c>
      <c r="Q937" s="2" t="n">
        <v>43265</v>
      </c>
      <c r="S937" s="0" t="n">
        <f aca="false">YEAR(Q937)</f>
        <v>2018</v>
      </c>
      <c r="T937" s="0" t="n">
        <f aca="false">MONTH(Q937)</f>
        <v>6</v>
      </c>
    </row>
    <row r="938" customFormat="false" ht="42.75" hidden="true" customHeight="false" outlineLevel="0" collapsed="false">
      <c r="A938" s="0" t="n">
        <v>937</v>
      </c>
      <c r="B938" s="1" t="s">
        <v>857</v>
      </c>
      <c r="C938" s="1" t="s">
        <v>1479</v>
      </c>
      <c r="D938" s="1" t="s">
        <v>1496</v>
      </c>
      <c r="E938" s="0" t="s">
        <v>38</v>
      </c>
      <c r="F938" s="0" t="s">
        <v>50</v>
      </c>
      <c r="G938" s="0" t="s">
        <v>6771</v>
      </c>
      <c r="I938" s="6" t="n">
        <v>0.923611111111111</v>
      </c>
      <c r="J938" s="6" t="n">
        <v>0.934027777777778</v>
      </c>
      <c r="K938" s="0" t="n">
        <v>8</v>
      </c>
      <c r="L938" s="0" t="n">
        <v>10</v>
      </c>
      <c r="M938" s="7" t="s">
        <v>6772</v>
      </c>
      <c r="N938" s="7" t="s">
        <v>6773</v>
      </c>
      <c r="O938" s="7"/>
      <c r="P938" s="7" t="s">
        <v>6774</v>
      </c>
      <c r="Q938" s="2" t="n">
        <v>43268</v>
      </c>
      <c r="S938" s="0" t="n">
        <f aca="false">YEAR(Q938)</f>
        <v>2018</v>
      </c>
      <c r="T938" s="0" t="n">
        <f aca="false">MONTH(Q938)</f>
        <v>6</v>
      </c>
    </row>
    <row r="939" customFormat="false" ht="57" hidden="true" customHeight="false" outlineLevel="0" collapsed="false">
      <c r="A939" s="0" t="n">
        <v>938</v>
      </c>
      <c r="B939" s="1" t="s">
        <v>857</v>
      </c>
      <c r="C939" s="1" t="s">
        <v>1479</v>
      </c>
      <c r="D939" s="1" t="s">
        <v>1487</v>
      </c>
      <c r="E939" s="0" t="s">
        <v>1488</v>
      </c>
      <c r="F939" s="0" t="s">
        <v>50</v>
      </c>
      <c r="G939" s="0" t="s">
        <v>6775</v>
      </c>
      <c r="I939" s="6" t="n">
        <v>0.952083333333333</v>
      </c>
      <c r="J939" s="6" t="n">
        <v>0.965277777777778</v>
      </c>
      <c r="L939" s="0" t="n">
        <v>58</v>
      </c>
      <c r="M939" s="7" t="s">
        <v>6776</v>
      </c>
      <c r="N939" s="7" t="s">
        <v>6777</v>
      </c>
      <c r="O939" s="7"/>
      <c r="P939" s="7" t="s">
        <v>6778</v>
      </c>
      <c r="Q939" s="2" t="n">
        <v>43268</v>
      </c>
      <c r="S939" s="0" t="n">
        <f aca="false">YEAR(Q939)</f>
        <v>2018</v>
      </c>
      <c r="T939" s="0" t="n">
        <f aca="false">MONTH(Q939)</f>
        <v>6</v>
      </c>
    </row>
    <row r="940" customFormat="false" ht="42.75" hidden="true" customHeight="false" outlineLevel="0" collapsed="false">
      <c r="A940" s="0" t="n">
        <v>939</v>
      </c>
      <c r="B940" s="1" t="s">
        <v>857</v>
      </c>
      <c r="C940" s="1" t="s">
        <v>1503</v>
      </c>
      <c r="D940" s="1" t="s">
        <v>1535</v>
      </c>
      <c r="E940" s="0" t="s">
        <v>44</v>
      </c>
      <c r="F940" s="0" t="s">
        <v>50</v>
      </c>
      <c r="G940" s="0" t="s">
        <v>6779</v>
      </c>
      <c r="I940" s="6" t="n">
        <v>0.921527777777778</v>
      </c>
      <c r="J940" s="6" t="n">
        <v>0.986111111111111</v>
      </c>
      <c r="L940" s="0" t="n">
        <v>150</v>
      </c>
      <c r="M940" s="7" t="s">
        <v>6780</v>
      </c>
      <c r="N940" s="7" t="s">
        <v>6781</v>
      </c>
      <c r="O940" s="7"/>
      <c r="P940" s="7" t="s">
        <v>6782</v>
      </c>
      <c r="Q940" s="2" t="n">
        <v>43268</v>
      </c>
      <c r="S940" s="0" t="n">
        <f aca="false">YEAR(Q940)</f>
        <v>2018</v>
      </c>
      <c r="T940" s="0" t="n">
        <f aca="false">MONTH(Q940)</f>
        <v>6</v>
      </c>
    </row>
    <row r="941" customFormat="false" ht="42.75" hidden="true" customHeight="false" outlineLevel="0" collapsed="false">
      <c r="A941" s="0" t="n">
        <v>940</v>
      </c>
      <c r="B941" s="1" t="s">
        <v>857</v>
      </c>
      <c r="C941" s="1" t="s">
        <v>1479</v>
      </c>
      <c r="D941" s="1" t="s">
        <v>1535</v>
      </c>
      <c r="E941" s="0" t="s">
        <v>39</v>
      </c>
      <c r="F941" s="0" t="s">
        <v>50</v>
      </c>
      <c r="G941" s="0" t="s">
        <v>6783</v>
      </c>
      <c r="I941" s="6" t="n">
        <v>0.11875</v>
      </c>
      <c r="J941" s="6" t="n">
        <v>0.125</v>
      </c>
      <c r="K941" s="0" t="n">
        <v>10</v>
      </c>
      <c r="L941" s="0" t="n">
        <v>15</v>
      </c>
      <c r="M941" s="7" t="s">
        <v>6784</v>
      </c>
      <c r="N941" s="7" t="s">
        <v>6785</v>
      </c>
      <c r="O941" s="7"/>
      <c r="P941" s="7" t="s">
        <v>6786</v>
      </c>
      <c r="Q941" s="2" t="n">
        <v>43268</v>
      </c>
      <c r="S941" s="0" t="n">
        <f aca="false">YEAR(Q941)</f>
        <v>2018</v>
      </c>
      <c r="T941" s="0" t="n">
        <f aca="false">MONTH(Q941)</f>
        <v>6</v>
      </c>
    </row>
    <row r="942" customFormat="false" ht="14.25" hidden="true" customHeight="false" outlineLevel="0" collapsed="false">
      <c r="A942" s="0" t="n">
        <v>941</v>
      </c>
      <c r="B942" s="1" t="s">
        <v>858</v>
      </c>
      <c r="C942" s="1" t="s">
        <v>1479</v>
      </c>
      <c r="D942" s="1" t="s">
        <v>1535</v>
      </c>
      <c r="E942" s="0" t="s">
        <v>39</v>
      </c>
      <c r="F942" s="0" t="s">
        <v>48</v>
      </c>
      <c r="G942" s="0" t="s">
        <v>6787</v>
      </c>
      <c r="J942" s="6" t="n">
        <v>0.25</v>
      </c>
      <c r="M942" s="0" t="s">
        <v>6788</v>
      </c>
      <c r="N942" s="0" t="s">
        <v>6789</v>
      </c>
      <c r="P942" s="0" t="s">
        <v>6790</v>
      </c>
      <c r="Q942" s="2" t="n">
        <v>43267</v>
      </c>
      <c r="S942" s="0" t="n">
        <f aca="false">YEAR(Q942)</f>
        <v>2018</v>
      </c>
      <c r="T942" s="0" t="n">
        <f aca="false">MONTH(Q942)</f>
        <v>6</v>
      </c>
    </row>
    <row r="943" customFormat="false" ht="28.5" hidden="true" customHeight="false" outlineLevel="0" collapsed="false">
      <c r="A943" s="0" t="n">
        <v>942</v>
      </c>
      <c r="B943" s="1" t="s">
        <v>861</v>
      </c>
      <c r="C943" s="1" t="s">
        <v>1503</v>
      </c>
      <c r="D943" s="1" t="s">
        <v>1504</v>
      </c>
      <c r="E943" s="0" t="s">
        <v>45</v>
      </c>
      <c r="F943" s="0" t="s">
        <v>48</v>
      </c>
      <c r="G943" s="0" t="s">
        <v>6791</v>
      </c>
      <c r="I943" s="6" t="n">
        <v>0.239583333333333</v>
      </c>
      <c r="J943" s="6" t="n">
        <v>0.274305555555555</v>
      </c>
      <c r="L943" s="0" t="n">
        <v>152</v>
      </c>
      <c r="M943" s="7" t="s">
        <v>6792</v>
      </c>
      <c r="N943" s="7" t="s">
        <v>6793</v>
      </c>
      <c r="O943" s="7"/>
      <c r="P943" s="7" t="s">
        <v>6794</v>
      </c>
      <c r="Q943" s="2" t="n">
        <v>43269</v>
      </c>
      <c r="S943" s="0" t="n">
        <f aca="false">YEAR(Q943)</f>
        <v>2018</v>
      </c>
      <c r="T943" s="0" t="n">
        <f aca="false">MONTH(Q943)</f>
        <v>6</v>
      </c>
    </row>
    <row r="944" customFormat="false" ht="28.5" hidden="true" customHeight="false" outlineLevel="0" collapsed="false">
      <c r="A944" s="0" t="n">
        <v>943</v>
      </c>
      <c r="B944" s="1" t="s">
        <v>861</v>
      </c>
      <c r="C944" s="1" t="s">
        <v>1479</v>
      </c>
      <c r="D944" s="1" t="s">
        <v>1496</v>
      </c>
      <c r="E944" s="0" t="s">
        <v>38</v>
      </c>
      <c r="F944" s="0" t="s">
        <v>48</v>
      </c>
      <c r="G944" s="0" t="s">
        <v>6795</v>
      </c>
      <c r="I944" s="6" t="n">
        <v>0.330555555555556</v>
      </c>
      <c r="J944" s="6" t="n">
        <v>0.344444444444444</v>
      </c>
      <c r="K944" s="0" t="n">
        <v>32</v>
      </c>
      <c r="L944" s="0" t="n">
        <v>22</v>
      </c>
      <c r="M944" s="7" t="s">
        <v>6796</v>
      </c>
      <c r="N944" s="7" t="s">
        <v>6797</v>
      </c>
      <c r="O944" s="7"/>
      <c r="P944" s="7" t="s">
        <v>6798</v>
      </c>
      <c r="Q944" s="2" t="n">
        <v>43269</v>
      </c>
      <c r="S944" s="0" t="n">
        <f aca="false">YEAR(Q944)</f>
        <v>2018</v>
      </c>
      <c r="T944" s="0" t="n">
        <f aca="false">MONTH(Q944)</f>
        <v>6</v>
      </c>
    </row>
    <row r="945" customFormat="false" ht="42.75" hidden="true" customHeight="false" outlineLevel="0" collapsed="false">
      <c r="A945" s="0" t="n">
        <v>944</v>
      </c>
      <c r="B945" s="1" t="s">
        <v>861</v>
      </c>
      <c r="C945" s="1" t="s">
        <v>1479</v>
      </c>
      <c r="D945" s="1" t="s">
        <v>1535</v>
      </c>
      <c r="E945" s="0" t="s">
        <v>39</v>
      </c>
      <c r="F945" s="0" t="s">
        <v>48</v>
      </c>
      <c r="G945" s="0" t="s">
        <v>6751</v>
      </c>
      <c r="I945" s="6" t="n">
        <v>0.502083333333333</v>
      </c>
      <c r="J945" s="6" t="n">
        <v>0.506944444444444</v>
      </c>
      <c r="K945" s="0" t="n">
        <v>20</v>
      </c>
      <c r="L945" s="0" t="n">
        <v>32</v>
      </c>
      <c r="M945" s="7" t="s">
        <v>6799</v>
      </c>
      <c r="N945" s="7" t="s">
        <v>6800</v>
      </c>
      <c r="O945" s="7"/>
      <c r="P945" s="7" t="s">
        <v>6801</v>
      </c>
      <c r="Q945" s="2" t="n">
        <v>43269</v>
      </c>
      <c r="S945" s="0" t="n">
        <f aca="false">YEAR(Q945)</f>
        <v>2018</v>
      </c>
      <c r="T945" s="0" t="n">
        <f aca="false">MONTH(Q945)</f>
        <v>6</v>
      </c>
    </row>
    <row r="946" customFormat="false" ht="28.5" hidden="true" customHeight="false" outlineLevel="0" collapsed="false">
      <c r="A946" s="0" t="n">
        <v>945</v>
      </c>
      <c r="B946" s="1" t="s">
        <v>861</v>
      </c>
      <c r="C946" s="1" t="s">
        <v>1479</v>
      </c>
      <c r="D946" s="1" t="s">
        <v>1535</v>
      </c>
      <c r="E946" s="0" t="s">
        <v>39</v>
      </c>
      <c r="F946" s="0" t="s">
        <v>49</v>
      </c>
      <c r="G946" s="0" t="s">
        <v>6600</v>
      </c>
      <c r="I946" s="6" t="n">
        <v>0.611111111111111</v>
      </c>
      <c r="J946" s="6" t="n">
        <v>0.620833333333333</v>
      </c>
      <c r="K946" s="0" t="n">
        <v>3</v>
      </c>
      <c r="L946" s="0" t="n">
        <v>20</v>
      </c>
      <c r="M946" s="7" t="s">
        <v>6802</v>
      </c>
      <c r="N946" s="7" t="s">
        <v>6803</v>
      </c>
      <c r="O946" s="7"/>
      <c r="P946" s="7" t="s">
        <v>6804</v>
      </c>
      <c r="Q946" s="2" t="n">
        <v>43269</v>
      </c>
      <c r="S946" s="0" t="n">
        <f aca="false">YEAR(Q946)</f>
        <v>2018</v>
      </c>
      <c r="T946" s="0" t="n">
        <f aca="false">MONTH(Q946)</f>
        <v>6</v>
      </c>
    </row>
    <row r="947" customFormat="false" ht="57" hidden="true" customHeight="false" outlineLevel="0" collapsed="false">
      <c r="A947" s="0" t="n">
        <v>946</v>
      </c>
      <c r="B947" s="1" t="s">
        <v>861</v>
      </c>
      <c r="C947" s="1" t="s">
        <v>1503</v>
      </c>
      <c r="D947" s="1" t="s">
        <v>1504</v>
      </c>
      <c r="E947" s="0" t="s">
        <v>45</v>
      </c>
      <c r="F947" s="0" t="s">
        <v>49</v>
      </c>
      <c r="G947" s="0" t="s">
        <v>6805</v>
      </c>
      <c r="I947" s="6" t="n">
        <v>0.541666666666667</v>
      </c>
      <c r="J947" s="6" t="n">
        <v>0.725694444444444</v>
      </c>
      <c r="L947" s="0" t="n">
        <v>390</v>
      </c>
      <c r="M947" s="7" t="s">
        <v>6806</v>
      </c>
      <c r="N947" s="7" t="s">
        <v>6807</v>
      </c>
      <c r="O947" s="7"/>
      <c r="P947" s="7" t="s">
        <v>6808</v>
      </c>
      <c r="Q947" s="2" t="n">
        <v>43269</v>
      </c>
      <c r="S947" s="0" t="n">
        <f aca="false">YEAR(Q947)</f>
        <v>2018</v>
      </c>
      <c r="T947" s="0" t="n">
        <f aca="false">MONTH(Q947)</f>
        <v>6</v>
      </c>
    </row>
    <row r="948" customFormat="false" ht="28.5" hidden="true" customHeight="false" outlineLevel="0" collapsed="false">
      <c r="A948" s="0" t="n">
        <v>947</v>
      </c>
      <c r="B948" s="1" t="s">
        <v>862</v>
      </c>
      <c r="C948" s="1" t="s">
        <v>1479</v>
      </c>
      <c r="D948" s="1" t="s">
        <v>1496</v>
      </c>
      <c r="E948" s="0" t="s">
        <v>38</v>
      </c>
      <c r="F948" s="0" t="s">
        <v>49</v>
      </c>
      <c r="G948" s="0" t="s">
        <v>6809</v>
      </c>
      <c r="I948" s="6" t="n">
        <v>0.899305555555555</v>
      </c>
      <c r="J948" s="6" t="n">
        <v>0.909722222222222</v>
      </c>
      <c r="L948" s="0" t="n">
        <v>12</v>
      </c>
      <c r="M948" s="7" t="s">
        <v>6810</v>
      </c>
      <c r="N948" s="7" t="s">
        <v>6811</v>
      </c>
      <c r="O948" s="7"/>
      <c r="P948" s="7" t="s">
        <v>6812</v>
      </c>
      <c r="Q948" s="2" t="n">
        <v>43270</v>
      </c>
      <c r="S948" s="0" t="n">
        <f aca="false">YEAR(Q948)</f>
        <v>2018</v>
      </c>
      <c r="T948" s="0" t="n">
        <f aca="false">MONTH(Q948)</f>
        <v>6</v>
      </c>
    </row>
    <row r="949" customFormat="false" ht="28.5" hidden="true" customHeight="false" outlineLevel="0" collapsed="false">
      <c r="A949" s="0" t="n">
        <v>948</v>
      </c>
      <c r="B949" s="1" t="s">
        <v>862</v>
      </c>
      <c r="C949" s="1" t="s">
        <v>1479</v>
      </c>
      <c r="D949" s="1" t="s">
        <v>1487</v>
      </c>
      <c r="E949" s="0" t="s">
        <v>1488</v>
      </c>
      <c r="F949" s="0" t="s">
        <v>49</v>
      </c>
      <c r="G949" s="0" t="s">
        <v>6813</v>
      </c>
      <c r="I949" s="6" t="n">
        <v>0.925694444444444</v>
      </c>
      <c r="J949" s="6" t="n">
        <v>0.936111111111111</v>
      </c>
      <c r="L949" s="0" t="n">
        <v>31</v>
      </c>
      <c r="M949" s="7" t="s">
        <v>6814</v>
      </c>
      <c r="N949" s="7" t="s">
        <v>6815</v>
      </c>
      <c r="O949" s="7"/>
      <c r="P949" s="7" t="s">
        <v>6816</v>
      </c>
      <c r="Q949" s="2" t="n">
        <v>43270</v>
      </c>
      <c r="S949" s="0" t="n">
        <f aca="false">YEAR(Q949)</f>
        <v>2018</v>
      </c>
      <c r="T949" s="0" t="n">
        <f aca="false">MONTH(Q949)</f>
        <v>6</v>
      </c>
    </row>
    <row r="950" customFormat="false" ht="28.5" hidden="true" customHeight="false" outlineLevel="0" collapsed="false">
      <c r="A950" s="0" t="n">
        <v>949</v>
      </c>
      <c r="B950" s="1" t="s">
        <v>862</v>
      </c>
      <c r="C950" s="1" t="s">
        <v>1503</v>
      </c>
      <c r="D950" s="1" t="s">
        <v>1535</v>
      </c>
      <c r="E950" s="0" t="s">
        <v>44</v>
      </c>
      <c r="F950" s="0" t="s">
        <v>48</v>
      </c>
      <c r="G950" s="0" t="s">
        <v>6817</v>
      </c>
      <c r="J950" s="6" t="n">
        <v>0.5</v>
      </c>
      <c r="M950" s="7" t="s">
        <v>6818</v>
      </c>
      <c r="N950" s="7" t="s">
        <v>6819</v>
      </c>
      <c r="O950" s="7"/>
      <c r="P950" s="7" t="s">
        <v>6820</v>
      </c>
      <c r="Q950" s="2" t="n">
        <v>43270</v>
      </c>
      <c r="S950" s="0" t="n">
        <f aca="false">YEAR(Q950)</f>
        <v>2018</v>
      </c>
      <c r="T950" s="0" t="n">
        <f aca="false">MONTH(Q950)</f>
        <v>6</v>
      </c>
    </row>
    <row r="951" customFormat="false" ht="28.5" hidden="true" customHeight="false" outlineLevel="0" collapsed="false">
      <c r="A951" s="0" t="n">
        <v>950</v>
      </c>
      <c r="B951" s="1" t="s">
        <v>862</v>
      </c>
      <c r="C951" s="1" t="s">
        <v>1503</v>
      </c>
      <c r="D951" s="1" t="s">
        <v>1535</v>
      </c>
      <c r="E951" s="0" t="s">
        <v>44</v>
      </c>
      <c r="F951" s="0" t="s">
        <v>48</v>
      </c>
      <c r="G951" s="0" t="s">
        <v>6821</v>
      </c>
      <c r="J951" s="6" t="n">
        <v>0.645833333333333</v>
      </c>
      <c r="M951" s="7" t="s">
        <v>6822</v>
      </c>
      <c r="N951" s="7" t="s">
        <v>6823</v>
      </c>
      <c r="O951" s="7"/>
      <c r="P951" s="7" t="s">
        <v>6824</v>
      </c>
      <c r="Q951" s="2" t="n">
        <v>43270</v>
      </c>
      <c r="S951" s="0" t="n">
        <f aca="false">YEAR(Q951)</f>
        <v>2018</v>
      </c>
      <c r="T951" s="0" t="n">
        <f aca="false">MONTH(Q951)</f>
        <v>6</v>
      </c>
    </row>
    <row r="952" customFormat="false" ht="42.75" hidden="true" customHeight="false" outlineLevel="0" collapsed="false">
      <c r="A952" s="0" t="n">
        <v>951</v>
      </c>
      <c r="B952" s="1" t="s">
        <v>864</v>
      </c>
      <c r="C952" s="1" t="s">
        <v>1479</v>
      </c>
      <c r="D952" s="1" t="s">
        <v>1535</v>
      </c>
      <c r="E952" s="0" t="s">
        <v>39</v>
      </c>
      <c r="F952" s="0" t="s">
        <v>49</v>
      </c>
      <c r="G952" s="0" t="s">
        <v>6825</v>
      </c>
      <c r="I952" s="6" t="n">
        <v>0.611111111111111</v>
      </c>
      <c r="J952" s="6" t="n">
        <v>0.902777777777778</v>
      </c>
      <c r="M952" s="7" t="s">
        <v>6826</v>
      </c>
      <c r="N952" s="7" t="s">
        <v>6753</v>
      </c>
      <c r="O952" s="7"/>
      <c r="P952" s="7" t="s">
        <v>6827</v>
      </c>
      <c r="Q952" s="2" t="n">
        <v>43271</v>
      </c>
      <c r="S952" s="0" t="n">
        <f aca="false">YEAR(Q952)</f>
        <v>2018</v>
      </c>
      <c r="T952" s="0" t="n">
        <f aca="false">MONTH(Q952)</f>
        <v>6</v>
      </c>
    </row>
    <row r="953" customFormat="false" ht="28.5" hidden="true" customHeight="false" outlineLevel="0" collapsed="false">
      <c r="A953" s="0" t="n">
        <v>952</v>
      </c>
      <c r="B953" s="1" t="s">
        <v>864</v>
      </c>
      <c r="C953" s="1" t="s">
        <v>1479</v>
      </c>
      <c r="D953" s="1" t="s">
        <v>1487</v>
      </c>
      <c r="E953" s="0" t="s">
        <v>1488</v>
      </c>
      <c r="F953" s="0" t="s">
        <v>49</v>
      </c>
      <c r="G953" s="0" t="s">
        <v>6813</v>
      </c>
      <c r="I953" s="6" t="n">
        <v>0.923611111111111</v>
      </c>
      <c r="J953" s="6" t="n">
        <v>0.9375</v>
      </c>
      <c r="L953" s="0" t="n">
        <v>60</v>
      </c>
      <c r="M953" s="7" t="s">
        <v>6828</v>
      </c>
      <c r="N953" s="7" t="s">
        <v>6829</v>
      </c>
      <c r="O953" s="7"/>
      <c r="P953" s="7" t="s">
        <v>6830</v>
      </c>
      <c r="Q953" s="2" t="n">
        <v>43271</v>
      </c>
      <c r="S953" s="0" t="n">
        <f aca="false">YEAR(Q953)</f>
        <v>2018</v>
      </c>
      <c r="T953" s="0" t="n">
        <f aca="false">MONTH(Q953)</f>
        <v>6</v>
      </c>
    </row>
    <row r="954" customFormat="false" ht="42.75" hidden="true" customHeight="false" outlineLevel="0" collapsed="false">
      <c r="A954" s="0" t="n">
        <v>953</v>
      </c>
      <c r="B954" s="1" t="s">
        <v>864</v>
      </c>
      <c r="C954" s="1" t="s">
        <v>1503</v>
      </c>
      <c r="D954" s="1" t="s">
        <v>1648</v>
      </c>
      <c r="E954" s="0" t="s">
        <v>1648</v>
      </c>
      <c r="F954" s="0" t="s">
        <v>50</v>
      </c>
      <c r="G954" s="0" t="s">
        <v>6831</v>
      </c>
      <c r="J954" s="6" t="n">
        <v>0.0833333333333333</v>
      </c>
      <c r="L954" s="0" t="n">
        <v>115</v>
      </c>
      <c r="M954" s="7" t="s">
        <v>6832</v>
      </c>
      <c r="N954" s="7" t="s">
        <v>6833</v>
      </c>
      <c r="O954" s="7"/>
      <c r="P954" s="7" t="s">
        <v>6834</v>
      </c>
      <c r="Q954" s="2" t="n">
        <v>43271</v>
      </c>
      <c r="S954" s="0" t="n">
        <f aca="false">YEAR(Q954)</f>
        <v>2018</v>
      </c>
      <c r="T954" s="0" t="n">
        <f aca="false">MONTH(Q954)</f>
        <v>6</v>
      </c>
    </row>
    <row r="955" customFormat="false" ht="28.5" hidden="true" customHeight="false" outlineLevel="0" collapsed="false">
      <c r="A955" s="0" t="n">
        <v>954</v>
      </c>
      <c r="B955" s="1" t="s">
        <v>864</v>
      </c>
      <c r="C955" s="1" t="s">
        <v>1479</v>
      </c>
      <c r="D955" s="1" t="s">
        <v>1535</v>
      </c>
      <c r="E955" s="0" t="s">
        <v>39</v>
      </c>
      <c r="F955" s="0" t="s">
        <v>50</v>
      </c>
      <c r="G955" s="0" t="s">
        <v>6835</v>
      </c>
      <c r="I955" s="6" t="n">
        <v>0.197916666666667</v>
      </c>
      <c r="J955" s="6" t="n">
        <v>0.219444444444444</v>
      </c>
      <c r="K955" s="0" t="n">
        <v>12</v>
      </c>
      <c r="L955" s="0" t="n">
        <v>15</v>
      </c>
      <c r="M955" s="7" t="s">
        <v>6836</v>
      </c>
      <c r="N955" s="7" t="s">
        <v>6837</v>
      </c>
      <c r="O955" s="7"/>
      <c r="P955" s="7" t="s">
        <v>6838</v>
      </c>
      <c r="Q955" s="2" t="n">
        <v>43271</v>
      </c>
      <c r="S955" s="0" t="n">
        <f aca="false">YEAR(Q955)</f>
        <v>2018</v>
      </c>
      <c r="T955" s="0" t="n">
        <f aca="false">MONTH(Q955)</f>
        <v>6</v>
      </c>
    </row>
    <row r="956" customFormat="false" ht="28.5" hidden="true" customHeight="false" outlineLevel="0" collapsed="false">
      <c r="A956" s="0" t="n">
        <v>955</v>
      </c>
      <c r="B956" s="1" t="s">
        <v>865</v>
      </c>
      <c r="C956" s="1" t="s">
        <v>1479</v>
      </c>
      <c r="D956" s="1" t="s">
        <v>1535</v>
      </c>
      <c r="E956" s="0" t="s">
        <v>39</v>
      </c>
      <c r="F956" s="0" t="s">
        <v>48</v>
      </c>
      <c r="G956" s="0" t="s">
        <v>6839</v>
      </c>
      <c r="I956" s="6" t="n">
        <v>0.567361111111111</v>
      </c>
      <c r="J956" s="6" t="n">
        <v>0.575694444444444</v>
      </c>
      <c r="K956" s="0" t="n">
        <v>27</v>
      </c>
      <c r="M956" s="7" t="s">
        <v>6840</v>
      </c>
      <c r="N956" s="7" t="s">
        <v>6841</v>
      </c>
      <c r="O956" s="7"/>
      <c r="P956" s="7" t="s">
        <v>6842</v>
      </c>
      <c r="Q956" s="2" t="n">
        <v>43272</v>
      </c>
      <c r="S956" s="0" t="n">
        <f aca="false">YEAR(Q956)</f>
        <v>2018</v>
      </c>
      <c r="T956" s="0" t="n">
        <f aca="false">MONTH(Q956)</f>
        <v>6</v>
      </c>
    </row>
    <row r="957" customFormat="false" ht="42.75" hidden="true" customHeight="false" outlineLevel="0" collapsed="false">
      <c r="A957" s="0" t="n">
        <v>956</v>
      </c>
      <c r="B957" s="1" t="s">
        <v>865</v>
      </c>
      <c r="C957" s="1" t="s">
        <v>1479</v>
      </c>
      <c r="D957" s="1" t="s">
        <v>1535</v>
      </c>
      <c r="E957" s="0" t="s">
        <v>39</v>
      </c>
      <c r="F957" s="0" t="s">
        <v>49</v>
      </c>
      <c r="G957" s="0" t="s">
        <v>6467</v>
      </c>
      <c r="I957" s="6" t="n">
        <v>0.888888888888889</v>
      </c>
      <c r="J957" s="6" t="n">
        <v>0.893055555555556</v>
      </c>
      <c r="L957" s="0" t="n">
        <v>10</v>
      </c>
      <c r="M957" s="7" t="s">
        <v>6843</v>
      </c>
      <c r="N957" s="7" t="s">
        <v>6844</v>
      </c>
      <c r="O957" s="7"/>
      <c r="P957" s="7" t="s">
        <v>6845</v>
      </c>
      <c r="Q957" s="2" t="n">
        <v>43272</v>
      </c>
      <c r="S957" s="0" t="n">
        <f aca="false">YEAR(Q957)</f>
        <v>2018</v>
      </c>
      <c r="T957" s="0" t="n">
        <f aca="false">MONTH(Q957)</f>
        <v>6</v>
      </c>
    </row>
    <row r="958" customFormat="false" ht="42.75" hidden="true" customHeight="false" outlineLevel="0" collapsed="false">
      <c r="A958" s="0" t="n">
        <v>957</v>
      </c>
      <c r="B958" s="1" t="s">
        <v>865</v>
      </c>
      <c r="C958" s="1" t="s">
        <v>1479</v>
      </c>
      <c r="D958" s="1" t="s">
        <v>1535</v>
      </c>
      <c r="E958" s="0" t="s">
        <v>39</v>
      </c>
      <c r="F958" s="0" t="s">
        <v>50</v>
      </c>
      <c r="G958" s="0" t="s">
        <v>6467</v>
      </c>
      <c r="I958" s="6" t="n">
        <v>0.888888888888889</v>
      </c>
      <c r="J958" s="6" t="n">
        <v>0.0555555555555556</v>
      </c>
      <c r="M958" s="7" t="s">
        <v>6846</v>
      </c>
      <c r="N958" s="7" t="s">
        <v>6847</v>
      </c>
      <c r="O958" s="7"/>
      <c r="P958" s="7" t="s">
        <v>6848</v>
      </c>
      <c r="Q958" s="2" t="n">
        <v>43272</v>
      </c>
      <c r="S958" s="0" t="n">
        <f aca="false">YEAR(Q958)</f>
        <v>2018</v>
      </c>
      <c r="T958" s="0" t="n">
        <f aca="false">MONTH(Q958)</f>
        <v>6</v>
      </c>
    </row>
    <row r="959" customFormat="false" ht="28.5" hidden="true" customHeight="false" outlineLevel="0" collapsed="false">
      <c r="A959" s="0" t="n">
        <v>958</v>
      </c>
      <c r="B959" s="1" t="s">
        <v>865</v>
      </c>
      <c r="C959" s="1" t="s">
        <v>1479</v>
      </c>
      <c r="D959" s="1" t="s">
        <v>1535</v>
      </c>
      <c r="E959" s="0" t="s">
        <v>39</v>
      </c>
      <c r="F959" s="0" t="s">
        <v>50</v>
      </c>
      <c r="G959" s="0" t="s">
        <v>4643</v>
      </c>
      <c r="I959" s="6" t="n">
        <v>0.104166666666667</v>
      </c>
      <c r="J959" s="6" t="n">
        <v>0.107638888888889</v>
      </c>
      <c r="L959" s="0" t="n">
        <v>15</v>
      </c>
      <c r="M959" s="7" t="s">
        <v>6849</v>
      </c>
      <c r="N959" s="7" t="s">
        <v>6850</v>
      </c>
      <c r="O959" s="7"/>
      <c r="P959" s="7" t="s">
        <v>6851</v>
      </c>
      <c r="Q959" s="2" t="n">
        <v>43272</v>
      </c>
      <c r="S959" s="0" t="n">
        <f aca="false">YEAR(Q959)</f>
        <v>2018</v>
      </c>
      <c r="T959" s="0" t="n">
        <f aca="false">MONTH(Q959)</f>
        <v>6</v>
      </c>
    </row>
    <row r="960" customFormat="false" ht="42.75" hidden="true" customHeight="false" outlineLevel="0" collapsed="false">
      <c r="A960" s="0" t="n">
        <v>959</v>
      </c>
      <c r="B960" s="1" t="s">
        <v>866</v>
      </c>
      <c r="C960" s="1" t="s">
        <v>1479</v>
      </c>
      <c r="D960" s="1" t="s">
        <v>1487</v>
      </c>
      <c r="E960" s="4" t="s">
        <v>1488</v>
      </c>
      <c r="F960" s="0" t="s">
        <v>48</v>
      </c>
      <c r="G960" s="0" t="s">
        <v>6852</v>
      </c>
      <c r="I960" s="6" t="n">
        <v>0.364583333333333</v>
      </c>
      <c r="J960" s="6" t="n">
        <v>0.378472222222222</v>
      </c>
      <c r="K960" s="0" t="n">
        <v>8</v>
      </c>
      <c r="L960" s="0" t="n">
        <v>64</v>
      </c>
      <c r="M960" s="7" t="s">
        <v>6853</v>
      </c>
      <c r="N960" s="7" t="s">
        <v>6854</v>
      </c>
      <c r="O960" s="7"/>
      <c r="P960" s="7" t="s">
        <v>6855</v>
      </c>
      <c r="Q960" s="2" t="n">
        <v>43273</v>
      </c>
      <c r="S960" s="0" t="n">
        <f aca="false">YEAR(Q960)</f>
        <v>2018</v>
      </c>
      <c r="T960" s="0" t="n">
        <f aca="false">MONTH(Q960)</f>
        <v>6</v>
      </c>
    </row>
    <row r="961" customFormat="false" ht="28.5" hidden="true" customHeight="false" outlineLevel="0" collapsed="false">
      <c r="A961" s="0" t="n">
        <v>960</v>
      </c>
      <c r="B961" s="1" t="s">
        <v>866</v>
      </c>
      <c r="C961" s="1" t="s">
        <v>1479</v>
      </c>
      <c r="D961" s="1" t="s">
        <v>1480</v>
      </c>
      <c r="E961" s="0" t="s">
        <v>43</v>
      </c>
      <c r="F961" s="0" t="s">
        <v>48</v>
      </c>
      <c r="G961" s="0" t="s">
        <v>6856</v>
      </c>
      <c r="I961" s="6" t="n">
        <v>0.292361111111111</v>
      </c>
      <c r="J961" s="6" t="n">
        <v>0.444444444444444</v>
      </c>
      <c r="M961" s="7" t="s">
        <v>6857</v>
      </c>
      <c r="N961" s="7" t="s">
        <v>6858</v>
      </c>
      <c r="O961" s="7"/>
      <c r="P961" s="7" t="s">
        <v>6859</v>
      </c>
      <c r="Q961" s="2" t="n">
        <v>43273</v>
      </c>
      <c r="S961" s="0" t="n">
        <f aca="false">YEAR(Q961)</f>
        <v>2018</v>
      </c>
      <c r="T961" s="0" t="n">
        <f aca="false">MONTH(Q961)</f>
        <v>6</v>
      </c>
    </row>
    <row r="962" customFormat="false" ht="28.5" hidden="true" customHeight="false" outlineLevel="0" collapsed="false">
      <c r="A962" s="0" t="n">
        <v>961</v>
      </c>
      <c r="B962" s="1" t="s">
        <v>866</v>
      </c>
      <c r="C962" s="1" t="s">
        <v>1479</v>
      </c>
      <c r="D962" s="1" t="s">
        <v>1535</v>
      </c>
      <c r="E962" s="0" t="s">
        <v>39</v>
      </c>
      <c r="F962" s="0" t="s">
        <v>48</v>
      </c>
      <c r="G962" s="0" t="s">
        <v>6860</v>
      </c>
      <c r="M962" s="7" t="s">
        <v>6861</v>
      </c>
      <c r="N962" s="7" t="s">
        <v>6862</v>
      </c>
      <c r="O962" s="7"/>
      <c r="P962" s="7" t="s">
        <v>6863</v>
      </c>
      <c r="Q962" s="2" t="n">
        <v>43273</v>
      </c>
      <c r="S962" s="0" t="n">
        <f aca="false">YEAR(Q962)</f>
        <v>2018</v>
      </c>
      <c r="T962" s="0" t="n">
        <f aca="false">MONTH(Q962)</f>
        <v>6</v>
      </c>
    </row>
    <row r="963" customFormat="false" ht="28.5" hidden="true" customHeight="false" outlineLevel="0" collapsed="false">
      <c r="A963" s="0" t="n">
        <v>962</v>
      </c>
      <c r="B963" s="1" t="s">
        <v>866</v>
      </c>
      <c r="C963" s="1" t="s">
        <v>1479</v>
      </c>
      <c r="D963" s="1" t="s">
        <v>1487</v>
      </c>
      <c r="E963" s="0" t="s">
        <v>1488</v>
      </c>
      <c r="F963" s="0" t="s">
        <v>49</v>
      </c>
      <c r="G963" s="0" t="s">
        <v>6864</v>
      </c>
      <c r="I963" s="6" t="n">
        <v>0.636805555555555</v>
      </c>
      <c r="J963" s="6" t="n">
        <v>0.645138888888889</v>
      </c>
      <c r="L963" s="0" t="n">
        <v>43</v>
      </c>
      <c r="M963" s="7" t="s">
        <v>6865</v>
      </c>
      <c r="N963" s="7" t="s">
        <v>6866</v>
      </c>
      <c r="O963" s="7"/>
      <c r="P963" s="7" t="s">
        <v>6867</v>
      </c>
      <c r="Q963" s="2" t="n">
        <v>43273</v>
      </c>
      <c r="S963" s="0" t="n">
        <f aca="false">YEAR(Q963)</f>
        <v>2018</v>
      </c>
      <c r="T963" s="0" t="n">
        <f aca="false">MONTH(Q963)</f>
        <v>6</v>
      </c>
    </row>
    <row r="964" customFormat="false" ht="28.5" hidden="true" customHeight="false" outlineLevel="0" collapsed="false">
      <c r="A964" s="0" t="n">
        <v>963</v>
      </c>
      <c r="B964" s="1" t="s">
        <v>867</v>
      </c>
      <c r="C964" s="1" t="s">
        <v>1479</v>
      </c>
      <c r="D964" s="1" t="s">
        <v>1487</v>
      </c>
      <c r="E964" s="0" t="s">
        <v>1488</v>
      </c>
      <c r="F964" s="0" t="s">
        <v>48</v>
      </c>
      <c r="G964" s="0" t="s">
        <v>6868</v>
      </c>
      <c r="I964" s="6" t="n">
        <v>0.331944444444444</v>
      </c>
      <c r="J964" s="6" t="n">
        <v>0.338194444444444</v>
      </c>
      <c r="L964" s="0" t="n">
        <v>12</v>
      </c>
      <c r="M964" s="7" t="s">
        <v>6869</v>
      </c>
      <c r="N964" s="7" t="s">
        <v>6870</v>
      </c>
      <c r="O964" s="7"/>
      <c r="P964" s="7" t="s">
        <v>6871</v>
      </c>
      <c r="Q964" s="2" t="n">
        <v>43274</v>
      </c>
      <c r="S964" s="0" t="n">
        <f aca="false">YEAR(Q964)</f>
        <v>2018</v>
      </c>
      <c r="T964" s="0" t="n">
        <f aca="false">MONTH(Q964)</f>
        <v>6</v>
      </c>
    </row>
    <row r="965" customFormat="false" ht="28.5" hidden="true" customHeight="false" outlineLevel="0" collapsed="false">
      <c r="A965" s="0" t="n">
        <v>964</v>
      </c>
      <c r="B965" s="1" t="s">
        <v>867</v>
      </c>
      <c r="C965" s="1" t="s">
        <v>1479</v>
      </c>
      <c r="D965" s="1" t="s">
        <v>1496</v>
      </c>
      <c r="E965" s="0" t="s">
        <v>38</v>
      </c>
      <c r="F965" s="0" t="s">
        <v>48</v>
      </c>
      <c r="G965" s="0" t="s">
        <v>6872</v>
      </c>
      <c r="I965" s="6" t="n">
        <v>0.444444444444444</v>
      </c>
      <c r="J965" s="6" t="n">
        <v>0.449305555555556</v>
      </c>
      <c r="L965" s="0" t="n">
        <v>16</v>
      </c>
      <c r="M965" s="7" t="s">
        <v>6873</v>
      </c>
      <c r="N965" s="7" t="s">
        <v>6874</v>
      </c>
      <c r="O965" s="7"/>
      <c r="P965" s="7" t="s">
        <v>6875</v>
      </c>
      <c r="Q965" s="2" t="n">
        <v>43274</v>
      </c>
      <c r="S965" s="0" t="n">
        <f aca="false">YEAR(Q965)</f>
        <v>2018</v>
      </c>
      <c r="T965" s="0" t="n">
        <f aca="false">MONTH(Q965)</f>
        <v>6</v>
      </c>
    </row>
    <row r="966" customFormat="false" ht="42.75" hidden="true" customHeight="false" outlineLevel="0" collapsed="false">
      <c r="A966" s="0" t="n">
        <v>965</v>
      </c>
      <c r="B966" s="1" t="s">
        <v>867</v>
      </c>
      <c r="C966" s="1" t="s">
        <v>1479</v>
      </c>
      <c r="D966" s="1" t="s">
        <v>1487</v>
      </c>
      <c r="E966" s="0" t="s">
        <v>1488</v>
      </c>
      <c r="F966" s="0" t="s">
        <v>49</v>
      </c>
      <c r="G966" s="0" t="s">
        <v>6876</v>
      </c>
      <c r="I966" s="6" t="n">
        <v>0.583333333333333</v>
      </c>
      <c r="J966" s="6" t="n">
        <v>0.586805555555556</v>
      </c>
      <c r="L966" s="0" t="n">
        <v>15</v>
      </c>
      <c r="M966" s="7" t="s">
        <v>6877</v>
      </c>
      <c r="N966" s="7" t="s">
        <v>6878</v>
      </c>
      <c r="O966" s="7"/>
      <c r="P966" s="7" t="s">
        <v>6879</v>
      </c>
      <c r="Q966" s="2" t="n">
        <v>43274</v>
      </c>
      <c r="S966" s="0" t="n">
        <f aca="false">YEAR(Q966)</f>
        <v>2018</v>
      </c>
      <c r="T966" s="0" t="n">
        <f aca="false">MONTH(Q966)</f>
        <v>6</v>
      </c>
    </row>
    <row r="967" customFormat="false" ht="28.5" hidden="true" customHeight="false" outlineLevel="0" collapsed="false">
      <c r="A967" s="0" t="n">
        <v>966</v>
      </c>
      <c r="B967" s="1" t="s">
        <v>868</v>
      </c>
      <c r="C967" s="1" t="s">
        <v>1479</v>
      </c>
      <c r="D967" s="1" t="s">
        <v>1487</v>
      </c>
      <c r="E967" s="4" t="s">
        <v>1488</v>
      </c>
      <c r="F967" s="0" t="s">
        <v>50</v>
      </c>
      <c r="G967" s="0" t="s">
        <v>6880</v>
      </c>
      <c r="I967" s="6" t="n">
        <v>0.0145833333333333</v>
      </c>
      <c r="J967" s="6" t="n">
        <v>0.0243055555555556</v>
      </c>
      <c r="K967" s="0" t="n">
        <v>20</v>
      </c>
      <c r="L967" s="0" t="n">
        <v>24</v>
      </c>
      <c r="M967" s="7" t="s">
        <v>6881</v>
      </c>
      <c r="N967" s="7" t="s">
        <v>6882</v>
      </c>
      <c r="O967" s="7"/>
      <c r="P967" s="7" t="s">
        <v>6883</v>
      </c>
      <c r="Q967" s="2" t="n">
        <v>43275</v>
      </c>
      <c r="S967" s="0" t="n">
        <f aca="false">YEAR(Q967)</f>
        <v>2018</v>
      </c>
      <c r="T967" s="0" t="n">
        <f aca="false">MONTH(Q967)</f>
        <v>6</v>
      </c>
    </row>
    <row r="968" customFormat="false" ht="42.75" hidden="true" customHeight="false" outlineLevel="0" collapsed="false">
      <c r="A968" s="0" t="n">
        <v>967</v>
      </c>
      <c r="B968" s="1" t="s">
        <v>868</v>
      </c>
      <c r="C968" s="1" t="s">
        <v>1479</v>
      </c>
      <c r="D968" s="1" t="s">
        <v>1487</v>
      </c>
      <c r="E968" s="4" t="s">
        <v>1488</v>
      </c>
      <c r="F968" s="0" t="s">
        <v>50</v>
      </c>
      <c r="G968" s="0" t="s">
        <v>6884</v>
      </c>
      <c r="I968" s="6" t="n">
        <v>0.0555555555555556</v>
      </c>
      <c r="J968" s="6" t="n">
        <v>0.0694444444444444</v>
      </c>
      <c r="K968" s="0" t="n">
        <v>30</v>
      </c>
      <c r="L968" s="0" t="n">
        <v>50</v>
      </c>
      <c r="M968" s="7" t="s">
        <v>6885</v>
      </c>
      <c r="N968" s="7" t="s">
        <v>6886</v>
      </c>
      <c r="O968" s="7"/>
      <c r="P968" s="7" t="s">
        <v>6887</v>
      </c>
      <c r="Q968" s="2" t="n">
        <v>43275</v>
      </c>
      <c r="S968" s="0" t="n">
        <f aca="false">YEAR(Q968)</f>
        <v>2018</v>
      </c>
      <c r="T968" s="0" t="n">
        <f aca="false">MONTH(Q968)</f>
        <v>6</v>
      </c>
    </row>
    <row r="969" customFormat="false" ht="28.5" hidden="true" customHeight="false" outlineLevel="0" collapsed="false">
      <c r="A969" s="0" t="n">
        <v>968</v>
      </c>
      <c r="B969" s="1" t="s">
        <v>869</v>
      </c>
      <c r="C969" s="1" t="s">
        <v>1503</v>
      </c>
      <c r="D969" s="1" t="s">
        <v>1535</v>
      </c>
      <c r="E969" s="0" t="s">
        <v>44</v>
      </c>
      <c r="F969" s="0" t="s">
        <v>48</v>
      </c>
      <c r="G969" s="0" t="s">
        <v>6888</v>
      </c>
      <c r="I969" s="6" t="n">
        <v>0.263194444444444</v>
      </c>
      <c r="J969" s="6" t="n">
        <v>0.282638888888889</v>
      </c>
      <c r="L969" s="0" t="n">
        <v>5</v>
      </c>
      <c r="M969" s="7" t="s">
        <v>6889</v>
      </c>
      <c r="N969" s="7" t="s">
        <v>6890</v>
      </c>
      <c r="O969" s="7"/>
      <c r="P969" s="7" t="s">
        <v>6891</v>
      </c>
      <c r="Q969" s="2" t="n">
        <v>43276</v>
      </c>
      <c r="S969" s="0" t="n">
        <f aca="false">YEAR(Q969)</f>
        <v>2018</v>
      </c>
      <c r="T969" s="0" t="n">
        <f aca="false">MONTH(Q969)</f>
        <v>6</v>
      </c>
    </row>
    <row r="970" customFormat="false" ht="28.5" hidden="true" customHeight="false" outlineLevel="0" collapsed="false">
      <c r="A970" s="0" t="n">
        <v>969</v>
      </c>
      <c r="B970" s="1" t="s">
        <v>869</v>
      </c>
      <c r="C970" s="1" t="s">
        <v>1503</v>
      </c>
      <c r="D970" s="1" t="s">
        <v>1535</v>
      </c>
      <c r="E970" s="0" t="s">
        <v>44</v>
      </c>
      <c r="F970" s="0" t="s">
        <v>48</v>
      </c>
      <c r="G970" s="0" t="s">
        <v>6892</v>
      </c>
      <c r="I970" s="6" t="n">
        <v>0.298611111111111</v>
      </c>
      <c r="J970" s="6" t="n">
        <v>0.302083333333333</v>
      </c>
      <c r="K970" s="0" t="n">
        <v>13</v>
      </c>
      <c r="M970" s="7" t="s">
        <v>6893</v>
      </c>
      <c r="N970" s="7" t="s">
        <v>6894</v>
      </c>
      <c r="O970" s="7"/>
      <c r="P970" s="7" t="s">
        <v>6895</v>
      </c>
      <c r="Q970" s="2" t="n">
        <v>43276</v>
      </c>
      <c r="S970" s="0" t="n">
        <f aca="false">YEAR(Q970)</f>
        <v>2018</v>
      </c>
      <c r="T970" s="0" t="n">
        <f aca="false">MONTH(Q970)</f>
        <v>6</v>
      </c>
    </row>
    <row r="971" customFormat="false" ht="42.75" hidden="true" customHeight="false" outlineLevel="0" collapsed="false">
      <c r="A971" s="0" t="n">
        <v>970</v>
      </c>
      <c r="B971" s="1" t="s">
        <v>869</v>
      </c>
      <c r="C971" s="1" t="s">
        <v>1479</v>
      </c>
      <c r="D971" s="1" t="s">
        <v>1535</v>
      </c>
      <c r="E971" s="0" t="s">
        <v>39</v>
      </c>
      <c r="F971" s="0" t="s">
        <v>49</v>
      </c>
      <c r="G971" s="0" t="s">
        <v>6896</v>
      </c>
      <c r="I971" s="6" t="n">
        <v>0.670138888888889</v>
      </c>
      <c r="J971" s="6" t="n">
        <v>0.684722222222222</v>
      </c>
      <c r="K971" s="0" t="s">
        <v>6897</v>
      </c>
      <c r="L971" s="0" t="n">
        <v>13</v>
      </c>
      <c r="M971" s="7" t="s">
        <v>6898</v>
      </c>
      <c r="N971" s="7" t="s">
        <v>6899</v>
      </c>
      <c r="O971" s="7"/>
      <c r="P971" s="7" t="s">
        <v>6900</v>
      </c>
      <c r="Q971" s="2" t="n">
        <v>43276</v>
      </c>
      <c r="S971" s="0" t="n">
        <f aca="false">YEAR(Q971)</f>
        <v>2018</v>
      </c>
      <c r="T971" s="0" t="n">
        <f aca="false">MONTH(Q971)</f>
        <v>6</v>
      </c>
    </row>
    <row r="972" customFormat="false" ht="28.5" hidden="true" customHeight="false" outlineLevel="0" collapsed="false">
      <c r="A972" s="0" t="n">
        <v>971</v>
      </c>
      <c r="B972" s="1" t="s">
        <v>871</v>
      </c>
      <c r="C972" s="1" t="s">
        <v>1503</v>
      </c>
      <c r="D972" s="1" t="s">
        <v>1535</v>
      </c>
      <c r="E972" s="0" t="s">
        <v>44</v>
      </c>
      <c r="F972" s="0" t="s">
        <v>48</v>
      </c>
      <c r="G972" s="0" t="s">
        <v>6901</v>
      </c>
      <c r="I972" s="6" t="n">
        <v>0.243055555555556</v>
      </c>
      <c r="J972" s="6" t="n">
        <v>0.25</v>
      </c>
      <c r="L972" s="0" t="n">
        <v>45</v>
      </c>
      <c r="M972" s="7" t="s">
        <v>6902</v>
      </c>
      <c r="N972" s="7" t="s">
        <v>6903</v>
      </c>
      <c r="O972" s="7"/>
      <c r="P972" s="7" t="s">
        <v>6904</v>
      </c>
      <c r="Q972" s="2" t="n">
        <v>43277</v>
      </c>
      <c r="S972" s="0" t="n">
        <f aca="false">YEAR(Q972)</f>
        <v>2018</v>
      </c>
      <c r="T972" s="0" t="n">
        <f aca="false">MONTH(Q972)</f>
        <v>6</v>
      </c>
    </row>
    <row r="973" customFormat="false" ht="57" hidden="true" customHeight="false" outlineLevel="0" collapsed="false">
      <c r="A973" s="0" t="n">
        <v>972</v>
      </c>
      <c r="B973" s="1" t="s">
        <v>871</v>
      </c>
      <c r="C973" s="1" t="s">
        <v>1479</v>
      </c>
      <c r="D973" s="1" t="s">
        <v>1480</v>
      </c>
      <c r="E973" s="0" t="s">
        <v>43</v>
      </c>
      <c r="F973" s="0" t="s">
        <v>48</v>
      </c>
      <c r="G973" s="0" t="s">
        <v>6905</v>
      </c>
      <c r="I973" s="6" t="n">
        <v>0.236111111111111</v>
      </c>
      <c r="J973" s="6" t="n">
        <v>0.261805555555556</v>
      </c>
      <c r="L973" s="0" t="n">
        <v>232</v>
      </c>
      <c r="M973" s="7" t="s">
        <v>6906</v>
      </c>
      <c r="N973" s="0" t="s">
        <v>6907</v>
      </c>
      <c r="P973" s="7" t="s">
        <v>6908</v>
      </c>
      <c r="Q973" s="2" t="n">
        <v>43277</v>
      </c>
      <c r="S973" s="0" t="n">
        <f aca="false">YEAR(Q973)</f>
        <v>2018</v>
      </c>
      <c r="T973" s="0" t="n">
        <f aca="false">MONTH(Q973)</f>
        <v>6</v>
      </c>
    </row>
    <row r="974" customFormat="false" ht="28.5" hidden="true" customHeight="false" outlineLevel="0" collapsed="false">
      <c r="A974" s="0" t="n">
        <v>973</v>
      </c>
      <c r="B974" s="1" t="s">
        <v>871</v>
      </c>
      <c r="C974" s="1" t="s">
        <v>1479</v>
      </c>
      <c r="D974" s="1" t="s">
        <v>1487</v>
      </c>
      <c r="E974" s="0" t="s">
        <v>1488</v>
      </c>
      <c r="F974" s="0" t="s">
        <v>48</v>
      </c>
      <c r="G974" s="0" t="s">
        <v>6909</v>
      </c>
      <c r="I974" s="6" t="n">
        <v>0.502777777777778</v>
      </c>
      <c r="J974" s="6" t="n">
        <v>0.509027777777778</v>
      </c>
      <c r="L974" s="0" t="n">
        <v>24</v>
      </c>
      <c r="M974" s="7" t="s">
        <v>6910</v>
      </c>
      <c r="N974" s="7" t="s">
        <v>6911</v>
      </c>
      <c r="O974" s="7"/>
      <c r="P974" s="7" t="s">
        <v>6912</v>
      </c>
      <c r="Q974" s="2" t="n">
        <v>43277</v>
      </c>
      <c r="S974" s="0" t="n">
        <f aca="false">YEAR(Q974)</f>
        <v>2018</v>
      </c>
      <c r="T974" s="0" t="n">
        <f aca="false">MONTH(Q974)</f>
        <v>6</v>
      </c>
    </row>
    <row r="975" customFormat="false" ht="28.5" hidden="true" customHeight="false" outlineLevel="0" collapsed="false">
      <c r="A975" s="0" t="n">
        <v>974</v>
      </c>
      <c r="B975" s="1" t="s">
        <v>871</v>
      </c>
      <c r="C975" s="1" t="s">
        <v>1503</v>
      </c>
      <c r="D975" s="1" t="s">
        <v>1535</v>
      </c>
      <c r="E975" s="0" t="s">
        <v>44</v>
      </c>
      <c r="F975" s="0" t="s">
        <v>48</v>
      </c>
      <c r="G975" s="0" t="s">
        <v>6913</v>
      </c>
      <c r="K975" s="0" t="n">
        <v>21</v>
      </c>
      <c r="L975" s="0" t="n">
        <v>15</v>
      </c>
      <c r="M975" s="7" t="s">
        <v>6914</v>
      </c>
      <c r="N975" s="7" t="s">
        <v>6915</v>
      </c>
      <c r="O975" s="7"/>
      <c r="P975" s="7" t="s">
        <v>6916</v>
      </c>
      <c r="Q975" s="2" t="n">
        <v>43277</v>
      </c>
      <c r="S975" s="0" t="n">
        <f aca="false">YEAR(Q975)</f>
        <v>2018</v>
      </c>
      <c r="T975" s="0" t="n">
        <f aca="false">MONTH(Q975)</f>
        <v>6</v>
      </c>
    </row>
    <row r="976" customFormat="false" ht="42.75" hidden="true" customHeight="false" outlineLevel="0" collapsed="false">
      <c r="A976" s="0" t="n">
        <v>975</v>
      </c>
      <c r="B976" s="1" t="s">
        <v>871</v>
      </c>
      <c r="C976" s="1" t="s">
        <v>1479</v>
      </c>
      <c r="D976" s="1" t="s">
        <v>1496</v>
      </c>
      <c r="E976" s="0" t="s">
        <v>38</v>
      </c>
      <c r="F976" s="0" t="s">
        <v>49</v>
      </c>
      <c r="G976" s="0" t="s">
        <v>6917</v>
      </c>
      <c r="I976" s="6" t="n">
        <v>0.607638888888889</v>
      </c>
      <c r="J976" s="6" t="n">
        <v>0.615972222222222</v>
      </c>
      <c r="K976" s="0" t="n">
        <v>40</v>
      </c>
      <c r="L976" s="0" t="n">
        <v>190</v>
      </c>
      <c r="M976" s="7" t="s">
        <v>6918</v>
      </c>
      <c r="N976" s="7" t="s">
        <v>6919</v>
      </c>
      <c r="O976" s="7"/>
      <c r="P976" s="7" t="s">
        <v>6920</v>
      </c>
      <c r="Q976" s="2" t="n">
        <v>43277</v>
      </c>
      <c r="S976" s="0" t="n">
        <f aca="false">YEAR(Q976)</f>
        <v>2018</v>
      </c>
      <c r="T976" s="0" t="n">
        <f aca="false">MONTH(Q976)</f>
        <v>6</v>
      </c>
    </row>
    <row r="977" customFormat="false" ht="28.5" hidden="true" customHeight="false" outlineLevel="0" collapsed="false">
      <c r="A977" s="0" t="n">
        <v>976</v>
      </c>
      <c r="B977" s="1" t="s">
        <v>871</v>
      </c>
      <c r="C977" s="1" t="s">
        <v>1479</v>
      </c>
      <c r="D977" s="1" t="s">
        <v>1487</v>
      </c>
      <c r="E977" s="0" t="s">
        <v>1488</v>
      </c>
      <c r="F977" s="0" t="s">
        <v>49</v>
      </c>
      <c r="G977" s="0" t="s">
        <v>6921</v>
      </c>
      <c r="I977" s="6" t="n">
        <v>0.861111111111111</v>
      </c>
      <c r="J977" s="6" t="n">
        <v>0.870833333333333</v>
      </c>
      <c r="L977" s="0" t="n">
        <v>28</v>
      </c>
      <c r="M977" s="7" t="s">
        <v>6922</v>
      </c>
      <c r="N977" s="7" t="s">
        <v>6923</v>
      </c>
      <c r="O977" s="7"/>
      <c r="P977" s="7" t="s">
        <v>6924</v>
      </c>
      <c r="Q977" s="2" t="n">
        <v>43277</v>
      </c>
      <c r="S977" s="0" t="n">
        <f aca="false">YEAR(Q977)</f>
        <v>2018</v>
      </c>
      <c r="T977" s="0" t="n">
        <f aca="false">MONTH(Q977)</f>
        <v>6</v>
      </c>
    </row>
    <row r="978" customFormat="false" ht="28.5" hidden="true" customHeight="false" outlineLevel="0" collapsed="false">
      <c r="A978" s="0" t="n">
        <v>977</v>
      </c>
      <c r="B978" s="1" t="s">
        <v>872</v>
      </c>
      <c r="C978" s="1" t="s">
        <v>1503</v>
      </c>
      <c r="D978" s="1" t="s">
        <v>1535</v>
      </c>
      <c r="E978" s="0" t="s">
        <v>44</v>
      </c>
      <c r="F978" s="0" t="s">
        <v>48</v>
      </c>
      <c r="G978" s="0" t="s">
        <v>6925</v>
      </c>
      <c r="I978" s="6" t="n">
        <v>0.298611111111111</v>
      </c>
      <c r="J978" s="6" t="n">
        <v>0.302083333333333</v>
      </c>
      <c r="L978" s="0" t="n">
        <v>15</v>
      </c>
      <c r="M978" s="7" t="s">
        <v>6926</v>
      </c>
      <c r="N978" s="7" t="s">
        <v>6927</v>
      </c>
      <c r="O978" s="7"/>
      <c r="P978" s="7" t="s">
        <v>6928</v>
      </c>
      <c r="Q978" s="2" t="n">
        <v>43278</v>
      </c>
      <c r="S978" s="0" t="n">
        <f aca="false">YEAR(Q978)</f>
        <v>2018</v>
      </c>
      <c r="T978" s="0" t="n">
        <f aca="false">MONTH(Q978)</f>
        <v>6</v>
      </c>
    </row>
    <row r="979" customFormat="false" ht="28.5" hidden="true" customHeight="false" outlineLevel="0" collapsed="false">
      <c r="A979" s="0" t="n">
        <v>978</v>
      </c>
      <c r="B979" s="1" t="s">
        <v>872</v>
      </c>
      <c r="C979" s="1" t="s">
        <v>1479</v>
      </c>
      <c r="D979" s="1" t="s">
        <v>1487</v>
      </c>
      <c r="E979" s="4" t="s">
        <v>1488</v>
      </c>
      <c r="F979" s="0" t="s">
        <v>49</v>
      </c>
      <c r="G979" s="0" t="s">
        <v>6929</v>
      </c>
      <c r="I979" s="6" t="n">
        <v>0.901388888888889</v>
      </c>
      <c r="J979" s="6" t="n">
        <v>0.902777777777778</v>
      </c>
      <c r="K979" s="0" t="n">
        <v>15</v>
      </c>
      <c r="L979" s="0" t="n">
        <v>15</v>
      </c>
      <c r="M979" s="7" t="s">
        <v>6930</v>
      </c>
      <c r="N979" s="7" t="s">
        <v>6931</v>
      </c>
      <c r="O979" s="7"/>
      <c r="P979" s="7" t="s">
        <v>6932</v>
      </c>
      <c r="Q979" s="2" t="n">
        <v>43278</v>
      </c>
      <c r="S979" s="0" t="n">
        <f aca="false">YEAR(Q979)</f>
        <v>2018</v>
      </c>
      <c r="T979" s="0" t="n">
        <f aca="false">MONTH(Q979)</f>
        <v>6</v>
      </c>
    </row>
    <row r="980" customFormat="false" ht="42.75" hidden="true" customHeight="false" outlineLevel="0" collapsed="false">
      <c r="A980" s="0" t="n">
        <v>979</v>
      </c>
      <c r="B980" s="1" t="s">
        <v>872</v>
      </c>
      <c r="C980" s="1" t="s">
        <v>1503</v>
      </c>
      <c r="D980" s="1" t="s">
        <v>1648</v>
      </c>
      <c r="E980" s="0" t="s">
        <v>1648</v>
      </c>
      <c r="F980" s="0" t="s">
        <v>50</v>
      </c>
      <c r="G980" s="0" t="s">
        <v>6933</v>
      </c>
      <c r="J980" s="6" t="n">
        <v>0.0972222222222222</v>
      </c>
      <c r="M980" s="7" t="s">
        <v>6934</v>
      </c>
      <c r="N980" s="7" t="s">
        <v>6935</v>
      </c>
      <c r="O980" s="7"/>
      <c r="P980" s="7" t="s">
        <v>6936</v>
      </c>
      <c r="Q980" s="2" t="n">
        <v>43278</v>
      </c>
      <c r="S980" s="0" t="n">
        <f aca="false">YEAR(Q980)</f>
        <v>2018</v>
      </c>
      <c r="T980" s="0" t="n">
        <f aca="false">MONTH(Q980)</f>
        <v>6</v>
      </c>
    </row>
    <row r="981" customFormat="false" ht="28.5" hidden="true" customHeight="false" outlineLevel="0" collapsed="false">
      <c r="A981" s="0" t="n">
        <v>980</v>
      </c>
      <c r="B981" s="1" t="s">
        <v>874</v>
      </c>
      <c r="C981" s="1" t="s">
        <v>1479</v>
      </c>
      <c r="D981" s="1" t="s">
        <v>1535</v>
      </c>
      <c r="E981" s="0" t="s">
        <v>39</v>
      </c>
      <c r="F981" s="0" t="s">
        <v>49</v>
      </c>
      <c r="G981" s="0" t="s">
        <v>3583</v>
      </c>
      <c r="I981" s="6" t="n">
        <v>0.648611111111111</v>
      </c>
      <c r="J981" s="6" t="n">
        <v>0.650694444444444</v>
      </c>
      <c r="K981" s="0" t="n">
        <v>2</v>
      </c>
      <c r="L981" s="0" t="n">
        <v>10</v>
      </c>
      <c r="M981" s="7" t="s">
        <v>6937</v>
      </c>
      <c r="N981" s="7" t="s">
        <v>6938</v>
      </c>
      <c r="O981" s="7"/>
      <c r="P981" s="7" t="s">
        <v>6939</v>
      </c>
      <c r="Q981" s="2" t="n">
        <v>43284</v>
      </c>
      <c r="S981" s="0" t="n">
        <f aca="false">YEAR(Q981)</f>
        <v>2018</v>
      </c>
      <c r="T981" s="0" t="n">
        <f aca="false">MONTH(Q981)</f>
        <v>7</v>
      </c>
    </row>
    <row r="982" customFormat="false" ht="42.75" hidden="true" customHeight="false" outlineLevel="0" collapsed="false">
      <c r="A982" s="0" t="n">
        <v>981</v>
      </c>
      <c r="B982" s="1" t="s">
        <v>874</v>
      </c>
      <c r="C982" s="1" t="s">
        <v>1479</v>
      </c>
      <c r="D982" s="1" t="s">
        <v>1487</v>
      </c>
      <c r="E982" s="4" t="s">
        <v>1488</v>
      </c>
      <c r="F982" s="0" t="s">
        <v>49</v>
      </c>
      <c r="G982" s="0" t="s">
        <v>3684</v>
      </c>
      <c r="I982" s="6" t="n">
        <v>0.615972222222222</v>
      </c>
      <c r="J982" s="6" t="n">
        <v>0.754861111111111</v>
      </c>
      <c r="K982" s="0" t="n">
        <v>19</v>
      </c>
      <c r="L982" s="0" t="n">
        <v>23</v>
      </c>
      <c r="M982" s="7" t="s">
        <v>6940</v>
      </c>
      <c r="N982" s="7" t="s">
        <v>6941</v>
      </c>
      <c r="O982" s="7"/>
      <c r="P982" s="7" t="s">
        <v>6942</v>
      </c>
      <c r="Q982" s="2" t="n">
        <v>43284</v>
      </c>
      <c r="S982" s="0" t="n">
        <f aca="false">YEAR(Q982)</f>
        <v>2018</v>
      </c>
      <c r="T982" s="0" t="n">
        <f aca="false">MONTH(Q982)</f>
        <v>7</v>
      </c>
    </row>
    <row r="983" customFormat="false" ht="28.5" hidden="true" customHeight="false" outlineLevel="0" collapsed="false">
      <c r="A983" s="0" t="n">
        <v>982</v>
      </c>
      <c r="B983" s="1" t="s">
        <v>874</v>
      </c>
      <c r="C983" s="1" t="s">
        <v>1479</v>
      </c>
      <c r="D983" s="1" t="s">
        <v>1535</v>
      </c>
      <c r="E983" s="0" t="s">
        <v>39</v>
      </c>
      <c r="F983" s="0" t="s">
        <v>49</v>
      </c>
      <c r="G983" s="0" t="s">
        <v>3583</v>
      </c>
      <c r="I983" s="6" t="n">
        <v>0.811111111111111</v>
      </c>
      <c r="J983" s="6" t="n">
        <v>0.815277777777778</v>
      </c>
      <c r="K983" s="0" t="n">
        <v>3</v>
      </c>
      <c r="L983" s="0" t="n">
        <v>80</v>
      </c>
      <c r="M983" s="7" t="s">
        <v>6943</v>
      </c>
      <c r="N983" s="7" t="s">
        <v>6944</v>
      </c>
      <c r="O983" s="7"/>
      <c r="P983" s="7" t="s">
        <v>6945</v>
      </c>
      <c r="Q983" s="2" t="n">
        <v>43284</v>
      </c>
      <c r="S983" s="0" t="n">
        <f aca="false">YEAR(Q983)</f>
        <v>2018</v>
      </c>
      <c r="T983" s="0" t="n">
        <f aca="false">MONTH(Q983)</f>
        <v>7</v>
      </c>
    </row>
    <row r="984" customFormat="false" ht="28.5" hidden="true" customHeight="false" outlineLevel="0" collapsed="false">
      <c r="A984" s="0" t="n">
        <v>983</v>
      </c>
      <c r="B984" s="1" t="s">
        <v>874</v>
      </c>
      <c r="C984" s="1" t="s">
        <v>1479</v>
      </c>
      <c r="D984" s="1" t="s">
        <v>1535</v>
      </c>
      <c r="E984" s="0" t="s">
        <v>39</v>
      </c>
      <c r="F984" s="0" t="s">
        <v>50</v>
      </c>
      <c r="G984" s="0" t="s">
        <v>6946</v>
      </c>
      <c r="I984" s="6" t="n">
        <v>0.977083333333333</v>
      </c>
      <c r="J984" s="6" t="n">
        <v>0.979166666666667</v>
      </c>
      <c r="K984" s="0" t="n">
        <v>13</v>
      </c>
      <c r="L984" s="0" t="n">
        <v>15</v>
      </c>
      <c r="M984" s="7" t="s">
        <v>6947</v>
      </c>
      <c r="N984" s="7" t="s">
        <v>6948</v>
      </c>
      <c r="O984" s="7"/>
      <c r="P984" s="7" t="s">
        <v>6949</v>
      </c>
      <c r="Q984" s="2" t="n">
        <v>43284</v>
      </c>
      <c r="S984" s="0" t="n">
        <f aca="false">YEAR(Q984)</f>
        <v>2018</v>
      </c>
      <c r="T984" s="0" t="n">
        <f aca="false">MONTH(Q984)</f>
        <v>7</v>
      </c>
    </row>
    <row r="985" customFormat="false" ht="57" hidden="true" customHeight="false" outlineLevel="0" collapsed="false">
      <c r="A985" s="0" t="n">
        <v>984</v>
      </c>
      <c r="B985" s="1" t="s">
        <v>874</v>
      </c>
      <c r="C985" s="1" t="s">
        <v>1479</v>
      </c>
      <c r="D985" s="1" t="s">
        <v>1535</v>
      </c>
      <c r="E985" s="0" t="s">
        <v>39</v>
      </c>
      <c r="F985" s="0" t="s">
        <v>50</v>
      </c>
      <c r="G985" s="0" t="s">
        <v>6950</v>
      </c>
      <c r="I985" s="6" t="n">
        <v>0.100694444444444</v>
      </c>
      <c r="J985" s="6" t="n">
        <v>0.101388888888889</v>
      </c>
      <c r="K985" s="0" t="n">
        <v>75</v>
      </c>
      <c r="L985" s="0" t="n">
        <v>90</v>
      </c>
      <c r="M985" s="7" t="s">
        <v>6951</v>
      </c>
      <c r="N985" s="7" t="s">
        <v>6952</v>
      </c>
      <c r="O985" s="7"/>
      <c r="P985" s="7" t="s">
        <v>6953</v>
      </c>
      <c r="Q985" s="2" t="n">
        <v>43284</v>
      </c>
      <c r="S985" s="0" t="n">
        <f aca="false">YEAR(Q985)</f>
        <v>2018</v>
      </c>
      <c r="T985" s="0" t="n">
        <f aca="false">MONTH(Q985)</f>
        <v>7</v>
      </c>
    </row>
    <row r="986" customFormat="false" ht="28.5" hidden="true" customHeight="false" outlineLevel="0" collapsed="false">
      <c r="A986" s="0" t="n">
        <v>985</v>
      </c>
      <c r="B986" s="1" t="s">
        <v>875</v>
      </c>
      <c r="C986" s="1" t="s">
        <v>1479</v>
      </c>
      <c r="D986" s="1" t="s">
        <v>1535</v>
      </c>
      <c r="E986" s="0" t="s">
        <v>39</v>
      </c>
      <c r="F986" s="0" t="s">
        <v>48</v>
      </c>
      <c r="G986" s="0" t="s">
        <v>6954</v>
      </c>
      <c r="I986" s="6" t="n">
        <v>0.541666666666667</v>
      </c>
      <c r="J986" s="6" t="n">
        <v>0.546527777777778</v>
      </c>
      <c r="M986" s="7" t="s">
        <v>6955</v>
      </c>
      <c r="N986" s="7" t="s">
        <v>6956</v>
      </c>
      <c r="O986" s="7"/>
      <c r="P986" s="7" t="s">
        <v>6957</v>
      </c>
      <c r="Q986" s="2" t="n">
        <v>43285</v>
      </c>
      <c r="S986" s="0" t="n">
        <f aca="false">YEAR(Q986)</f>
        <v>2018</v>
      </c>
      <c r="T986" s="0" t="n">
        <f aca="false">MONTH(Q986)</f>
        <v>7</v>
      </c>
    </row>
    <row r="987" customFormat="false" ht="28.5" hidden="true" customHeight="false" outlineLevel="0" collapsed="false">
      <c r="A987" s="0" t="n">
        <v>986</v>
      </c>
      <c r="B987" s="1" t="s">
        <v>875</v>
      </c>
      <c r="C987" s="1" t="s">
        <v>1495</v>
      </c>
      <c r="D987" s="1" t="s">
        <v>6365</v>
      </c>
      <c r="E987" s="0" t="s">
        <v>1495</v>
      </c>
      <c r="F987" s="0" t="s">
        <v>48</v>
      </c>
      <c r="G987" s="0" t="s">
        <v>6958</v>
      </c>
      <c r="I987" s="6" t="n">
        <v>0.520833333333333</v>
      </c>
      <c r="K987" s="0" t="n">
        <v>5</v>
      </c>
      <c r="M987" s="7" t="s">
        <v>6959</v>
      </c>
      <c r="N987" s="7" t="s">
        <v>6960</v>
      </c>
      <c r="O987" s="7"/>
      <c r="P987" s="7" t="s">
        <v>6961</v>
      </c>
      <c r="Q987" s="2" t="n">
        <v>43285</v>
      </c>
      <c r="S987" s="0" t="n">
        <f aca="false">YEAR(Q987)</f>
        <v>2018</v>
      </c>
      <c r="T987" s="0" t="n">
        <f aca="false">MONTH(Q987)</f>
        <v>7</v>
      </c>
    </row>
    <row r="988" customFormat="false" ht="28.5" hidden="true" customHeight="false" outlineLevel="0" collapsed="false">
      <c r="A988" s="0" t="n">
        <v>987</v>
      </c>
      <c r="B988" s="1" t="s">
        <v>875</v>
      </c>
      <c r="C988" s="1" t="s">
        <v>1479</v>
      </c>
      <c r="D988" s="1" t="s">
        <v>1496</v>
      </c>
      <c r="E988" s="0" t="s">
        <v>38</v>
      </c>
      <c r="F988" s="0" t="s">
        <v>48</v>
      </c>
      <c r="G988" s="0" t="s">
        <v>6962</v>
      </c>
      <c r="I988" s="6" t="n">
        <v>0.576388888888889</v>
      </c>
      <c r="J988" s="6" t="n">
        <v>0.582638888888889</v>
      </c>
      <c r="M988" s="7" t="s">
        <v>6963</v>
      </c>
      <c r="N988" s="7" t="s">
        <v>6964</v>
      </c>
      <c r="O988" s="7"/>
      <c r="P988" s="7" t="s">
        <v>6965</v>
      </c>
      <c r="Q988" s="2" t="n">
        <v>43285</v>
      </c>
      <c r="S988" s="0" t="n">
        <f aca="false">YEAR(Q988)</f>
        <v>2018</v>
      </c>
      <c r="T988" s="0" t="n">
        <f aca="false">MONTH(Q988)</f>
        <v>7</v>
      </c>
    </row>
    <row r="989" customFormat="false" ht="42.75" hidden="true" customHeight="false" outlineLevel="0" collapsed="false">
      <c r="A989" s="0" t="n">
        <v>988</v>
      </c>
      <c r="B989" s="1" t="s">
        <v>875</v>
      </c>
      <c r="C989" s="1" t="s">
        <v>1503</v>
      </c>
      <c r="D989" s="1" t="s">
        <v>1535</v>
      </c>
      <c r="E989" s="0" t="s">
        <v>6966</v>
      </c>
      <c r="F989" s="0" t="s">
        <v>48</v>
      </c>
      <c r="I989" s="6" t="n">
        <v>0.541666666666667</v>
      </c>
      <c r="J989" s="6" t="n">
        <v>0.570138888888889</v>
      </c>
      <c r="M989" s="7" t="s">
        <v>6967</v>
      </c>
      <c r="N989" s="7" t="s">
        <v>6874</v>
      </c>
      <c r="O989" s="7"/>
      <c r="P989" s="7" t="s">
        <v>6968</v>
      </c>
      <c r="Q989" s="2" t="n">
        <v>43285</v>
      </c>
      <c r="S989" s="0" t="n">
        <f aca="false">YEAR(Q989)</f>
        <v>2018</v>
      </c>
      <c r="T989" s="0" t="n">
        <f aca="false">MONTH(Q989)</f>
        <v>7</v>
      </c>
    </row>
    <row r="990" customFormat="false" ht="42.75" hidden="true" customHeight="false" outlineLevel="0" collapsed="false">
      <c r="A990" s="0" t="n">
        <v>989</v>
      </c>
      <c r="B990" s="1" t="s">
        <v>875</v>
      </c>
      <c r="C990" s="1" t="s">
        <v>1479</v>
      </c>
      <c r="D990" s="1" t="s">
        <v>1496</v>
      </c>
      <c r="E990" s="0" t="s">
        <v>38</v>
      </c>
      <c r="F990" s="0" t="s">
        <v>49</v>
      </c>
      <c r="G990" s="0" t="s">
        <v>6969</v>
      </c>
      <c r="I990" s="6" t="n">
        <v>0.583333333333333</v>
      </c>
      <c r="J990" s="6" t="n">
        <v>0.590277777777778</v>
      </c>
      <c r="K990" s="0" t="n">
        <v>36</v>
      </c>
      <c r="L990" s="0" t="n">
        <v>440</v>
      </c>
      <c r="M990" s="7" t="s">
        <v>6970</v>
      </c>
      <c r="N990" s="7" t="s">
        <v>6971</v>
      </c>
      <c r="O990" s="7"/>
      <c r="P990" s="7" t="s">
        <v>6972</v>
      </c>
      <c r="Q990" s="2" t="n">
        <v>43285</v>
      </c>
      <c r="S990" s="0" t="n">
        <f aca="false">YEAR(Q990)</f>
        <v>2018</v>
      </c>
      <c r="T990" s="0" t="n">
        <f aca="false">MONTH(Q990)</f>
        <v>7</v>
      </c>
    </row>
    <row r="991" customFormat="false" ht="42.75" hidden="true" customHeight="false" outlineLevel="0" collapsed="false">
      <c r="A991" s="0" t="n">
        <v>990</v>
      </c>
      <c r="B991" s="1" t="s">
        <v>875</v>
      </c>
      <c r="C991" s="1" t="s">
        <v>1479</v>
      </c>
      <c r="D991" s="1" t="s">
        <v>1487</v>
      </c>
      <c r="E991" s="0" t="s">
        <v>1488</v>
      </c>
      <c r="F991" s="0" t="s">
        <v>50</v>
      </c>
      <c r="G991" s="0" t="s">
        <v>6973</v>
      </c>
      <c r="I991" s="6" t="n">
        <v>0.0284722222222222</v>
      </c>
      <c r="J991" s="6" t="n">
        <v>0.0416666666666667</v>
      </c>
      <c r="K991" s="0" t="n">
        <v>79</v>
      </c>
      <c r="L991" s="0" t="n">
        <v>116</v>
      </c>
      <c r="M991" s="7" t="s">
        <v>6974</v>
      </c>
      <c r="N991" s="7" t="s">
        <v>6975</v>
      </c>
      <c r="O991" s="7"/>
      <c r="P991" s="7" t="s">
        <v>6976</v>
      </c>
      <c r="Q991" s="2" t="n">
        <v>43285</v>
      </c>
      <c r="S991" s="0" t="n">
        <f aca="false">YEAR(Q991)</f>
        <v>2018</v>
      </c>
      <c r="T991" s="0" t="n">
        <f aca="false">MONTH(Q991)</f>
        <v>7</v>
      </c>
    </row>
    <row r="992" customFormat="false" ht="57" hidden="true" customHeight="false" outlineLevel="0" collapsed="false">
      <c r="A992" s="0" t="n">
        <v>991</v>
      </c>
      <c r="B992" s="1" t="s">
        <v>877</v>
      </c>
      <c r="C992" s="1" t="s">
        <v>1479</v>
      </c>
      <c r="D992" s="1" t="s">
        <v>1535</v>
      </c>
      <c r="E992" s="0" t="s">
        <v>39</v>
      </c>
      <c r="F992" s="0" t="s">
        <v>48</v>
      </c>
      <c r="G992" s="0" t="s">
        <v>3583</v>
      </c>
      <c r="I992" s="6" t="n">
        <v>0.416666666666667</v>
      </c>
      <c r="J992" s="6" t="n">
        <v>0.433333333333333</v>
      </c>
      <c r="L992" s="0" t="n">
        <v>15</v>
      </c>
      <c r="M992" s="7" t="s">
        <v>6977</v>
      </c>
      <c r="N992" s="7" t="s">
        <v>6978</v>
      </c>
      <c r="O992" s="7"/>
      <c r="P992" s="7" t="s">
        <v>6979</v>
      </c>
      <c r="Q992" s="2" t="n">
        <v>43286</v>
      </c>
      <c r="S992" s="0" t="n">
        <f aca="false">YEAR(Q992)</f>
        <v>2018</v>
      </c>
      <c r="T992" s="0" t="n">
        <f aca="false">MONTH(Q992)</f>
        <v>7</v>
      </c>
    </row>
    <row r="993" customFormat="false" ht="28.5" hidden="true" customHeight="false" outlineLevel="0" collapsed="false">
      <c r="A993" s="0" t="n">
        <v>992</v>
      </c>
      <c r="B993" s="1" t="s">
        <v>877</v>
      </c>
      <c r="C993" s="1" t="s">
        <v>1479</v>
      </c>
      <c r="D993" s="1" t="s">
        <v>1535</v>
      </c>
      <c r="E993" s="0" t="s">
        <v>39</v>
      </c>
      <c r="F993" s="0" t="s">
        <v>49</v>
      </c>
      <c r="G993" s="0" t="s">
        <v>3583</v>
      </c>
      <c r="I993" s="6" t="n">
        <v>0.611111111111111</v>
      </c>
      <c r="J993" s="6" t="n">
        <v>0.614583333333333</v>
      </c>
      <c r="K993" s="0" t="n">
        <v>13</v>
      </c>
      <c r="L993" s="0" t="n">
        <v>100</v>
      </c>
      <c r="M993" s="7" t="s">
        <v>6980</v>
      </c>
      <c r="N993" s="7" t="s">
        <v>6981</v>
      </c>
      <c r="O993" s="7"/>
      <c r="P993" s="7" t="s">
        <v>6982</v>
      </c>
      <c r="Q993" s="2" t="n">
        <v>43286</v>
      </c>
      <c r="S993" s="0" t="n">
        <f aca="false">YEAR(Q993)</f>
        <v>2018</v>
      </c>
      <c r="T993" s="0" t="n">
        <f aca="false">MONTH(Q993)</f>
        <v>7</v>
      </c>
    </row>
    <row r="994" customFormat="false" ht="42.75" hidden="true" customHeight="false" outlineLevel="0" collapsed="false">
      <c r="A994" s="0" t="n">
        <v>993</v>
      </c>
      <c r="B994" s="1" t="s">
        <v>877</v>
      </c>
      <c r="C994" s="1" t="s">
        <v>1479</v>
      </c>
      <c r="D994" s="1" t="s">
        <v>1535</v>
      </c>
      <c r="E994" s="0" t="s">
        <v>39</v>
      </c>
      <c r="F994" s="0" t="s">
        <v>50</v>
      </c>
      <c r="G994" s="0" t="s">
        <v>6983</v>
      </c>
      <c r="I994" s="6" t="n">
        <v>0.180555555555556</v>
      </c>
      <c r="J994" s="6" t="n">
        <v>0.194444444444444</v>
      </c>
      <c r="K994" s="0" t="n">
        <v>21</v>
      </c>
      <c r="L994" s="0" t="n">
        <v>20</v>
      </c>
      <c r="M994" s="7" t="s">
        <v>6984</v>
      </c>
      <c r="N994" s="7" t="s">
        <v>6985</v>
      </c>
      <c r="O994" s="7"/>
      <c r="P994" s="7" t="s">
        <v>6986</v>
      </c>
      <c r="Q994" s="2" t="n">
        <v>43286</v>
      </c>
      <c r="S994" s="0" t="n">
        <f aca="false">YEAR(Q994)</f>
        <v>2018</v>
      </c>
      <c r="T994" s="0" t="n">
        <f aca="false">MONTH(Q994)</f>
        <v>7</v>
      </c>
    </row>
    <row r="995" customFormat="false" ht="42.75" hidden="true" customHeight="false" outlineLevel="0" collapsed="false">
      <c r="A995" s="0" t="n">
        <v>994</v>
      </c>
      <c r="B995" s="1" t="s">
        <v>878</v>
      </c>
      <c r="C995" s="1" t="s">
        <v>1479</v>
      </c>
      <c r="D995" s="1" t="s">
        <v>1496</v>
      </c>
      <c r="E995" s="0" t="s">
        <v>38</v>
      </c>
      <c r="F995" s="0" t="s">
        <v>50</v>
      </c>
      <c r="G995" s="0" t="s">
        <v>6987</v>
      </c>
      <c r="I995" s="6" t="n">
        <v>0.921527777777778</v>
      </c>
      <c r="J995" s="6" t="n">
        <v>0.9375</v>
      </c>
      <c r="K995" s="0" t="n">
        <v>0</v>
      </c>
      <c r="L995" s="0" t="n">
        <v>65</v>
      </c>
      <c r="M995" s="7" t="s">
        <v>6988</v>
      </c>
      <c r="N995" s="7" t="s">
        <v>6989</v>
      </c>
      <c r="O995" s="7"/>
      <c r="P995" s="7" t="s">
        <v>6990</v>
      </c>
      <c r="Q995" s="2" t="n">
        <v>43289</v>
      </c>
      <c r="S995" s="0" t="n">
        <f aca="false">YEAR(Q995)</f>
        <v>2018</v>
      </c>
      <c r="T995" s="0" t="n">
        <f aca="false">MONTH(Q995)</f>
        <v>7</v>
      </c>
    </row>
    <row r="996" customFormat="false" ht="57" hidden="true" customHeight="false" outlineLevel="0" collapsed="false">
      <c r="A996" s="0" t="n">
        <v>995</v>
      </c>
      <c r="B996" s="1" t="s">
        <v>878</v>
      </c>
      <c r="C996" s="1" t="s">
        <v>1479</v>
      </c>
      <c r="D996" s="1" t="s">
        <v>1496</v>
      </c>
      <c r="E996" s="0" t="s">
        <v>38</v>
      </c>
      <c r="F996" s="0" t="s">
        <v>50</v>
      </c>
      <c r="G996" s="0" t="s">
        <v>6991</v>
      </c>
      <c r="I996" s="6" t="n">
        <v>0.921527777777778</v>
      </c>
      <c r="J996" s="6" t="n">
        <v>0.979166666666667</v>
      </c>
      <c r="M996" s="7" t="s">
        <v>6992</v>
      </c>
      <c r="N996" s="7" t="s">
        <v>6993</v>
      </c>
      <c r="O996" s="7"/>
      <c r="P996" s="7" t="s">
        <v>6994</v>
      </c>
      <c r="Q996" s="2" t="n">
        <v>43289</v>
      </c>
      <c r="S996" s="0" t="n">
        <f aca="false">YEAR(Q996)</f>
        <v>2018</v>
      </c>
      <c r="T996" s="0" t="n">
        <f aca="false">MONTH(Q996)</f>
        <v>7</v>
      </c>
    </row>
    <row r="997" customFormat="false" ht="42.75" hidden="true" customHeight="false" outlineLevel="0" collapsed="false">
      <c r="A997" s="0" t="n">
        <v>996</v>
      </c>
      <c r="B997" s="1" t="s">
        <v>879</v>
      </c>
      <c r="C997" s="1" t="s">
        <v>1479</v>
      </c>
      <c r="D997" s="1" t="s">
        <v>1535</v>
      </c>
      <c r="E997" s="0" t="s">
        <v>39</v>
      </c>
      <c r="F997" s="0" t="s">
        <v>49</v>
      </c>
      <c r="G997" s="0" t="s">
        <v>1584</v>
      </c>
      <c r="I997" s="6" t="n">
        <v>0.729166666666667</v>
      </c>
      <c r="J997" s="6" t="n">
        <v>0.753472222222222</v>
      </c>
      <c r="K997" s="0" t="n">
        <v>10</v>
      </c>
      <c r="L997" s="0" t="n">
        <v>10</v>
      </c>
      <c r="M997" s="7" t="s">
        <v>6995</v>
      </c>
      <c r="N997" s="7" t="s">
        <v>6996</v>
      </c>
      <c r="O997" s="7"/>
      <c r="P997" s="7" t="s">
        <v>6997</v>
      </c>
      <c r="Q997" s="2" t="n">
        <v>43287</v>
      </c>
      <c r="S997" s="0" t="n">
        <f aca="false">YEAR(Q997)</f>
        <v>2018</v>
      </c>
      <c r="T997" s="0" t="n">
        <f aca="false">MONTH(Q997)</f>
        <v>7</v>
      </c>
    </row>
    <row r="998" customFormat="false" ht="28.5" hidden="true" customHeight="false" outlineLevel="0" collapsed="false">
      <c r="A998" s="0" t="n">
        <v>997</v>
      </c>
      <c r="B998" s="1" t="s">
        <v>879</v>
      </c>
      <c r="C998" s="1" t="s">
        <v>1479</v>
      </c>
      <c r="D998" s="1" t="s">
        <v>1535</v>
      </c>
      <c r="E998" s="0" t="s">
        <v>39</v>
      </c>
      <c r="F998" s="0" t="s">
        <v>50</v>
      </c>
      <c r="G998" s="0" t="s">
        <v>6998</v>
      </c>
      <c r="I998" s="6" t="n">
        <v>0.134027777777778</v>
      </c>
      <c r="J998" s="6" t="n">
        <v>0.138888888888889</v>
      </c>
      <c r="K998" s="0" t="n">
        <v>58</v>
      </c>
      <c r="L998" s="0" t="n">
        <v>67</v>
      </c>
      <c r="M998" s="7" t="s">
        <v>6999</v>
      </c>
      <c r="N998" s="7" t="s">
        <v>7000</v>
      </c>
      <c r="O998" s="7"/>
      <c r="P998" s="7" t="s">
        <v>7001</v>
      </c>
      <c r="Q998" s="2" t="n">
        <v>43287</v>
      </c>
      <c r="S998" s="0" t="n">
        <f aca="false">YEAR(Q998)</f>
        <v>2018</v>
      </c>
      <c r="T998" s="0" t="n">
        <f aca="false">MONTH(Q998)</f>
        <v>7</v>
      </c>
    </row>
    <row r="999" customFormat="false" ht="28.5" hidden="true" customHeight="false" outlineLevel="0" collapsed="false">
      <c r="A999" s="0" t="n">
        <v>998</v>
      </c>
      <c r="B999" s="1" t="s">
        <v>881</v>
      </c>
      <c r="C999" s="1" t="s">
        <v>1479</v>
      </c>
      <c r="D999" s="1" t="s">
        <v>1480</v>
      </c>
      <c r="E999" s="0" t="s">
        <v>43</v>
      </c>
      <c r="F999" s="0" t="s">
        <v>48</v>
      </c>
      <c r="G999" s="0" t="s">
        <v>1524</v>
      </c>
      <c r="I999" s="6" t="n">
        <v>0.388888888888889</v>
      </c>
      <c r="J999" s="6" t="n">
        <v>0.390277777777778</v>
      </c>
      <c r="L999" s="0" t="n">
        <v>26</v>
      </c>
      <c r="M999" s="7" t="s">
        <v>7002</v>
      </c>
      <c r="N999" s="7" t="s">
        <v>7003</v>
      </c>
      <c r="O999" s="7"/>
      <c r="P999" s="7" t="s">
        <v>7004</v>
      </c>
      <c r="Q999" s="2" t="n">
        <v>43291</v>
      </c>
      <c r="S999" s="0" t="n">
        <f aca="false">YEAR(Q999)</f>
        <v>2018</v>
      </c>
      <c r="T999" s="0" t="n">
        <f aca="false">MONTH(Q999)</f>
        <v>7</v>
      </c>
    </row>
    <row r="1000" customFormat="false" ht="28.5" hidden="true" customHeight="false" outlineLevel="0" collapsed="false">
      <c r="A1000" s="0" t="n">
        <v>999</v>
      </c>
      <c r="B1000" s="1" t="s">
        <v>881</v>
      </c>
      <c r="C1000" s="1" t="s">
        <v>1479</v>
      </c>
      <c r="D1000" s="1" t="s">
        <v>1480</v>
      </c>
      <c r="E1000" s="0" t="s">
        <v>43</v>
      </c>
      <c r="F1000" s="0" t="s">
        <v>48</v>
      </c>
      <c r="G1000" s="0" t="s">
        <v>1524</v>
      </c>
      <c r="I1000" s="6" t="n">
        <v>0.4375</v>
      </c>
      <c r="J1000" s="6" t="n">
        <v>0.438888888888889</v>
      </c>
      <c r="M1000" s="7" t="s">
        <v>7005</v>
      </c>
      <c r="N1000" s="7" t="s">
        <v>7006</v>
      </c>
      <c r="O1000" s="7"/>
      <c r="P1000" s="7" t="s">
        <v>7007</v>
      </c>
      <c r="Q1000" s="2" t="n">
        <v>43291</v>
      </c>
      <c r="S1000" s="0" t="n">
        <f aca="false">YEAR(Q1000)</f>
        <v>2018</v>
      </c>
      <c r="T1000" s="0" t="n">
        <f aca="false">MONTH(Q1000)</f>
        <v>7</v>
      </c>
    </row>
    <row r="1001" customFormat="false" ht="28.5" hidden="true" customHeight="false" outlineLevel="0" collapsed="false">
      <c r="A1001" s="0" t="n">
        <v>1000</v>
      </c>
      <c r="B1001" s="1" t="s">
        <v>881</v>
      </c>
      <c r="C1001" s="1" t="s">
        <v>1479</v>
      </c>
      <c r="D1001" s="1" t="s">
        <v>1480</v>
      </c>
      <c r="E1001" s="0" t="s">
        <v>43</v>
      </c>
      <c r="F1001" s="0" t="s">
        <v>48</v>
      </c>
      <c r="G1001" s="0" t="s">
        <v>1569</v>
      </c>
      <c r="J1001" s="6" t="n">
        <v>0.333333333333333</v>
      </c>
      <c r="M1001" s="7" t="s">
        <v>7008</v>
      </c>
      <c r="N1001" s="7" t="s">
        <v>7009</v>
      </c>
      <c r="O1001" s="7"/>
      <c r="P1001" s="7" t="s">
        <v>7010</v>
      </c>
      <c r="Q1001" s="2" t="n">
        <v>43291</v>
      </c>
      <c r="S1001" s="0" t="n">
        <f aca="false">YEAR(Q1001)</f>
        <v>2018</v>
      </c>
      <c r="T1001" s="0" t="n">
        <f aca="false">MONTH(Q1001)</f>
        <v>7</v>
      </c>
    </row>
    <row r="1002" customFormat="false" ht="28.5" hidden="true" customHeight="false" outlineLevel="0" collapsed="false">
      <c r="A1002" s="0" t="n">
        <v>1001</v>
      </c>
      <c r="B1002" s="1" t="s">
        <v>881</v>
      </c>
      <c r="C1002" s="1" t="s">
        <v>1503</v>
      </c>
      <c r="D1002" s="1" t="s">
        <v>1535</v>
      </c>
      <c r="E1002" s="0" t="s">
        <v>44</v>
      </c>
      <c r="F1002" s="0" t="s">
        <v>49</v>
      </c>
      <c r="G1002" s="0" t="s">
        <v>7011</v>
      </c>
      <c r="I1002" s="6" t="n">
        <v>0.680555555555555</v>
      </c>
      <c r="J1002" s="6" t="n">
        <v>0.684722222222222</v>
      </c>
      <c r="L1002" s="0" t="n">
        <v>40</v>
      </c>
      <c r="M1002" s="7" t="s">
        <v>7012</v>
      </c>
      <c r="N1002" s="7" t="s">
        <v>7013</v>
      </c>
      <c r="O1002" s="7"/>
      <c r="P1002" s="7" t="s">
        <v>7014</v>
      </c>
      <c r="Q1002" s="2" t="n">
        <v>43291</v>
      </c>
      <c r="S1002" s="0" t="n">
        <f aca="false">YEAR(Q1002)</f>
        <v>2018</v>
      </c>
      <c r="T1002" s="0" t="n">
        <f aca="false">MONTH(Q1002)</f>
        <v>7</v>
      </c>
    </row>
    <row r="1003" customFormat="false" ht="42.75" hidden="true" customHeight="false" outlineLevel="0" collapsed="false">
      <c r="A1003" s="0" t="n">
        <v>1002</v>
      </c>
      <c r="B1003" s="1" t="s">
        <v>881</v>
      </c>
      <c r="C1003" s="1" t="s">
        <v>1479</v>
      </c>
      <c r="D1003" s="1" t="s">
        <v>1487</v>
      </c>
      <c r="E1003" s="4" t="s">
        <v>1488</v>
      </c>
      <c r="F1003" s="0" t="s">
        <v>49</v>
      </c>
      <c r="G1003" s="0" t="s">
        <v>7015</v>
      </c>
      <c r="I1003" s="6" t="n">
        <v>0.885416666666667</v>
      </c>
      <c r="J1003" s="6" t="n">
        <v>0.895833333333333</v>
      </c>
      <c r="K1003" s="0" t="n">
        <v>22</v>
      </c>
      <c r="L1003" s="0" t="n">
        <v>39</v>
      </c>
      <c r="M1003" s="7" t="s">
        <v>7016</v>
      </c>
      <c r="N1003" s="7" t="s">
        <v>7017</v>
      </c>
      <c r="O1003" s="7"/>
      <c r="P1003" s="7" t="s">
        <v>7018</v>
      </c>
      <c r="Q1003" s="2" t="n">
        <v>43291</v>
      </c>
      <c r="S1003" s="0" t="n">
        <f aca="false">YEAR(Q1003)</f>
        <v>2018</v>
      </c>
      <c r="T1003" s="0" t="n">
        <f aca="false">MONTH(Q1003)</f>
        <v>7</v>
      </c>
    </row>
    <row r="1004" customFormat="false" ht="42.75" hidden="true" customHeight="false" outlineLevel="0" collapsed="false">
      <c r="A1004" s="0" t="n">
        <v>1003</v>
      </c>
      <c r="B1004" s="1" t="s">
        <v>881</v>
      </c>
      <c r="C1004" s="1" t="s">
        <v>1479</v>
      </c>
      <c r="D1004" s="1" t="s">
        <v>1535</v>
      </c>
      <c r="E1004" s="0" t="s">
        <v>39</v>
      </c>
      <c r="F1004" s="0" t="s">
        <v>50</v>
      </c>
      <c r="G1004" s="0" t="s">
        <v>7019</v>
      </c>
      <c r="I1004" s="6" t="n">
        <v>0.0416666666666667</v>
      </c>
      <c r="J1004" s="6" t="n">
        <v>0.0486111111111111</v>
      </c>
      <c r="K1004" s="0" t="n">
        <v>0</v>
      </c>
      <c r="L1004" s="0" t="n">
        <v>15</v>
      </c>
      <c r="M1004" s="7" t="s">
        <v>7020</v>
      </c>
      <c r="N1004" s="7" t="s">
        <v>7021</v>
      </c>
      <c r="O1004" s="7"/>
      <c r="P1004" s="7" t="s">
        <v>7022</v>
      </c>
      <c r="Q1004" s="2" t="n">
        <v>43291</v>
      </c>
      <c r="S1004" s="0" t="n">
        <f aca="false">YEAR(Q1004)</f>
        <v>2018</v>
      </c>
      <c r="T1004" s="0" t="n">
        <f aca="false">MONTH(Q1004)</f>
        <v>7</v>
      </c>
    </row>
    <row r="1005" customFormat="false" ht="28.5" hidden="true" customHeight="false" outlineLevel="0" collapsed="false">
      <c r="A1005" s="0" t="n">
        <v>1004</v>
      </c>
      <c r="B1005" s="1" t="s">
        <v>881</v>
      </c>
      <c r="C1005" s="1" t="s">
        <v>1479</v>
      </c>
      <c r="D1005" s="1" t="s">
        <v>1535</v>
      </c>
      <c r="E1005" s="0" t="s">
        <v>39</v>
      </c>
      <c r="F1005" s="0" t="s">
        <v>50</v>
      </c>
      <c r="G1005" s="0" t="s">
        <v>5920</v>
      </c>
      <c r="I1005" s="6" t="n">
        <v>0.0625</v>
      </c>
      <c r="J1005" s="6" t="n">
        <v>0.0625</v>
      </c>
      <c r="K1005" s="0" t="n">
        <v>0</v>
      </c>
      <c r="M1005" s="7" t="s">
        <v>7023</v>
      </c>
      <c r="N1005" s="7" t="s">
        <v>7024</v>
      </c>
      <c r="O1005" s="7"/>
      <c r="P1005" s="7" t="s">
        <v>7025</v>
      </c>
      <c r="Q1005" s="2" t="n">
        <v>43291</v>
      </c>
      <c r="S1005" s="0" t="n">
        <f aca="false">YEAR(Q1005)</f>
        <v>2018</v>
      </c>
      <c r="T1005" s="0" t="n">
        <f aca="false">MONTH(Q1005)</f>
        <v>7</v>
      </c>
    </row>
    <row r="1006" customFormat="false" ht="42.75" hidden="true" customHeight="false" outlineLevel="0" collapsed="false">
      <c r="A1006" s="0" t="n">
        <v>1005</v>
      </c>
      <c r="B1006" s="1" t="s">
        <v>881</v>
      </c>
      <c r="C1006" s="1" t="s">
        <v>1479</v>
      </c>
      <c r="D1006" s="1" t="s">
        <v>1535</v>
      </c>
      <c r="E1006" s="0" t="s">
        <v>39</v>
      </c>
      <c r="F1006" s="0" t="s">
        <v>50</v>
      </c>
      <c r="G1006" s="0" t="s">
        <v>7026</v>
      </c>
      <c r="I1006" s="6" t="n">
        <v>0.149305555555556</v>
      </c>
      <c r="J1006" s="6" t="n">
        <v>0.150694444444444</v>
      </c>
      <c r="K1006" s="0" t="n">
        <v>8</v>
      </c>
      <c r="L1006" s="0" t="n">
        <v>10</v>
      </c>
      <c r="M1006" s="7" t="s">
        <v>7027</v>
      </c>
      <c r="N1006" s="7" t="s">
        <v>7028</v>
      </c>
      <c r="O1006" s="7"/>
      <c r="P1006" s="7" t="s">
        <v>7029</v>
      </c>
      <c r="Q1006" s="2" t="n">
        <v>43291</v>
      </c>
      <c r="S1006" s="0" t="n">
        <f aca="false">YEAR(Q1006)</f>
        <v>2018</v>
      </c>
      <c r="T1006" s="0" t="n">
        <f aca="false">MONTH(Q1006)</f>
        <v>7</v>
      </c>
    </row>
    <row r="1007" customFormat="false" ht="28.5" hidden="true" customHeight="false" outlineLevel="0" collapsed="false">
      <c r="A1007" s="0" t="n">
        <v>1006</v>
      </c>
      <c r="B1007" s="1" t="s">
        <v>882</v>
      </c>
      <c r="C1007" s="1" t="s">
        <v>1503</v>
      </c>
      <c r="D1007" s="1" t="s">
        <v>1535</v>
      </c>
      <c r="E1007" s="0" t="s">
        <v>44</v>
      </c>
      <c r="F1007" s="0" t="s">
        <v>48</v>
      </c>
      <c r="G1007" s="0" t="s">
        <v>7030</v>
      </c>
      <c r="I1007" s="6" t="n">
        <v>0.25</v>
      </c>
      <c r="J1007" s="6" t="n">
        <v>0.26875</v>
      </c>
      <c r="K1007" s="0" t="n">
        <v>40</v>
      </c>
      <c r="L1007" s="0" t="n">
        <v>90</v>
      </c>
      <c r="M1007" s="7" t="s">
        <v>7031</v>
      </c>
      <c r="N1007" s="7" t="s">
        <v>7032</v>
      </c>
      <c r="O1007" s="7"/>
      <c r="P1007" s="7" t="s">
        <v>7033</v>
      </c>
      <c r="Q1007" s="2" t="n">
        <v>43292</v>
      </c>
      <c r="S1007" s="0" t="n">
        <f aca="false">YEAR(Q1007)</f>
        <v>2018</v>
      </c>
      <c r="T1007" s="0" t="n">
        <f aca="false">MONTH(Q1007)</f>
        <v>7</v>
      </c>
    </row>
    <row r="1008" customFormat="false" ht="42.75" hidden="true" customHeight="false" outlineLevel="0" collapsed="false">
      <c r="A1008" s="0" t="n">
        <v>1007</v>
      </c>
      <c r="B1008" s="1" t="s">
        <v>882</v>
      </c>
      <c r="C1008" s="1" t="s">
        <v>1479</v>
      </c>
      <c r="D1008" s="1" t="s">
        <v>1535</v>
      </c>
      <c r="E1008" s="0" t="s">
        <v>39</v>
      </c>
      <c r="F1008" s="0" t="s">
        <v>48</v>
      </c>
      <c r="G1008" s="0" t="s">
        <v>7034</v>
      </c>
      <c r="I1008" s="6" t="n">
        <v>0.3125</v>
      </c>
      <c r="J1008" s="6" t="n">
        <v>0.315277777777778</v>
      </c>
      <c r="K1008" s="0" t="n">
        <v>1</v>
      </c>
      <c r="L1008" s="0" t="n">
        <v>26</v>
      </c>
      <c r="M1008" s="7" t="s">
        <v>7035</v>
      </c>
      <c r="N1008" s="7" t="s">
        <v>7036</v>
      </c>
      <c r="O1008" s="7"/>
      <c r="P1008" s="7" t="s">
        <v>7037</v>
      </c>
      <c r="Q1008" s="2" t="n">
        <v>43292</v>
      </c>
      <c r="S1008" s="0" t="n">
        <f aca="false">YEAR(Q1008)</f>
        <v>2018</v>
      </c>
      <c r="T1008" s="0" t="n">
        <f aca="false">MONTH(Q1008)</f>
        <v>7</v>
      </c>
    </row>
    <row r="1009" customFormat="false" ht="28.5" hidden="true" customHeight="false" outlineLevel="0" collapsed="false">
      <c r="A1009" s="0" t="n">
        <v>1008</v>
      </c>
      <c r="B1009" s="1" t="s">
        <v>882</v>
      </c>
      <c r="C1009" s="1" t="s">
        <v>1503</v>
      </c>
      <c r="D1009" s="1" t="s">
        <v>1535</v>
      </c>
      <c r="E1009" s="0" t="s">
        <v>44</v>
      </c>
      <c r="F1009" s="0" t="s">
        <v>48</v>
      </c>
      <c r="G1009" s="0" t="s">
        <v>7038</v>
      </c>
      <c r="I1009" s="6" t="n">
        <v>0.388888888888889</v>
      </c>
      <c r="J1009" s="6" t="n">
        <v>0.402777777777778</v>
      </c>
      <c r="K1009" s="0" t="n">
        <v>8</v>
      </c>
      <c r="M1009" s="7" t="s">
        <v>7039</v>
      </c>
      <c r="N1009" s="0" t="s">
        <v>7040</v>
      </c>
      <c r="P1009" s="7" t="s">
        <v>7041</v>
      </c>
      <c r="Q1009" s="2" t="n">
        <v>43292</v>
      </c>
      <c r="S1009" s="0" t="n">
        <f aca="false">YEAR(Q1009)</f>
        <v>2018</v>
      </c>
      <c r="T1009" s="0" t="n">
        <f aca="false">MONTH(Q1009)</f>
        <v>7</v>
      </c>
    </row>
    <row r="1010" customFormat="false" ht="28.5" hidden="true" customHeight="false" outlineLevel="0" collapsed="false">
      <c r="A1010" s="0" t="n">
        <v>1009</v>
      </c>
      <c r="B1010" s="1" t="s">
        <v>882</v>
      </c>
      <c r="C1010" s="1" t="s">
        <v>1503</v>
      </c>
      <c r="D1010" s="1" t="s">
        <v>1535</v>
      </c>
      <c r="E1010" s="0" t="s">
        <v>44</v>
      </c>
      <c r="F1010" s="0" t="s">
        <v>48</v>
      </c>
      <c r="G1010" s="0" t="s">
        <v>7042</v>
      </c>
      <c r="I1010" s="6" t="n">
        <v>0.428472222222222</v>
      </c>
      <c r="J1010" s="6" t="n">
        <v>0.434027777777778</v>
      </c>
      <c r="K1010" s="0" t="n">
        <v>42</v>
      </c>
      <c r="L1010" s="0" t="n">
        <v>20</v>
      </c>
      <c r="M1010" s="7" t="s">
        <v>7043</v>
      </c>
      <c r="N1010" s="7" t="s">
        <v>7044</v>
      </c>
      <c r="O1010" s="7"/>
      <c r="P1010" s="7" t="s">
        <v>7045</v>
      </c>
      <c r="Q1010" s="2" t="n">
        <v>43292</v>
      </c>
      <c r="S1010" s="0" t="n">
        <f aca="false">YEAR(Q1010)</f>
        <v>2018</v>
      </c>
      <c r="T1010" s="0" t="n">
        <f aca="false">MONTH(Q1010)</f>
        <v>7</v>
      </c>
    </row>
    <row r="1011" customFormat="false" ht="42.75" hidden="true" customHeight="false" outlineLevel="0" collapsed="false">
      <c r="A1011" s="0" t="n">
        <v>1010</v>
      </c>
      <c r="B1011" s="1" t="s">
        <v>882</v>
      </c>
      <c r="C1011" s="1" t="s">
        <v>1503</v>
      </c>
      <c r="D1011" s="1" t="s">
        <v>1648</v>
      </c>
      <c r="E1011" s="0" t="s">
        <v>1648</v>
      </c>
      <c r="F1011" s="0" t="s">
        <v>49</v>
      </c>
      <c r="G1011" s="0" t="s">
        <v>7046</v>
      </c>
      <c r="I1011" s="6" t="n">
        <v>0.822916666666667</v>
      </c>
      <c r="J1011" s="6" t="n">
        <v>0.854166666666667</v>
      </c>
      <c r="L1011" s="0" t="n">
        <v>120</v>
      </c>
      <c r="M1011" s="7" t="s">
        <v>7047</v>
      </c>
      <c r="N1011" s="7" t="s">
        <v>7048</v>
      </c>
      <c r="O1011" s="7"/>
      <c r="P1011" s="7" t="s">
        <v>7049</v>
      </c>
      <c r="Q1011" s="2" t="n">
        <v>43292</v>
      </c>
      <c r="S1011" s="0" t="n">
        <f aca="false">YEAR(Q1011)</f>
        <v>2018</v>
      </c>
      <c r="T1011" s="0" t="n">
        <f aca="false">MONTH(Q1011)</f>
        <v>7</v>
      </c>
    </row>
    <row r="1012" customFormat="false" ht="42.75" hidden="true" customHeight="false" outlineLevel="0" collapsed="false">
      <c r="A1012" s="0" t="n">
        <v>1011</v>
      </c>
      <c r="B1012" s="1" t="s">
        <v>883</v>
      </c>
      <c r="C1012" s="1" t="s">
        <v>1495</v>
      </c>
      <c r="D1012" s="1" t="s">
        <v>1496</v>
      </c>
      <c r="E1012" s="0" t="s">
        <v>41</v>
      </c>
      <c r="F1012" s="0" t="s">
        <v>48</v>
      </c>
      <c r="G1012" s="0" t="s">
        <v>7050</v>
      </c>
      <c r="I1012" s="6" t="n">
        <v>0.479166666666667</v>
      </c>
      <c r="J1012" s="6" t="n">
        <v>0.489583333333333</v>
      </c>
      <c r="L1012" s="0" t="n">
        <v>30</v>
      </c>
      <c r="M1012" s="7" t="s">
        <v>7051</v>
      </c>
      <c r="N1012" s="7" t="s">
        <v>7052</v>
      </c>
      <c r="O1012" s="7"/>
      <c r="P1012" s="7" t="s">
        <v>7053</v>
      </c>
      <c r="Q1012" s="2" t="n">
        <v>43293</v>
      </c>
      <c r="S1012" s="0" t="n">
        <f aca="false">YEAR(Q1012)</f>
        <v>2018</v>
      </c>
      <c r="T1012" s="0" t="n">
        <f aca="false">MONTH(Q1012)</f>
        <v>7</v>
      </c>
    </row>
    <row r="1013" customFormat="false" ht="57" hidden="true" customHeight="false" outlineLevel="0" collapsed="false">
      <c r="A1013" s="0" t="n">
        <v>1012</v>
      </c>
      <c r="B1013" s="1" t="s">
        <v>883</v>
      </c>
      <c r="C1013" s="1" t="s">
        <v>1479</v>
      </c>
      <c r="D1013" s="1" t="s">
        <v>1535</v>
      </c>
      <c r="E1013" s="0" t="s">
        <v>39</v>
      </c>
      <c r="F1013" s="0" t="s">
        <v>48</v>
      </c>
      <c r="G1013" s="0" t="s">
        <v>7054</v>
      </c>
      <c r="J1013" s="6" t="n">
        <v>0.252777777777778</v>
      </c>
      <c r="K1013" s="0" t="n">
        <v>3</v>
      </c>
      <c r="L1013" s="0" t="n">
        <v>9</v>
      </c>
      <c r="M1013" s="7" t="s">
        <v>7055</v>
      </c>
      <c r="N1013" s="7" t="s">
        <v>7056</v>
      </c>
      <c r="O1013" s="7"/>
      <c r="P1013" s="7" t="s">
        <v>7057</v>
      </c>
      <c r="Q1013" s="2" t="n">
        <v>43293</v>
      </c>
      <c r="S1013" s="0" t="n">
        <f aca="false">YEAR(Q1013)</f>
        <v>2018</v>
      </c>
      <c r="T1013" s="0" t="n">
        <f aca="false">MONTH(Q1013)</f>
        <v>7</v>
      </c>
    </row>
    <row r="1014" customFormat="false" ht="28.5" hidden="true" customHeight="false" outlineLevel="0" collapsed="false">
      <c r="A1014" s="0" t="n">
        <v>1013</v>
      </c>
      <c r="B1014" s="1" t="s">
        <v>883</v>
      </c>
      <c r="C1014" s="1" t="s">
        <v>1479</v>
      </c>
      <c r="D1014" s="1" t="s">
        <v>1863</v>
      </c>
      <c r="E1014" s="0" t="s">
        <v>1863</v>
      </c>
      <c r="F1014" s="0" t="s">
        <v>49</v>
      </c>
      <c r="G1014" s="0" t="s">
        <v>7058</v>
      </c>
      <c r="I1014" s="6" t="n">
        <v>0.611111111111111</v>
      </c>
      <c r="J1014" s="6" t="n">
        <v>0.770833333333333</v>
      </c>
      <c r="L1014" s="0" t="n">
        <v>330</v>
      </c>
      <c r="M1014" s="7" t="s">
        <v>7059</v>
      </c>
      <c r="N1014" s="7" t="s">
        <v>7060</v>
      </c>
      <c r="O1014" s="7"/>
      <c r="P1014" s="7" t="s">
        <v>7061</v>
      </c>
      <c r="Q1014" s="2" t="n">
        <v>43293</v>
      </c>
      <c r="S1014" s="0" t="n">
        <f aca="false">YEAR(Q1014)</f>
        <v>2018</v>
      </c>
      <c r="T1014" s="0" t="n">
        <f aca="false">MONTH(Q1014)</f>
        <v>7</v>
      </c>
    </row>
    <row r="1015" customFormat="false" ht="42.75" hidden="true" customHeight="false" outlineLevel="0" collapsed="false">
      <c r="A1015" s="0" t="n">
        <v>1014</v>
      </c>
      <c r="B1015" s="1" t="s">
        <v>883</v>
      </c>
      <c r="C1015" s="1" t="s">
        <v>1479</v>
      </c>
      <c r="D1015" s="1" t="s">
        <v>1496</v>
      </c>
      <c r="E1015" s="0" t="s">
        <v>38</v>
      </c>
      <c r="F1015" s="0" t="s">
        <v>50</v>
      </c>
      <c r="G1015" s="0" t="s">
        <v>7062</v>
      </c>
      <c r="I1015" s="6" t="n">
        <v>0.986111111111111</v>
      </c>
      <c r="J1015" s="6" t="n">
        <v>0.0125</v>
      </c>
      <c r="K1015" s="0" t="n">
        <v>0</v>
      </c>
      <c r="M1015" s="7" t="s">
        <v>7063</v>
      </c>
      <c r="N1015" s="7" t="s">
        <v>7064</v>
      </c>
      <c r="O1015" s="7"/>
      <c r="P1015" s="7" t="s">
        <v>7065</v>
      </c>
      <c r="Q1015" s="2" t="n">
        <v>43293</v>
      </c>
      <c r="S1015" s="0" t="n">
        <f aca="false">YEAR(Q1015)</f>
        <v>2018</v>
      </c>
      <c r="T1015" s="0" t="n">
        <f aca="false">MONTH(Q1015)</f>
        <v>7</v>
      </c>
    </row>
    <row r="1016" customFormat="false" ht="114.75" hidden="true" customHeight="false" outlineLevel="0" collapsed="false">
      <c r="A1016" s="0" t="n">
        <v>1015</v>
      </c>
      <c r="B1016" s="1" t="s">
        <v>884</v>
      </c>
      <c r="C1016" s="1" t="s">
        <v>1479</v>
      </c>
      <c r="D1016" s="1" t="s">
        <v>1496</v>
      </c>
      <c r="E1016" s="0" t="s">
        <v>38</v>
      </c>
      <c r="F1016" s="0" t="s">
        <v>48</v>
      </c>
      <c r="G1016" s="0" t="s">
        <v>7066</v>
      </c>
      <c r="J1016" s="6" t="n">
        <v>0.413888888888889</v>
      </c>
      <c r="L1016" s="0" t="n">
        <v>22</v>
      </c>
      <c r="M1016" s="7" t="s">
        <v>7067</v>
      </c>
      <c r="N1016" s="7" t="s">
        <v>7068</v>
      </c>
      <c r="O1016" s="7"/>
      <c r="P1016" s="7" t="s">
        <v>7069</v>
      </c>
      <c r="Q1016" s="2" t="n">
        <v>43294</v>
      </c>
      <c r="S1016" s="0" t="n">
        <f aca="false">YEAR(Q1016)</f>
        <v>2018</v>
      </c>
      <c r="T1016" s="0" t="n">
        <f aca="false">MONTH(Q1016)</f>
        <v>7</v>
      </c>
    </row>
    <row r="1017" customFormat="false" ht="28.5" hidden="true" customHeight="false" outlineLevel="0" collapsed="false">
      <c r="A1017" s="0" t="n">
        <v>1016</v>
      </c>
      <c r="B1017" s="1" t="s">
        <v>884</v>
      </c>
      <c r="C1017" s="1" t="s">
        <v>1479</v>
      </c>
      <c r="D1017" s="1" t="s">
        <v>1496</v>
      </c>
      <c r="E1017" s="0" t="s">
        <v>38</v>
      </c>
      <c r="F1017" s="0" t="s">
        <v>48</v>
      </c>
      <c r="G1017" s="0" t="s">
        <v>7070</v>
      </c>
      <c r="J1017" s="6" t="n">
        <v>0.489583333333333</v>
      </c>
      <c r="K1017" s="0" t="n">
        <v>0</v>
      </c>
      <c r="L1017" s="0" t="n">
        <v>3</v>
      </c>
      <c r="M1017" s="7" t="s">
        <v>7071</v>
      </c>
      <c r="N1017" s="7" t="s">
        <v>7072</v>
      </c>
      <c r="O1017" s="7"/>
      <c r="P1017" s="7" t="s">
        <v>7073</v>
      </c>
      <c r="Q1017" s="2" t="n">
        <v>43294</v>
      </c>
      <c r="S1017" s="0" t="n">
        <f aca="false">YEAR(Q1017)</f>
        <v>2018</v>
      </c>
      <c r="T1017" s="0" t="n">
        <f aca="false">MONTH(Q1017)</f>
        <v>7</v>
      </c>
    </row>
    <row r="1018" customFormat="false" ht="28.5" hidden="true" customHeight="false" outlineLevel="0" collapsed="false">
      <c r="A1018" s="0" t="n">
        <v>1017</v>
      </c>
      <c r="B1018" s="1" t="s">
        <v>884</v>
      </c>
      <c r="C1018" s="1" t="s">
        <v>1479</v>
      </c>
      <c r="D1018" s="1" t="s">
        <v>1487</v>
      </c>
      <c r="E1018" s="4" t="s">
        <v>1488</v>
      </c>
      <c r="F1018" s="0" t="s">
        <v>49</v>
      </c>
      <c r="G1018" s="0" t="s">
        <v>7074</v>
      </c>
      <c r="I1018" s="6" t="n">
        <v>0.922222222222222</v>
      </c>
      <c r="J1018" s="6" t="n">
        <v>0.9375</v>
      </c>
      <c r="K1018" s="0" t="n">
        <v>20</v>
      </c>
      <c r="L1018" s="0" t="n">
        <v>28</v>
      </c>
      <c r="M1018" s="7" t="s">
        <v>7075</v>
      </c>
      <c r="N1018" s="7" t="s">
        <v>7076</v>
      </c>
      <c r="O1018" s="7"/>
      <c r="P1018" s="7" t="s">
        <v>7077</v>
      </c>
      <c r="Q1018" s="2" t="n">
        <v>43294</v>
      </c>
      <c r="S1018" s="0" t="n">
        <f aca="false">YEAR(Q1018)</f>
        <v>2018</v>
      </c>
      <c r="T1018" s="0" t="n">
        <f aca="false">MONTH(Q1018)</f>
        <v>7</v>
      </c>
    </row>
    <row r="1019" customFormat="false" ht="28.5" hidden="true" customHeight="false" outlineLevel="0" collapsed="false">
      <c r="A1019" s="0" t="n">
        <v>1018</v>
      </c>
      <c r="B1019" s="1" t="s">
        <v>884</v>
      </c>
      <c r="C1019" s="1" t="s">
        <v>1479</v>
      </c>
      <c r="D1019" s="1" t="s">
        <v>1535</v>
      </c>
      <c r="E1019" s="0" t="s">
        <v>39</v>
      </c>
      <c r="F1019" s="0" t="s">
        <v>50</v>
      </c>
      <c r="G1019" s="0" t="s">
        <v>7078</v>
      </c>
      <c r="I1019" s="6" t="n">
        <v>0.0472222222222222</v>
      </c>
      <c r="J1019" s="6" t="n">
        <v>0.05</v>
      </c>
      <c r="K1019" s="0" t="n">
        <v>0</v>
      </c>
      <c r="L1019" s="0" t="n">
        <v>10</v>
      </c>
      <c r="M1019" s="7" t="s">
        <v>7079</v>
      </c>
      <c r="N1019" s="7" t="s">
        <v>7080</v>
      </c>
      <c r="O1019" s="7"/>
      <c r="P1019" s="7" t="s">
        <v>7081</v>
      </c>
      <c r="Q1019" s="2" t="n">
        <v>43294</v>
      </c>
      <c r="S1019" s="0" t="n">
        <f aca="false">YEAR(Q1019)</f>
        <v>2018</v>
      </c>
      <c r="T1019" s="0" t="n">
        <f aca="false">MONTH(Q1019)</f>
        <v>7</v>
      </c>
    </row>
    <row r="1020" customFormat="false" ht="28.5" hidden="true" customHeight="false" outlineLevel="0" collapsed="false">
      <c r="A1020" s="0" t="n">
        <v>1019</v>
      </c>
      <c r="B1020" s="1" t="s">
        <v>884</v>
      </c>
      <c r="C1020" s="1" t="s">
        <v>1503</v>
      </c>
      <c r="D1020" s="1" t="s">
        <v>1648</v>
      </c>
      <c r="E1020" s="0" t="s">
        <v>1648</v>
      </c>
      <c r="F1020" s="0" t="s">
        <v>50</v>
      </c>
      <c r="G1020" s="0" t="s">
        <v>7082</v>
      </c>
      <c r="I1020" s="6" t="n">
        <v>0.0902777777777778</v>
      </c>
      <c r="J1020" s="6" t="n">
        <v>0.104166666666667</v>
      </c>
      <c r="K1020" s="0" t="n">
        <v>0</v>
      </c>
      <c r="L1020" s="0" t="n">
        <v>45</v>
      </c>
      <c r="M1020" s="7" t="s">
        <v>7083</v>
      </c>
      <c r="N1020" s="7" t="s">
        <v>7084</v>
      </c>
      <c r="O1020" s="7"/>
      <c r="P1020" s="7" t="s">
        <v>7085</v>
      </c>
      <c r="Q1020" s="2" t="n">
        <v>43294</v>
      </c>
      <c r="S1020" s="0" t="n">
        <f aca="false">YEAR(Q1020)</f>
        <v>2018</v>
      </c>
      <c r="T1020" s="0" t="n">
        <f aca="false">MONTH(Q1020)</f>
        <v>7</v>
      </c>
    </row>
    <row r="1021" customFormat="false" ht="57" hidden="true" customHeight="false" outlineLevel="0" collapsed="false">
      <c r="A1021" s="0" t="n">
        <v>1020</v>
      </c>
      <c r="B1021" s="1" t="s">
        <v>886</v>
      </c>
      <c r="C1021" s="1" t="s">
        <v>1479</v>
      </c>
      <c r="D1021" s="1" t="s">
        <v>1535</v>
      </c>
      <c r="E1021" s="0" t="s">
        <v>39</v>
      </c>
      <c r="F1021" s="0" t="s">
        <v>49</v>
      </c>
      <c r="G1021" s="0" t="s">
        <v>7086</v>
      </c>
      <c r="I1021" s="6" t="n">
        <v>0.583333333333333</v>
      </c>
      <c r="J1021" s="6" t="n">
        <v>0.588888888888889</v>
      </c>
      <c r="K1021" s="0" t="n">
        <v>12</v>
      </c>
      <c r="L1021" s="0" t="n">
        <v>10</v>
      </c>
      <c r="M1021" s="7" t="s">
        <v>7087</v>
      </c>
      <c r="N1021" s="7" t="s">
        <v>7088</v>
      </c>
      <c r="O1021" s="7"/>
      <c r="P1021" s="7" t="s">
        <v>7089</v>
      </c>
      <c r="Q1021" s="2" t="n">
        <v>43295</v>
      </c>
      <c r="S1021" s="0" t="n">
        <f aca="false">YEAR(Q1021)</f>
        <v>2018</v>
      </c>
      <c r="T1021" s="0" t="n">
        <f aca="false">MONTH(Q1021)</f>
        <v>7</v>
      </c>
    </row>
    <row r="1022" customFormat="false" ht="28.5" hidden="true" customHeight="false" outlineLevel="0" collapsed="false">
      <c r="A1022" s="0" t="n">
        <v>1021</v>
      </c>
      <c r="B1022" s="1" t="s">
        <v>886</v>
      </c>
      <c r="C1022" s="1" t="s">
        <v>1479</v>
      </c>
      <c r="D1022" s="1" t="s">
        <v>1535</v>
      </c>
      <c r="E1022" s="0" t="s">
        <v>39</v>
      </c>
      <c r="F1022" s="0" t="s">
        <v>49</v>
      </c>
      <c r="G1022" s="0" t="s">
        <v>7090</v>
      </c>
      <c r="I1022" s="6" t="n">
        <v>0.625</v>
      </c>
      <c r="J1022" s="6" t="n">
        <v>0.629166666666667</v>
      </c>
      <c r="K1022" s="0" t="n">
        <v>10</v>
      </c>
      <c r="M1022" s="7" t="s">
        <v>7091</v>
      </c>
      <c r="N1022" s="7" t="s">
        <v>7092</v>
      </c>
      <c r="O1022" s="7"/>
      <c r="P1022" s="7" t="s">
        <v>7093</v>
      </c>
      <c r="Q1022" s="2" t="n">
        <v>43295</v>
      </c>
      <c r="S1022" s="0" t="n">
        <f aca="false">YEAR(Q1022)</f>
        <v>2018</v>
      </c>
      <c r="T1022" s="0" t="n">
        <f aca="false">MONTH(Q1022)</f>
        <v>7</v>
      </c>
    </row>
    <row r="1023" customFormat="false" ht="28.5" hidden="true" customHeight="false" outlineLevel="0" collapsed="false">
      <c r="A1023" s="0" t="n">
        <v>1022</v>
      </c>
      <c r="B1023" s="1" t="s">
        <v>887</v>
      </c>
      <c r="C1023" s="1" t="s">
        <v>1479</v>
      </c>
      <c r="D1023" s="1" t="s">
        <v>1535</v>
      </c>
      <c r="E1023" s="0" t="s">
        <v>39</v>
      </c>
      <c r="F1023" s="0" t="s">
        <v>50</v>
      </c>
      <c r="G1023" s="0" t="s">
        <v>6600</v>
      </c>
      <c r="I1023" s="6" t="n">
        <v>0.0763888888888889</v>
      </c>
      <c r="J1023" s="6" t="n">
        <v>0.0777777777777778</v>
      </c>
      <c r="K1023" s="0" t="n">
        <v>0</v>
      </c>
      <c r="L1023" s="0" t="n">
        <v>5</v>
      </c>
      <c r="M1023" s="7" t="s">
        <v>7094</v>
      </c>
      <c r="N1023" s="7" t="s">
        <v>7095</v>
      </c>
      <c r="O1023" s="7"/>
      <c r="P1023" s="7" t="s">
        <v>7096</v>
      </c>
      <c r="Q1023" s="2" t="n">
        <v>43296</v>
      </c>
      <c r="S1023" s="0" t="n">
        <f aca="false">YEAR(Q1023)</f>
        <v>2018</v>
      </c>
      <c r="T1023" s="0" t="n">
        <f aca="false">MONTH(Q1023)</f>
        <v>7</v>
      </c>
    </row>
    <row r="1024" customFormat="false" ht="28.5" hidden="true" customHeight="false" outlineLevel="0" collapsed="false">
      <c r="A1024" s="0" t="n">
        <v>1023</v>
      </c>
      <c r="B1024" s="1" t="s">
        <v>887</v>
      </c>
      <c r="C1024" s="1" t="s">
        <v>1479</v>
      </c>
      <c r="D1024" s="1" t="s">
        <v>1535</v>
      </c>
      <c r="E1024" s="0" t="s">
        <v>39</v>
      </c>
      <c r="F1024" s="0" t="s">
        <v>50</v>
      </c>
      <c r="G1024" s="0" t="s">
        <v>6600</v>
      </c>
      <c r="I1024" s="6" t="n">
        <v>0.121527777777778</v>
      </c>
      <c r="J1024" s="6" t="n">
        <v>0.124305555555556</v>
      </c>
      <c r="L1024" s="0" t="n">
        <v>20</v>
      </c>
      <c r="M1024" s="7" t="s">
        <v>7094</v>
      </c>
      <c r="N1024" s="7" t="s">
        <v>7097</v>
      </c>
      <c r="O1024" s="7"/>
      <c r="P1024" s="7" t="s">
        <v>7098</v>
      </c>
      <c r="Q1024" s="2" t="n">
        <v>43296</v>
      </c>
      <c r="S1024" s="0" t="n">
        <f aca="false">YEAR(Q1024)</f>
        <v>2018</v>
      </c>
      <c r="T1024" s="0" t="n">
        <f aca="false">MONTH(Q1024)</f>
        <v>7</v>
      </c>
    </row>
    <row r="1025" customFormat="false" ht="28.5" hidden="true" customHeight="false" outlineLevel="0" collapsed="false">
      <c r="A1025" s="0" t="n">
        <v>1024</v>
      </c>
      <c r="B1025" s="1" t="s">
        <v>887</v>
      </c>
      <c r="C1025" s="1" t="s">
        <v>1479</v>
      </c>
      <c r="D1025" s="1" t="s">
        <v>1496</v>
      </c>
      <c r="E1025" s="0" t="s">
        <v>38</v>
      </c>
      <c r="F1025" s="0" t="s">
        <v>50</v>
      </c>
      <c r="G1025" s="0" t="s">
        <v>7099</v>
      </c>
      <c r="I1025" s="6" t="n">
        <v>0.145833333333333</v>
      </c>
      <c r="J1025" s="6" t="n">
        <v>0.154861111111111</v>
      </c>
      <c r="K1025" s="0" t="n">
        <v>0</v>
      </c>
      <c r="M1025" s="7" t="s">
        <v>7100</v>
      </c>
      <c r="N1025" s="7" t="s">
        <v>6874</v>
      </c>
      <c r="O1025" s="7"/>
      <c r="Q1025" s="2" t="n">
        <v>43296</v>
      </c>
      <c r="S1025" s="0" t="n">
        <f aca="false">YEAR(Q1025)</f>
        <v>2018</v>
      </c>
      <c r="T1025" s="0" t="n">
        <f aca="false">MONTH(Q1025)</f>
        <v>7</v>
      </c>
    </row>
    <row r="1026" customFormat="false" ht="42.75" hidden="true" customHeight="false" outlineLevel="0" collapsed="false">
      <c r="A1026" s="0" t="n">
        <v>1025</v>
      </c>
      <c r="B1026" s="1" t="s">
        <v>887</v>
      </c>
      <c r="C1026" s="1" t="s">
        <v>1479</v>
      </c>
      <c r="D1026" s="1" t="s">
        <v>1487</v>
      </c>
      <c r="E1026" s="0" t="s">
        <v>1488</v>
      </c>
      <c r="F1026" s="0" t="s">
        <v>50</v>
      </c>
      <c r="G1026" s="0" t="s">
        <v>7101</v>
      </c>
      <c r="J1026" s="6" t="n">
        <v>0.0694444444444444</v>
      </c>
      <c r="K1026" s="0" t="n">
        <v>0</v>
      </c>
      <c r="M1026" s="7" t="s">
        <v>7102</v>
      </c>
      <c r="N1026" s="7" t="s">
        <v>7103</v>
      </c>
      <c r="O1026" s="7"/>
      <c r="P1026" s="7" t="s">
        <v>7104</v>
      </c>
      <c r="Q1026" s="2" t="n">
        <v>43296</v>
      </c>
      <c r="S1026" s="0" t="n">
        <f aca="false">YEAR(Q1026)</f>
        <v>2018</v>
      </c>
      <c r="T1026" s="0" t="n">
        <f aca="false">MONTH(Q1026)</f>
        <v>7</v>
      </c>
    </row>
    <row r="1027" customFormat="false" ht="42.75" hidden="true" customHeight="false" outlineLevel="0" collapsed="false">
      <c r="A1027" s="0" t="n">
        <v>1026</v>
      </c>
      <c r="B1027" s="1" t="s">
        <v>888</v>
      </c>
      <c r="C1027" s="1" t="s">
        <v>1479</v>
      </c>
      <c r="D1027" s="1" t="s">
        <v>1496</v>
      </c>
      <c r="E1027" s="0" t="s">
        <v>38</v>
      </c>
      <c r="F1027" s="0" t="s">
        <v>48</v>
      </c>
      <c r="G1027" s="0" t="s">
        <v>7099</v>
      </c>
      <c r="I1027" s="6" t="n">
        <v>0.145833333333333</v>
      </c>
      <c r="J1027" s="6" t="n">
        <v>0.154861111111111</v>
      </c>
      <c r="K1027" s="0" t="n">
        <v>0</v>
      </c>
      <c r="L1027" s="0" t="n">
        <v>300</v>
      </c>
      <c r="M1027" s="7" t="s">
        <v>7105</v>
      </c>
      <c r="N1027" s="7" t="s">
        <v>7106</v>
      </c>
      <c r="O1027" s="7"/>
      <c r="P1027" s="7" t="s">
        <v>7107</v>
      </c>
      <c r="Q1027" s="2" t="n">
        <v>43297</v>
      </c>
      <c r="S1027" s="0" t="n">
        <f aca="false">YEAR(Q1027)</f>
        <v>2018</v>
      </c>
      <c r="T1027" s="0" t="n">
        <f aca="false">MONTH(Q1027)</f>
        <v>7</v>
      </c>
    </row>
    <row r="1028" customFormat="false" ht="28.5" hidden="true" customHeight="false" outlineLevel="0" collapsed="false">
      <c r="A1028" s="0" t="n">
        <v>1027</v>
      </c>
      <c r="B1028" s="1" t="s">
        <v>888</v>
      </c>
      <c r="C1028" s="1" t="s">
        <v>1479</v>
      </c>
      <c r="D1028" s="1" t="s">
        <v>1487</v>
      </c>
      <c r="E1028" s="0" t="s">
        <v>1488</v>
      </c>
      <c r="F1028" s="0" t="s">
        <v>48</v>
      </c>
      <c r="G1028" s="0" t="s">
        <v>7101</v>
      </c>
      <c r="J1028" s="6" t="n">
        <v>0.0694444444444444</v>
      </c>
      <c r="K1028" s="0" t="n">
        <v>0</v>
      </c>
      <c r="M1028" s="7" t="s">
        <v>7102</v>
      </c>
      <c r="N1028" s="7" t="s">
        <v>7108</v>
      </c>
      <c r="O1028" s="7"/>
      <c r="P1028" s="7" t="s">
        <v>7109</v>
      </c>
      <c r="Q1028" s="2" t="n">
        <v>43297</v>
      </c>
      <c r="S1028" s="0" t="n">
        <f aca="false">YEAR(Q1028)</f>
        <v>2018</v>
      </c>
      <c r="T1028" s="0" t="n">
        <f aca="false">MONTH(Q1028)</f>
        <v>7</v>
      </c>
    </row>
    <row r="1029" customFormat="false" ht="28.5" hidden="true" customHeight="false" outlineLevel="0" collapsed="false">
      <c r="A1029" s="0" t="n">
        <v>1028</v>
      </c>
      <c r="B1029" s="1" t="s">
        <v>888</v>
      </c>
      <c r="C1029" s="1" t="s">
        <v>1479</v>
      </c>
      <c r="D1029" s="1" t="s">
        <v>1487</v>
      </c>
      <c r="E1029" s="0" t="s">
        <v>1488</v>
      </c>
      <c r="F1029" s="0" t="s">
        <v>48</v>
      </c>
      <c r="G1029" s="0" t="s">
        <v>7110</v>
      </c>
      <c r="I1029" s="6" t="n">
        <v>0.25</v>
      </c>
      <c r="J1029" s="6" t="n">
        <v>0.479166666666667</v>
      </c>
      <c r="K1029" s="0" t="n">
        <v>0</v>
      </c>
      <c r="M1029" s="7" t="s">
        <v>7111</v>
      </c>
      <c r="N1029" s="7" t="s">
        <v>7112</v>
      </c>
      <c r="O1029" s="7"/>
      <c r="P1029" s="7" t="s">
        <v>7113</v>
      </c>
      <c r="Q1029" s="2" t="n">
        <v>43297</v>
      </c>
      <c r="S1029" s="0" t="n">
        <f aca="false">YEAR(Q1029)</f>
        <v>2018</v>
      </c>
      <c r="T1029" s="0" t="n">
        <f aca="false">MONTH(Q1029)</f>
        <v>7</v>
      </c>
    </row>
    <row r="1030" customFormat="false" ht="28.5" hidden="true" customHeight="false" outlineLevel="0" collapsed="false">
      <c r="A1030" s="0" t="n">
        <v>1029</v>
      </c>
      <c r="B1030" s="1" t="s">
        <v>888</v>
      </c>
      <c r="C1030" s="1" t="s">
        <v>1479</v>
      </c>
      <c r="D1030" s="1" t="s">
        <v>1535</v>
      </c>
      <c r="E1030" s="0" t="s">
        <v>39</v>
      </c>
      <c r="F1030" s="0" t="s">
        <v>49</v>
      </c>
      <c r="I1030" s="6" t="n">
        <v>0.625</v>
      </c>
      <c r="J1030" s="6" t="n">
        <v>0.6875</v>
      </c>
      <c r="K1030" s="0" t="n">
        <v>0</v>
      </c>
      <c r="L1030" s="0" t="n">
        <v>30</v>
      </c>
      <c r="M1030" s="7" t="s">
        <v>7114</v>
      </c>
      <c r="N1030" s="7" t="s">
        <v>7115</v>
      </c>
      <c r="O1030" s="7"/>
      <c r="P1030" s="7" t="s">
        <v>7116</v>
      </c>
      <c r="Q1030" s="2" t="n">
        <v>43297</v>
      </c>
      <c r="S1030" s="0" t="n">
        <f aca="false">YEAR(Q1030)</f>
        <v>2018</v>
      </c>
      <c r="T1030" s="0" t="n">
        <f aca="false">MONTH(Q1030)</f>
        <v>7</v>
      </c>
    </row>
    <row r="1031" customFormat="false" ht="28.5" hidden="true" customHeight="false" outlineLevel="0" collapsed="false">
      <c r="A1031" s="0" t="n">
        <v>1030</v>
      </c>
      <c r="B1031" s="1" t="s">
        <v>888</v>
      </c>
      <c r="C1031" s="1" t="s">
        <v>1479</v>
      </c>
      <c r="D1031" s="1" t="s">
        <v>1487</v>
      </c>
      <c r="E1031" s="0" t="s">
        <v>1488</v>
      </c>
      <c r="F1031" s="0" t="s">
        <v>50</v>
      </c>
      <c r="G1031" s="0" t="s">
        <v>7117</v>
      </c>
      <c r="J1031" s="6" t="n">
        <v>0.96875</v>
      </c>
      <c r="L1031" s="0" t="n">
        <v>30</v>
      </c>
      <c r="M1031" s="7" t="s">
        <v>7118</v>
      </c>
      <c r="N1031" s="7" t="s">
        <v>7119</v>
      </c>
      <c r="O1031" s="7"/>
      <c r="P1031" s="7" t="s">
        <v>7120</v>
      </c>
      <c r="Q1031" s="2" t="n">
        <v>43297</v>
      </c>
      <c r="S1031" s="0" t="n">
        <f aca="false">YEAR(Q1031)</f>
        <v>2018</v>
      </c>
      <c r="T1031" s="0" t="n">
        <f aca="false">MONTH(Q1031)</f>
        <v>7</v>
      </c>
    </row>
    <row r="1032" customFormat="false" ht="42.75" hidden="true" customHeight="false" outlineLevel="0" collapsed="false">
      <c r="A1032" s="0" t="n">
        <v>1031</v>
      </c>
      <c r="B1032" s="1" t="s">
        <v>888</v>
      </c>
      <c r="C1032" s="1" t="s">
        <v>1503</v>
      </c>
      <c r="D1032" s="1" t="s">
        <v>1535</v>
      </c>
      <c r="E1032" s="0" t="s">
        <v>1503</v>
      </c>
      <c r="F1032" s="0" t="s">
        <v>50</v>
      </c>
      <c r="G1032" s="0" t="s">
        <v>7121</v>
      </c>
      <c r="K1032" s="0" t="n">
        <v>0</v>
      </c>
      <c r="M1032" s="0" t="s">
        <v>7122</v>
      </c>
      <c r="N1032" s="0" t="s">
        <v>7123</v>
      </c>
      <c r="P1032" s="7" t="s">
        <v>7124</v>
      </c>
      <c r="Q1032" s="2" t="n">
        <v>43297</v>
      </c>
      <c r="S1032" s="0" t="n">
        <f aca="false">YEAR(Q1032)</f>
        <v>2018</v>
      </c>
      <c r="T1032" s="0" t="n">
        <f aca="false">MONTH(Q1032)</f>
        <v>7</v>
      </c>
    </row>
    <row r="1033" customFormat="false" ht="42.75" hidden="true" customHeight="false" outlineLevel="0" collapsed="false">
      <c r="A1033" s="0" t="n">
        <v>1032</v>
      </c>
      <c r="B1033" s="1" t="s">
        <v>889</v>
      </c>
      <c r="C1033" s="1" t="s">
        <v>1479</v>
      </c>
      <c r="D1033" s="1" t="s">
        <v>1496</v>
      </c>
      <c r="E1033" s="0" t="s">
        <v>38</v>
      </c>
      <c r="F1033" s="0" t="s">
        <v>48</v>
      </c>
      <c r="G1033" s="0" t="s">
        <v>7125</v>
      </c>
      <c r="I1033" s="6" t="n">
        <v>0.219444444444444</v>
      </c>
      <c r="J1033" s="6" t="n">
        <v>0.226388888888889</v>
      </c>
      <c r="K1033" s="0" t="n">
        <v>0</v>
      </c>
      <c r="L1033" s="0" t="n">
        <v>44</v>
      </c>
      <c r="M1033" s="7" t="s">
        <v>7126</v>
      </c>
      <c r="N1033" s="7" t="s">
        <v>7127</v>
      </c>
      <c r="O1033" s="7"/>
      <c r="P1033" s="7" t="s">
        <v>7128</v>
      </c>
      <c r="Q1033" s="2" t="n">
        <v>43298</v>
      </c>
      <c r="S1033" s="0" t="n">
        <f aca="false">YEAR(Q1033)</f>
        <v>2018</v>
      </c>
      <c r="T1033" s="0" t="n">
        <f aca="false">MONTH(Q1033)</f>
        <v>7</v>
      </c>
    </row>
    <row r="1034" customFormat="false" ht="28.5" hidden="true" customHeight="false" outlineLevel="0" collapsed="false">
      <c r="A1034" s="0" t="n">
        <v>1033</v>
      </c>
      <c r="B1034" s="1" t="s">
        <v>889</v>
      </c>
      <c r="C1034" s="1" t="s">
        <v>1503</v>
      </c>
      <c r="D1034" s="1" t="s">
        <v>1504</v>
      </c>
      <c r="E1034" s="0" t="s">
        <v>45</v>
      </c>
      <c r="F1034" s="0" t="s">
        <v>48</v>
      </c>
      <c r="G1034" s="0" t="s">
        <v>7129</v>
      </c>
      <c r="J1034" s="6" t="n">
        <v>0.256944444444444</v>
      </c>
      <c r="K1034" s="0" t="n">
        <v>0</v>
      </c>
      <c r="L1034" s="0" t="n">
        <v>80</v>
      </c>
      <c r="M1034" s="7" t="s">
        <v>7130</v>
      </c>
      <c r="N1034" s="7" t="s">
        <v>7131</v>
      </c>
      <c r="O1034" s="7"/>
      <c r="P1034" s="7" t="s">
        <v>7132</v>
      </c>
      <c r="Q1034" s="2" t="n">
        <v>43298</v>
      </c>
      <c r="S1034" s="0" t="n">
        <f aca="false">YEAR(Q1034)</f>
        <v>2018</v>
      </c>
      <c r="T1034" s="0" t="n">
        <f aca="false">MONTH(Q1034)</f>
        <v>7</v>
      </c>
    </row>
    <row r="1035" customFormat="false" ht="28.5" hidden="true" customHeight="false" outlineLevel="0" collapsed="false">
      <c r="A1035" s="0" t="n">
        <v>1034</v>
      </c>
      <c r="B1035" s="1" t="s">
        <v>889</v>
      </c>
      <c r="C1035" s="1" t="s">
        <v>1479</v>
      </c>
      <c r="D1035" s="1" t="s">
        <v>1496</v>
      </c>
      <c r="E1035" s="0" t="s">
        <v>38</v>
      </c>
      <c r="F1035" s="0" t="s">
        <v>48</v>
      </c>
      <c r="G1035" s="0" t="s">
        <v>7133</v>
      </c>
      <c r="I1035" s="6" t="n">
        <v>0.280555555555556</v>
      </c>
      <c r="J1035" s="6" t="n">
        <v>0.2875</v>
      </c>
      <c r="K1035" s="0" t="n">
        <v>13</v>
      </c>
      <c r="L1035" s="0" t="n">
        <v>15</v>
      </c>
      <c r="M1035" s="7" t="s">
        <v>7134</v>
      </c>
      <c r="N1035" s="7" t="s">
        <v>7135</v>
      </c>
      <c r="O1035" s="7"/>
      <c r="P1035" s="7" t="s">
        <v>7136</v>
      </c>
      <c r="Q1035" s="2" t="n">
        <v>43298</v>
      </c>
      <c r="S1035" s="0" t="n">
        <f aca="false">YEAR(Q1035)</f>
        <v>2018</v>
      </c>
      <c r="T1035" s="0" t="n">
        <f aca="false">MONTH(Q1035)</f>
        <v>7</v>
      </c>
    </row>
    <row r="1036" customFormat="false" ht="28.5" hidden="true" customHeight="false" outlineLevel="0" collapsed="false">
      <c r="A1036" s="0" t="n">
        <v>1035</v>
      </c>
      <c r="B1036" s="1" t="s">
        <v>889</v>
      </c>
      <c r="C1036" s="1" t="s">
        <v>1479</v>
      </c>
      <c r="D1036" s="1" t="s">
        <v>1487</v>
      </c>
      <c r="E1036" s="4" t="s">
        <v>1488</v>
      </c>
      <c r="F1036" s="0" t="s">
        <v>49</v>
      </c>
      <c r="G1036" s="0" t="s">
        <v>7137</v>
      </c>
      <c r="I1036" s="6" t="n">
        <v>0.935416666666667</v>
      </c>
      <c r="J1036" s="6" t="n">
        <v>0.945138888888889</v>
      </c>
      <c r="K1036" s="0" t="n">
        <v>16</v>
      </c>
      <c r="L1036" s="0" t="n">
        <v>16</v>
      </c>
      <c r="M1036" s="7" t="s">
        <v>7138</v>
      </c>
      <c r="N1036" s="7" t="s">
        <v>7139</v>
      </c>
      <c r="O1036" s="7"/>
      <c r="P1036" s="7" t="s">
        <v>7140</v>
      </c>
      <c r="Q1036" s="2" t="n">
        <v>43298</v>
      </c>
      <c r="S1036" s="0" t="n">
        <f aca="false">YEAR(Q1036)</f>
        <v>2018</v>
      </c>
      <c r="T1036" s="0" t="n">
        <f aca="false">MONTH(Q1036)</f>
        <v>7</v>
      </c>
    </row>
    <row r="1037" customFormat="false" ht="28.5" hidden="true" customHeight="false" outlineLevel="0" collapsed="false">
      <c r="A1037" s="0" t="n">
        <v>1036</v>
      </c>
      <c r="B1037" s="1" t="s">
        <v>890</v>
      </c>
      <c r="C1037" s="1" t="s">
        <v>1479</v>
      </c>
      <c r="D1037" s="1" t="s">
        <v>1496</v>
      </c>
      <c r="E1037" s="0" t="s">
        <v>38</v>
      </c>
      <c r="F1037" s="0" t="s">
        <v>49</v>
      </c>
      <c r="G1037" s="0" t="s">
        <v>7141</v>
      </c>
      <c r="I1037" s="6" t="n">
        <v>0.578472222222222</v>
      </c>
      <c r="J1037" s="6" t="n">
        <v>0.5875</v>
      </c>
      <c r="K1037" s="0" t="n">
        <v>0</v>
      </c>
      <c r="L1037" s="0" t="n">
        <v>35</v>
      </c>
      <c r="M1037" s="7" t="s">
        <v>7142</v>
      </c>
      <c r="N1037" s="7" t="s">
        <v>7143</v>
      </c>
      <c r="O1037" s="7"/>
      <c r="P1037" s="7" t="s">
        <v>7144</v>
      </c>
      <c r="Q1037" s="2" t="n">
        <v>43302</v>
      </c>
      <c r="S1037" s="0" t="n">
        <f aca="false">YEAR(Q1037)</f>
        <v>2018</v>
      </c>
      <c r="T1037" s="0" t="n">
        <f aca="false">MONTH(Q1037)</f>
        <v>7</v>
      </c>
    </row>
    <row r="1038" customFormat="false" ht="28.5" hidden="true" customHeight="false" outlineLevel="0" collapsed="false">
      <c r="A1038" s="0" t="n">
        <v>1037</v>
      </c>
      <c r="B1038" s="1" t="s">
        <v>890</v>
      </c>
      <c r="C1038" s="1" t="s">
        <v>1479</v>
      </c>
      <c r="D1038" s="1" t="s">
        <v>1535</v>
      </c>
      <c r="E1038" s="0" t="s">
        <v>39</v>
      </c>
      <c r="F1038" s="0" t="s">
        <v>49</v>
      </c>
      <c r="G1038" s="0" t="s">
        <v>7145</v>
      </c>
      <c r="I1038" s="6" t="n">
        <v>0.673611111111111</v>
      </c>
      <c r="J1038" s="6" t="n">
        <v>0.682638888888889</v>
      </c>
      <c r="K1038" s="0" t="n">
        <v>0</v>
      </c>
      <c r="L1038" s="0" t="n">
        <v>90</v>
      </c>
      <c r="M1038" s="7" t="s">
        <v>7146</v>
      </c>
      <c r="N1038" s="7" t="s">
        <v>7147</v>
      </c>
      <c r="O1038" s="7"/>
      <c r="P1038" s="7" t="s">
        <v>7148</v>
      </c>
      <c r="Q1038" s="2" t="n">
        <v>43302</v>
      </c>
      <c r="S1038" s="0" t="n">
        <f aca="false">YEAR(Q1038)</f>
        <v>2018</v>
      </c>
      <c r="T1038" s="0" t="n">
        <f aca="false">MONTH(Q1038)</f>
        <v>7</v>
      </c>
    </row>
    <row r="1039" customFormat="false" ht="42.75" hidden="true" customHeight="false" outlineLevel="0" collapsed="false">
      <c r="A1039" s="0" t="n">
        <v>1038</v>
      </c>
      <c r="B1039" s="1" t="s">
        <v>891</v>
      </c>
      <c r="C1039" s="1" t="s">
        <v>1479</v>
      </c>
      <c r="D1039" s="1" t="s">
        <v>1496</v>
      </c>
      <c r="E1039" s="0" t="s">
        <v>38</v>
      </c>
      <c r="F1039" s="0" t="s">
        <v>50</v>
      </c>
      <c r="G1039" s="0" t="s">
        <v>7149</v>
      </c>
      <c r="I1039" s="6" t="n">
        <v>0.193055555555556</v>
      </c>
      <c r="J1039" s="6" t="n">
        <v>0.2</v>
      </c>
      <c r="K1039" s="0" t="n">
        <v>31</v>
      </c>
      <c r="L1039" s="0" t="n">
        <v>31</v>
      </c>
      <c r="M1039" s="7" t="s">
        <v>7150</v>
      </c>
      <c r="N1039" s="7" t="s">
        <v>7151</v>
      </c>
      <c r="O1039" s="7"/>
      <c r="P1039" s="7" t="s">
        <v>7152</v>
      </c>
      <c r="Q1039" s="2" t="n">
        <v>43303</v>
      </c>
      <c r="S1039" s="0" t="n">
        <f aca="false">YEAR(Q1039)</f>
        <v>2018</v>
      </c>
      <c r="T1039" s="0" t="n">
        <f aca="false">MONTH(Q1039)</f>
        <v>7</v>
      </c>
    </row>
    <row r="1040" customFormat="false" ht="57" hidden="true" customHeight="false" outlineLevel="0" collapsed="false">
      <c r="A1040" s="0" t="n">
        <v>1039</v>
      </c>
      <c r="B1040" s="1" t="s">
        <v>892</v>
      </c>
      <c r="C1040" s="1" t="s">
        <v>1503</v>
      </c>
      <c r="D1040" s="1" t="s">
        <v>1535</v>
      </c>
      <c r="E1040" s="0" t="s">
        <v>1503</v>
      </c>
      <c r="F1040" s="0" t="s">
        <v>48</v>
      </c>
      <c r="G1040" s="0" t="s">
        <v>7153</v>
      </c>
      <c r="I1040" s="6" t="n">
        <v>0.259027777777778</v>
      </c>
      <c r="J1040" s="6" t="n">
        <v>0.261111111111111</v>
      </c>
      <c r="K1040" s="0" t="n">
        <v>90</v>
      </c>
      <c r="L1040" s="0" t="n">
        <v>65</v>
      </c>
      <c r="M1040" s="7" t="s">
        <v>7154</v>
      </c>
      <c r="N1040" s="7" t="s">
        <v>7155</v>
      </c>
      <c r="O1040" s="7"/>
      <c r="P1040" s="7" t="s">
        <v>7156</v>
      </c>
      <c r="Q1040" s="2" t="n">
        <v>43304</v>
      </c>
      <c r="S1040" s="0" t="n">
        <f aca="false">YEAR(Q1040)</f>
        <v>2018</v>
      </c>
      <c r="T1040" s="0" t="n">
        <f aca="false">MONTH(Q1040)</f>
        <v>7</v>
      </c>
    </row>
    <row r="1041" customFormat="false" ht="28.5" hidden="true" customHeight="false" outlineLevel="0" collapsed="false">
      <c r="A1041" s="0" t="n">
        <v>1040</v>
      </c>
      <c r="B1041" s="1" t="s">
        <v>892</v>
      </c>
      <c r="C1041" s="1" t="s">
        <v>1479</v>
      </c>
      <c r="D1041" s="1" t="s">
        <v>1535</v>
      </c>
      <c r="E1041" s="0" t="s">
        <v>39</v>
      </c>
      <c r="F1041" s="0" t="s">
        <v>48</v>
      </c>
      <c r="G1041" s="0" t="s">
        <v>7157</v>
      </c>
      <c r="I1041" s="6" t="n">
        <v>0.395833333333333</v>
      </c>
      <c r="J1041" s="6" t="n">
        <v>0.402083333333333</v>
      </c>
      <c r="L1041" s="0" t="n">
        <v>15</v>
      </c>
      <c r="M1041" s="7" t="s">
        <v>7158</v>
      </c>
      <c r="N1041" s="7" t="s">
        <v>7159</v>
      </c>
      <c r="O1041" s="7"/>
      <c r="P1041" s="7" t="s">
        <v>7160</v>
      </c>
      <c r="Q1041" s="2" t="n">
        <v>43304</v>
      </c>
      <c r="S1041" s="0" t="n">
        <f aca="false">YEAR(Q1041)</f>
        <v>2018</v>
      </c>
      <c r="T1041" s="0" t="n">
        <f aca="false">MONTH(Q1041)</f>
        <v>7</v>
      </c>
    </row>
    <row r="1042" customFormat="false" ht="28.5" hidden="true" customHeight="false" outlineLevel="0" collapsed="false">
      <c r="A1042" s="0" t="n">
        <v>1041</v>
      </c>
      <c r="B1042" s="1" t="s">
        <v>892</v>
      </c>
      <c r="C1042" s="1" t="s">
        <v>1479</v>
      </c>
      <c r="D1042" s="1" t="s">
        <v>1487</v>
      </c>
      <c r="E1042" s="0" t="s">
        <v>1488</v>
      </c>
      <c r="F1042" s="0" t="s">
        <v>48</v>
      </c>
      <c r="G1042" s="0" t="s">
        <v>7161</v>
      </c>
      <c r="I1042" s="6" t="n">
        <v>0.503472222222222</v>
      </c>
      <c r="J1042" s="6" t="n">
        <v>0.51875</v>
      </c>
      <c r="L1042" s="0" t="n">
        <v>45</v>
      </c>
      <c r="M1042" s="7" t="s">
        <v>7162</v>
      </c>
      <c r="N1042" s="7" t="s">
        <v>7163</v>
      </c>
      <c r="O1042" s="7"/>
      <c r="P1042" s="7" t="s">
        <v>7164</v>
      </c>
      <c r="Q1042" s="2" t="n">
        <v>43304</v>
      </c>
      <c r="S1042" s="0" t="n">
        <f aca="false">YEAR(Q1042)</f>
        <v>2018</v>
      </c>
      <c r="T1042" s="0" t="n">
        <f aca="false">MONTH(Q1042)</f>
        <v>7</v>
      </c>
    </row>
    <row r="1043" customFormat="false" ht="28.5" hidden="true" customHeight="false" outlineLevel="0" collapsed="false">
      <c r="A1043" s="0" t="n">
        <v>1042</v>
      </c>
      <c r="B1043" s="1" t="s">
        <v>892</v>
      </c>
      <c r="C1043" s="1" t="s">
        <v>1479</v>
      </c>
      <c r="D1043" s="1" t="s">
        <v>1535</v>
      </c>
      <c r="E1043" s="0" t="s">
        <v>39</v>
      </c>
      <c r="F1043" s="0" t="s">
        <v>48</v>
      </c>
      <c r="G1043" s="0" t="s">
        <v>7165</v>
      </c>
      <c r="I1043" s="6" t="n">
        <v>0.506944444444444</v>
      </c>
      <c r="J1043" s="6" t="n">
        <v>0.531944444444444</v>
      </c>
      <c r="L1043" s="0" t="n">
        <v>40</v>
      </c>
      <c r="M1043" s="7" t="s">
        <v>7166</v>
      </c>
      <c r="N1043" s="7" t="s">
        <v>7167</v>
      </c>
      <c r="O1043" s="7"/>
      <c r="P1043" s="7" t="s">
        <v>7168</v>
      </c>
      <c r="Q1043" s="2" t="n">
        <v>43304</v>
      </c>
      <c r="S1043" s="0" t="n">
        <f aca="false">YEAR(Q1043)</f>
        <v>2018</v>
      </c>
      <c r="T1043" s="0" t="n">
        <f aca="false">MONTH(Q1043)</f>
        <v>7</v>
      </c>
    </row>
    <row r="1044" customFormat="false" ht="28.5" hidden="true" customHeight="false" outlineLevel="0" collapsed="false">
      <c r="A1044" s="0" t="n">
        <v>1043</v>
      </c>
      <c r="B1044" s="1" t="s">
        <v>892</v>
      </c>
      <c r="C1044" s="1" t="s">
        <v>1479</v>
      </c>
      <c r="D1044" s="1" t="s">
        <v>1535</v>
      </c>
      <c r="E1044" s="0" t="s">
        <v>39</v>
      </c>
      <c r="F1044" s="0" t="s">
        <v>48</v>
      </c>
      <c r="G1044" s="0" t="s">
        <v>7169</v>
      </c>
      <c r="J1044" s="6" t="n">
        <v>0.55</v>
      </c>
      <c r="K1044" s="0" t="n">
        <v>7</v>
      </c>
      <c r="L1044" s="0" t="n">
        <v>10</v>
      </c>
      <c r="M1044" s="7" t="s">
        <v>7170</v>
      </c>
      <c r="N1044" s="7" t="s">
        <v>7171</v>
      </c>
      <c r="O1044" s="7"/>
      <c r="P1044" s="7" t="s">
        <v>7172</v>
      </c>
      <c r="Q1044" s="2" t="n">
        <v>43304</v>
      </c>
      <c r="S1044" s="0" t="n">
        <f aca="false">YEAR(Q1044)</f>
        <v>2018</v>
      </c>
      <c r="T1044" s="0" t="n">
        <f aca="false">MONTH(Q1044)</f>
        <v>7</v>
      </c>
    </row>
    <row r="1045" customFormat="false" ht="28.5" hidden="true" customHeight="false" outlineLevel="0" collapsed="false">
      <c r="A1045" s="0" t="n">
        <v>1044</v>
      </c>
      <c r="B1045" s="1" t="s">
        <v>892</v>
      </c>
      <c r="C1045" s="1" t="s">
        <v>1479</v>
      </c>
      <c r="D1045" s="1" t="s">
        <v>1496</v>
      </c>
      <c r="E1045" s="0" t="s">
        <v>38</v>
      </c>
      <c r="F1045" s="0" t="s">
        <v>49</v>
      </c>
      <c r="G1045" s="0" t="s">
        <v>7173</v>
      </c>
      <c r="I1045" s="6" t="n">
        <v>0.910416666666667</v>
      </c>
      <c r="J1045" s="6" t="n">
        <v>0.915277777777778</v>
      </c>
      <c r="K1045" s="0" t="n">
        <v>0</v>
      </c>
      <c r="L1045" s="0" t="n">
        <v>14</v>
      </c>
      <c r="M1045" s="7" t="s">
        <v>7174</v>
      </c>
      <c r="N1045" s="7" t="s">
        <v>7175</v>
      </c>
      <c r="O1045" s="7"/>
      <c r="P1045" s="7" t="s">
        <v>7176</v>
      </c>
      <c r="Q1045" s="2" t="n">
        <v>43304</v>
      </c>
      <c r="S1045" s="0" t="n">
        <f aca="false">YEAR(Q1045)</f>
        <v>2018</v>
      </c>
      <c r="T1045" s="0" t="n">
        <f aca="false">MONTH(Q1045)</f>
        <v>7</v>
      </c>
    </row>
    <row r="1046" customFormat="false" ht="28.5" hidden="true" customHeight="false" outlineLevel="0" collapsed="false">
      <c r="A1046" s="0" t="n">
        <v>1045</v>
      </c>
      <c r="B1046" s="1" t="s">
        <v>892</v>
      </c>
      <c r="C1046" s="1" t="s">
        <v>1479</v>
      </c>
      <c r="D1046" s="1" t="s">
        <v>1496</v>
      </c>
      <c r="E1046" s="0" t="s">
        <v>38</v>
      </c>
      <c r="F1046" s="0" t="s">
        <v>50</v>
      </c>
      <c r="G1046" s="0" t="s">
        <v>7177</v>
      </c>
      <c r="I1046" s="6" t="n">
        <v>0.475694444444444</v>
      </c>
      <c r="J1046" s="6" t="n">
        <v>0.479166666666667</v>
      </c>
      <c r="M1046" s="7" t="s">
        <v>7178</v>
      </c>
      <c r="N1046" s="7" t="s">
        <v>7179</v>
      </c>
      <c r="O1046" s="7"/>
      <c r="P1046" s="7" t="s">
        <v>7180</v>
      </c>
      <c r="Q1046" s="2" t="n">
        <v>43304</v>
      </c>
      <c r="S1046" s="0" t="n">
        <f aca="false">YEAR(Q1046)</f>
        <v>2018</v>
      </c>
      <c r="T1046" s="0" t="n">
        <f aca="false">MONTH(Q1046)</f>
        <v>7</v>
      </c>
    </row>
    <row r="1047" customFormat="false" ht="28.5" hidden="true" customHeight="false" outlineLevel="0" collapsed="false">
      <c r="A1047" s="0" t="n">
        <v>1046</v>
      </c>
      <c r="B1047" s="1" t="s">
        <v>896</v>
      </c>
      <c r="C1047" s="1" t="s">
        <v>1503</v>
      </c>
      <c r="D1047" s="1" t="s">
        <v>1535</v>
      </c>
      <c r="E1047" s="0" t="s">
        <v>1503</v>
      </c>
      <c r="F1047" s="0" t="s">
        <v>48</v>
      </c>
      <c r="G1047" s="0" t="s">
        <v>7181</v>
      </c>
      <c r="I1047" s="6" t="n">
        <v>0.236111111111111</v>
      </c>
      <c r="J1047" s="6" t="n">
        <v>0.243055555555556</v>
      </c>
      <c r="K1047" s="0" t="n">
        <v>0</v>
      </c>
      <c r="L1047" s="0" t="n">
        <v>40</v>
      </c>
      <c r="M1047" s="7" t="s">
        <v>7182</v>
      </c>
      <c r="N1047" s="7" t="s">
        <v>7183</v>
      </c>
      <c r="O1047" s="7"/>
      <c r="P1047" s="7" t="s">
        <v>7184</v>
      </c>
      <c r="Q1047" s="2" t="n">
        <v>43306</v>
      </c>
      <c r="S1047" s="0" t="n">
        <f aca="false">YEAR(Q1047)</f>
        <v>2018</v>
      </c>
      <c r="T1047" s="0" t="n">
        <f aca="false">MONTH(Q1047)</f>
        <v>7</v>
      </c>
    </row>
    <row r="1048" customFormat="false" ht="28.5" hidden="true" customHeight="false" outlineLevel="0" collapsed="false">
      <c r="A1048" s="0" t="n">
        <v>1047</v>
      </c>
      <c r="B1048" s="1" t="s">
        <v>896</v>
      </c>
      <c r="C1048" s="1" t="s">
        <v>1479</v>
      </c>
      <c r="D1048" s="1" t="s">
        <v>1496</v>
      </c>
      <c r="E1048" s="0" t="s">
        <v>38</v>
      </c>
      <c r="F1048" s="0" t="s">
        <v>48</v>
      </c>
      <c r="G1048" s="0" t="s">
        <v>7185</v>
      </c>
      <c r="I1048" s="6" t="n">
        <v>0.486111111111111</v>
      </c>
      <c r="J1048" s="6" t="n">
        <v>0.493055555555556</v>
      </c>
      <c r="L1048" s="0" t="n">
        <v>30</v>
      </c>
      <c r="M1048" s="7" t="s">
        <v>7186</v>
      </c>
      <c r="N1048" s="7" t="s">
        <v>7187</v>
      </c>
      <c r="O1048" s="7"/>
      <c r="P1048" s="7" t="s">
        <v>7188</v>
      </c>
      <c r="Q1048" s="2" t="n">
        <v>43306</v>
      </c>
      <c r="S1048" s="0" t="n">
        <f aca="false">YEAR(Q1048)</f>
        <v>2018</v>
      </c>
      <c r="T1048" s="0" t="n">
        <f aca="false">MONTH(Q1048)</f>
        <v>7</v>
      </c>
    </row>
    <row r="1049" customFormat="false" ht="28.5" hidden="true" customHeight="false" outlineLevel="0" collapsed="false">
      <c r="A1049" s="0" t="n">
        <v>1048</v>
      </c>
      <c r="B1049" s="1" t="s">
        <v>896</v>
      </c>
      <c r="C1049" s="1" t="s">
        <v>1479</v>
      </c>
      <c r="D1049" s="1" t="s">
        <v>1535</v>
      </c>
      <c r="E1049" s="0" t="s">
        <v>39</v>
      </c>
      <c r="F1049" s="0" t="s">
        <v>49</v>
      </c>
      <c r="G1049" s="0" t="s">
        <v>7189</v>
      </c>
      <c r="I1049" s="6" t="n">
        <v>0.621527777777778</v>
      </c>
      <c r="J1049" s="6" t="n">
        <v>0.625</v>
      </c>
      <c r="K1049" s="0" t="n">
        <v>3</v>
      </c>
      <c r="L1049" s="0" t="n">
        <v>140</v>
      </c>
      <c r="M1049" s="7" t="s">
        <v>7190</v>
      </c>
      <c r="N1049" s="7" t="s">
        <v>7191</v>
      </c>
      <c r="O1049" s="7"/>
      <c r="P1049" s="7" t="s">
        <v>7192</v>
      </c>
      <c r="Q1049" s="2" t="n">
        <v>43306</v>
      </c>
      <c r="S1049" s="0" t="n">
        <f aca="false">YEAR(Q1049)</f>
        <v>2018</v>
      </c>
      <c r="T1049" s="0" t="n">
        <f aca="false">MONTH(Q1049)</f>
        <v>7</v>
      </c>
    </row>
    <row r="1050" customFormat="false" ht="28.5" hidden="true" customHeight="false" outlineLevel="0" collapsed="false">
      <c r="A1050" s="0" t="n">
        <v>1049</v>
      </c>
      <c r="B1050" s="1" t="s">
        <v>896</v>
      </c>
      <c r="C1050" s="1" t="s">
        <v>1495</v>
      </c>
      <c r="D1050" s="1" t="s">
        <v>1535</v>
      </c>
      <c r="E1050" s="0" t="s">
        <v>1495</v>
      </c>
      <c r="F1050" s="0" t="s">
        <v>49</v>
      </c>
      <c r="G1050" s="0" t="s">
        <v>7193</v>
      </c>
      <c r="I1050" s="6" t="n">
        <v>0.875</v>
      </c>
      <c r="J1050" s="6" t="n">
        <v>0.886111111111111</v>
      </c>
      <c r="L1050" s="0" t="n">
        <v>50</v>
      </c>
      <c r="M1050" s="7" t="s">
        <v>7194</v>
      </c>
      <c r="N1050" s="7" t="s">
        <v>7195</v>
      </c>
      <c r="O1050" s="7"/>
      <c r="P1050" s="7" t="s">
        <v>7196</v>
      </c>
      <c r="Q1050" s="2" t="n">
        <v>43306</v>
      </c>
      <c r="S1050" s="0" t="n">
        <f aca="false">YEAR(Q1050)</f>
        <v>2018</v>
      </c>
      <c r="T1050" s="0" t="n">
        <f aca="false">MONTH(Q1050)</f>
        <v>7</v>
      </c>
    </row>
    <row r="1051" customFormat="false" ht="42.75" hidden="true" customHeight="false" outlineLevel="0" collapsed="false">
      <c r="A1051" s="0" t="n">
        <v>1050</v>
      </c>
      <c r="B1051" s="1" t="s">
        <v>896</v>
      </c>
      <c r="C1051" s="1" t="s">
        <v>1479</v>
      </c>
      <c r="D1051" s="1" t="s">
        <v>1496</v>
      </c>
      <c r="E1051" s="0" t="s">
        <v>38</v>
      </c>
      <c r="F1051" s="0" t="s">
        <v>50</v>
      </c>
      <c r="G1051" s="0" t="s">
        <v>7197</v>
      </c>
      <c r="I1051" s="6" t="n">
        <v>0.0347222222222222</v>
      </c>
      <c r="J1051" s="6" t="n">
        <v>0.0381944444444444</v>
      </c>
      <c r="K1051" s="0" t="n">
        <v>7</v>
      </c>
      <c r="L1051" s="0" t="n">
        <v>10</v>
      </c>
      <c r="M1051" s="7" t="s">
        <v>7198</v>
      </c>
      <c r="N1051" s="7" t="s">
        <v>6874</v>
      </c>
      <c r="O1051" s="7"/>
      <c r="P1051" s="7" t="s">
        <v>7199</v>
      </c>
      <c r="Q1051" s="2" t="n">
        <v>43306</v>
      </c>
      <c r="S1051" s="0" t="n">
        <f aca="false">YEAR(Q1051)</f>
        <v>2018</v>
      </c>
      <c r="T1051" s="0" t="n">
        <f aca="false">MONTH(Q1051)</f>
        <v>7</v>
      </c>
    </row>
    <row r="1052" customFormat="false" ht="28.5" hidden="true" customHeight="false" outlineLevel="0" collapsed="false">
      <c r="A1052" s="0" t="n">
        <v>1051</v>
      </c>
      <c r="B1052" s="1" t="s">
        <v>898</v>
      </c>
      <c r="C1052" s="1" t="s">
        <v>1479</v>
      </c>
      <c r="D1052" s="1" t="s">
        <v>1487</v>
      </c>
      <c r="E1052" s="0" t="s">
        <v>1488</v>
      </c>
      <c r="F1052" s="0" t="s">
        <v>49</v>
      </c>
      <c r="G1052" s="0" t="s">
        <v>7200</v>
      </c>
      <c r="I1052" s="6" t="n">
        <v>0.875</v>
      </c>
      <c r="J1052" s="6" t="n">
        <v>0.889583333333333</v>
      </c>
      <c r="K1052" s="0" t="n">
        <v>0</v>
      </c>
      <c r="L1052" s="0" t="n">
        <v>50</v>
      </c>
      <c r="M1052" s="7" t="s">
        <v>7201</v>
      </c>
      <c r="N1052" s="7" t="s">
        <v>7202</v>
      </c>
      <c r="O1052" s="7"/>
      <c r="P1052" s="7" t="s">
        <v>7203</v>
      </c>
      <c r="Q1052" s="2" t="n">
        <v>43307</v>
      </c>
      <c r="S1052" s="0" t="n">
        <f aca="false">YEAR(Q1052)</f>
        <v>2018</v>
      </c>
      <c r="T1052" s="0" t="n">
        <f aca="false">MONTH(Q1052)</f>
        <v>7</v>
      </c>
    </row>
    <row r="1053" customFormat="false" ht="28.5" hidden="true" customHeight="false" outlineLevel="0" collapsed="false">
      <c r="A1053" s="0" t="n">
        <v>1052</v>
      </c>
      <c r="B1053" s="1" t="s">
        <v>898</v>
      </c>
      <c r="C1053" s="1" t="s">
        <v>1479</v>
      </c>
      <c r="D1053" s="1" t="s">
        <v>1535</v>
      </c>
      <c r="E1053" s="0" t="s">
        <v>39</v>
      </c>
      <c r="F1053" s="0" t="s">
        <v>50</v>
      </c>
      <c r="G1053" s="0" t="s">
        <v>7204</v>
      </c>
      <c r="I1053" s="6" t="n">
        <v>0.0555555555555556</v>
      </c>
      <c r="J1053" s="6" t="n">
        <v>0.0590277777777778</v>
      </c>
      <c r="K1053" s="0" t="n">
        <v>6</v>
      </c>
      <c r="L1053" s="0" t="n">
        <v>0</v>
      </c>
      <c r="M1053" s="7" t="s">
        <v>7205</v>
      </c>
      <c r="N1053" s="7" t="s">
        <v>7206</v>
      </c>
      <c r="O1053" s="7"/>
      <c r="P1053" s="7" t="s">
        <v>7207</v>
      </c>
      <c r="Q1053" s="2" t="n">
        <v>43307</v>
      </c>
      <c r="S1053" s="0" t="n">
        <f aca="false">YEAR(Q1053)</f>
        <v>2018</v>
      </c>
      <c r="T1053" s="0" t="n">
        <f aca="false">MONTH(Q1053)</f>
        <v>7</v>
      </c>
    </row>
    <row r="1054" customFormat="false" ht="28.5" hidden="true" customHeight="false" outlineLevel="0" collapsed="false">
      <c r="A1054" s="0" t="n">
        <v>1053</v>
      </c>
      <c r="B1054" s="1" t="s">
        <v>898</v>
      </c>
      <c r="C1054" s="1" t="s">
        <v>1479</v>
      </c>
      <c r="D1054" s="1" t="s">
        <v>1487</v>
      </c>
      <c r="E1054" s="4" t="s">
        <v>1488</v>
      </c>
      <c r="F1054" s="0" t="s">
        <v>50</v>
      </c>
      <c r="G1054" s="0" t="s">
        <v>7208</v>
      </c>
      <c r="I1054" s="6" t="n">
        <v>0.0458333333333333</v>
      </c>
      <c r="J1054" s="6" t="n">
        <v>0.0625</v>
      </c>
      <c r="K1054" s="0" t="n">
        <v>10</v>
      </c>
      <c r="L1054" s="0" t="n">
        <v>5</v>
      </c>
      <c r="M1054" s="7" t="s">
        <v>7209</v>
      </c>
      <c r="N1054" s="7" t="s">
        <v>7210</v>
      </c>
      <c r="O1054" s="7"/>
      <c r="P1054" s="7" t="s">
        <v>7211</v>
      </c>
      <c r="Q1054" s="2" t="n">
        <v>43307</v>
      </c>
      <c r="S1054" s="0" t="n">
        <f aca="false">YEAR(Q1054)</f>
        <v>2018</v>
      </c>
      <c r="T1054" s="0" t="n">
        <f aca="false">MONTH(Q1054)</f>
        <v>7</v>
      </c>
    </row>
    <row r="1055" customFormat="false" ht="28.5" hidden="true" customHeight="false" outlineLevel="0" collapsed="false">
      <c r="A1055" s="0" t="n">
        <v>1054</v>
      </c>
      <c r="B1055" s="1" t="s">
        <v>898</v>
      </c>
      <c r="C1055" s="1" t="s">
        <v>1479</v>
      </c>
      <c r="D1055" s="1" t="s">
        <v>1487</v>
      </c>
      <c r="E1055" s="4" t="s">
        <v>1488</v>
      </c>
      <c r="F1055" s="0" t="s">
        <v>50</v>
      </c>
      <c r="G1055" s="0" t="s">
        <v>7212</v>
      </c>
      <c r="I1055" s="6" t="n">
        <v>0.118055555555556</v>
      </c>
      <c r="J1055" s="6" t="n">
        <v>0.128472222222222</v>
      </c>
      <c r="K1055" s="0" t="n">
        <v>30</v>
      </c>
      <c r="L1055" s="0" t="n">
        <v>50</v>
      </c>
      <c r="M1055" s="7" t="s">
        <v>7213</v>
      </c>
      <c r="N1055" s="7" t="s">
        <v>7214</v>
      </c>
      <c r="O1055" s="7"/>
      <c r="P1055" s="7" t="s">
        <v>7215</v>
      </c>
      <c r="Q1055" s="2" t="n">
        <v>43307</v>
      </c>
      <c r="S1055" s="0" t="n">
        <f aca="false">YEAR(Q1055)</f>
        <v>2018</v>
      </c>
      <c r="T1055" s="0" t="n">
        <f aca="false">MONTH(Q1055)</f>
        <v>7</v>
      </c>
    </row>
    <row r="1056" customFormat="false" ht="28.5" hidden="true" customHeight="false" outlineLevel="0" collapsed="false">
      <c r="A1056" s="0" t="n">
        <v>1055</v>
      </c>
      <c r="B1056" s="1" t="s">
        <v>900</v>
      </c>
      <c r="C1056" s="1" t="s">
        <v>1479</v>
      </c>
      <c r="D1056" s="1" t="s">
        <v>1487</v>
      </c>
      <c r="E1056" s="0" t="s">
        <v>1488</v>
      </c>
      <c r="F1056" s="0" t="s">
        <v>49</v>
      </c>
      <c r="G1056" s="0" t="s">
        <v>7216</v>
      </c>
      <c r="I1056" s="6" t="n">
        <v>0.614583333333333</v>
      </c>
      <c r="J1056" s="6" t="n">
        <v>0.631944444444444</v>
      </c>
      <c r="K1056" s="0" t="n">
        <v>0</v>
      </c>
      <c r="L1056" s="0" t="n">
        <v>35</v>
      </c>
      <c r="M1056" s="7" t="s">
        <v>7217</v>
      </c>
      <c r="N1056" s="7" t="s">
        <v>7218</v>
      </c>
      <c r="O1056" s="7"/>
      <c r="P1056" s="7" t="s">
        <v>7219</v>
      </c>
      <c r="Q1056" s="2" t="n">
        <v>43308</v>
      </c>
      <c r="S1056" s="0" t="n">
        <f aca="false">YEAR(Q1056)</f>
        <v>2018</v>
      </c>
      <c r="T1056" s="0" t="n">
        <f aca="false">MONTH(Q1056)</f>
        <v>7</v>
      </c>
    </row>
    <row r="1057" customFormat="false" ht="28.5" hidden="true" customHeight="false" outlineLevel="0" collapsed="false">
      <c r="A1057" s="0" t="n">
        <v>1056</v>
      </c>
      <c r="B1057" s="1" t="s">
        <v>900</v>
      </c>
      <c r="C1057" s="1" t="s">
        <v>1479</v>
      </c>
      <c r="D1057" s="1" t="s">
        <v>1496</v>
      </c>
      <c r="E1057" s="0" t="s">
        <v>38</v>
      </c>
      <c r="F1057" s="0" t="s">
        <v>50</v>
      </c>
      <c r="G1057" s="0" t="s">
        <v>7220</v>
      </c>
      <c r="I1057" s="6" t="n">
        <v>0.993055555555555</v>
      </c>
      <c r="K1057" s="0" t="n">
        <v>7</v>
      </c>
      <c r="L1057" s="0" t="n">
        <v>46</v>
      </c>
      <c r="M1057" s="7" t="s">
        <v>7221</v>
      </c>
      <c r="N1057" s="7" t="s">
        <v>7222</v>
      </c>
      <c r="O1057" s="7"/>
      <c r="P1057" s="7" t="s">
        <v>7223</v>
      </c>
      <c r="Q1057" s="2" t="n">
        <v>43308</v>
      </c>
      <c r="S1057" s="0" t="n">
        <f aca="false">YEAR(Q1057)</f>
        <v>2018</v>
      </c>
      <c r="T1057" s="0" t="n">
        <f aca="false">MONTH(Q1057)</f>
        <v>7</v>
      </c>
    </row>
    <row r="1058" customFormat="false" ht="42.75" hidden="true" customHeight="false" outlineLevel="0" collapsed="false">
      <c r="A1058" s="0" t="n">
        <v>1057</v>
      </c>
      <c r="B1058" s="1" t="s">
        <v>902</v>
      </c>
      <c r="C1058" s="1" t="s">
        <v>1503</v>
      </c>
      <c r="D1058" s="1" t="s">
        <v>1535</v>
      </c>
      <c r="E1058" s="0" t="s">
        <v>44</v>
      </c>
      <c r="F1058" s="0" t="s">
        <v>49</v>
      </c>
      <c r="G1058" s="0" t="s">
        <v>7224</v>
      </c>
      <c r="I1058" s="6" t="n">
        <v>0.541666666666667</v>
      </c>
      <c r="L1058" s="0" t="n">
        <v>300</v>
      </c>
      <c r="M1058" s="7" t="s">
        <v>7225</v>
      </c>
      <c r="N1058" s="7" t="s">
        <v>7226</v>
      </c>
      <c r="O1058" s="7"/>
      <c r="P1058" s="7" t="s">
        <v>7227</v>
      </c>
      <c r="Q1058" s="2" t="n">
        <v>43312</v>
      </c>
      <c r="S1058" s="0" t="n">
        <f aca="false">YEAR(Q1058)</f>
        <v>2018</v>
      </c>
      <c r="T1058" s="0" t="n">
        <f aca="false">MONTH(Q1058)</f>
        <v>7</v>
      </c>
    </row>
    <row r="1059" customFormat="false" ht="28.5" hidden="true" customHeight="false" outlineLevel="0" collapsed="false">
      <c r="A1059" s="0" t="n">
        <v>1058</v>
      </c>
      <c r="B1059" s="1" t="s">
        <v>902</v>
      </c>
      <c r="C1059" s="1" t="s">
        <v>1479</v>
      </c>
      <c r="D1059" s="1" t="s">
        <v>1487</v>
      </c>
      <c r="E1059" s="0" t="s">
        <v>1488</v>
      </c>
      <c r="F1059" s="0" t="s">
        <v>49</v>
      </c>
      <c r="G1059" s="0" t="s">
        <v>7228</v>
      </c>
      <c r="I1059" s="6" t="n">
        <v>0.763888888888889</v>
      </c>
      <c r="J1059" s="6" t="n">
        <v>0.774305555555555</v>
      </c>
      <c r="L1059" s="0" t="n">
        <v>30</v>
      </c>
      <c r="M1059" s="7" t="s">
        <v>7229</v>
      </c>
      <c r="N1059" s="7" t="s">
        <v>7230</v>
      </c>
      <c r="O1059" s="7"/>
      <c r="P1059" s="7" t="s">
        <v>7231</v>
      </c>
      <c r="Q1059" s="2" t="n">
        <v>43312</v>
      </c>
      <c r="S1059" s="0" t="n">
        <f aca="false">YEAR(Q1059)</f>
        <v>2018</v>
      </c>
      <c r="T1059" s="0" t="n">
        <f aca="false">MONTH(Q1059)</f>
        <v>7</v>
      </c>
    </row>
    <row r="1060" customFormat="false" ht="28.5" hidden="true" customHeight="false" outlineLevel="0" collapsed="false">
      <c r="A1060" s="0" t="n">
        <v>1059</v>
      </c>
      <c r="B1060" s="1" t="s">
        <v>902</v>
      </c>
      <c r="C1060" s="1" t="s">
        <v>1479</v>
      </c>
      <c r="D1060" s="1" t="s">
        <v>1535</v>
      </c>
      <c r="E1060" s="0" t="s">
        <v>39</v>
      </c>
      <c r="F1060" s="0" t="s">
        <v>49</v>
      </c>
      <c r="G1060" s="0" t="s">
        <v>7232</v>
      </c>
      <c r="I1060" s="6" t="n">
        <v>0.872916666666667</v>
      </c>
      <c r="J1060" s="6" t="n">
        <v>0.875694444444444</v>
      </c>
      <c r="K1060" s="0" t="s">
        <v>7233</v>
      </c>
      <c r="L1060" s="0" t="n">
        <v>60</v>
      </c>
      <c r="M1060" s="7" t="s">
        <v>7234</v>
      </c>
      <c r="N1060" s="7" t="s">
        <v>7235</v>
      </c>
      <c r="O1060" s="7"/>
      <c r="P1060" s="7" t="s">
        <v>7236</v>
      </c>
      <c r="Q1060" s="2" t="n">
        <v>43312</v>
      </c>
      <c r="S1060" s="0" t="n">
        <f aca="false">YEAR(Q1060)</f>
        <v>2018</v>
      </c>
      <c r="T1060" s="0" t="n">
        <f aca="false">MONTH(Q1060)</f>
        <v>7</v>
      </c>
    </row>
    <row r="1061" customFormat="false" ht="28.5" hidden="true" customHeight="false" outlineLevel="0" collapsed="false">
      <c r="A1061" s="0" t="n">
        <v>1060</v>
      </c>
      <c r="B1061" s="1" t="s">
        <v>902</v>
      </c>
      <c r="C1061" s="1" t="s">
        <v>1479</v>
      </c>
      <c r="D1061" s="1" t="s">
        <v>1496</v>
      </c>
      <c r="E1061" s="0" t="s">
        <v>38</v>
      </c>
      <c r="F1061" s="0" t="s">
        <v>50</v>
      </c>
      <c r="G1061" s="0" t="s">
        <v>7237</v>
      </c>
      <c r="I1061" s="6" t="n">
        <v>0.0590277777777778</v>
      </c>
      <c r="J1061" s="6" t="n">
        <v>0.0645833333333333</v>
      </c>
      <c r="L1061" s="0" t="n">
        <v>25</v>
      </c>
      <c r="M1061" s="7" t="s">
        <v>7238</v>
      </c>
      <c r="N1061" s="7" t="s">
        <v>7239</v>
      </c>
      <c r="O1061" s="7"/>
      <c r="P1061" s="7" t="s">
        <v>7240</v>
      </c>
      <c r="Q1061" s="2" t="n">
        <v>43312</v>
      </c>
      <c r="S1061" s="0" t="n">
        <f aca="false">YEAR(Q1061)</f>
        <v>2018</v>
      </c>
      <c r="T1061" s="0" t="n">
        <f aca="false">MONTH(Q1061)</f>
        <v>7</v>
      </c>
    </row>
    <row r="1062" customFormat="false" ht="28.5" hidden="true" customHeight="false" outlineLevel="0" collapsed="false">
      <c r="A1062" s="0" t="n">
        <v>1061</v>
      </c>
      <c r="B1062" s="1" t="s">
        <v>902</v>
      </c>
      <c r="C1062" s="1" t="s">
        <v>1479</v>
      </c>
      <c r="D1062" s="1" t="s">
        <v>1496</v>
      </c>
      <c r="E1062" s="0" t="s">
        <v>38</v>
      </c>
      <c r="F1062" s="0" t="s">
        <v>50</v>
      </c>
      <c r="G1062" s="0" t="s">
        <v>7241</v>
      </c>
      <c r="I1062" s="6" t="n">
        <v>0.111805555555556</v>
      </c>
      <c r="J1062" s="6" t="n">
        <v>0.111805555555556</v>
      </c>
      <c r="M1062" s="7" t="s">
        <v>7242</v>
      </c>
      <c r="N1062" s="7" t="s">
        <v>7243</v>
      </c>
      <c r="O1062" s="7"/>
      <c r="P1062" s="7" t="s">
        <v>7244</v>
      </c>
      <c r="Q1062" s="2" t="n">
        <v>43312</v>
      </c>
      <c r="S1062" s="0" t="n">
        <f aca="false">YEAR(Q1062)</f>
        <v>2018</v>
      </c>
      <c r="T1062" s="0" t="n">
        <f aca="false">MONTH(Q1062)</f>
        <v>7</v>
      </c>
    </row>
    <row r="1063" customFormat="false" ht="28.5" hidden="true" customHeight="false" outlineLevel="0" collapsed="false">
      <c r="A1063" s="0" t="n">
        <v>1062</v>
      </c>
      <c r="B1063" s="1" t="s">
        <v>902</v>
      </c>
      <c r="C1063" s="1" t="s">
        <v>1479</v>
      </c>
      <c r="D1063" s="1" t="s">
        <v>1487</v>
      </c>
      <c r="E1063" s="0" t="s">
        <v>1488</v>
      </c>
      <c r="F1063" s="0" t="s">
        <v>50</v>
      </c>
      <c r="G1063" s="0" t="s">
        <v>7245</v>
      </c>
      <c r="I1063" s="6" t="n">
        <v>0.208333333333333</v>
      </c>
      <c r="J1063" s="6" t="n">
        <v>0.21875</v>
      </c>
      <c r="L1063" s="0" t="n">
        <v>100</v>
      </c>
      <c r="M1063" s="7" t="s">
        <v>7238</v>
      </c>
      <c r="N1063" s="7" t="s">
        <v>7246</v>
      </c>
      <c r="O1063" s="7"/>
      <c r="P1063" s="7" t="s">
        <v>7247</v>
      </c>
      <c r="Q1063" s="2" t="n">
        <v>43312</v>
      </c>
      <c r="S1063" s="0" t="n">
        <f aca="false">YEAR(Q1063)</f>
        <v>2018</v>
      </c>
      <c r="T1063" s="0" t="n">
        <f aca="false">MONTH(Q1063)</f>
        <v>7</v>
      </c>
    </row>
    <row r="1064" customFormat="false" ht="28.5" hidden="true" customHeight="false" outlineLevel="0" collapsed="false">
      <c r="A1064" s="0" t="n">
        <v>1063</v>
      </c>
      <c r="B1064" s="1" t="s">
        <v>903</v>
      </c>
      <c r="C1064" s="1" t="s">
        <v>1479</v>
      </c>
      <c r="D1064" s="1" t="s">
        <v>1487</v>
      </c>
      <c r="E1064" s="4" t="s">
        <v>1488</v>
      </c>
      <c r="F1064" s="0" t="s">
        <v>48</v>
      </c>
      <c r="G1064" s="0" t="s">
        <v>7245</v>
      </c>
      <c r="I1064" s="6" t="n">
        <v>0.208333333333333</v>
      </c>
      <c r="J1064" s="6" t="n">
        <v>0.21875</v>
      </c>
      <c r="K1064" s="0" t="n">
        <v>59</v>
      </c>
      <c r="L1064" s="0" t="n">
        <v>100</v>
      </c>
      <c r="M1064" s="7" t="s">
        <v>7238</v>
      </c>
      <c r="N1064" s="7" t="s">
        <v>7246</v>
      </c>
      <c r="O1064" s="7"/>
      <c r="P1064" s="7" t="s">
        <v>7248</v>
      </c>
      <c r="Q1064" s="2" t="n">
        <v>43313</v>
      </c>
      <c r="S1064" s="0" t="n">
        <f aca="false">YEAR(Q1064)</f>
        <v>2018</v>
      </c>
      <c r="T1064" s="0" t="n">
        <f aca="false">MONTH(Q1064)</f>
        <v>8</v>
      </c>
    </row>
    <row r="1065" customFormat="false" ht="28.5" hidden="true" customHeight="false" outlineLevel="0" collapsed="false">
      <c r="A1065" s="0" t="n">
        <v>1064</v>
      </c>
      <c r="B1065" s="1" t="s">
        <v>903</v>
      </c>
      <c r="C1065" s="1" t="s">
        <v>1503</v>
      </c>
      <c r="D1065" s="1" t="s">
        <v>1504</v>
      </c>
      <c r="E1065" s="0" t="s">
        <v>45</v>
      </c>
      <c r="F1065" s="0" t="s">
        <v>48</v>
      </c>
      <c r="G1065" s="0" t="s">
        <v>7249</v>
      </c>
      <c r="I1065" s="6" t="n">
        <v>0.236111111111111</v>
      </c>
      <c r="J1065" s="6" t="n">
        <v>0.243055555555556</v>
      </c>
      <c r="M1065" s="7" t="s">
        <v>7250</v>
      </c>
      <c r="N1065" s="7" t="s">
        <v>7251</v>
      </c>
      <c r="O1065" s="7"/>
      <c r="P1065" s="7" t="s">
        <v>7252</v>
      </c>
      <c r="Q1065" s="2" t="n">
        <v>43313</v>
      </c>
      <c r="S1065" s="0" t="n">
        <f aca="false">YEAR(Q1065)</f>
        <v>2018</v>
      </c>
      <c r="T1065" s="0" t="n">
        <f aca="false">MONTH(Q1065)</f>
        <v>8</v>
      </c>
    </row>
    <row r="1066" customFormat="false" ht="28.5" hidden="true" customHeight="false" outlineLevel="0" collapsed="false">
      <c r="A1066" s="0" t="n">
        <v>1065</v>
      </c>
      <c r="B1066" s="1" t="s">
        <v>903</v>
      </c>
      <c r="C1066" s="1" t="s">
        <v>1479</v>
      </c>
      <c r="D1066" s="1" t="s">
        <v>1487</v>
      </c>
      <c r="E1066" s="0" t="s">
        <v>1488</v>
      </c>
      <c r="F1066" s="0" t="s">
        <v>50</v>
      </c>
      <c r="G1066" s="0" t="s">
        <v>7253</v>
      </c>
      <c r="I1066" s="6" t="n">
        <v>0.147916666666667</v>
      </c>
      <c r="J1066" s="6" t="n">
        <v>0.166666666666667</v>
      </c>
      <c r="L1066" s="0" t="n">
        <v>60</v>
      </c>
      <c r="M1066" s="7" t="s">
        <v>7254</v>
      </c>
      <c r="N1066" s="7" t="s">
        <v>7255</v>
      </c>
      <c r="O1066" s="7"/>
      <c r="P1066" s="7" t="s">
        <v>7256</v>
      </c>
      <c r="Q1066" s="2" t="n">
        <v>43313</v>
      </c>
      <c r="S1066" s="0" t="n">
        <f aca="false">YEAR(Q1066)</f>
        <v>2018</v>
      </c>
      <c r="T1066" s="0" t="n">
        <f aca="false">MONTH(Q1066)</f>
        <v>8</v>
      </c>
    </row>
    <row r="1067" customFormat="false" ht="28.5" hidden="true" customHeight="false" outlineLevel="0" collapsed="false">
      <c r="A1067" s="0" t="n">
        <v>1066</v>
      </c>
      <c r="B1067" s="1" t="s">
        <v>903</v>
      </c>
      <c r="C1067" s="1" t="s">
        <v>1479</v>
      </c>
      <c r="D1067" s="1" t="s">
        <v>1487</v>
      </c>
      <c r="E1067" s="0" t="s">
        <v>1488</v>
      </c>
      <c r="F1067" s="0" t="s">
        <v>50</v>
      </c>
      <c r="G1067" s="0" t="s">
        <v>7257</v>
      </c>
      <c r="I1067" s="6" t="n">
        <v>0.189583333333333</v>
      </c>
      <c r="J1067" s="6" t="n">
        <v>0.236111111111111</v>
      </c>
      <c r="M1067" s="7" t="s">
        <v>7258</v>
      </c>
      <c r="N1067" s="7" t="s">
        <v>7259</v>
      </c>
      <c r="O1067" s="7"/>
      <c r="P1067" s="7" t="s">
        <v>7260</v>
      </c>
      <c r="Q1067" s="2" t="n">
        <v>43313</v>
      </c>
      <c r="S1067" s="0" t="n">
        <f aca="false">YEAR(Q1067)</f>
        <v>2018</v>
      </c>
      <c r="T1067" s="0" t="n">
        <f aca="false">MONTH(Q1067)</f>
        <v>8</v>
      </c>
    </row>
    <row r="1068" customFormat="false" ht="42.75" hidden="true" customHeight="false" outlineLevel="0" collapsed="false">
      <c r="A1068" s="0" t="n">
        <v>1067</v>
      </c>
      <c r="B1068" s="1" t="s">
        <v>904</v>
      </c>
      <c r="C1068" s="1" t="s">
        <v>1479</v>
      </c>
      <c r="D1068" s="1" t="s">
        <v>1535</v>
      </c>
      <c r="E1068" s="0" t="s">
        <v>39</v>
      </c>
      <c r="F1068" s="0" t="s">
        <v>48</v>
      </c>
      <c r="G1068" s="0" t="s">
        <v>7261</v>
      </c>
      <c r="I1068" s="6" t="n">
        <v>0.236111111111111</v>
      </c>
      <c r="J1068" s="6" t="n">
        <v>0.263888888888889</v>
      </c>
      <c r="L1068" s="0" t="n">
        <v>60</v>
      </c>
      <c r="M1068" s="7" t="s">
        <v>7262</v>
      </c>
      <c r="N1068" s="7" t="s">
        <v>7263</v>
      </c>
      <c r="O1068" s="7"/>
      <c r="P1068" s="7" t="s">
        <v>7264</v>
      </c>
      <c r="Q1068" s="2" t="n">
        <v>43311</v>
      </c>
      <c r="S1068" s="0" t="n">
        <f aca="false">YEAR(Q1068)</f>
        <v>2018</v>
      </c>
      <c r="T1068" s="0" t="n">
        <f aca="false">MONTH(Q1068)</f>
        <v>7</v>
      </c>
    </row>
    <row r="1069" customFormat="false" ht="28.5" hidden="true" customHeight="false" outlineLevel="0" collapsed="false">
      <c r="A1069" s="0" t="n">
        <v>1068</v>
      </c>
      <c r="B1069" s="1" t="s">
        <v>904</v>
      </c>
      <c r="C1069" s="1" t="s">
        <v>1479</v>
      </c>
      <c r="D1069" s="1" t="s">
        <v>1535</v>
      </c>
      <c r="E1069" s="0" t="s">
        <v>39</v>
      </c>
      <c r="F1069" s="0" t="s">
        <v>48</v>
      </c>
      <c r="G1069" s="0" t="s">
        <v>7265</v>
      </c>
      <c r="M1069" s="7" t="s">
        <v>7266</v>
      </c>
      <c r="N1069" s="7" t="s">
        <v>7267</v>
      </c>
      <c r="O1069" s="7"/>
      <c r="P1069" s="7" t="s">
        <v>7268</v>
      </c>
      <c r="Q1069" s="2" t="n">
        <v>43311</v>
      </c>
      <c r="S1069" s="0" t="n">
        <f aca="false">YEAR(Q1069)</f>
        <v>2018</v>
      </c>
      <c r="T1069" s="0" t="n">
        <f aca="false">MONTH(Q1069)</f>
        <v>7</v>
      </c>
    </row>
    <row r="1070" customFormat="false" ht="28.5" hidden="true" customHeight="false" outlineLevel="0" collapsed="false">
      <c r="A1070" s="0" t="n">
        <v>1069</v>
      </c>
      <c r="B1070" s="1" t="s">
        <v>904</v>
      </c>
      <c r="C1070" s="1" t="s">
        <v>1479</v>
      </c>
      <c r="D1070" s="1" t="s">
        <v>1496</v>
      </c>
      <c r="E1070" s="0" t="s">
        <v>38</v>
      </c>
      <c r="F1070" s="0" t="s">
        <v>48</v>
      </c>
      <c r="G1070" s="0" t="s">
        <v>7269</v>
      </c>
      <c r="I1070" s="6" t="n">
        <v>0.236111111111111</v>
      </c>
      <c r="J1070" s="6" t="n">
        <v>0.413194444444444</v>
      </c>
      <c r="M1070" s="7" t="s">
        <v>7270</v>
      </c>
      <c r="N1070" s="7" t="s">
        <v>6753</v>
      </c>
      <c r="O1070" s="7"/>
      <c r="P1070" s="7" t="s">
        <v>7271</v>
      </c>
      <c r="Q1070" s="2" t="n">
        <v>43311</v>
      </c>
      <c r="S1070" s="0" t="n">
        <f aca="false">YEAR(Q1070)</f>
        <v>2018</v>
      </c>
      <c r="T1070" s="0" t="n">
        <f aca="false">MONTH(Q1070)</f>
        <v>7</v>
      </c>
    </row>
    <row r="1071" customFormat="false" ht="28.5" hidden="true" customHeight="false" outlineLevel="0" collapsed="false">
      <c r="A1071" s="0" t="n">
        <v>1070</v>
      </c>
      <c r="B1071" s="1" t="s">
        <v>904</v>
      </c>
      <c r="C1071" s="1" t="s">
        <v>1479</v>
      </c>
      <c r="D1071" s="1" t="s">
        <v>1487</v>
      </c>
      <c r="E1071" s="0" t="s">
        <v>1488</v>
      </c>
      <c r="F1071" s="0" t="s">
        <v>48</v>
      </c>
      <c r="G1071" s="0" t="s">
        <v>7272</v>
      </c>
      <c r="I1071" s="6" t="n">
        <v>0.236111111111111</v>
      </c>
      <c r="J1071" s="6" t="n">
        <v>0.489583333333333</v>
      </c>
      <c r="M1071" s="7" t="s">
        <v>7273</v>
      </c>
      <c r="N1071" s="7" t="s">
        <v>7274</v>
      </c>
      <c r="O1071" s="7"/>
      <c r="P1071" s="7" t="s">
        <v>7275</v>
      </c>
      <c r="Q1071" s="2" t="n">
        <v>43311</v>
      </c>
      <c r="S1071" s="0" t="n">
        <f aca="false">YEAR(Q1071)</f>
        <v>2018</v>
      </c>
      <c r="T1071" s="0" t="n">
        <f aca="false">MONTH(Q1071)</f>
        <v>7</v>
      </c>
    </row>
    <row r="1072" customFormat="false" ht="28.5" hidden="true" customHeight="false" outlineLevel="0" collapsed="false">
      <c r="A1072" s="0" t="n">
        <v>1071</v>
      </c>
      <c r="B1072" s="1" t="s">
        <v>904</v>
      </c>
      <c r="C1072" s="1" t="s">
        <v>1479</v>
      </c>
      <c r="D1072" s="1" t="s">
        <v>1535</v>
      </c>
      <c r="E1072" s="0" t="s">
        <v>39</v>
      </c>
      <c r="F1072" s="0" t="s">
        <v>49</v>
      </c>
      <c r="G1072" s="0" t="s">
        <v>7276</v>
      </c>
      <c r="I1072" s="6" t="n">
        <v>0.611111111111111</v>
      </c>
      <c r="K1072" s="0" t="n">
        <v>5</v>
      </c>
      <c r="L1072" s="0" t="n">
        <v>50</v>
      </c>
      <c r="M1072" s="7" t="s">
        <v>7277</v>
      </c>
      <c r="N1072" s="7" t="s">
        <v>7278</v>
      </c>
      <c r="O1072" s="7"/>
      <c r="P1072" s="7" t="s">
        <v>7279</v>
      </c>
      <c r="Q1072" s="2" t="n">
        <v>43311</v>
      </c>
      <c r="S1072" s="0" t="n">
        <f aca="false">YEAR(Q1072)</f>
        <v>2018</v>
      </c>
      <c r="T1072" s="0" t="n">
        <f aca="false">MONTH(Q1072)</f>
        <v>7</v>
      </c>
    </row>
    <row r="1073" customFormat="false" ht="28.5" hidden="true" customHeight="false" outlineLevel="0" collapsed="false">
      <c r="A1073" s="0" t="n">
        <v>1072</v>
      </c>
      <c r="B1073" s="1" t="s">
        <v>904</v>
      </c>
      <c r="C1073" s="1" t="s">
        <v>1503</v>
      </c>
      <c r="D1073" s="1" t="s">
        <v>1535</v>
      </c>
      <c r="E1073" s="0" t="s">
        <v>44</v>
      </c>
      <c r="F1073" s="0" t="s">
        <v>49</v>
      </c>
      <c r="G1073" s="0" t="s">
        <v>7280</v>
      </c>
      <c r="I1073" s="6" t="n">
        <v>0.760416666666667</v>
      </c>
      <c r="J1073" s="6" t="n">
        <v>0.763888888888889</v>
      </c>
      <c r="L1073" s="0" t="n">
        <v>15</v>
      </c>
      <c r="M1073" s="7" t="s">
        <v>7281</v>
      </c>
      <c r="N1073" s="7" t="s">
        <v>7282</v>
      </c>
      <c r="O1073" s="7"/>
      <c r="P1073" s="7" t="s">
        <v>7283</v>
      </c>
      <c r="Q1073" s="2" t="n">
        <v>43311</v>
      </c>
      <c r="S1073" s="0" t="n">
        <f aca="false">YEAR(Q1073)</f>
        <v>2018</v>
      </c>
      <c r="T1073" s="0" t="n">
        <f aca="false">MONTH(Q1073)</f>
        <v>7</v>
      </c>
    </row>
    <row r="1074" customFormat="false" ht="28.5" hidden="true" customHeight="false" outlineLevel="0" collapsed="false">
      <c r="A1074" s="0" t="n">
        <v>1073</v>
      </c>
      <c r="B1074" s="1" t="s">
        <v>904</v>
      </c>
      <c r="C1074" s="1" t="s">
        <v>1479</v>
      </c>
      <c r="D1074" s="1" t="s">
        <v>1487</v>
      </c>
      <c r="E1074" s="0" t="s">
        <v>1488</v>
      </c>
      <c r="F1074" s="0" t="s">
        <v>49</v>
      </c>
      <c r="G1074" s="0" t="s">
        <v>7284</v>
      </c>
      <c r="I1074" s="6" t="n">
        <v>0.763888888888889</v>
      </c>
      <c r="J1074" s="6" t="n">
        <v>0.777777777777778</v>
      </c>
      <c r="L1074" s="0" t="n">
        <v>60</v>
      </c>
      <c r="M1074" s="7" t="s">
        <v>7285</v>
      </c>
      <c r="N1074" s="7" t="s">
        <v>7286</v>
      </c>
      <c r="O1074" s="7"/>
      <c r="P1074" s="7" t="s">
        <v>7287</v>
      </c>
      <c r="Q1074" s="2" t="n">
        <v>43311</v>
      </c>
      <c r="S1074" s="0" t="n">
        <f aca="false">YEAR(Q1074)</f>
        <v>2018</v>
      </c>
      <c r="T1074" s="0" t="n">
        <f aca="false">MONTH(Q1074)</f>
        <v>7</v>
      </c>
    </row>
    <row r="1075" customFormat="false" ht="42.75" hidden="true" customHeight="false" outlineLevel="0" collapsed="false">
      <c r="A1075" s="0" t="n">
        <v>1074</v>
      </c>
      <c r="B1075" s="1" t="s">
        <v>904</v>
      </c>
      <c r="C1075" s="1" t="s">
        <v>1479</v>
      </c>
      <c r="D1075" s="1" t="s">
        <v>1496</v>
      </c>
      <c r="E1075" s="0" t="s">
        <v>38</v>
      </c>
      <c r="F1075" s="0" t="s">
        <v>50</v>
      </c>
      <c r="G1075" s="0" t="s">
        <v>7288</v>
      </c>
      <c r="I1075" s="6" t="n">
        <v>0</v>
      </c>
      <c r="J1075" s="6" t="n">
        <v>0.00555555555555556</v>
      </c>
      <c r="K1075" s="0" t="n">
        <v>14</v>
      </c>
      <c r="L1075" s="0" t="n">
        <v>16</v>
      </c>
      <c r="M1075" s="7" t="s">
        <v>7289</v>
      </c>
      <c r="N1075" s="7" t="s">
        <v>7290</v>
      </c>
      <c r="O1075" s="7"/>
      <c r="P1075" s="7" t="s">
        <v>7291</v>
      </c>
      <c r="Q1075" s="2" t="n">
        <v>43311</v>
      </c>
      <c r="S1075" s="0" t="n">
        <f aca="false">YEAR(Q1075)</f>
        <v>2018</v>
      </c>
      <c r="T1075" s="0" t="n">
        <f aca="false">MONTH(Q1075)</f>
        <v>7</v>
      </c>
    </row>
    <row r="1076" customFormat="false" ht="28.5" hidden="true" customHeight="false" outlineLevel="0" collapsed="false">
      <c r="A1076" s="0" t="n">
        <v>1075</v>
      </c>
      <c r="B1076" s="1" t="s">
        <v>904</v>
      </c>
      <c r="C1076" s="1" t="s">
        <v>1503</v>
      </c>
      <c r="D1076" s="1" t="s">
        <v>1648</v>
      </c>
      <c r="E1076" s="0" t="s">
        <v>1648</v>
      </c>
      <c r="F1076" s="0" t="s">
        <v>50</v>
      </c>
      <c r="G1076" s="0" t="s">
        <v>7292</v>
      </c>
      <c r="I1076" s="6" t="n">
        <v>0.159722222222222</v>
      </c>
      <c r="J1076" s="6" t="n">
        <v>0.170138888888889</v>
      </c>
      <c r="K1076" s="0" t="n">
        <v>0</v>
      </c>
      <c r="L1076" s="0" t="n">
        <v>70</v>
      </c>
      <c r="M1076" s="7" t="s">
        <v>7293</v>
      </c>
      <c r="N1076" s="7" t="s">
        <v>7294</v>
      </c>
      <c r="O1076" s="7"/>
      <c r="P1076" s="7" t="s">
        <v>7295</v>
      </c>
      <c r="Q1076" s="2" t="n">
        <v>43311</v>
      </c>
      <c r="S1076" s="0" t="n">
        <f aca="false">YEAR(Q1076)</f>
        <v>2018</v>
      </c>
      <c r="T1076" s="0" t="n">
        <f aca="false">MONTH(Q1076)</f>
        <v>7</v>
      </c>
    </row>
    <row r="1077" customFormat="false" ht="28.5" hidden="true" customHeight="false" outlineLevel="0" collapsed="false">
      <c r="A1077" s="0" t="n">
        <v>1076</v>
      </c>
      <c r="B1077" s="1" t="s">
        <v>905</v>
      </c>
      <c r="C1077" s="1" t="s">
        <v>1479</v>
      </c>
      <c r="D1077" s="1" t="s">
        <v>1496</v>
      </c>
      <c r="E1077" s="0" t="s">
        <v>38</v>
      </c>
      <c r="F1077" s="0" t="s">
        <v>48</v>
      </c>
      <c r="G1077" s="0" t="s">
        <v>7296</v>
      </c>
      <c r="I1077" s="6" t="n">
        <v>0</v>
      </c>
      <c r="J1077" s="6" t="n">
        <v>0.445833333333333</v>
      </c>
      <c r="L1077" s="0" t="n">
        <v>20</v>
      </c>
      <c r="M1077" s="7" t="s">
        <v>7297</v>
      </c>
      <c r="N1077" s="7" t="s">
        <v>7298</v>
      </c>
      <c r="O1077" s="7"/>
      <c r="P1077" s="7" t="s">
        <v>7299</v>
      </c>
      <c r="Q1077" s="2" t="n">
        <v>43314</v>
      </c>
      <c r="S1077" s="0" t="n">
        <f aca="false">YEAR(Q1077)</f>
        <v>2018</v>
      </c>
      <c r="T1077" s="0" t="n">
        <f aca="false">MONTH(Q1077)</f>
        <v>8</v>
      </c>
    </row>
    <row r="1078" customFormat="false" ht="28.5" hidden="true" customHeight="false" outlineLevel="0" collapsed="false">
      <c r="A1078" s="0" t="n">
        <v>1077</v>
      </c>
      <c r="B1078" s="1" t="s">
        <v>905</v>
      </c>
      <c r="C1078" s="1" t="s">
        <v>1503</v>
      </c>
      <c r="D1078" s="1" t="s">
        <v>1504</v>
      </c>
      <c r="E1078" s="0" t="s">
        <v>45</v>
      </c>
      <c r="F1078" s="0" t="s">
        <v>48</v>
      </c>
      <c r="G1078" s="0" t="s">
        <v>7249</v>
      </c>
      <c r="M1078" s="7" t="s">
        <v>7250</v>
      </c>
      <c r="N1078" s="7" t="s">
        <v>7251</v>
      </c>
      <c r="O1078" s="7"/>
      <c r="P1078" s="7" t="s">
        <v>7300</v>
      </c>
      <c r="Q1078" s="2" t="n">
        <v>43314</v>
      </c>
      <c r="S1078" s="0" t="n">
        <f aca="false">YEAR(Q1078)</f>
        <v>2018</v>
      </c>
      <c r="T1078" s="0" t="n">
        <f aca="false">MONTH(Q1078)</f>
        <v>8</v>
      </c>
    </row>
    <row r="1079" customFormat="false" ht="28.5" hidden="true" customHeight="false" outlineLevel="0" collapsed="false">
      <c r="A1079" s="0" t="n">
        <v>1078</v>
      </c>
      <c r="B1079" s="1" t="s">
        <v>905</v>
      </c>
      <c r="C1079" s="1" t="s">
        <v>1503</v>
      </c>
      <c r="D1079" s="1" t="s">
        <v>1504</v>
      </c>
      <c r="E1079" s="0" t="s">
        <v>45</v>
      </c>
      <c r="F1079" s="0" t="s">
        <v>48</v>
      </c>
      <c r="G1079" s="0" t="s">
        <v>7301</v>
      </c>
      <c r="J1079" s="6" t="n">
        <v>0.5625</v>
      </c>
      <c r="M1079" s="7" t="s">
        <v>7302</v>
      </c>
      <c r="N1079" s="7" t="s">
        <v>7303</v>
      </c>
      <c r="O1079" s="7"/>
      <c r="P1079" s="7" t="s">
        <v>7304</v>
      </c>
      <c r="Q1079" s="2" t="n">
        <v>43314</v>
      </c>
      <c r="S1079" s="0" t="n">
        <f aca="false">YEAR(Q1079)</f>
        <v>2018</v>
      </c>
      <c r="T1079" s="0" t="n">
        <f aca="false">MONTH(Q1079)</f>
        <v>8</v>
      </c>
    </row>
    <row r="1080" customFormat="false" ht="28.5" hidden="true" customHeight="false" outlineLevel="0" collapsed="false">
      <c r="A1080" s="0" t="n">
        <v>1079</v>
      </c>
      <c r="B1080" s="1" t="s">
        <v>905</v>
      </c>
      <c r="C1080" s="1" t="s">
        <v>1479</v>
      </c>
      <c r="D1080" s="1" t="s">
        <v>1487</v>
      </c>
      <c r="E1080" s="0" t="s">
        <v>1488</v>
      </c>
      <c r="F1080" s="0" t="s">
        <v>48</v>
      </c>
      <c r="G1080" s="0" t="s">
        <v>7253</v>
      </c>
      <c r="I1080" s="6" t="n">
        <v>0.147916666666667</v>
      </c>
      <c r="J1080" s="6" t="n">
        <v>0</v>
      </c>
      <c r="L1080" s="0" t="n">
        <v>60</v>
      </c>
      <c r="M1080" s="7" t="s">
        <v>7305</v>
      </c>
      <c r="N1080" s="7" t="s">
        <v>7255</v>
      </c>
      <c r="O1080" s="7"/>
      <c r="P1080" s="7" t="s">
        <v>7306</v>
      </c>
      <c r="Q1080" s="2" t="n">
        <v>43314</v>
      </c>
      <c r="S1080" s="0" t="n">
        <f aca="false">YEAR(Q1080)</f>
        <v>2018</v>
      </c>
      <c r="T1080" s="0" t="n">
        <f aca="false">MONTH(Q1080)</f>
        <v>8</v>
      </c>
    </row>
    <row r="1081" customFormat="false" ht="42.75" hidden="true" customHeight="false" outlineLevel="0" collapsed="false">
      <c r="A1081" s="0" t="n">
        <v>1080</v>
      </c>
      <c r="B1081" s="1" t="s">
        <v>905</v>
      </c>
      <c r="C1081" s="1" t="s">
        <v>1479</v>
      </c>
      <c r="D1081" s="1" t="s">
        <v>1487</v>
      </c>
      <c r="E1081" s="0" t="s">
        <v>1488</v>
      </c>
      <c r="F1081" s="0" t="s">
        <v>48</v>
      </c>
      <c r="G1081" s="0" t="s">
        <v>7257</v>
      </c>
      <c r="I1081" s="6" t="n">
        <v>0.189583333333333</v>
      </c>
      <c r="J1081" s="6" t="n">
        <v>0</v>
      </c>
      <c r="L1081" s="0" t="n">
        <v>100</v>
      </c>
      <c r="M1081" s="7" t="s">
        <v>7258</v>
      </c>
      <c r="N1081" s="7" t="s">
        <v>7259</v>
      </c>
      <c r="O1081" s="7"/>
      <c r="P1081" s="7" t="s">
        <v>7307</v>
      </c>
      <c r="Q1081" s="2" t="n">
        <v>43314</v>
      </c>
      <c r="S1081" s="0" t="n">
        <f aca="false">YEAR(Q1081)</f>
        <v>2018</v>
      </c>
      <c r="T1081" s="0" t="n">
        <f aca="false">MONTH(Q1081)</f>
        <v>8</v>
      </c>
    </row>
    <row r="1082" customFormat="false" ht="28.5" hidden="true" customHeight="false" outlineLevel="0" collapsed="false">
      <c r="A1082" s="0" t="n">
        <v>1081</v>
      </c>
      <c r="B1082" s="1" t="s">
        <v>905</v>
      </c>
      <c r="C1082" s="1" t="s">
        <v>1479</v>
      </c>
      <c r="D1082" s="1" t="s">
        <v>1487</v>
      </c>
      <c r="E1082" s="0" t="s">
        <v>1488</v>
      </c>
      <c r="F1082" s="0" t="s">
        <v>50</v>
      </c>
      <c r="G1082" s="0" t="s">
        <v>7253</v>
      </c>
      <c r="I1082" s="6" t="n">
        <v>0.147916666666667</v>
      </c>
      <c r="J1082" s="6" t="n">
        <v>0.166666666666667</v>
      </c>
      <c r="L1082" s="0" t="n">
        <v>60</v>
      </c>
      <c r="M1082" s="7" t="s">
        <v>7305</v>
      </c>
      <c r="N1082" s="7" t="s">
        <v>7255</v>
      </c>
      <c r="O1082" s="7"/>
      <c r="P1082" s="7" t="s">
        <v>7256</v>
      </c>
      <c r="Q1082" s="2" t="n">
        <v>43314</v>
      </c>
      <c r="S1082" s="0" t="n">
        <f aca="false">YEAR(Q1082)</f>
        <v>2018</v>
      </c>
      <c r="T1082" s="0" t="n">
        <f aca="false">MONTH(Q1082)</f>
        <v>8</v>
      </c>
    </row>
    <row r="1083" customFormat="false" ht="28.5" hidden="true" customHeight="false" outlineLevel="0" collapsed="false">
      <c r="A1083" s="0" t="n">
        <v>1082</v>
      </c>
      <c r="B1083" s="1" t="s">
        <v>905</v>
      </c>
      <c r="C1083" s="1" t="s">
        <v>1479</v>
      </c>
      <c r="D1083" s="1" t="s">
        <v>1487</v>
      </c>
      <c r="E1083" s="0" t="s">
        <v>1488</v>
      </c>
      <c r="F1083" s="0" t="s">
        <v>50</v>
      </c>
      <c r="G1083" s="0" t="s">
        <v>7257</v>
      </c>
      <c r="I1083" s="6" t="n">
        <v>0.189583333333333</v>
      </c>
      <c r="J1083" s="6" t="n">
        <v>0.236111111111111</v>
      </c>
      <c r="M1083" s="7" t="s">
        <v>7258</v>
      </c>
      <c r="N1083" s="7" t="s">
        <v>7259</v>
      </c>
      <c r="O1083" s="7"/>
      <c r="P1083" s="7" t="s">
        <v>7260</v>
      </c>
      <c r="Q1083" s="2" t="n">
        <v>43314</v>
      </c>
      <c r="S1083" s="0" t="n">
        <f aca="false">YEAR(Q1083)</f>
        <v>2018</v>
      </c>
      <c r="T1083" s="0" t="n">
        <f aca="false">MONTH(Q1083)</f>
        <v>8</v>
      </c>
    </row>
    <row r="1084" customFormat="false" ht="42.75" hidden="true" customHeight="false" outlineLevel="0" collapsed="false">
      <c r="A1084" s="0" t="n">
        <v>1083</v>
      </c>
      <c r="B1084" s="1" t="s">
        <v>906</v>
      </c>
      <c r="C1084" s="1" t="s">
        <v>1479</v>
      </c>
      <c r="D1084" s="1" t="s">
        <v>1487</v>
      </c>
      <c r="E1084" s="0" t="s">
        <v>1488</v>
      </c>
      <c r="F1084" s="0" t="s">
        <v>48</v>
      </c>
      <c r="G1084" s="0" t="s">
        <v>7257</v>
      </c>
      <c r="I1084" s="6" t="n">
        <v>0.189583333333333</v>
      </c>
      <c r="L1084" s="0" t="n">
        <v>100</v>
      </c>
      <c r="M1084" s="7" t="s">
        <v>7258</v>
      </c>
      <c r="N1084" s="7" t="s">
        <v>7259</v>
      </c>
      <c r="O1084" s="7"/>
      <c r="P1084" s="7" t="s">
        <v>7307</v>
      </c>
      <c r="Q1084" s="2" t="n">
        <v>43315</v>
      </c>
      <c r="S1084" s="0" t="n">
        <f aca="false">YEAR(Q1084)</f>
        <v>2018</v>
      </c>
      <c r="T1084" s="0" t="n">
        <f aca="false">MONTH(Q1084)</f>
        <v>8</v>
      </c>
    </row>
    <row r="1085" customFormat="false" ht="28.5" hidden="true" customHeight="false" outlineLevel="0" collapsed="false">
      <c r="A1085" s="0" t="n">
        <v>1084</v>
      </c>
      <c r="B1085" s="1" t="s">
        <v>906</v>
      </c>
      <c r="C1085" s="1" t="s">
        <v>1479</v>
      </c>
      <c r="D1085" s="1" t="s">
        <v>1487</v>
      </c>
      <c r="E1085" s="0" t="s">
        <v>1488</v>
      </c>
      <c r="F1085" s="0" t="s">
        <v>48</v>
      </c>
      <c r="G1085" s="0" t="s">
        <v>7253</v>
      </c>
      <c r="I1085" s="6" t="n">
        <v>0.147916666666667</v>
      </c>
      <c r="L1085" s="0" t="n">
        <v>60</v>
      </c>
      <c r="M1085" s="7" t="s">
        <v>7305</v>
      </c>
      <c r="N1085" s="7" t="s">
        <v>7255</v>
      </c>
      <c r="O1085" s="7"/>
      <c r="P1085" s="7" t="s">
        <v>7306</v>
      </c>
      <c r="Q1085" s="2" t="n">
        <v>43315</v>
      </c>
      <c r="S1085" s="0" t="n">
        <f aca="false">YEAR(Q1085)</f>
        <v>2018</v>
      </c>
      <c r="T1085" s="0" t="n">
        <f aca="false">MONTH(Q1085)</f>
        <v>8</v>
      </c>
    </row>
    <row r="1086" customFormat="false" ht="28.5" hidden="true" customHeight="false" outlineLevel="0" collapsed="false">
      <c r="A1086" s="0" t="n">
        <v>1085</v>
      </c>
      <c r="B1086" s="1" t="s">
        <v>906</v>
      </c>
      <c r="C1086" s="1" t="s">
        <v>1479</v>
      </c>
      <c r="D1086" s="1" t="s">
        <v>1487</v>
      </c>
      <c r="E1086" s="0" t="s">
        <v>1488</v>
      </c>
      <c r="F1086" s="0" t="s">
        <v>48</v>
      </c>
      <c r="G1086" s="0" t="s">
        <v>7308</v>
      </c>
      <c r="I1086" s="6" t="n">
        <v>0.545138888888889</v>
      </c>
      <c r="J1086" s="6" t="n">
        <v>0.569444444444444</v>
      </c>
      <c r="L1086" s="0" t="n">
        <v>40</v>
      </c>
      <c r="M1086" s="7" t="s">
        <v>7309</v>
      </c>
      <c r="N1086" s="7" t="s">
        <v>6558</v>
      </c>
      <c r="O1086" s="7"/>
      <c r="P1086" s="7" t="s">
        <v>7310</v>
      </c>
      <c r="Q1086" s="2" t="n">
        <v>43315</v>
      </c>
      <c r="S1086" s="0" t="n">
        <f aca="false">YEAR(Q1086)</f>
        <v>2018</v>
      </c>
      <c r="T1086" s="0" t="n">
        <f aca="false">MONTH(Q1086)</f>
        <v>8</v>
      </c>
    </row>
    <row r="1087" customFormat="false" ht="14.25" hidden="true" customHeight="false" outlineLevel="0" collapsed="false">
      <c r="A1087" s="0" t="n">
        <v>1086</v>
      </c>
      <c r="B1087" s="1" t="s">
        <v>906</v>
      </c>
      <c r="Q1087" s="2" t="n">
        <v>43315</v>
      </c>
      <c r="S1087" s="0" t="n">
        <f aca="false">YEAR(Q1087)</f>
        <v>2018</v>
      </c>
      <c r="T1087" s="0" t="n">
        <f aca="false">MONTH(Q1087)</f>
        <v>8</v>
      </c>
    </row>
    <row r="1088" customFormat="false" ht="57" hidden="true" customHeight="false" outlineLevel="0" collapsed="false">
      <c r="A1088" s="0" t="n">
        <v>1087</v>
      </c>
      <c r="B1088" s="1" t="s">
        <v>907</v>
      </c>
      <c r="C1088" s="1" t="s">
        <v>1479</v>
      </c>
      <c r="D1088" s="1" t="s">
        <v>1535</v>
      </c>
      <c r="E1088" s="0" t="s">
        <v>39</v>
      </c>
      <c r="F1088" s="0" t="s">
        <v>49</v>
      </c>
      <c r="G1088" s="0" t="s">
        <v>7311</v>
      </c>
      <c r="I1088" s="6" t="n">
        <v>0.564583333333333</v>
      </c>
      <c r="J1088" s="6" t="n">
        <v>0.571527777777778</v>
      </c>
      <c r="K1088" s="0" t="n">
        <v>15</v>
      </c>
      <c r="L1088" s="0" t="n">
        <v>16</v>
      </c>
      <c r="M1088" s="7" t="s">
        <v>7312</v>
      </c>
      <c r="N1088" s="7" t="s">
        <v>7313</v>
      </c>
      <c r="O1088" s="7"/>
      <c r="P1088" s="7" t="s">
        <v>7314</v>
      </c>
      <c r="Q1088" s="2" t="n">
        <v>43316</v>
      </c>
      <c r="S1088" s="0" t="n">
        <f aca="false">YEAR(Q1088)</f>
        <v>2018</v>
      </c>
      <c r="T1088" s="0" t="n">
        <f aca="false">MONTH(Q1088)</f>
        <v>8</v>
      </c>
    </row>
    <row r="1089" customFormat="false" ht="42.75" hidden="true" customHeight="false" outlineLevel="0" collapsed="false">
      <c r="A1089" s="0" t="n">
        <v>1088</v>
      </c>
      <c r="B1089" s="1" t="s">
        <v>908</v>
      </c>
      <c r="C1089" s="1" t="s">
        <v>1479</v>
      </c>
      <c r="D1089" s="1" t="s">
        <v>1535</v>
      </c>
      <c r="E1089" s="0" t="s">
        <v>39</v>
      </c>
      <c r="F1089" s="0" t="s">
        <v>50</v>
      </c>
      <c r="G1089" s="0" t="s">
        <v>7315</v>
      </c>
      <c r="I1089" s="6" t="n">
        <v>0.922916666666667</v>
      </c>
      <c r="J1089" s="6" t="n">
        <v>0.923611111111111</v>
      </c>
      <c r="K1089" s="0" t="n">
        <v>7</v>
      </c>
      <c r="M1089" s="7" t="s">
        <v>7316</v>
      </c>
      <c r="N1089" s="7" t="s">
        <v>7317</v>
      </c>
      <c r="O1089" s="7"/>
      <c r="P1089" s="0" t="s">
        <v>7318</v>
      </c>
      <c r="Q1089" s="2" t="n">
        <v>43317</v>
      </c>
      <c r="S1089" s="0" t="n">
        <f aca="false">YEAR(Q1089)</f>
        <v>2018</v>
      </c>
      <c r="T1089" s="0" t="n">
        <f aca="false">MONTH(Q1089)</f>
        <v>8</v>
      </c>
    </row>
    <row r="1090" customFormat="false" ht="42.75" hidden="true" customHeight="false" outlineLevel="0" collapsed="false">
      <c r="A1090" s="0" t="n">
        <v>1089</v>
      </c>
      <c r="B1090" s="1" t="s">
        <v>908</v>
      </c>
      <c r="C1090" s="1" t="s">
        <v>1479</v>
      </c>
      <c r="D1090" s="1" t="s">
        <v>1487</v>
      </c>
      <c r="E1090" s="4" t="s">
        <v>1488</v>
      </c>
      <c r="F1090" s="0" t="s">
        <v>50</v>
      </c>
      <c r="G1090" s="0" t="s">
        <v>7319</v>
      </c>
      <c r="I1090" s="6" t="n">
        <v>0.928472222222222</v>
      </c>
      <c r="J1090" s="6" t="n">
        <v>0.96875</v>
      </c>
      <c r="K1090" s="0" t="n">
        <v>20</v>
      </c>
      <c r="L1090" s="0" t="n">
        <v>70</v>
      </c>
      <c r="M1090" s="7" t="s">
        <v>7320</v>
      </c>
      <c r="N1090" s="7" t="s">
        <v>7321</v>
      </c>
      <c r="O1090" s="7"/>
      <c r="P1090" s="7" t="s">
        <v>7322</v>
      </c>
      <c r="Q1090" s="2" t="n">
        <v>43317</v>
      </c>
      <c r="S1090" s="0" t="n">
        <f aca="false">YEAR(Q1090)</f>
        <v>2018</v>
      </c>
      <c r="T1090" s="0" t="n">
        <f aca="false">MONTH(Q1090)</f>
        <v>8</v>
      </c>
    </row>
    <row r="1091" customFormat="false" ht="42.75" hidden="true" customHeight="false" outlineLevel="0" collapsed="false">
      <c r="A1091" s="0" t="n">
        <v>1090</v>
      </c>
      <c r="B1091" s="1" t="s">
        <v>908</v>
      </c>
      <c r="C1091" s="1" t="s">
        <v>1479</v>
      </c>
      <c r="D1091" s="1" t="s">
        <v>1535</v>
      </c>
      <c r="E1091" s="0" t="s">
        <v>39</v>
      </c>
      <c r="F1091" s="0" t="s">
        <v>50</v>
      </c>
      <c r="G1091" s="0" t="s">
        <v>7323</v>
      </c>
      <c r="J1091" s="6" t="n">
        <v>0.0416666666666667</v>
      </c>
      <c r="K1091" s="0" t="n">
        <v>0</v>
      </c>
      <c r="M1091" s="7" t="s">
        <v>7324</v>
      </c>
      <c r="N1091" s="7" t="s">
        <v>7325</v>
      </c>
      <c r="O1091" s="7"/>
      <c r="P1091" s="7" t="s">
        <v>7326</v>
      </c>
      <c r="Q1091" s="2" t="n">
        <v>43317</v>
      </c>
      <c r="S1091" s="0" t="n">
        <f aca="false">YEAR(Q1091)</f>
        <v>2018</v>
      </c>
      <c r="T1091" s="0" t="n">
        <f aca="false">MONTH(Q1091)</f>
        <v>8</v>
      </c>
    </row>
    <row r="1092" customFormat="false" ht="42.75" hidden="true" customHeight="false" outlineLevel="0" collapsed="false">
      <c r="A1092" s="0" t="n">
        <v>1091</v>
      </c>
      <c r="B1092" s="1" t="s">
        <v>909</v>
      </c>
      <c r="C1092" s="1" t="s">
        <v>1479</v>
      </c>
      <c r="D1092" s="1" t="s">
        <v>1487</v>
      </c>
      <c r="E1092" s="0" t="s">
        <v>1488</v>
      </c>
      <c r="F1092" s="0" t="s">
        <v>48</v>
      </c>
      <c r="G1092" s="0" t="s">
        <v>7327</v>
      </c>
      <c r="I1092" s="6" t="n">
        <v>0.366666666666667</v>
      </c>
      <c r="J1092" s="6" t="n">
        <v>0.380555555555556</v>
      </c>
      <c r="L1092" s="0" t="n">
        <v>60</v>
      </c>
      <c r="M1092" s="7" t="s">
        <v>7328</v>
      </c>
      <c r="N1092" s="7" t="s">
        <v>7329</v>
      </c>
      <c r="O1092" s="7"/>
      <c r="P1092" s="7" t="s">
        <v>7330</v>
      </c>
      <c r="Q1092" s="2" t="n">
        <v>43318</v>
      </c>
      <c r="S1092" s="0" t="n">
        <f aca="false">YEAR(Q1092)</f>
        <v>2018</v>
      </c>
      <c r="T1092" s="0" t="n">
        <f aca="false">MONTH(Q1092)</f>
        <v>8</v>
      </c>
    </row>
    <row r="1093" customFormat="false" ht="28.5" hidden="true" customHeight="false" outlineLevel="0" collapsed="false">
      <c r="A1093" s="0" t="n">
        <v>1092</v>
      </c>
      <c r="B1093" s="1" t="s">
        <v>909</v>
      </c>
      <c r="C1093" s="1" t="s">
        <v>1479</v>
      </c>
      <c r="D1093" s="1" t="s">
        <v>1535</v>
      </c>
      <c r="E1093" s="0" t="s">
        <v>39</v>
      </c>
      <c r="F1093" s="0" t="s">
        <v>49</v>
      </c>
      <c r="G1093" s="0" t="s">
        <v>7331</v>
      </c>
      <c r="I1093" s="6" t="n">
        <v>0.614583333333333</v>
      </c>
      <c r="J1093" s="6" t="n">
        <v>0.618055555555556</v>
      </c>
      <c r="K1093" s="0" t="n">
        <v>2</v>
      </c>
      <c r="M1093" s="7" t="s">
        <v>7332</v>
      </c>
      <c r="N1093" s="7" t="s">
        <v>7333</v>
      </c>
      <c r="O1093" s="7"/>
      <c r="P1093" s="7" t="s">
        <v>7334</v>
      </c>
      <c r="Q1093" s="2" t="n">
        <v>43318</v>
      </c>
      <c r="S1093" s="0" t="n">
        <f aca="false">YEAR(Q1093)</f>
        <v>2018</v>
      </c>
      <c r="T1093" s="0" t="n">
        <f aca="false">MONTH(Q1093)</f>
        <v>8</v>
      </c>
    </row>
    <row r="1094" customFormat="false" ht="28.5" hidden="true" customHeight="false" outlineLevel="0" collapsed="false">
      <c r="A1094" s="0" t="n">
        <v>1093</v>
      </c>
      <c r="B1094" s="1" t="s">
        <v>909</v>
      </c>
      <c r="C1094" s="1" t="s">
        <v>1479</v>
      </c>
      <c r="D1094" s="1" t="s">
        <v>1496</v>
      </c>
      <c r="E1094" s="0" t="s">
        <v>38</v>
      </c>
      <c r="F1094" s="0" t="s">
        <v>49</v>
      </c>
      <c r="G1094" s="0" t="s">
        <v>7335</v>
      </c>
      <c r="I1094" s="6" t="n">
        <v>0.6875</v>
      </c>
      <c r="J1094" s="6" t="n">
        <v>0.701388888888889</v>
      </c>
      <c r="K1094" s="0" t="s">
        <v>7336</v>
      </c>
      <c r="L1094" s="0" t="n">
        <v>75</v>
      </c>
      <c r="M1094" s="7" t="s">
        <v>7337</v>
      </c>
      <c r="N1094" s="7" t="s">
        <v>7338</v>
      </c>
      <c r="O1094" s="7"/>
      <c r="P1094" s="7" t="s">
        <v>7339</v>
      </c>
      <c r="Q1094" s="2" t="n">
        <v>43318</v>
      </c>
      <c r="S1094" s="0" t="n">
        <f aca="false">YEAR(Q1094)</f>
        <v>2018</v>
      </c>
      <c r="T1094" s="0" t="n">
        <f aca="false">MONTH(Q1094)</f>
        <v>8</v>
      </c>
    </row>
    <row r="1095" customFormat="false" ht="28.5" hidden="true" customHeight="false" outlineLevel="0" collapsed="false">
      <c r="A1095" s="0" t="n">
        <v>1094</v>
      </c>
      <c r="B1095" s="1" t="s">
        <v>909</v>
      </c>
      <c r="C1095" s="1" t="s">
        <v>1495</v>
      </c>
      <c r="D1095" s="1" t="s">
        <v>1496</v>
      </c>
      <c r="E1095" s="0" t="s">
        <v>41</v>
      </c>
      <c r="F1095" s="0" t="s">
        <v>49</v>
      </c>
      <c r="G1095" s="0" t="s">
        <v>7340</v>
      </c>
      <c r="J1095" s="6" t="n">
        <v>0.625</v>
      </c>
      <c r="M1095" s="7" t="s">
        <v>7341</v>
      </c>
      <c r="N1095" s="7" t="s">
        <v>7342</v>
      </c>
      <c r="O1095" s="7"/>
      <c r="P1095" s="7" t="s">
        <v>7343</v>
      </c>
      <c r="Q1095" s="2" t="n">
        <v>43318</v>
      </c>
      <c r="S1095" s="0" t="n">
        <f aca="false">YEAR(Q1095)</f>
        <v>2018</v>
      </c>
      <c r="T1095" s="0" t="n">
        <f aca="false">MONTH(Q1095)</f>
        <v>8</v>
      </c>
    </row>
    <row r="1096" customFormat="false" ht="42.75" hidden="true" customHeight="false" outlineLevel="0" collapsed="false">
      <c r="A1096" s="0" t="n">
        <v>1095</v>
      </c>
      <c r="B1096" s="1" t="s">
        <v>909</v>
      </c>
      <c r="C1096" s="1" t="s">
        <v>1479</v>
      </c>
      <c r="D1096" s="1" t="s">
        <v>1535</v>
      </c>
      <c r="E1096" s="0" t="s">
        <v>39</v>
      </c>
      <c r="F1096" s="0" t="s">
        <v>49</v>
      </c>
      <c r="G1096" s="0" t="s">
        <v>7344</v>
      </c>
      <c r="I1096" s="6" t="n">
        <v>0.767361111111111</v>
      </c>
      <c r="J1096" s="6" t="n">
        <v>0.772916666666667</v>
      </c>
      <c r="M1096" s="7" t="s">
        <v>7345</v>
      </c>
      <c r="N1096" s="7" t="s">
        <v>7346</v>
      </c>
      <c r="O1096" s="7"/>
      <c r="P1096" s="7" t="s">
        <v>7347</v>
      </c>
      <c r="Q1096" s="2" t="n">
        <v>43318</v>
      </c>
      <c r="S1096" s="0" t="n">
        <f aca="false">YEAR(Q1096)</f>
        <v>2018</v>
      </c>
      <c r="T1096" s="0" t="n">
        <f aca="false">MONTH(Q1096)</f>
        <v>8</v>
      </c>
    </row>
    <row r="1097" customFormat="false" ht="42.75" hidden="true" customHeight="false" outlineLevel="0" collapsed="false">
      <c r="A1097" s="0" t="n">
        <v>1096</v>
      </c>
      <c r="B1097" s="1" t="s">
        <v>911</v>
      </c>
      <c r="C1097" s="1" t="s">
        <v>1479</v>
      </c>
      <c r="D1097" s="1" t="s">
        <v>1487</v>
      </c>
      <c r="E1097" s="0" t="s">
        <v>1488</v>
      </c>
      <c r="F1097" s="0" t="s">
        <v>48</v>
      </c>
      <c r="G1097" s="0" t="s">
        <v>7348</v>
      </c>
      <c r="I1097" s="6" t="n">
        <v>0.239583333333333</v>
      </c>
      <c r="J1097" s="6" t="n">
        <v>0.25</v>
      </c>
      <c r="L1097" s="0" t="n">
        <v>35</v>
      </c>
      <c r="M1097" s="7" t="s">
        <v>7349</v>
      </c>
      <c r="N1097" s="7" t="s">
        <v>7350</v>
      </c>
      <c r="O1097" s="7"/>
      <c r="P1097" s="7" t="s">
        <v>7351</v>
      </c>
      <c r="Q1097" s="2" t="n">
        <v>43319</v>
      </c>
      <c r="S1097" s="0" t="n">
        <f aca="false">YEAR(Q1097)</f>
        <v>2018</v>
      </c>
      <c r="T1097" s="0" t="n">
        <f aca="false">MONTH(Q1097)</f>
        <v>8</v>
      </c>
    </row>
    <row r="1098" customFormat="false" ht="28.5" hidden="true" customHeight="false" outlineLevel="0" collapsed="false">
      <c r="A1098" s="0" t="n">
        <v>1097</v>
      </c>
      <c r="B1098" s="1" t="s">
        <v>911</v>
      </c>
      <c r="C1098" s="1" t="s">
        <v>1503</v>
      </c>
      <c r="D1098" s="1" t="s">
        <v>1535</v>
      </c>
      <c r="E1098" s="0" t="s">
        <v>44</v>
      </c>
      <c r="F1098" s="0" t="s">
        <v>48</v>
      </c>
      <c r="G1098" s="0" t="s">
        <v>7352</v>
      </c>
      <c r="J1098" s="6" t="n">
        <v>0.324305555555556</v>
      </c>
      <c r="M1098" s="7" t="s">
        <v>7353</v>
      </c>
      <c r="N1098" s="7" t="s">
        <v>7354</v>
      </c>
      <c r="O1098" s="7"/>
      <c r="P1098" s="7" t="s">
        <v>7355</v>
      </c>
      <c r="Q1098" s="2" t="n">
        <v>43319</v>
      </c>
      <c r="S1098" s="0" t="n">
        <f aca="false">YEAR(Q1098)</f>
        <v>2018</v>
      </c>
      <c r="T1098" s="0" t="n">
        <f aca="false">MONTH(Q1098)</f>
        <v>8</v>
      </c>
    </row>
    <row r="1099" customFormat="false" ht="28.5" hidden="true" customHeight="false" outlineLevel="0" collapsed="false">
      <c r="A1099" s="0" t="n">
        <v>1098</v>
      </c>
      <c r="B1099" s="1" t="s">
        <v>911</v>
      </c>
      <c r="C1099" s="1" t="s">
        <v>1503</v>
      </c>
      <c r="D1099" s="1" t="s">
        <v>1535</v>
      </c>
      <c r="E1099" s="0" t="s">
        <v>44</v>
      </c>
      <c r="F1099" s="0" t="s">
        <v>48</v>
      </c>
      <c r="G1099" s="0" t="s">
        <v>7356</v>
      </c>
      <c r="J1099" s="6" t="n">
        <v>0.395833333333333</v>
      </c>
      <c r="M1099" s="7" t="s">
        <v>7357</v>
      </c>
      <c r="N1099" s="7" t="s">
        <v>7358</v>
      </c>
      <c r="O1099" s="7"/>
      <c r="P1099" s="7" t="s">
        <v>7359</v>
      </c>
      <c r="Q1099" s="2" t="n">
        <v>43319</v>
      </c>
      <c r="S1099" s="0" t="n">
        <f aca="false">YEAR(Q1099)</f>
        <v>2018</v>
      </c>
      <c r="T1099" s="0" t="n">
        <f aca="false">MONTH(Q1099)</f>
        <v>8</v>
      </c>
    </row>
    <row r="1100" customFormat="false" ht="28.5" hidden="true" customHeight="false" outlineLevel="0" collapsed="false">
      <c r="A1100" s="0" t="n">
        <v>1099</v>
      </c>
      <c r="B1100" s="1" t="s">
        <v>911</v>
      </c>
      <c r="C1100" s="1" t="s">
        <v>1479</v>
      </c>
      <c r="D1100" s="1" t="s">
        <v>1487</v>
      </c>
      <c r="E1100" s="0" t="s">
        <v>1488</v>
      </c>
      <c r="F1100" s="0" t="s">
        <v>48</v>
      </c>
      <c r="G1100" s="0" t="s">
        <v>7360</v>
      </c>
      <c r="J1100" s="6" t="n">
        <v>0.515277777777778</v>
      </c>
      <c r="K1100" s="0" t="n">
        <v>43</v>
      </c>
      <c r="L1100" s="0" t="n">
        <v>39</v>
      </c>
      <c r="M1100" s="7" t="s">
        <v>7361</v>
      </c>
      <c r="N1100" s="7" t="s">
        <v>7362</v>
      </c>
      <c r="O1100" s="7"/>
      <c r="P1100" s="7" t="s">
        <v>7363</v>
      </c>
      <c r="Q1100" s="2" t="n">
        <v>43319</v>
      </c>
      <c r="S1100" s="0" t="n">
        <f aca="false">YEAR(Q1100)</f>
        <v>2018</v>
      </c>
      <c r="T1100" s="0" t="n">
        <f aca="false">MONTH(Q1100)</f>
        <v>8</v>
      </c>
    </row>
    <row r="1101" customFormat="false" ht="57" hidden="true" customHeight="false" outlineLevel="0" collapsed="false">
      <c r="A1101" s="0" t="n">
        <v>1100</v>
      </c>
      <c r="B1101" s="1" t="s">
        <v>911</v>
      </c>
      <c r="C1101" s="1" t="s">
        <v>1479</v>
      </c>
      <c r="D1101" s="1" t="s">
        <v>1487</v>
      </c>
      <c r="E1101" s="0" t="s">
        <v>1488</v>
      </c>
      <c r="F1101" s="0" t="s">
        <v>48</v>
      </c>
      <c r="G1101" s="0" t="s">
        <v>7364</v>
      </c>
      <c r="J1101" s="6" t="n">
        <v>0.520833333333333</v>
      </c>
      <c r="L1101" s="0" t="n">
        <v>20</v>
      </c>
      <c r="M1101" s="7" t="s">
        <v>7365</v>
      </c>
      <c r="N1101" s="7" t="s">
        <v>7366</v>
      </c>
      <c r="O1101" s="7"/>
      <c r="P1101" s="7" t="s">
        <v>7367</v>
      </c>
      <c r="Q1101" s="2" t="n">
        <v>43319</v>
      </c>
      <c r="S1101" s="0" t="n">
        <f aca="false">YEAR(Q1101)</f>
        <v>2018</v>
      </c>
      <c r="T1101" s="0" t="n">
        <f aca="false">MONTH(Q1101)</f>
        <v>8</v>
      </c>
    </row>
    <row r="1102" customFormat="false" ht="28.5" hidden="true" customHeight="false" outlineLevel="0" collapsed="false">
      <c r="A1102" s="0" t="n">
        <v>1101</v>
      </c>
      <c r="B1102" s="1" t="s">
        <v>911</v>
      </c>
      <c r="C1102" s="1" t="s">
        <v>1479</v>
      </c>
      <c r="D1102" s="1" t="s">
        <v>1487</v>
      </c>
      <c r="E1102" s="0" t="s">
        <v>1488</v>
      </c>
      <c r="F1102" s="0" t="s">
        <v>49</v>
      </c>
      <c r="G1102" s="0" t="s">
        <v>7364</v>
      </c>
      <c r="I1102" s="6" t="n">
        <v>0.881944444444444</v>
      </c>
      <c r="J1102" s="6" t="n">
        <v>0.890277777777778</v>
      </c>
      <c r="L1102" s="0" t="n">
        <v>20</v>
      </c>
      <c r="M1102" s="7" t="s">
        <v>7368</v>
      </c>
      <c r="N1102" s="7" t="s">
        <v>7369</v>
      </c>
      <c r="O1102" s="7"/>
      <c r="P1102" s="7" t="s">
        <v>7370</v>
      </c>
      <c r="Q1102" s="2" t="n">
        <v>43319</v>
      </c>
      <c r="S1102" s="0" t="n">
        <f aca="false">YEAR(Q1102)</f>
        <v>2018</v>
      </c>
      <c r="T1102" s="0" t="n">
        <f aca="false">MONTH(Q1102)</f>
        <v>8</v>
      </c>
    </row>
    <row r="1103" customFormat="false" ht="57" hidden="true" customHeight="false" outlineLevel="0" collapsed="false">
      <c r="A1103" s="0" t="n">
        <v>1102</v>
      </c>
      <c r="B1103" s="1" t="s">
        <v>911</v>
      </c>
      <c r="C1103" s="1" t="s">
        <v>1479</v>
      </c>
      <c r="D1103" s="1" t="s">
        <v>1487</v>
      </c>
      <c r="E1103" s="0" t="s">
        <v>1488</v>
      </c>
      <c r="F1103" s="0" t="s">
        <v>50</v>
      </c>
      <c r="G1103" s="0" t="s">
        <v>7371</v>
      </c>
      <c r="I1103" s="6" t="n">
        <v>0.104166666666667</v>
      </c>
      <c r="J1103" s="6" t="n">
        <v>0.131944444444444</v>
      </c>
      <c r="L1103" s="0" t="n">
        <v>70</v>
      </c>
      <c r="M1103" s="7" t="s">
        <v>7372</v>
      </c>
      <c r="N1103" s="7" t="s">
        <v>7373</v>
      </c>
      <c r="O1103" s="7"/>
      <c r="P1103" s="7" t="s">
        <v>7374</v>
      </c>
      <c r="Q1103" s="2" t="n">
        <v>43319</v>
      </c>
      <c r="S1103" s="0" t="n">
        <f aca="false">YEAR(Q1103)</f>
        <v>2018</v>
      </c>
      <c r="T1103" s="0" t="n">
        <f aca="false">MONTH(Q1103)</f>
        <v>8</v>
      </c>
    </row>
    <row r="1104" customFormat="false" ht="42.75" hidden="true" customHeight="false" outlineLevel="0" collapsed="false">
      <c r="A1104" s="0" t="n">
        <v>1103</v>
      </c>
      <c r="B1104" s="1" t="s">
        <v>913</v>
      </c>
      <c r="C1104" s="1" t="s">
        <v>1479</v>
      </c>
      <c r="D1104" s="1" t="s">
        <v>1480</v>
      </c>
      <c r="E1104" s="0" t="s">
        <v>43</v>
      </c>
      <c r="F1104" s="0" t="s">
        <v>48</v>
      </c>
      <c r="G1104" s="0" t="s">
        <v>7375</v>
      </c>
      <c r="I1104" s="6" t="n">
        <v>0.293055555555556</v>
      </c>
      <c r="J1104" s="6" t="n">
        <v>0.350694444444444</v>
      </c>
      <c r="L1104" s="0" t="s">
        <v>7376</v>
      </c>
      <c r="M1104" s="7" t="s">
        <v>7377</v>
      </c>
      <c r="N1104" s="7" t="s">
        <v>7378</v>
      </c>
      <c r="O1104" s="7"/>
      <c r="P1104" s="7" t="s">
        <v>7379</v>
      </c>
      <c r="Q1104" s="2" t="n">
        <v>43320</v>
      </c>
      <c r="S1104" s="0" t="n">
        <f aca="false">YEAR(Q1104)</f>
        <v>2018</v>
      </c>
      <c r="T1104" s="0" t="n">
        <f aca="false">MONTH(Q1104)</f>
        <v>8</v>
      </c>
    </row>
    <row r="1105" customFormat="false" ht="57" hidden="true" customHeight="false" outlineLevel="0" collapsed="false">
      <c r="A1105" s="0" t="n">
        <v>1104</v>
      </c>
      <c r="B1105" s="1" t="s">
        <v>913</v>
      </c>
      <c r="C1105" s="1" t="s">
        <v>1479</v>
      </c>
      <c r="D1105" s="1" t="s">
        <v>1487</v>
      </c>
      <c r="E1105" s="0" t="s">
        <v>1488</v>
      </c>
      <c r="F1105" s="0" t="s">
        <v>48</v>
      </c>
      <c r="G1105" s="0" t="s">
        <v>7380</v>
      </c>
      <c r="I1105" s="6" t="n">
        <v>0.5</v>
      </c>
      <c r="J1105" s="6" t="n">
        <v>0.524305555555556</v>
      </c>
      <c r="K1105" s="0" t="n">
        <v>37</v>
      </c>
      <c r="L1105" s="0" t="n">
        <v>58</v>
      </c>
      <c r="M1105" s="7" t="s">
        <v>7381</v>
      </c>
      <c r="N1105" s="7" t="s">
        <v>7382</v>
      </c>
      <c r="O1105" s="7"/>
      <c r="P1105" s="7" t="s">
        <v>7383</v>
      </c>
      <c r="Q1105" s="2" t="n">
        <v>43320</v>
      </c>
      <c r="S1105" s="0" t="n">
        <f aca="false">YEAR(Q1105)</f>
        <v>2018</v>
      </c>
      <c r="T1105" s="0" t="n">
        <f aca="false">MONTH(Q1105)</f>
        <v>8</v>
      </c>
    </row>
    <row r="1106" customFormat="false" ht="42.75" hidden="true" customHeight="false" outlineLevel="0" collapsed="false">
      <c r="A1106" s="0" t="n">
        <v>1105</v>
      </c>
      <c r="B1106" s="1" t="s">
        <v>913</v>
      </c>
      <c r="C1106" s="1" t="s">
        <v>1479</v>
      </c>
      <c r="D1106" s="1" t="s">
        <v>1487</v>
      </c>
      <c r="E1106" s="4" t="s">
        <v>1488</v>
      </c>
      <c r="F1106" s="0" t="s">
        <v>50</v>
      </c>
      <c r="G1106" s="0" t="s">
        <v>7384</v>
      </c>
      <c r="I1106" s="6" t="n">
        <v>0.986111111111111</v>
      </c>
      <c r="J1106" s="6" t="n">
        <v>0.999305555555556</v>
      </c>
      <c r="K1106" s="0" t="n">
        <v>30</v>
      </c>
      <c r="L1106" s="0" t="n">
        <v>29</v>
      </c>
      <c r="M1106" s="7" t="s">
        <v>7385</v>
      </c>
      <c r="N1106" s="7" t="s">
        <v>7386</v>
      </c>
      <c r="O1106" s="7"/>
      <c r="P1106" s="7" t="s">
        <v>7387</v>
      </c>
      <c r="Q1106" s="2" t="n">
        <v>43320</v>
      </c>
      <c r="S1106" s="0" t="n">
        <f aca="false">YEAR(Q1106)</f>
        <v>2018</v>
      </c>
      <c r="T1106" s="0" t="n">
        <f aca="false">MONTH(Q1106)</f>
        <v>8</v>
      </c>
    </row>
    <row r="1107" customFormat="false" ht="42.75" hidden="true" customHeight="false" outlineLevel="0" collapsed="false">
      <c r="A1107" s="0" t="n">
        <v>1106</v>
      </c>
      <c r="B1107" s="1" t="s">
        <v>915</v>
      </c>
      <c r="C1107" s="1" t="s">
        <v>1503</v>
      </c>
      <c r="D1107" s="1" t="s">
        <v>1535</v>
      </c>
      <c r="E1107" s="0" t="s">
        <v>44</v>
      </c>
      <c r="F1107" s="0" t="s">
        <v>48</v>
      </c>
      <c r="G1107" s="0" t="s">
        <v>7388</v>
      </c>
      <c r="I1107" s="6" t="n">
        <v>0.329861111111111</v>
      </c>
      <c r="J1107" s="6" t="n">
        <v>0.338888888888889</v>
      </c>
      <c r="K1107" s="0" t="n">
        <v>73</v>
      </c>
      <c r="L1107" s="0" t="n">
        <v>45</v>
      </c>
      <c r="M1107" s="7" t="s">
        <v>7389</v>
      </c>
      <c r="N1107" s="7" t="s">
        <v>7390</v>
      </c>
      <c r="O1107" s="7"/>
      <c r="P1107" s="7" t="s">
        <v>7391</v>
      </c>
      <c r="Q1107" s="2" t="n">
        <v>43321</v>
      </c>
      <c r="S1107" s="0" t="n">
        <f aca="false">YEAR(Q1107)</f>
        <v>2018</v>
      </c>
      <c r="T1107" s="0" t="n">
        <f aca="false">MONTH(Q1107)</f>
        <v>8</v>
      </c>
    </row>
    <row r="1108" customFormat="false" ht="28.5" hidden="true" customHeight="false" outlineLevel="0" collapsed="false">
      <c r="A1108" s="0" t="n">
        <v>1107</v>
      </c>
      <c r="B1108" s="1" t="s">
        <v>915</v>
      </c>
      <c r="C1108" s="1" t="s">
        <v>1495</v>
      </c>
      <c r="D1108" s="1" t="s">
        <v>1496</v>
      </c>
      <c r="E1108" s="0" t="s">
        <v>41</v>
      </c>
      <c r="F1108" s="0" t="s">
        <v>48</v>
      </c>
      <c r="G1108" s="0" t="s">
        <v>7392</v>
      </c>
      <c r="I1108" s="6" t="n">
        <v>0.573611111111111</v>
      </c>
      <c r="J1108" s="6" t="n">
        <v>0.583333333333333</v>
      </c>
      <c r="L1108" s="0" t="n">
        <v>160</v>
      </c>
      <c r="M1108" s="7" t="s">
        <v>7393</v>
      </c>
      <c r="N1108" s="7" t="s">
        <v>7394</v>
      </c>
      <c r="O1108" s="7"/>
      <c r="P1108" s="7" t="s">
        <v>7395</v>
      </c>
      <c r="Q1108" s="2" t="n">
        <v>43321</v>
      </c>
      <c r="S1108" s="0" t="n">
        <f aca="false">YEAR(Q1108)</f>
        <v>2018</v>
      </c>
      <c r="T1108" s="0" t="n">
        <f aca="false">MONTH(Q1108)</f>
        <v>8</v>
      </c>
    </row>
    <row r="1109" customFormat="false" ht="28.5" hidden="true" customHeight="false" outlineLevel="0" collapsed="false">
      <c r="A1109" s="0" t="n">
        <v>1108</v>
      </c>
      <c r="B1109" s="1" t="s">
        <v>915</v>
      </c>
      <c r="C1109" s="1" t="s">
        <v>1495</v>
      </c>
      <c r="D1109" s="1" t="s">
        <v>1496</v>
      </c>
      <c r="E1109" s="0" t="s">
        <v>41</v>
      </c>
      <c r="F1109" s="0" t="s">
        <v>49</v>
      </c>
      <c r="G1109" s="0" t="s">
        <v>7392</v>
      </c>
      <c r="I1109" s="6" t="n">
        <v>0.573611111111111</v>
      </c>
      <c r="J1109" s="6" t="n">
        <v>0.583333333333333</v>
      </c>
      <c r="M1109" s="7" t="s">
        <v>7393</v>
      </c>
      <c r="N1109" s="7" t="s">
        <v>7396</v>
      </c>
      <c r="O1109" s="7"/>
      <c r="P1109" s="7" t="s">
        <v>7397</v>
      </c>
      <c r="Q1109" s="2" t="n">
        <v>43321</v>
      </c>
      <c r="S1109" s="0" t="n">
        <f aca="false">YEAR(Q1109)</f>
        <v>2018</v>
      </c>
      <c r="T1109" s="0" t="n">
        <f aca="false">MONTH(Q1109)</f>
        <v>8</v>
      </c>
    </row>
    <row r="1110" customFormat="false" ht="28.5" hidden="true" customHeight="false" outlineLevel="0" collapsed="false">
      <c r="A1110" s="0" t="n">
        <v>1109</v>
      </c>
      <c r="B1110" s="1" t="s">
        <v>915</v>
      </c>
      <c r="C1110" s="1" t="s">
        <v>1479</v>
      </c>
      <c r="D1110" s="1" t="s">
        <v>1535</v>
      </c>
      <c r="E1110" s="0" t="s">
        <v>39</v>
      </c>
      <c r="F1110" s="0" t="s">
        <v>50</v>
      </c>
      <c r="G1110" s="0" t="s">
        <v>7398</v>
      </c>
      <c r="L1110" s="0" t="n">
        <v>60</v>
      </c>
      <c r="M1110" s="7" t="s">
        <v>7399</v>
      </c>
      <c r="N1110" s="7" t="s">
        <v>7400</v>
      </c>
      <c r="O1110" s="7"/>
      <c r="P1110" s="7" t="s">
        <v>7401</v>
      </c>
      <c r="Q1110" s="2" t="n">
        <v>43321</v>
      </c>
      <c r="S1110" s="0" t="n">
        <f aca="false">YEAR(Q1110)</f>
        <v>2018</v>
      </c>
      <c r="T1110" s="0" t="n">
        <f aca="false">MONTH(Q1110)</f>
        <v>8</v>
      </c>
    </row>
    <row r="1111" customFormat="false" ht="28.5" hidden="true" customHeight="false" outlineLevel="0" collapsed="false">
      <c r="A1111" s="0" t="n">
        <v>1110</v>
      </c>
      <c r="B1111" s="1" t="s">
        <v>915</v>
      </c>
      <c r="C1111" s="1" t="s">
        <v>1479</v>
      </c>
      <c r="D1111" s="1" t="s">
        <v>1535</v>
      </c>
      <c r="E1111" s="0" t="s">
        <v>39</v>
      </c>
      <c r="F1111" s="0" t="s">
        <v>50</v>
      </c>
      <c r="G1111" s="0" t="s">
        <v>7402</v>
      </c>
      <c r="J1111" s="6" t="n">
        <v>0.131944444444444</v>
      </c>
      <c r="M1111" s="7" t="s">
        <v>7403</v>
      </c>
      <c r="N1111" s="7" t="s">
        <v>7404</v>
      </c>
      <c r="O1111" s="7"/>
      <c r="P1111" s="7" t="s">
        <v>7405</v>
      </c>
      <c r="Q1111" s="2" t="n">
        <v>43321</v>
      </c>
      <c r="S1111" s="0" t="n">
        <f aca="false">YEAR(Q1111)</f>
        <v>2018</v>
      </c>
      <c r="T1111" s="0" t="n">
        <f aca="false">MONTH(Q1111)</f>
        <v>8</v>
      </c>
    </row>
    <row r="1112" customFormat="false" ht="28.5" hidden="true" customHeight="false" outlineLevel="0" collapsed="false">
      <c r="A1112" s="0" t="n">
        <v>1111</v>
      </c>
      <c r="B1112" s="1" t="s">
        <v>917</v>
      </c>
      <c r="C1112" s="1" t="s">
        <v>1479</v>
      </c>
      <c r="D1112" s="1" t="s">
        <v>1535</v>
      </c>
      <c r="E1112" s="0" t="s">
        <v>39</v>
      </c>
      <c r="F1112" s="0" t="s">
        <v>48</v>
      </c>
      <c r="G1112" s="0" t="s">
        <v>7406</v>
      </c>
      <c r="I1112" s="6" t="n">
        <v>0.208333333333333</v>
      </c>
      <c r="J1112" s="6" t="n">
        <v>0.267361111111111</v>
      </c>
      <c r="K1112" s="0" t="n">
        <v>85</v>
      </c>
      <c r="L1112" s="0" t="n">
        <v>233</v>
      </c>
      <c r="M1112" s="7" t="s">
        <v>7407</v>
      </c>
      <c r="N1112" s="7" t="s">
        <v>7408</v>
      </c>
      <c r="O1112" s="7"/>
      <c r="P1112" s="7" t="s">
        <v>7409</v>
      </c>
      <c r="Q1112" s="2" t="n">
        <v>43322</v>
      </c>
      <c r="S1112" s="0" t="n">
        <f aca="false">YEAR(Q1112)</f>
        <v>2018</v>
      </c>
      <c r="T1112" s="0" t="n">
        <f aca="false">MONTH(Q1112)</f>
        <v>8</v>
      </c>
    </row>
    <row r="1113" customFormat="false" ht="42.75" hidden="true" customHeight="false" outlineLevel="0" collapsed="false">
      <c r="A1113" s="0" t="n">
        <v>1112</v>
      </c>
      <c r="B1113" s="1" t="s">
        <v>917</v>
      </c>
      <c r="C1113" s="1" t="s">
        <v>1479</v>
      </c>
      <c r="D1113" s="1" t="s">
        <v>1535</v>
      </c>
      <c r="E1113" s="0" t="s">
        <v>39</v>
      </c>
      <c r="F1113" s="0" t="s">
        <v>48</v>
      </c>
      <c r="G1113" s="0" t="s">
        <v>7410</v>
      </c>
      <c r="I1113" s="6" t="n">
        <v>0.40625</v>
      </c>
      <c r="J1113" s="6" t="n">
        <v>0.409027777777778</v>
      </c>
      <c r="K1113" s="0" t="n">
        <v>5</v>
      </c>
      <c r="L1113" s="0" t="n">
        <v>10</v>
      </c>
      <c r="M1113" s="7" t="s">
        <v>7411</v>
      </c>
      <c r="N1113" s="7" t="s">
        <v>7412</v>
      </c>
      <c r="O1113" s="7"/>
      <c r="P1113" s="7" t="s">
        <v>7413</v>
      </c>
      <c r="Q1113" s="2" t="n">
        <v>43322</v>
      </c>
      <c r="S1113" s="0" t="n">
        <f aca="false">YEAR(Q1113)</f>
        <v>2018</v>
      </c>
      <c r="T1113" s="0" t="n">
        <f aca="false">MONTH(Q1113)</f>
        <v>8</v>
      </c>
    </row>
    <row r="1114" customFormat="false" ht="42.75" hidden="true" customHeight="false" outlineLevel="0" collapsed="false">
      <c r="A1114" s="0" t="n">
        <v>1113</v>
      </c>
      <c r="B1114" s="1" t="s">
        <v>917</v>
      </c>
      <c r="C1114" s="1" t="s">
        <v>1479</v>
      </c>
      <c r="D1114" s="1" t="s">
        <v>1487</v>
      </c>
      <c r="E1114" s="0" t="s">
        <v>1488</v>
      </c>
      <c r="F1114" s="0" t="s">
        <v>48</v>
      </c>
      <c r="G1114" s="0" t="s">
        <v>7414</v>
      </c>
      <c r="I1114" s="6" t="n">
        <v>0.406944444444444</v>
      </c>
      <c r="J1114" s="6" t="n">
        <v>0.422222222222222</v>
      </c>
      <c r="L1114" s="0" t="n">
        <v>28</v>
      </c>
      <c r="M1114" s="7" t="s">
        <v>7415</v>
      </c>
      <c r="N1114" s="7" t="s">
        <v>7416</v>
      </c>
      <c r="O1114" s="7"/>
      <c r="P1114" s="7" t="s">
        <v>7417</v>
      </c>
      <c r="Q1114" s="2" t="n">
        <v>43322</v>
      </c>
      <c r="S1114" s="0" t="n">
        <f aca="false">YEAR(Q1114)</f>
        <v>2018</v>
      </c>
      <c r="T1114" s="0" t="n">
        <f aca="false">MONTH(Q1114)</f>
        <v>8</v>
      </c>
    </row>
    <row r="1115" customFormat="false" ht="28.5" hidden="true" customHeight="false" outlineLevel="0" collapsed="false">
      <c r="A1115" s="0" t="n">
        <v>1114</v>
      </c>
      <c r="B1115" s="1" t="s">
        <v>917</v>
      </c>
      <c r="C1115" s="1" t="s">
        <v>1479</v>
      </c>
      <c r="D1115" s="1" t="s">
        <v>1487</v>
      </c>
      <c r="E1115" s="4" t="s">
        <v>1488</v>
      </c>
      <c r="F1115" s="0" t="s">
        <v>48</v>
      </c>
      <c r="G1115" s="0" t="s">
        <v>7418</v>
      </c>
      <c r="J1115" s="6" t="n">
        <v>0.440972222222222</v>
      </c>
      <c r="K1115" s="0" t="n">
        <v>40</v>
      </c>
      <c r="L1115" s="0" t="n">
        <v>70</v>
      </c>
      <c r="M1115" s="7" t="s">
        <v>7419</v>
      </c>
      <c r="N1115" s="7" t="s">
        <v>7420</v>
      </c>
      <c r="O1115" s="7"/>
      <c r="P1115" s="7" t="s">
        <v>7421</v>
      </c>
      <c r="Q1115" s="2" t="n">
        <v>43322</v>
      </c>
      <c r="S1115" s="0" t="n">
        <f aca="false">YEAR(Q1115)</f>
        <v>2018</v>
      </c>
      <c r="T1115" s="0" t="n">
        <f aca="false">MONTH(Q1115)</f>
        <v>8</v>
      </c>
    </row>
    <row r="1116" customFormat="false" ht="14.25" hidden="true" customHeight="false" outlineLevel="0" collapsed="false">
      <c r="A1116" s="0" t="n">
        <v>1115</v>
      </c>
      <c r="B1116" s="1" t="s">
        <v>917</v>
      </c>
      <c r="Q1116" s="2" t="n">
        <v>43322</v>
      </c>
      <c r="S1116" s="0" t="n">
        <f aca="false">YEAR(Q1116)</f>
        <v>2018</v>
      </c>
      <c r="T1116" s="0" t="n">
        <f aca="false">MONTH(Q1116)</f>
        <v>8</v>
      </c>
    </row>
    <row r="1117" customFormat="false" ht="42.75" hidden="true" customHeight="false" outlineLevel="0" collapsed="false">
      <c r="A1117" s="0" t="n">
        <v>1116</v>
      </c>
      <c r="B1117" s="1" t="s">
        <v>919</v>
      </c>
      <c r="C1117" s="1" t="s">
        <v>1479</v>
      </c>
      <c r="D1117" s="1" t="s">
        <v>1487</v>
      </c>
      <c r="E1117" s="4" t="s">
        <v>1488</v>
      </c>
      <c r="F1117" s="0" t="s">
        <v>50</v>
      </c>
      <c r="G1117" s="0" t="s">
        <v>7422</v>
      </c>
      <c r="I1117" s="6" t="n">
        <v>0.15625</v>
      </c>
      <c r="J1117" s="6" t="n">
        <v>0.184027777777778</v>
      </c>
      <c r="K1117" s="0" t="n">
        <v>5</v>
      </c>
      <c r="L1117" s="0" t="n">
        <v>77</v>
      </c>
      <c r="M1117" s="7" t="s">
        <v>7423</v>
      </c>
      <c r="N1117" s="7" t="s">
        <v>7424</v>
      </c>
      <c r="O1117" s="7"/>
      <c r="P1117" s="7" t="s">
        <v>7425</v>
      </c>
      <c r="Q1117" s="2" t="n">
        <v>43324</v>
      </c>
      <c r="S1117" s="0" t="n">
        <f aca="false">YEAR(Q1117)</f>
        <v>2018</v>
      </c>
      <c r="T1117" s="0" t="n">
        <f aca="false">MONTH(Q1117)</f>
        <v>8</v>
      </c>
    </row>
    <row r="1118" customFormat="false" ht="28.5" hidden="true" customHeight="false" outlineLevel="0" collapsed="false">
      <c r="A1118" s="0" t="n">
        <v>1117</v>
      </c>
      <c r="B1118" s="1" t="s">
        <v>920</v>
      </c>
      <c r="C1118" s="1" t="s">
        <v>1479</v>
      </c>
      <c r="D1118" s="1" t="s">
        <v>1535</v>
      </c>
      <c r="E1118" s="0" t="s">
        <v>39</v>
      </c>
      <c r="F1118" s="0" t="s">
        <v>48</v>
      </c>
      <c r="G1118" s="0" t="s">
        <v>7426</v>
      </c>
      <c r="I1118" s="6" t="n">
        <v>0.243055555555556</v>
      </c>
      <c r="J1118" s="6" t="n">
        <v>0.304861111111111</v>
      </c>
      <c r="L1118" s="0" t="n">
        <v>5</v>
      </c>
      <c r="M1118" s="7" t="s">
        <v>7427</v>
      </c>
      <c r="N1118" s="7" t="s">
        <v>7428</v>
      </c>
      <c r="O1118" s="7"/>
      <c r="P1118" s="7" t="s">
        <v>7429</v>
      </c>
      <c r="Q1118" s="2" t="n">
        <v>43325</v>
      </c>
      <c r="S1118" s="0" t="n">
        <f aca="false">YEAR(Q1118)</f>
        <v>2018</v>
      </c>
      <c r="T1118" s="0" t="n">
        <f aca="false">MONTH(Q1118)</f>
        <v>8</v>
      </c>
    </row>
    <row r="1119" customFormat="false" ht="28.5" hidden="true" customHeight="false" outlineLevel="0" collapsed="false">
      <c r="A1119" s="0" t="n">
        <v>1118</v>
      </c>
      <c r="B1119" s="1" t="s">
        <v>920</v>
      </c>
      <c r="C1119" s="1" t="s">
        <v>1479</v>
      </c>
      <c r="D1119" s="1" t="s">
        <v>1535</v>
      </c>
      <c r="E1119" s="0" t="s">
        <v>39</v>
      </c>
      <c r="F1119" s="0" t="s">
        <v>48</v>
      </c>
      <c r="G1119" s="0" t="s">
        <v>7430</v>
      </c>
      <c r="I1119" s="6" t="n">
        <v>0.360416666666667</v>
      </c>
      <c r="J1119" s="6" t="n">
        <v>0.363888888888889</v>
      </c>
      <c r="L1119" s="0" t="n">
        <v>19</v>
      </c>
      <c r="M1119" s="7" t="s">
        <v>7431</v>
      </c>
      <c r="N1119" s="7" t="s">
        <v>7432</v>
      </c>
      <c r="O1119" s="7"/>
      <c r="P1119" s="7" t="s">
        <v>7433</v>
      </c>
      <c r="Q1119" s="2" t="n">
        <v>43325</v>
      </c>
      <c r="S1119" s="0" t="n">
        <f aca="false">YEAR(Q1119)</f>
        <v>2018</v>
      </c>
      <c r="T1119" s="0" t="n">
        <f aca="false">MONTH(Q1119)</f>
        <v>8</v>
      </c>
    </row>
    <row r="1120" customFormat="false" ht="28.5" hidden="true" customHeight="false" outlineLevel="0" collapsed="false">
      <c r="A1120" s="0" t="n">
        <v>1119</v>
      </c>
      <c r="B1120" s="1" t="s">
        <v>920</v>
      </c>
      <c r="C1120" s="1" t="s">
        <v>1503</v>
      </c>
      <c r="D1120" s="1" t="s">
        <v>1535</v>
      </c>
      <c r="E1120" s="0" t="s">
        <v>44</v>
      </c>
      <c r="F1120" s="0" t="s">
        <v>48</v>
      </c>
      <c r="G1120" s="0" t="s">
        <v>7434</v>
      </c>
      <c r="I1120" s="6" t="n">
        <v>0.368055555555556</v>
      </c>
      <c r="J1120" s="6" t="n">
        <v>0.378472222222222</v>
      </c>
      <c r="K1120" s="0" t="n">
        <v>41</v>
      </c>
      <c r="L1120" s="0" t="n">
        <v>41</v>
      </c>
      <c r="M1120" s="7" t="s">
        <v>7435</v>
      </c>
      <c r="N1120" s="7" t="s">
        <v>7436</v>
      </c>
      <c r="O1120" s="7"/>
      <c r="P1120" s="7" t="s">
        <v>7437</v>
      </c>
      <c r="Q1120" s="2" t="n">
        <v>43325</v>
      </c>
      <c r="S1120" s="0" t="n">
        <f aca="false">YEAR(Q1120)</f>
        <v>2018</v>
      </c>
      <c r="T1120" s="0" t="n">
        <f aca="false">MONTH(Q1120)</f>
        <v>8</v>
      </c>
    </row>
    <row r="1121" customFormat="false" ht="28.5" hidden="true" customHeight="false" outlineLevel="0" collapsed="false">
      <c r="A1121" s="0" t="n">
        <v>1120</v>
      </c>
      <c r="B1121" s="1" t="s">
        <v>920</v>
      </c>
      <c r="C1121" s="1" t="s">
        <v>1479</v>
      </c>
      <c r="D1121" s="1" t="s">
        <v>1535</v>
      </c>
      <c r="E1121" s="0" t="s">
        <v>39</v>
      </c>
      <c r="F1121" s="0" t="s">
        <v>49</v>
      </c>
      <c r="G1121" s="0" t="s">
        <v>7438</v>
      </c>
      <c r="I1121" s="6" t="n">
        <v>0.689583333333333</v>
      </c>
      <c r="J1121" s="6" t="n">
        <v>0.696527777777778</v>
      </c>
      <c r="K1121" s="0" t="n">
        <v>15</v>
      </c>
      <c r="L1121" s="0" t="n">
        <v>30</v>
      </c>
      <c r="M1121" s="7" t="s">
        <v>7439</v>
      </c>
      <c r="N1121" s="7" t="s">
        <v>7440</v>
      </c>
      <c r="O1121" s="7"/>
      <c r="P1121" s="7" t="s">
        <v>7441</v>
      </c>
      <c r="Q1121" s="2" t="n">
        <v>43325</v>
      </c>
      <c r="S1121" s="0" t="n">
        <f aca="false">YEAR(Q1121)</f>
        <v>2018</v>
      </c>
      <c r="T1121" s="0" t="n">
        <f aca="false">MONTH(Q1121)</f>
        <v>8</v>
      </c>
    </row>
    <row r="1122" customFormat="false" ht="28.5" hidden="true" customHeight="false" outlineLevel="0" collapsed="false">
      <c r="A1122" s="0" t="n">
        <v>1121</v>
      </c>
      <c r="B1122" s="1" t="s">
        <v>920</v>
      </c>
      <c r="C1122" s="1" t="s">
        <v>1479</v>
      </c>
      <c r="D1122" s="1" t="s">
        <v>1487</v>
      </c>
      <c r="E1122" s="4" t="s">
        <v>1488</v>
      </c>
      <c r="F1122" s="0" t="s">
        <v>49</v>
      </c>
      <c r="G1122" s="0" t="s">
        <v>7442</v>
      </c>
      <c r="I1122" s="6" t="n">
        <v>0.736111111111111</v>
      </c>
      <c r="J1122" s="6" t="n">
        <v>0.75</v>
      </c>
      <c r="K1122" s="0" t="n">
        <v>13</v>
      </c>
      <c r="L1122" s="0" t="n">
        <v>28</v>
      </c>
      <c r="M1122" s="7" t="s">
        <v>7443</v>
      </c>
      <c r="N1122" s="7" t="s">
        <v>7444</v>
      </c>
      <c r="O1122" s="7"/>
      <c r="P1122" s="7" t="s">
        <v>7445</v>
      </c>
      <c r="Q1122" s="2" t="n">
        <v>43325</v>
      </c>
      <c r="S1122" s="0" t="n">
        <f aca="false">YEAR(Q1122)</f>
        <v>2018</v>
      </c>
      <c r="T1122" s="0" t="n">
        <f aca="false">MONTH(Q1122)</f>
        <v>8</v>
      </c>
    </row>
    <row r="1123" customFormat="false" ht="28.5" hidden="true" customHeight="false" outlineLevel="0" collapsed="false">
      <c r="A1123" s="0" t="n">
        <v>1122</v>
      </c>
      <c r="B1123" s="1" t="s">
        <v>920</v>
      </c>
      <c r="C1123" s="1" t="s">
        <v>1479</v>
      </c>
      <c r="D1123" s="1" t="s">
        <v>1535</v>
      </c>
      <c r="E1123" s="0" t="s">
        <v>39</v>
      </c>
      <c r="F1123" s="0" t="s">
        <v>49</v>
      </c>
      <c r="G1123" s="0" t="s">
        <v>6730</v>
      </c>
      <c r="I1123" s="6" t="n">
        <v>0.888888888888889</v>
      </c>
      <c r="J1123" s="6" t="n">
        <v>0.89375</v>
      </c>
      <c r="K1123" s="0" t="n">
        <v>15</v>
      </c>
      <c r="L1123" s="0" t="n">
        <v>15</v>
      </c>
      <c r="M1123" s="7" t="s">
        <v>7446</v>
      </c>
      <c r="N1123" s="7" t="s">
        <v>7447</v>
      </c>
      <c r="O1123" s="7"/>
      <c r="P1123" s="7" t="s">
        <v>7448</v>
      </c>
      <c r="Q1123" s="2" t="n">
        <v>43325</v>
      </c>
      <c r="S1123" s="0" t="n">
        <f aca="false">YEAR(Q1123)</f>
        <v>2018</v>
      </c>
      <c r="T1123" s="0" t="n">
        <f aca="false">MONTH(Q1123)</f>
        <v>8</v>
      </c>
    </row>
    <row r="1124" customFormat="false" ht="42.75" hidden="true" customHeight="false" outlineLevel="0" collapsed="false">
      <c r="A1124" s="0" t="n">
        <v>1123</v>
      </c>
      <c r="B1124" s="1" t="s">
        <v>921</v>
      </c>
      <c r="C1124" s="1" t="s">
        <v>1479</v>
      </c>
      <c r="D1124" s="1" t="s">
        <v>1496</v>
      </c>
      <c r="E1124" s="0" t="s">
        <v>38</v>
      </c>
      <c r="F1124" s="0" t="s">
        <v>48</v>
      </c>
      <c r="G1124" s="0" t="s">
        <v>7449</v>
      </c>
      <c r="I1124" s="6" t="n">
        <v>0.493055555555556</v>
      </c>
      <c r="J1124" s="6" t="n">
        <v>0.495833333333333</v>
      </c>
      <c r="L1124" s="0" t="n">
        <v>30</v>
      </c>
      <c r="M1124" s="7" t="s">
        <v>7450</v>
      </c>
      <c r="N1124" s="7" t="s">
        <v>7451</v>
      </c>
      <c r="O1124" s="7"/>
      <c r="P1124" s="7" t="s">
        <v>7452</v>
      </c>
      <c r="Q1124" s="2" t="n">
        <v>43326</v>
      </c>
      <c r="S1124" s="0" t="n">
        <f aca="false">YEAR(Q1124)</f>
        <v>2018</v>
      </c>
      <c r="T1124" s="0" t="n">
        <f aca="false">MONTH(Q1124)</f>
        <v>8</v>
      </c>
    </row>
    <row r="1125" customFormat="false" ht="28.5" hidden="true" customHeight="false" outlineLevel="0" collapsed="false">
      <c r="A1125" s="0" t="n">
        <v>1124</v>
      </c>
      <c r="B1125" s="1" t="s">
        <v>921</v>
      </c>
      <c r="C1125" s="1" t="s">
        <v>1503</v>
      </c>
      <c r="D1125" s="1" t="s">
        <v>1535</v>
      </c>
      <c r="E1125" s="0" t="s">
        <v>44</v>
      </c>
      <c r="F1125" s="0" t="s">
        <v>48</v>
      </c>
      <c r="G1125" s="0" t="s">
        <v>7453</v>
      </c>
      <c r="I1125" s="6" t="n">
        <v>0.569444444444444</v>
      </c>
      <c r="J1125" s="6" t="n">
        <v>0.575</v>
      </c>
      <c r="L1125" s="0" t="n">
        <v>15</v>
      </c>
      <c r="M1125" s="7" t="s">
        <v>7454</v>
      </c>
      <c r="N1125" s="7" t="s">
        <v>7455</v>
      </c>
      <c r="O1125" s="7"/>
      <c r="P1125" s="7" t="s">
        <v>7456</v>
      </c>
      <c r="Q1125" s="2" t="n">
        <v>43326</v>
      </c>
      <c r="S1125" s="0" t="n">
        <f aca="false">YEAR(Q1125)</f>
        <v>2018</v>
      </c>
      <c r="T1125" s="0" t="n">
        <f aca="false">MONTH(Q1125)</f>
        <v>8</v>
      </c>
    </row>
    <row r="1126" customFormat="false" ht="86.25" hidden="true" customHeight="false" outlineLevel="0" collapsed="false">
      <c r="A1126" s="0" t="n">
        <v>1125</v>
      </c>
      <c r="B1126" s="1" t="s">
        <v>921</v>
      </c>
      <c r="C1126" s="1" t="s">
        <v>1479</v>
      </c>
      <c r="D1126" s="1" t="s">
        <v>1496</v>
      </c>
      <c r="E1126" s="0" t="s">
        <v>38</v>
      </c>
      <c r="F1126" s="0" t="s">
        <v>49</v>
      </c>
      <c r="G1126" s="0" t="s">
        <v>7457</v>
      </c>
      <c r="I1126" s="6" t="n">
        <v>0.791666666666667</v>
      </c>
      <c r="J1126" s="6" t="n">
        <v>0.796527777777778</v>
      </c>
      <c r="K1126" s="0" t="n">
        <v>14</v>
      </c>
      <c r="L1126" s="0" t="n">
        <v>14</v>
      </c>
      <c r="M1126" s="7" t="s">
        <v>7458</v>
      </c>
      <c r="N1126" s="7" t="s">
        <v>7459</v>
      </c>
      <c r="O1126" s="7"/>
      <c r="P1126" s="7" t="s">
        <v>7460</v>
      </c>
      <c r="Q1126" s="2" t="n">
        <v>43326</v>
      </c>
      <c r="S1126" s="0" t="n">
        <f aca="false">YEAR(Q1126)</f>
        <v>2018</v>
      </c>
      <c r="T1126" s="0" t="n">
        <f aca="false">MONTH(Q1126)</f>
        <v>8</v>
      </c>
    </row>
    <row r="1127" customFormat="false" ht="28.5" hidden="true" customHeight="false" outlineLevel="0" collapsed="false">
      <c r="A1127" s="0" t="n">
        <v>1126</v>
      </c>
      <c r="B1127" s="1" t="s">
        <v>921</v>
      </c>
      <c r="C1127" s="1" t="s">
        <v>1479</v>
      </c>
      <c r="D1127" s="1" t="s">
        <v>1487</v>
      </c>
      <c r="E1127" s="0" t="s">
        <v>1488</v>
      </c>
      <c r="F1127" s="0" t="s">
        <v>50</v>
      </c>
      <c r="G1127" s="0" t="s">
        <v>7461</v>
      </c>
      <c r="I1127" s="6" t="n">
        <v>0.947916666666667</v>
      </c>
      <c r="J1127" s="6" t="n">
        <v>0.972222222222222</v>
      </c>
      <c r="K1127" s="0" t="n">
        <v>0</v>
      </c>
      <c r="L1127" s="0" t="n">
        <v>100</v>
      </c>
      <c r="M1127" s="7" t="s">
        <v>7462</v>
      </c>
      <c r="N1127" s="7" t="s">
        <v>7463</v>
      </c>
      <c r="O1127" s="7"/>
      <c r="P1127" s="7" t="s">
        <v>7464</v>
      </c>
      <c r="Q1127" s="2" t="n">
        <v>43326</v>
      </c>
      <c r="S1127" s="0" t="n">
        <f aca="false">YEAR(Q1127)</f>
        <v>2018</v>
      </c>
      <c r="T1127" s="0" t="n">
        <f aca="false">MONTH(Q1127)</f>
        <v>8</v>
      </c>
    </row>
    <row r="1128" customFormat="false" ht="28.5" hidden="true" customHeight="false" outlineLevel="0" collapsed="false">
      <c r="A1128" s="0" t="n">
        <v>1127</v>
      </c>
      <c r="B1128" s="1" t="s">
        <v>922</v>
      </c>
      <c r="C1128" s="1" t="s">
        <v>1503</v>
      </c>
      <c r="D1128" s="1" t="s">
        <v>1535</v>
      </c>
      <c r="E1128" s="0" t="s">
        <v>44</v>
      </c>
      <c r="F1128" s="0" t="s">
        <v>48</v>
      </c>
      <c r="G1128" s="0" t="s">
        <v>7465</v>
      </c>
      <c r="J1128" s="6" t="n">
        <v>0.301388888888889</v>
      </c>
      <c r="M1128" s="7" t="s">
        <v>7466</v>
      </c>
      <c r="N1128" s="7" t="s">
        <v>7467</v>
      </c>
      <c r="O1128" s="7"/>
      <c r="P1128" s="7" t="s">
        <v>7468</v>
      </c>
      <c r="Q1128" s="2" t="n">
        <v>43327</v>
      </c>
      <c r="S1128" s="0" t="n">
        <f aca="false">YEAR(Q1128)</f>
        <v>2018</v>
      </c>
      <c r="T1128" s="0" t="n">
        <f aca="false">MONTH(Q1128)</f>
        <v>8</v>
      </c>
    </row>
    <row r="1129" customFormat="false" ht="28.5" hidden="true" customHeight="false" outlineLevel="0" collapsed="false">
      <c r="A1129" s="0" t="n">
        <v>1128</v>
      </c>
      <c r="B1129" s="1" t="s">
        <v>922</v>
      </c>
      <c r="C1129" s="1" t="s">
        <v>1479</v>
      </c>
      <c r="D1129" s="1" t="s">
        <v>1487</v>
      </c>
      <c r="E1129" s="0" t="s">
        <v>1488</v>
      </c>
      <c r="F1129" s="0" t="s">
        <v>48</v>
      </c>
      <c r="G1129" s="0" t="s">
        <v>7469</v>
      </c>
      <c r="I1129" s="6" t="n">
        <v>0.545138888888889</v>
      </c>
      <c r="J1129" s="6" t="n">
        <v>0.554166666666667</v>
      </c>
      <c r="L1129" s="0" t="n">
        <v>72</v>
      </c>
      <c r="M1129" s="7" t="s">
        <v>7470</v>
      </c>
      <c r="N1129" s="7" t="s">
        <v>7471</v>
      </c>
      <c r="O1129" s="7"/>
      <c r="P1129" s="7" t="s">
        <v>7472</v>
      </c>
      <c r="Q1129" s="2" t="n">
        <v>43327</v>
      </c>
      <c r="S1129" s="0" t="n">
        <f aca="false">YEAR(Q1129)</f>
        <v>2018</v>
      </c>
      <c r="T1129" s="0" t="n">
        <f aca="false">MONTH(Q1129)</f>
        <v>8</v>
      </c>
    </row>
    <row r="1130" customFormat="false" ht="28.5" hidden="true" customHeight="false" outlineLevel="0" collapsed="false">
      <c r="A1130" s="0" t="n">
        <v>1129</v>
      </c>
      <c r="B1130" s="1" t="s">
        <v>924</v>
      </c>
      <c r="C1130" s="1" t="s">
        <v>1495</v>
      </c>
      <c r="D1130" s="1" t="s">
        <v>1535</v>
      </c>
      <c r="E1130" s="0" t="s">
        <v>42</v>
      </c>
      <c r="F1130" s="0" t="s">
        <v>48</v>
      </c>
      <c r="G1130" s="0" t="s">
        <v>7473</v>
      </c>
      <c r="I1130" s="6" t="n">
        <v>0.239583333333333</v>
      </c>
      <c r="J1130" s="6" t="n">
        <v>0.276388888888889</v>
      </c>
      <c r="M1130" s="7" t="s">
        <v>7474</v>
      </c>
      <c r="N1130" s="7" t="s">
        <v>7475</v>
      </c>
      <c r="O1130" s="7"/>
      <c r="P1130" s="7" t="s">
        <v>7476</v>
      </c>
      <c r="Q1130" s="2" t="n">
        <v>43328</v>
      </c>
      <c r="S1130" s="0" t="n">
        <f aca="false">YEAR(Q1130)</f>
        <v>2018</v>
      </c>
      <c r="T1130" s="0" t="n">
        <f aca="false">MONTH(Q1130)</f>
        <v>8</v>
      </c>
    </row>
    <row r="1131" customFormat="false" ht="28.5" hidden="true" customHeight="false" outlineLevel="0" collapsed="false">
      <c r="A1131" s="0" t="n">
        <v>1130</v>
      </c>
      <c r="B1131" s="1" t="s">
        <v>924</v>
      </c>
      <c r="C1131" s="1" t="s">
        <v>1479</v>
      </c>
      <c r="D1131" s="1" t="s">
        <v>1496</v>
      </c>
      <c r="E1131" s="0" t="s">
        <v>38</v>
      </c>
      <c r="F1131" s="0" t="s">
        <v>48</v>
      </c>
      <c r="G1131" s="0" t="s">
        <v>7477</v>
      </c>
      <c r="I1131" s="6" t="n">
        <v>0.4125</v>
      </c>
      <c r="J1131" s="6" t="n">
        <v>0.419444444444444</v>
      </c>
      <c r="L1131" s="0" t="n">
        <v>33</v>
      </c>
      <c r="M1131" s="7" t="s">
        <v>7478</v>
      </c>
      <c r="N1131" s="7" t="s">
        <v>7479</v>
      </c>
      <c r="O1131" s="7"/>
      <c r="P1131" s="7" t="s">
        <v>7480</v>
      </c>
      <c r="Q1131" s="2" t="n">
        <v>43328</v>
      </c>
      <c r="S1131" s="0" t="n">
        <f aca="false">YEAR(Q1131)</f>
        <v>2018</v>
      </c>
      <c r="T1131" s="0" t="n">
        <f aca="false">MONTH(Q1131)</f>
        <v>8</v>
      </c>
    </row>
    <row r="1132" customFormat="false" ht="57" hidden="true" customHeight="false" outlineLevel="0" collapsed="false">
      <c r="A1132" s="0" t="n">
        <v>1131</v>
      </c>
      <c r="B1132" s="1" t="s">
        <v>924</v>
      </c>
      <c r="C1132" s="1" t="s">
        <v>1479</v>
      </c>
      <c r="D1132" s="1" t="s">
        <v>1535</v>
      </c>
      <c r="E1132" s="0" t="s">
        <v>39</v>
      </c>
      <c r="F1132" s="0" t="s">
        <v>48</v>
      </c>
      <c r="G1132" s="0" t="s">
        <v>7481</v>
      </c>
      <c r="M1132" s="7" t="s">
        <v>7482</v>
      </c>
      <c r="N1132" s="7" t="s">
        <v>7483</v>
      </c>
      <c r="O1132" s="7"/>
      <c r="P1132" s="7" t="s">
        <v>7484</v>
      </c>
      <c r="Q1132" s="2" t="n">
        <v>43328</v>
      </c>
      <c r="S1132" s="0" t="n">
        <f aca="false">YEAR(Q1132)</f>
        <v>2018</v>
      </c>
      <c r="T1132" s="0" t="n">
        <f aca="false">MONTH(Q1132)</f>
        <v>8</v>
      </c>
    </row>
    <row r="1133" customFormat="false" ht="28.5" hidden="true" customHeight="false" outlineLevel="0" collapsed="false">
      <c r="A1133" s="0" t="n">
        <v>1132</v>
      </c>
      <c r="B1133" s="1" t="s">
        <v>924</v>
      </c>
      <c r="C1133" s="1" t="s">
        <v>1479</v>
      </c>
      <c r="D1133" s="1" t="s">
        <v>1535</v>
      </c>
      <c r="E1133" s="0" t="s">
        <v>39</v>
      </c>
      <c r="F1133" s="0" t="s">
        <v>50</v>
      </c>
      <c r="G1133" s="0" t="s">
        <v>7485</v>
      </c>
      <c r="M1133" s="7" t="s">
        <v>7486</v>
      </c>
      <c r="N1133" s="7" t="s">
        <v>7487</v>
      </c>
      <c r="O1133" s="7"/>
      <c r="P1133" s="7" t="s">
        <v>7488</v>
      </c>
      <c r="Q1133" s="2" t="n">
        <v>43328</v>
      </c>
      <c r="S1133" s="0" t="n">
        <f aca="false">YEAR(Q1133)</f>
        <v>2018</v>
      </c>
      <c r="T1133" s="0" t="n">
        <f aca="false">MONTH(Q1133)</f>
        <v>8</v>
      </c>
    </row>
    <row r="1134" customFormat="false" ht="28.5" hidden="true" customHeight="false" outlineLevel="0" collapsed="false">
      <c r="A1134" s="0" t="n">
        <v>1133</v>
      </c>
      <c r="B1134" s="1" t="s">
        <v>924</v>
      </c>
      <c r="C1134" s="1" t="s">
        <v>1479</v>
      </c>
      <c r="D1134" s="1" t="s">
        <v>1487</v>
      </c>
      <c r="E1134" s="0" t="s">
        <v>1488</v>
      </c>
      <c r="F1134" s="0" t="s">
        <v>50</v>
      </c>
      <c r="G1134" s="0" t="s">
        <v>7489</v>
      </c>
      <c r="M1134" s="7" t="s">
        <v>7486</v>
      </c>
      <c r="N1134" s="7" t="s">
        <v>7487</v>
      </c>
      <c r="O1134" s="7"/>
      <c r="P1134" s="7" t="s">
        <v>7490</v>
      </c>
      <c r="Q1134" s="2" t="n">
        <v>43328</v>
      </c>
      <c r="S1134" s="0" t="n">
        <f aca="false">YEAR(Q1134)</f>
        <v>2018</v>
      </c>
      <c r="T1134" s="0" t="n">
        <f aca="false">MONTH(Q1134)</f>
        <v>8</v>
      </c>
    </row>
    <row r="1135" customFormat="false" ht="28.5" hidden="true" customHeight="false" outlineLevel="0" collapsed="false">
      <c r="A1135" s="0" t="n">
        <v>1134</v>
      </c>
      <c r="B1135" s="1" t="s">
        <v>925</v>
      </c>
      <c r="C1135" s="1" t="s">
        <v>1479</v>
      </c>
      <c r="D1135" s="1" t="s">
        <v>1535</v>
      </c>
      <c r="E1135" s="0" t="s">
        <v>39</v>
      </c>
      <c r="F1135" s="0" t="s">
        <v>48</v>
      </c>
      <c r="G1135" s="0" t="s">
        <v>7491</v>
      </c>
      <c r="I1135" s="6" t="n">
        <v>0.526388888888889</v>
      </c>
      <c r="J1135" s="6" t="n">
        <v>0.531944444444444</v>
      </c>
      <c r="K1135" s="0" t="n">
        <v>2</v>
      </c>
      <c r="L1135" s="0" t="n">
        <v>250</v>
      </c>
      <c r="M1135" s="7" t="s">
        <v>7492</v>
      </c>
      <c r="N1135" s="7" t="s">
        <v>7493</v>
      </c>
      <c r="O1135" s="7"/>
      <c r="P1135" s="7" t="s">
        <v>7494</v>
      </c>
      <c r="Q1135" s="2" t="n">
        <v>43329</v>
      </c>
      <c r="S1135" s="0" t="n">
        <f aca="false">YEAR(Q1135)</f>
        <v>2018</v>
      </c>
      <c r="T1135" s="0" t="n">
        <f aca="false">MONTH(Q1135)</f>
        <v>8</v>
      </c>
    </row>
    <row r="1136" customFormat="false" ht="28.5" hidden="true" customHeight="false" outlineLevel="0" collapsed="false">
      <c r="A1136" s="0" t="n">
        <v>1135</v>
      </c>
      <c r="B1136" s="1" t="s">
        <v>925</v>
      </c>
      <c r="C1136" s="1" t="s">
        <v>1479</v>
      </c>
      <c r="D1136" s="1" t="s">
        <v>1487</v>
      </c>
      <c r="E1136" s="4" t="s">
        <v>1488</v>
      </c>
      <c r="F1136" s="0" t="s">
        <v>49</v>
      </c>
      <c r="G1136" s="0" t="s">
        <v>7495</v>
      </c>
      <c r="I1136" s="6" t="n">
        <v>0.908333333333333</v>
      </c>
      <c r="J1136" s="6" t="n">
        <v>0.919444444444444</v>
      </c>
      <c r="K1136" s="0" t="n">
        <v>5</v>
      </c>
      <c r="L1136" s="0" t="n">
        <v>23</v>
      </c>
      <c r="M1136" s="7" t="s">
        <v>7496</v>
      </c>
      <c r="N1136" s="7" t="s">
        <v>7497</v>
      </c>
      <c r="O1136" s="7"/>
      <c r="P1136" s="7" t="s">
        <v>7498</v>
      </c>
      <c r="Q1136" s="2" t="n">
        <v>43329</v>
      </c>
      <c r="S1136" s="0" t="n">
        <f aca="false">YEAR(Q1136)</f>
        <v>2018</v>
      </c>
      <c r="T1136" s="0" t="n">
        <f aca="false">MONTH(Q1136)</f>
        <v>8</v>
      </c>
    </row>
    <row r="1137" customFormat="false" ht="42.75" hidden="true" customHeight="false" outlineLevel="0" collapsed="false">
      <c r="A1137" s="0" t="n">
        <v>1136</v>
      </c>
      <c r="B1137" s="1" t="s">
        <v>926</v>
      </c>
      <c r="C1137" s="1" t="s">
        <v>1479</v>
      </c>
      <c r="D1137" s="1" t="s">
        <v>1535</v>
      </c>
      <c r="E1137" s="0" t="s">
        <v>39</v>
      </c>
      <c r="F1137" s="0" t="s">
        <v>50</v>
      </c>
      <c r="G1137" s="0" t="s">
        <v>7499</v>
      </c>
      <c r="J1137" s="0" t="n">
        <v>23</v>
      </c>
      <c r="K1137" s="0" t="n">
        <v>20</v>
      </c>
      <c r="L1137" s="0" t="n">
        <v>12</v>
      </c>
      <c r="M1137" s="0" t="s">
        <v>7500</v>
      </c>
      <c r="N1137" s="7" t="s">
        <v>7501</v>
      </c>
      <c r="O1137" s="7"/>
      <c r="P1137" s="7" t="s">
        <v>7502</v>
      </c>
      <c r="Q1137" s="2" t="n">
        <v>43331</v>
      </c>
      <c r="S1137" s="0" t="n">
        <f aca="false">YEAR(Q1137)</f>
        <v>2018</v>
      </c>
      <c r="T1137" s="0" t="n">
        <f aca="false">MONTH(Q1137)</f>
        <v>8</v>
      </c>
    </row>
    <row r="1138" customFormat="false" ht="42.75" hidden="true" customHeight="false" outlineLevel="0" collapsed="false">
      <c r="A1138" s="0" t="n">
        <v>1137</v>
      </c>
      <c r="B1138" s="1" t="s">
        <v>926</v>
      </c>
      <c r="C1138" s="1" t="s">
        <v>1503</v>
      </c>
      <c r="D1138" s="1" t="s">
        <v>1535</v>
      </c>
      <c r="E1138" s="0" t="s">
        <v>1503</v>
      </c>
      <c r="F1138" s="0" t="s">
        <v>50</v>
      </c>
      <c r="G1138" s="0" t="s">
        <v>7503</v>
      </c>
      <c r="J1138" s="0" t="n">
        <v>23</v>
      </c>
      <c r="M1138" s="7" t="s">
        <v>7504</v>
      </c>
      <c r="N1138" s="7" t="s">
        <v>7505</v>
      </c>
      <c r="O1138" s="7"/>
      <c r="P1138" s="7" t="s">
        <v>7506</v>
      </c>
      <c r="Q1138" s="2" t="n">
        <v>43331</v>
      </c>
      <c r="S1138" s="0" t="n">
        <f aca="false">YEAR(Q1138)</f>
        <v>2018</v>
      </c>
      <c r="T1138" s="0" t="n">
        <f aca="false">MONTH(Q1138)</f>
        <v>8</v>
      </c>
    </row>
    <row r="1139" customFormat="false" ht="42.75" hidden="true" customHeight="false" outlineLevel="0" collapsed="false">
      <c r="A1139" s="0" t="n">
        <v>1138</v>
      </c>
      <c r="B1139" s="1" t="s">
        <v>927</v>
      </c>
      <c r="C1139" s="1" t="s">
        <v>1503</v>
      </c>
      <c r="D1139" s="1" t="s">
        <v>1535</v>
      </c>
      <c r="E1139" s="0" t="s">
        <v>1503</v>
      </c>
      <c r="F1139" s="0" t="s">
        <v>48</v>
      </c>
      <c r="G1139" s="0" t="s">
        <v>7503</v>
      </c>
      <c r="J1139" s="6" t="n">
        <v>0.958333333333333</v>
      </c>
      <c r="L1139" s="0" t="n">
        <v>280</v>
      </c>
      <c r="M1139" s="7" t="s">
        <v>7507</v>
      </c>
      <c r="N1139" s="7" t="s">
        <v>7508</v>
      </c>
      <c r="O1139" s="7"/>
      <c r="P1139" s="7" t="s">
        <v>7509</v>
      </c>
      <c r="Q1139" s="2" t="n">
        <v>43332</v>
      </c>
      <c r="S1139" s="0" t="n">
        <f aca="false">YEAR(Q1139)</f>
        <v>2018</v>
      </c>
      <c r="T1139" s="0" t="n">
        <f aca="false">MONTH(Q1139)</f>
        <v>8</v>
      </c>
    </row>
    <row r="1140" customFormat="false" ht="28.5" hidden="true" customHeight="false" outlineLevel="0" collapsed="false">
      <c r="A1140" s="0" t="n">
        <v>1139</v>
      </c>
      <c r="B1140" s="1" t="s">
        <v>927</v>
      </c>
      <c r="C1140" s="1" t="s">
        <v>1479</v>
      </c>
      <c r="D1140" s="1" t="s">
        <v>1496</v>
      </c>
      <c r="E1140" s="0" t="s">
        <v>38</v>
      </c>
      <c r="F1140" s="0" t="s">
        <v>49</v>
      </c>
      <c r="G1140" s="0" t="s">
        <v>7510</v>
      </c>
      <c r="I1140" s="6" t="n">
        <v>0.692361111111111</v>
      </c>
      <c r="J1140" s="6" t="n">
        <v>0.697222222222222</v>
      </c>
      <c r="K1140" s="0" t="n">
        <v>40</v>
      </c>
      <c r="L1140" s="0" t="n">
        <v>41</v>
      </c>
      <c r="M1140" s="7" t="s">
        <v>7511</v>
      </c>
      <c r="N1140" s="7" t="s">
        <v>7512</v>
      </c>
      <c r="O1140" s="7"/>
      <c r="P1140" s="7" t="s">
        <v>7513</v>
      </c>
      <c r="Q1140" s="2" t="n">
        <v>43332</v>
      </c>
      <c r="S1140" s="0" t="n">
        <f aca="false">YEAR(Q1140)</f>
        <v>2018</v>
      </c>
      <c r="T1140" s="0" t="n">
        <f aca="false">MONTH(Q1140)</f>
        <v>8</v>
      </c>
    </row>
    <row r="1141" customFormat="false" ht="28.5" hidden="true" customHeight="false" outlineLevel="0" collapsed="false">
      <c r="A1141" s="0" t="n">
        <v>1140</v>
      </c>
      <c r="B1141" s="1" t="s">
        <v>927</v>
      </c>
      <c r="C1141" s="1" t="s">
        <v>1479</v>
      </c>
      <c r="D1141" s="1" t="s">
        <v>1487</v>
      </c>
      <c r="E1141" s="4" t="s">
        <v>1488</v>
      </c>
      <c r="F1141" s="0" t="s">
        <v>49</v>
      </c>
      <c r="G1141" s="0" t="s">
        <v>7514</v>
      </c>
      <c r="I1141" s="6" t="n">
        <v>0.802083333333333</v>
      </c>
      <c r="J1141" s="6" t="n">
        <v>0.809027777777778</v>
      </c>
      <c r="K1141" s="0" t="n">
        <v>10</v>
      </c>
      <c r="L1141" s="0" t="n">
        <v>27</v>
      </c>
      <c r="M1141" s="7" t="s">
        <v>7515</v>
      </c>
      <c r="N1141" s="7" t="s">
        <v>7516</v>
      </c>
      <c r="O1141" s="7"/>
      <c r="P1141" s="7" t="s">
        <v>7517</v>
      </c>
      <c r="Q1141" s="2" t="n">
        <v>43332</v>
      </c>
      <c r="S1141" s="0" t="n">
        <f aca="false">YEAR(Q1141)</f>
        <v>2018</v>
      </c>
      <c r="T1141" s="0" t="n">
        <f aca="false">MONTH(Q1141)</f>
        <v>8</v>
      </c>
    </row>
    <row r="1142" customFormat="false" ht="72" hidden="true" customHeight="false" outlineLevel="0" collapsed="false">
      <c r="A1142" s="0" t="n">
        <v>1141</v>
      </c>
      <c r="B1142" s="1" t="s">
        <v>927</v>
      </c>
      <c r="C1142" s="1" t="s">
        <v>1479</v>
      </c>
      <c r="D1142" s="1" t="s">
        <v>1487</v>
      </c>
      <c r="E1142" s="0" t="s">
        <v>1488</v>
      </c>
      <c r="F1142" s="0" t="s">
        <v>50</v>
      </c>
      <c r="G1142" s="0" t="s">
        <v>7518</v>
      </c>
      <c r="I1142" s="6" t="n">
        <v>0.986111111111111</v>
      </c>
      <c r="J1142" s="6" t="n">
        <v>0.0347222222222222</v>
      </c>
      <c r="K1142" s="0" t="n">
        <v>109</v>
      </c>
      <c r="L1142" s="0" t="n">
        <v>200</v>
      </c>
      <c r="M1142" s="7" t="s">
        <v>7519</v>
      </c>
      <c r="N1142" s="7" t="s">
        <v>7520</v>
      </c>
      <c r="O1142" s="7"/>
      <c r="P1142" s="7" t="s">
        <v>7521</v>
      </c>
      <c r="Q1142" s="2" t="n">
        <v>43332</v>
      </c>
      <c r="S1142" s="0" t="n">
        <f aca="false">YEAR(Q1142)</f>
        <v>2018</v>
      </c>
      <c r="T1142" s="0" t="n">
        <f aca="false">MONTH(Q1142)</f>
        <v>8</v>
      </c>
    </row>
    <row r="1143" customFormat="false" ht="42.75" hidden="true" customHeight="false" outlineLevel="0" collapsed="false">
      <c r="A1143" s="0" t="n">
        <v>1142</v>
      </c>
      <c r="B1143" s="1" t="s">
        <v>927</v>
      </c>
      <c r="C1143" s="1" t="s">
        <v>1479</v>
      </c>
      <c r="D1143" s="1" t="s">
        <v>1487</v>
      </c>
      <c r="E1143" s="0" t="s">
        <v>1488</v>
      </c>
      <c r="F1143" s="0" t="s">
        <v>50</v>
      </c>
      <c r="G1143" s="0" t="s">
        <v>7522</v>
      </c>
      <c r="I1143" s="6" t="n">
        <v>0.145833333333333</v>
      </c>
      <c r="L1143" s="0" t="n">
        <v>120</v>
      </c>
      <c r="M1143" s="7" t="s">
        <v>7523</v>
      </c>
      <c r="N1143" s="7" t="s">
        <v>7524</v>
      </c>
      <c r="O1143" s="7"/>
      <c r="P1143" s="7" t="s">
        <v>7525</v>
      </c>
      <c r="Q1143" s="2" t="n">
        <v>43332</v>
      </c>
      <c r="S1143" s="0" t="n">
        <f aca="false">YEAR(Q1143)</f>
        <v>2018</v>
      </c>
      <c r="T1143" s="0" t="n">
        <f aca="false">MONTH(Q1143)</f>
        <v>8</v>
      </c>
    </row>
    <row r="1144" customFormat="false" ht="28.5" hidden="true" customHeight="false" outlineLevel="0" collapsed="false">
      <c r="A1144" s="0" t="n">
        <v>1143</v>
      </c>
      <c r="B1144" s="1" t="s">
        <v>928</v>
      </c>
      <c r="C1144" s="1" t="s">
        <v>1479</v>
      </c>
      <c r="D1144" s="1" t="s">
        <v>1496</v>
      </c>
      <c r="E1144" s="0" t="s">
        <v>38</v>
      </c>
      <c r="F1144" s="0" t="s">
        <v>48</v>
      </c>
      <c r="G1144" s="0" t="s">
        <v>7526</v>
      </c>
      <c r="I1144" s="6" t="n">
        <v>0.166666666666667</v>
      </c>
      <c r="J1144" s="6" t="n">
        <v>0.240972222222222</v>
      </c>
      <c r="L1144" s="0" t="n">
        <v>165</v>
      </c>
      <c r="M1144" s="7" t="s">
        <v>7527</v>
      </c>
      <c r="N1144" s="7" t="s">
        <v>7528</v>
      </c>
      <c r="O1144" s="7"/>
      <c r="P1144" s="7" t="s">
        <v>7529</v>
      </c>
      <c r="Q1144" s="2" t="n">
        <v>43333</v>
      </c>
      <c r="S1144" s="0" t="n">
        <f aca="false">YEAR(Q1144)</f>
        <v>2018</v>
      </c>
      <c r="T1144" s="0" t="n">
        <f aca="false">MONTH(Q1144)</f>
        <v>8</v>
      </c>
    </row>
    <row r="1145" customFormat="false" ht="42.75" hidden="true" customHeight="false" outlineLevel="0" collapsed="false">
      <c r="A1145" s="0" t="n">
        <v>1144</v>
      </c>
      <c r="B1145" s="1" t="s">
        <v>928</v>
      </c>
      <c r="C1145" s="1" t="s">
        <v>1503</v>
      </c>
      <c r="D1145" s="1" t="s">
        <v>1535</v>
      </c>
      <c r="E1145" s="0" t="s">
        <v>44</v>
      </c>
      <c r="F1145" s="0" t="s">
        <v>48</v>
      </c>
      <c r="G1145" s="0" t="s">
        <v>7530</v>
      </c>
      <c r="I1145" s="6" t="n">
        <v>0.298611111111111</v>
      </c>
      <c r="J1145" s="6" t="n">
        <v>0.322916666666667</v>
      </c>
      <c r="K1145" s="0" t="n">
        <v>78</v>
      </c>
      <c r="L1145" s="0" t="n">
        <v>60</v>
      </c>
      <c r="M1145" s="7" t="s">
        <v>7531</v>
      </c>
      <c r="N1145" s="7" t="s">
        <v>7532</v>
      </c>
      <c r="O1145" s="7"/>
      <c r="P1145" s="7" t="s">
        <v>7533</v>
      </c>
      <c r="Q1145" s="2" t="n">
        <v>43333</v>
      </c>
      <c r="S1145" s="0" t="n">
        <f aca="false">YEAR(Q1145)</f>
        <v>2018</v>
      </c>
      <c r="T1145" s="0" t="n">
        <f aca="false">MONTH(Q1145)</f>
        <v>8</v>
      </c>
    </row>
    <row r="1146" customFormat="false" ht="28.5" hidden="true" customHeight="false" outlineLevel="0" collapsed="false">
      <c r="A1146" s="0" t="n">
        <v>1145</v>
      </c>
      <c r="B1146" s="1" t="s">
        <v>928</v>
      </c>
      <c r="C1146" s="1" t="s">
        <v>1479</v>
      </c>
      <c r="D1146" s="1" t="s">
        <v>1535</v>
      </c>
      <c r="E1146" s="0" t="s">
        <v>39</v>
      </c>
      <c r="F1146" s="0" t="s">
        <v>48</v>
      </c>
      <c r="G1146" s="0" t="s">
        <v>7534</v>
      </c>
      <c r="I1146" s="6" t="n">
        <v>0.395833333333333</v>
      </c>
      <c r="J1146" s="6" t="n">
        <v>0.406944444444444</v>
      </c>
      <c r="L1146" s="0" t="n">
        <v>50</v>
      </c>
      <c r="M1146" s="7" t="s">
        <v>7535</v>
      </c>
      <c r="N1146" s="7" t="s">
        <v>7536</v>
      </c>
      <c r="O1146" s="7"/>
      <c r="P1146" s="7" t="s">
        <v>7537</v>
      </c>
      <c r="Q1146" s="2" t="n">
        <v>43333</v>
      </c>
      <c r="S1146" s="0" t="n">
        <f aca="false">YEAR(Q1146)</f>
        <v>2018</v>
      </c>
      <c r="T1146" s="0" t="n">
        <f aca="false">MONTH(Q1146)</f>
        <v>8</v>
      </c>
    </row>
    <row r="1147" customFormat="false" ht="42.75" hidden="true" customHeight="false" outlineLevel="0" collapsed="false">
      <c r="A1147" s="0" t="n">
        <v>1146</v>
      </c>
      <c r="B1147" s="1" t="s">
        <v>928</v>
      </c>
      <c r="C1147" s="1" t="s">
        <v>1503</v>
      </c>
      <c r="D1147" s="1" t="s">
        <v>1535</v>
      </c>
      <c r="E1147" s="0" t="s">
        <v>44</v>
      </c>
      <c r="F1147" s="0" t="s">
        <v>48</v>
      </c>
      <c r="G1147" s="0" t="s">
        <v>7530</v>
      </c>
      <c r="I1147" s="6" t="n">
        <v>0.298611111111111</v>
      </c>
      <c r="J1147" s="6" t="n">
        <v>0.322916666666667</v>
      </c>
      <c r="K1147" s="0" t="n">
        <v>78</v>
      </c>
      <c r="L1147" s="0" t="n">
        <v>60</v>
      </c>
      <c r="M1147" s="7" t="s">
        <v>7531</v>
      </c>
      <c r="N1147" s="7" t="s">
        <v>7532</v>
      </c>
      <c r="O1147" s="7"/>
      <c r="P1147" s="7" t="s">
        <v>7533</v>
      </c>
      <c r="Q1147" s="2" t="n">
        <v>43333</v>
      </c>
      <c r="S1147" s="0" t="n">
        <f aca="false">YEAR(Q1147)</f>
        <v>2018</v>
      </c>
      <c r="T1147" s="0" t="n">
        <f aca="false">MONTH(Q1147)</f>
        <v>8</v>
      </c>
    </row>
    <row r="1148" customFormat="false" ht="42.75" hidden="true" customHeight="false" outlineLevel="0" collapsed="false">
      <c r="A1148" s="0" t="n">
        <v>1147</v>
      </c>
      <c r="B1148" s="1" t="s">
        <v>928</v>
      </c>
      <c r="C1148" s="1" t="s">
        <v>1479</v>
      </c>
      <c r="D1148" s="1" t="s">
        <v>1487</v>
      </c>
      <c r="E1148" s="4" t="s">
        <v>1488</v>
      </c>
      <c r="F1148" s="0" t="s">
        <v>49</v>
      </c>
      <c r="G1148" s="0" t="s">
        <v>7538</v>
      </c>
      <c r="I1148" s="6" t="n">
        <v>0.885416666666667</v>
      </c>
      <c r="J1148" s="6" t="n">
        <v>0.900694444444444</v>
      </c>
      <c r="K1148" s="0" t="n">
        <v>75</v>
      </c>
      <c r="M1148" s="7" t="s">
        <v>7539</v>
      </c>
      <c r="N1148" s="7" t="s">
        <v>7540</v>
      </c>
      <c r="O1148" s="7"/>
      <c r="P1148" s="7" t="s">
        <v>7541</v>
      </c>
      <c r="Q1148" s="2" t="n">
        <v>43333</v>
      </c>
      <c r="S1148" s="0" t="n">
        <f aca="false">YEAR(Q1148)</f>
        <v>2018</v>
      </c>
      <c r="T1148" s="0" t="n">
        <f aca="false">MONTH(Q1148)</f>
        <v>8</v>
      </c>
    </row>
    <row r="1149" customFormat="false" ht="28.5" hidden="true" customHeight="false" outlineLevel="0" collapsed="false">
      <c r="A1149" s="0" t="n">
        <v>1148</v>
      </c>
      <c r="B1149" s="1" t="s">
        <v>929</v>
      </c>
      <c r="C1149" s="1" t="s">
        <v>1479</v>
      </c>
      <c r="D1149" s="1" t="s">
        <v>1535</v>
      </c>
      <c r="E1149" s="0" t="s">
        <v>39</v>
      </c>
      <c r="F1149" s="0" t="s">
        <v>48</v>
      </c>
      <c r="G1149" s="0" t="s">
        <v>7542</v>
      </c>
      <c r="I1149" s="6" t="n">
        <v>0.297916666666667</v>
      </c>
      <c r="J1149" s="6" t="n">
        <v>0.306944444444444</v>
      </c>
      <c r="M1149" s="7" t="s">
        <v>7543</v>
      </c>
      <c r="N1149" s="7" t="s">
        <v>7544</v>
      </c>
      <c r="O1149" s="7"/>
      <c r="P1149" s="7" t="s">
        <v>7545</v>
      </c>
      <c r="Q1149" s="2" t="n">
        <v>43334</v>
      </c>
      <c r="S1149" s="0" t="n">
        <f aca="false">YEAR(Q1149)</f>
        <v>2018</v>
      </c>
      <c r="T1149" s="0" t="n">
        <f aca="false">MONTH(Q1149)</f>
        <v>8</v>
      </c>
    </row>
    <row r="1150" customFormat="false" ht="42.75" hidden="true" customHeight="false" outlineLevel="0" collapsed="false">
      <c r="A1150" s="0" t="n">
        <v>1149</v>
      </c>
      <c r="B1150" s="1" t="s">
        <v>931</v>
      </c>
      <c r="C1150" s="1" t="s">
        <v>1495</v>
      </c>
      <c r="D1150" s="1" t="s">
        <v>1535</v>
      </c>
      <c r="E1150" s="0" t="s">
        <v>42</v>
      </c>
      <c r="F1150" s="0" t="s">
        <v>48</v>
      </c>
      <c r="G1150" s="0" t="s">
        <v>7546</v>
      </c>
      <c r="I1150" s="6" t="n">
        <v>0.243055555555556</v>
      </c>
      <c r="J1150" s="6" t="n">
        <v>0.263888888888889</v>
      </c>
      <c r="L1150" s="0" t="n">
        <v>150</v>
      </c>
      <c r="M1150" s="7" t="s">
        <v>7547</v>
      </c>
      <c r="N1150" s="7" t="s">
        <v>7548</v>
      </c>
      <c r="O1150" s="7"/>
      <c r="P1150" s="7" t="s">
        <v>7549</v>
      </c>
      <c r="Q1150" s="2" t="n">
        <v>43335</v>
      </c>
      <c r="S1150" s="0" t="n">
        <f aca="false">YEAR(Q1150)</f>
        <v>2018</v>
      </c>
      <c r="T1150" s="0" t="n">
        <f aca="false">MONTH(Q1150)</f>
        <v>8</v>
      </c>
    </row>
    <row r="1151" customFormat="false" ht="28.5" hidden="true" customHeight="false" outlineLevel="0" collapsed="false">
      <c r="A1151" s="0" t="n">
        <v>1150</v>
      </c>
      <c r="B1151" s="1" t="s">
        <v>931</v>
      </c>
      <c r="C1151" s="1" t="s">
        <v>1479</v>
      </c>
      <c r="D1151" s="1" t="s">
        <v>1496</v>
      </c>
      <c r="E1151" s="0" t="s">
        <v>38</v>
      </c>
      <c r="F1151" s="0" t="s">
        <v>48</v>
      </c>
      <c r="G1151" s="0" t="s">
        <v>7550</v>
      </c>
      <c r="I1151" s="6" t="n">
        <v>0.542361111111111</v>
      </c>
      <c r="J1151" s="6" t="n">
        <v>0.550694444444444</v>
      </c>
      <c r="L1151" s="0" t="n">
        <v>15</v>
      </c>
      <c r="M1151" s="7" t="s">
        <v>7551</v>
      </c>
      <c r="N1151" s="7" t="s">
        <v>7552</v>
      </c>
      <c r="O1151" s="7"/>
      <c r="P1151" s="7" t="s">
        <v>7553</v>
      </c>
      <c r="Q1151" s="2" t="n">
        <v>43335</v>
      </c>
      <c r="S1151" s="0" t="n">
        <f aca="false">YEAR(Q1151)</f>
        <v>2018</v>
      </c>
      <c r="T1151" s="0" t="n">
        <f aca="false">MONTH(Q1151)</f>
        <v>8</v>
      </c>
    </row>
    <row r="1152" customFormat="false" ht="28.5" hidden="true" customHeight="false" outlineLevel="0" collapsed="false">
      <c r="A1152" s="0" t="n">
        <v>1151</v>
      </c>
      <c r="B1152" s="1" t="s">
        <v>931</v>
      </c>
      <c r="C1152" s="1" t="s">
        <v>1503</v>
      </c>
      <c r="D1152" s="1" t="s">
        <v>1535</v>
      </c>
      <c r="E1152" s="0" t="s">
        <v>44</v>
      </c>
      <c r="F1152" s="0" t="s">
        <v>49</v>
      </c>
      <c r="G1152" s="0" t="s">
        <v>7554</v>
      </c>
      <c r="I1152" s="6" t="n">
        <v>0.620833333333333</v>
      </c>
      <c r="J1152" s="6" t="n">
        <v>0.642361111111111</v>
      </c>
      <c r="K1152" s="0" t="n">
        <v>13</v>
      </c>
      <c r="L1152" s="0" t="n">
        <v>30</v>
      </c>
      <c r="M1152" s="7" t="s">
        <v>7555</v>
      </c>
      <c r="N1152" s="7" t="s">
        <v>7556</v>
      </c>
      <c r="O1152" s="7"/>
      <c r="P1152" s="7" t="s">
        <v>7557</v>
      </c>
      <c r="Q1152" s="2" t="n">
        <v>43335</v>
      </c>
      <c r="S1152" s="0" t="n">
        <f aca="false">YEAR(Q1152)</f>
        <v>2018</v>
      </c>
      <c r="T1152" s="0" t="n">
        <f aca="false">MONTH(Q1152)</f>
        <v>8</v>
      </c>
    </row>
    <row r="1153" customFormat="false" ht="28.5" hidden="true" customHeight="false" outlineLevel="0" collapsed="false">
      <c r="A1153" s="0" t="n">
        <v>1152</v>
      </c>
      <c r="B1153" s="1" t="s">
        <v>931</v>
      </c>
      <c r="C1153" s="1" t="s">
        <v>1479</v>
      </c>
      <c r="D1153" s="1" t="s">
        <v>1487</v>
      </c>
      <c r="E1153" s="4" t="s">
        <v>1488</v>
      </c>
      <c r="F1153" s="0" t="s">
        <v>49</v>
      </c>
      <c r="G1153" s="0" t="s">
        <v>6698</v>
      </c>
      <c r="I1153" s="6" t="n">
        <v>0.692361111111111</v>
      </c>
      <c r="J1153" s="6" t="n">
        <v>0.698611111111111</v>
      </c>
      <c r="K1153" s="0" t="n">
        <v>20</v>
      </c>
      <c r="L1153" s="0" t="n">
        <v>20</v>
      </c>
      <c r="M1153" s="7" t="s">
        <v>7558</v>
      </c>
      <c r="N1153" s="7" t="s">
        <v>7559</v>
      </c>
      <c r="O1153" s="7"/>
      <c r="P1153" s="7" t="s">
        <v>7560</v>
      </c>
      <c r="Q1153" s="2" t="n">
        <v>43335</v>
      </c>
      <c r="S1153" s="0" t="n">
        <f aca="false">YEAR(Q1153)</f>
        <v>2018</v>
      </c>
      <c r="T1153" s="0" t="n">
        <f aca="false">MONTH(Q1153)</f>
        <v>8</v>
      </c>
    </row>
    <row r="1154" customFormat="false" ht="28.5" hidden="true" customHeight="false" outlineLevel="0" collapsed="false">
      <c r="A1154" s="0" t="n">
        <v>1153</v>
      </c>
      <c r="B1154" s="1" t="s">
        <v>931</v>
      </c>
      <c r="C1154" s="1" t="s">
        <v>1479</v>
      </c>
      <c r="D1154" s="1" t="s">
        <v>1487</v>
      </c>
      <c r="E1154" s="0" t="s">
        <v>1488</v>
      </c>
      <c r="F1154" s="0" t="s">
        <v>49</v>
      </c>
      <c r="G1154" s="0" t="s">
        <v>7561</v>
      </c>
      <c r="I1154" s="6" t="n">
        <v>0.708333333333333</v>
      </c>
      <c r="J1154" s="6" t="n">
        <v>0.715972222222222</v>
      </c>
      <c r="K1154" s="0" t="n">
        <v>0</v>
      </c>
      <c r="L1154" s="0" t="n">
        <v>20</v>
      </c>
      <c r="M1154" s="7" t="s">
        <v>7562</v>
      </c>
      <c r="N1154" s="7" t="s">
        <v>7563</v>
      </c>
      <c r="O1154" s="7"/>
      <c r="P1154" s="7" t="s">
        <v>7564</v>
      </c>
      <c r="Q1154" s="2" t="n">
        <v>43335</v>
      </c>
      <c r="S1154" s="0" t="n">
        <f aca="false">YEAR(Q1154)</f>
        <v>2018</v>
      </c>
      <c r="T1154" s="0" t="n">
        <f aca="false">MONTH(Q1154)</f>
        <v>8</v>
      </c>
    </row>
    <row r="1155" customFormat="false" ht="28.5" hidden="true" customHeight="false" outlineLevel="0" collapsed="false">
      <c r="A1155" s="0" t="n">
        <v>1154</v>
      </c>
      <c r="B1155" s="1" t="s">
        <v>931</v>
      </c>
      <c r="C1155" s="1" t="s">
        <v>1503</v>
      </c>
      <c r="D1155" s="1" t="s">
        <v>1535</v>
      </c>
      <c r="E1155" s="0" t="s">
        <v>44</v>
      </c>
      <c r="F1155" s="0" t="s">
        <v>49</v>
      </c>
      <c r="G1155" s="0" t="s">
        <v>7565</v>
      </c>
      <c r="I1155" s="6" t="n">
        <v>0.868055555555555</v>
      </c>
      <c r="J1155" s="6" t="n">
        <v>0.885416666666667</v>
      </c>
      <c r="K1155" s="0" t="n">
        <v>10</v>
      </c>
      <c r="L1155" s="0" t="n">
        <v>60</v>
      </c>
      <c r="M1155" s="7" t="s">
        <v>7566</v>
      </c>
      <c r="N1155" s="7" t="s">
        <v>7567</v>
      </c>
      <c r="O1155" s="7"/>
      <c r="P1155" s="7" t="s">
        <v>7568</v>
      </c>
      <c r="Q1155" s="2" t="n">
        <v>43335</v>
      </c>
      <c r="S1155" s="0" t="n">
        <f aca="false">YEAR(Q1155)</f>
        <v>2018</v>
      </c>
      <c r="T1155" s="0" t="n">
        <f aca="false">MONTH(Q1155)</f>
        <v>8</v>
      </c>
    </row>
    <row r="1156" customFormat="false" ht="28.5" hidden="true" customHeight="false" outlineLevel="0" collapsed="false">
      <c r="A1156" s="0" t="n">
        <v>1155</v>
      </c>
      <c r="B1156" s="1" t="s">
        <v>931</v>
      </c>
      <c r="C1156" s="1" t="s">
        <v>1479</v>
      </c>
      <c r="D1156" s="1" t="s">
        <v>1487</v>
      </c>
      <c r="E1156" s="4" t="s">
        <v>1488</v>
      </c>
      <c r="F1156" s="0" t="s">
        <v>49</v>
      </c>
      <c r="G1156" s="0" t="s">
        <v>7569</v>
      </c>
      <c r="I1156" s="6" t="n">
        <v>0.939583333333333</v>
      </c>
      <c r="J1156" s="6" t="n">
        <v>0.952777777777778</v>
      </c>
      <c r="K1156" s="0" t="n">
        <v>15</v>
      </c>
      <c r="L1156" s="0" t="n">
        <v>31</v>
      </c>
      <c r="M1156" s="7" t="s">
        <v>7570</v>
      </c>
      <c r="N1156" s="7" t="s">
        <v>7571</v>
      </c>
      <c r="O1156" s="7"/>
      <c r="P1156" s="7" t="s">
        <v>7572</v>
      </c>
      <c r="Q1156" s="2" t="n">
        <v>43335</v>
      </c>
      <c r="S1156" s="0" t="n">
        <f aca="false">YEAR(Q1156)</f>
        <v>2018</v>
      </c>
      <c r="T1156" s="0" t="n">
        <f aca="false">MONTH(Q1156)</f>
        <v>8</v>
      </c>
    </row>
    <row r="1157" customFormat="false" ht="28.5" hidden="true" customHeight="false" outlineLevel="0" collapsed="false">
      <c r="A1157" s="0" t="n">
        <v>1156</v>
      </c>
      <c r="B1157" s="1" t="s">
        <v>931</v>
      </c>
      <c r="C1157" s="1" t="s">
        <v>1503</v>
      </c>
      <c r="D1157" s="1" t="s">
        <v>1535</v>
      </c>
      <c r="E1157" s="0" t="s">
        <v>44</v>
      </c>
      <c r="F1157" s="0" t="s">
        <v>50</v>
      </c>
      <c r="G1157" s="0" t="s">
        <v>7573</v>
      </c>
      <c r="J1157" s="6" t="n">
        <v>0.0319444444444444</v>
      </c>
      <c r="K1157" s="0" t="n">
        <v>0</v>
      </c>
      <c r="M1157" s="7" t="s">
        <v>7574</v>
      </c>
      <c r="N1157" s="7" t="s">
        <v>7575</v>
      </c>
      <c r="O1157" s="7"/>
      <c r="P1157" s="7" t="s">
        <v>7576</v>
      </c>
      <c r="Q1157" s="2" t="n">
        <v>43335</v>
      </c>
      <c r="S1157" s="0" t="n">
        <f aca="false">YEAR(Q1157)</f>
        <v>2018</v>
      </c>
      <c r="T1157" s="0" t="n">
        <f aca="false">MONTH(Q1157)</f>
        <v>8</v>
      </c>
    </row>
    <row r="1158" customFormat="false" ht="42.75" hidden="true" customHeight="false" outlineLevel="0" collapsed="false">
      <c r="A1158" s="0" t="n">
        <v>1157</v>
      </c>
      <c r="B1158" s="1" t="s">
        <v>931</v>
      </c>
      <c r="C1158" s="1" t="s">
        <v>1479</v>
      </c>
      <c r="D1158" s="1" t="s">
        <v>1487</v>
      </c>
      <c r="E1158" s="4" t="s">
        <v>1488</v>
      </c>
      <c r="F1158" s="0" t="s">
        <v>50</v>
      </c>
      <c r="G1158" s="0" t="s">
        <v>7577</v>
      </c>
      <c r="I1158" s="6" t="n">
        <v>0.0993055555555556</v>
      </c>
      <c r="J1158" s="6" t="n">
        <v>0.125</v>
      </c>
      <c r="K1158" s="0" t="n">
        <v>47</v>
      </c>
      <c r="L1158" s="0" t="n">
        <v>57</v>
      </c>
      <c r="M1158" s="7" t="s">
        <v>7578</v>
      </c>
      <c r="N1158" s="7" t="s">
        <v>7579</v>
      </c>
      <c r="O1158" s="7"/>
      <c r="P1158" s="7" t="s">
        <v>7580</v>
      </c>
      <c r="Q1158" s="2" t="n">
        <v>43335</v>
      </c>
      <c r="S1158" s="0" t="n">
        <f aca="false">YEAR(Q1158)</f>
        <v>2018</v>
      </c>
      <c r="T1158" s="0" t="n">
        <f aca="false">MONTH(Q1158)</f>
        <v>8</v>
      </c>
    </row>
    <row r="1159" customFormat="false" ht="57" hidden="true" customHeight="false" outlineLevel="0" collapsed="false">
      <c r="A1159" s="0" t="n">
        <v>1158</v>
      </c>
      <c r="B1159" s="1" t="s">
        <v>932</v>
      </c>
      <c r="C1159" s="1" t="s">
        <v>1479</v>
      </c>
      <c r="D1159" s="1" t="s">
        <v>1535</v>
      </c>
      <c r="E1159" s="0" t="s">
        <v>39</v>
      </c>
      <c r="F1159" s="0" t="s">
        <v>49</v>
      </c>
      <c r="G1159" s="0" t="s">
        <v>7581</v>
      </c>
      <c r="I1159" s="6" t="n">
        <v>0.670138888888889</v>
      </c>
      <c r="J1159" s="6" t="n">
        <v>0.676388888888889</v>
      </c>
      <c r="K1159" s="0" t="n">
        <v>66</v>
      </c>
      <c r="L1159" s="0" t="n">
        <v>70</v>
      </c>
      <c r="M1159" s="7" t="s">
        <v>7558</v>
      </c>
      <c r="N1159" s="7" t="s">
        <v>7582</v>
      </c>
      <c r="O1159" s="7"/>
      <c r="P1159" s="7" t="s">
        <v>7583</v>
      </c>
      <c r="Q1159" s="2" t="n">
        <v>43336</v>
      </c>
      <c r="S1159" s="0" t="n">
        <f aca="false">YEAR(Q1159)</f>
        <v>2018</v>
      </c>
      <c r="T1159" s="0" t="n">
        <f aca="false">MONTH(Q1159)</f>
        <v>8</v>
      </c>
    </row>
    <row r="1160" customFormat="false" ht="42.75" hidden="true" customHeight="false" outlineLevel="0" collapsed="false">
      <c r="A1160" s="0" t="n">
        <v>1159</v>
      </c>
      <c r="B1160" s="1" t="s">
        <v>932</v>
      </c>
      <c r="C1160" s="1" t="s">
        <v>1503</v>
      </c>
      <c r="D1160" s="1" t="s">
        <v>1504</v>
      </c>
      <c r="E1160" s="0" t="s">
        <v>7584</v>
      </c>
      <c r="F1160" s="0" t="s">
        <v>50</v>
      </c>
      <c r="G1160" s="0" t="s">
        <v>7585</v>
      </c>
      <c r="I1160" s="6" t="n">
        <v>0.979861111111111</v>
      </c>
      <c r="J1160" s="6" t="n">
        <v>0.0256944444444444</v>
      </c>
      <c r="L1160" s="0" t="n">
        <v>120</v>
      </c>
      <c r="M1160" s="7" t="s">
        <v>7586</v>
      </c>
      <c r="N1160" s="7" t="s">
        <v>7587</v>
      </c>
      <c r="O1160" s="7"/>
      <c r="P1160" s="7" t="s">
        <v>7588</v>
      </c>
      <c r="Q1160" s="2" t="n">
        <v>43336</v>
      </c>
      <c r="S1160" s="0" t="n">
        <f aca="false">YEAR(Q1160)</f>
        <v>2018</v>
      </c>
      <c r="T1160" s="0" t="n">
        <f aca="false">MONTH(Q1160)</f>
        <v>8</v>
      </c>
    </row>
    <row r="1161" customFormat="false" ht="57" hidden="true" customHeight="false" outlineLevel="0" collapsed="false">
      <c r="A1161" s="0" t="n">
        <v>1160</v>
      </c>
      <c r="B1161" s="1" t="s">
        <v>935</v>
      </c>
      <c r="C1161" s="1" t="s">
        <v>1479</v>
      </c>
      <c r="D1161" s="1" t="s">
        <v>1487</v>
      </c>
      <c r="E1161" s="4" t="s">
        <v>1488</v>
      </c>
      <c r="F1161" s="0" t="s">
        <v>48</v>
      </c>
      <c r="G1161" s="0" t="s">
        <v>7589</v>
      </c>
      <c r="I1161" s="6" t="n">
        <v>0.0555555555555556</v>
      </c>
      <c r="K1161" s="0" t="n">
        <v>85</v>
      </c>
      <c r="L1161" s="0" t="n">
        <v>330</v>
      </c>
      <c r="M1161" s="7" t="s">
        <v>7590</v>
      </c>
      <c r="N1161" s="7" t="s">
        <v>7591</v>
      </c>
      <c r="O1161" s="7"/>
      <c r="P1161" s="7" t="s">
        <v>7592</v>
      </c>
      <c r="Q1161" s="2" t="n">
        <v>43339</v>
      </c>
      <c r="S1161" s="0" t="n">
        <f aca="false">YEAR(Q1161)</f>
        <v>2018</v>
      </c>
      <c r="T1161" s="0" t="n">
        <f aca="false">MONTH(Q1161)</f>
        <v>8</v>
      </c>
    </row>
    <row r="1162" customFormat="false" ht="28.5" hidden="true" customHeight="false" outlineLevel="0" collapsed="false">
      <c r="A1162" s="0" t="n">
        <v>1161</v>
      </c>
      <c r="B1162" s="1" t="s">
        <v>935</v>
      </c>
      <c r="C1162" s="1" t="s">
        <v>1503</v>
      </c>
      <c r="D1162" s="1" t="s">
        <v>1535</v>
      </c>
      <c r="E1162" s="0" t="s">
        <v>44</v>
      </c>
      <c r="F1162" s="0" t="s">
        <v>48</v>
      </c>
      <c r="G1162" s="0" t="s">
        <v>7356</v>
      </c>
      <c r="I1162" s="6" t="n">
        <v>0.243055555555556</v>
      </c>
      <c r="J1162" s="6" t="n">
        <v>0.2625</v>
      </c>
      <c r="K1162" s="0" t="n">
        <v>60</v>
      </c>
      <c r="L1162" s="0" t="n">
        <v>100</v>
      </c>
      <c r="M1162" s="7" t="s">
        <v>7593</v>
      </c>
      <c r="N1162" s="7" t="s">
        <v>7594</v>
      </c>
      <c r="O1162" s="7"/>
      <c r="P1162" s="7" t="s">
        <v>7595</v>
      </c>
      <c r="Q1162" s="2" t="n">
        <v>43339</v>
      </c>
      <c r="S1162" s="0" t="n">
        <f aca="false">YEAR(Q1162)</f>
        <v>2018</v>
      </c>
      <c r="T1162" s="0" t="n">
        <f aca="false">MONTH(Q1162)</f>
        <v>8</v>
      </c>
    </row>
    <row r="1163" customFormat="false" ht="28.5" hidden="true" customHeight="false" outlineLevel="0" collapsed="false">
      <c r="A1163" s="0" t="n">
        <v>1162</v>
      </c>
      <c r="B1163" s="1" t="s">
        <v>935</v>
      </c>
      <c r="C1163" s="1" t="s">
        <v>1503</v>
      </c>
      <c r="D1163" s="1" t="s">
        <v>1535</v>
      </c>
      <c r="E1163" s="0" t="s">
        <v>44</v>
      </c>
      <c r="F1163" s="0" t="s">
        <v>48</v>
      </c>
      <c r="G1163" s="0" t="s">
        <v>7356</v>
      </c>
      <c r="I1163" s="6" t="n">
        <v>0.3125</v>
      </c>
      <c r="K1163" s="0" t="n">
        <v>120</v>
      </c>
      <c r="L1163" s="0" t="n">
        <v>85</v>
      </c>
      <c r="M1163" s="7" t="s">
        <v>7596</v>
      </c>
      <c r="N1163" s="7" t="s">
        <v>7597</v>
      </c>
      <c r="O1163" s="7"/>
      <c r="P1163" s="7" t="s">
        <v>7598</v>
      </c>
      <c r="Q1163" s="2" t="n">
        <v>43339</v>
      </c>
      <c r="S1163" s="0" t="n">
        <f aca="false">YEAR(Q1163)</f>
        <v>2018</v>
      </c>
      <c r="T1163" s="0" t="n">
        <f aca="false">MONTH(Q1163)</f>
        <v>8</v>
      </c>
    </row>
    <row r="1164" customFormat="false" ht="42.75" hidden="true" customHeight="false" outlineLevel="0" collapsed="false">
      <c r="A1164" s="0" t="n">
        <v>1163</v>
      </c>
      <c r="B1164" s="1" t="s">
        <v>935</v>
      </c>
      <c r="C1164" s="1" t="s">
        <v>1503</v>
      </c>
      <c r="D1164" s="1" t="s">
        <v>1535</v>
      </c>
      <c r="E1164" s="0" t="s">
        <v>44</v>
      </c>
      <c r="F1164" s="0" t="s">
        <v>48</v>
      </c>
      <c r="G1164" s="0" t="s">
        <v>7356</v>
      </c>
      <c r="I1164" s="6" t="n">
        <v>0.409722222222222</v>
      </c>
      <c r="J1164" s="6" t="n">
        <v>0.416666666666667</v>
      </c>
      <c r="K1164" s="0" t="n">
        <v>40</v>
      </c>
      <c r="L1164" s="0" t="n">
        <v>60</v>
      </c>
      <c r="M1164" s="7" t="s">
        <v>7599</v>
      </c>
      <c r="N1164" s="7" t="s">
        <v>7600</v>
      </c>
      <c r="O1164" s="7"/>
      <c r="P1164" s="7" t="s">
        <v>7601</v>
      </c>
      <c r="Q1164" s="2" t="n">
        <v>43339</v>
      </c>
      <c r="S1164" s="0" t="n">
        <f aca="false">YEAR(Q1164)</f>
        <v>2018</v>
      </c>
      <c r="T1164" s="0" t="n">
        <f aca="false">MONTH(Q1164)</f>
        <v>8</v>
      </c>
    </row>
    <row r="1165" customFormat="false" ht="42.75" hidden="true" customHeight="false" outlineLevel="0" collapsed="false">
      <c r="A1165" s="0" t="n">
        <v>1164</v>
      </c>
      <c r="B1165" s="1" t="s">
        <v>935</v>
      </c>
      <c r="C1165" s="1" t="s">
        <v>1479</v>
      </c>
      <c r="D1165" s="1" t="s">
        <v>1535</v>
      </c>
      <c r="E1165" s="0" t="s">
        <v>39</v>
      </c>
      <c r="F1165" s="0" t="s">
        <v>49</v>
      </c>
      <c r="G1165" s="0" t="s">
        <v>7602</v>
      </c>
      <c r="I1165" s="6" t="n">
        <v>0.603472222222222</v>
      </c>
      <c r="J1165" s="6" t="n">
        <v>0.632638888888889</v>
      </c>
      <c r="K1165" s="0" t="n">
        <v>4</v>
      </c>
      <c r="L1165" s="0" t="n">
        <v>4</v>
      </c>
      <c r="M1165" s="7" t="s">
        <v>7603</v>
      </c>
      <c r="N1165" s="7" t="s">
        <v>7604</v>
      </c>
      <c r="O1165" s="7"/>
      <c r="P1165" s="7" t="s">
        <v>7605</v>
      </c>
      <c r="Q1165" s="2" t="n">
        <v>43339</v>
      </c>
      <c r="S1165" s="0" t="n">
        <f aca="false">YEAR(Q1165)</f>
        <v>2018</v>
      </c>
      <c r="T1165" s="0" t="n">
        <f aca="false">MONTH(Q1165)</f>
        <v>8</v>
      </c>
    </row>
    <row r="1166" customFormat="false" ht="42.75" hidden="true" customHeight="false" outlineLevel="0" collapsed="false">
      <c r="A1166" s="0" t="n">
        <v>1165</v>
      </c>
      <c r="B1166" s="1" t="s">
        <v>935</v>
      </c>
      <c r="C1166" s="1" t="s">
        <v>1479</v>
      </c>
      <c r="D1166" s="1" t="s">
        <v>1487</v>
      </c>
      <c r="E1166" s="4" t="s">
        <v>1488</v>
      </c>
      <c r="F1166" s="0" t="s">
        <v>49</v>
      </c>
      <c r="G1166" s="0" t="s">
        <v>7606</v>
      </c>
      <c r="I1166" s="6" t="n">
        <v>0.6625</v>
      </c>
      <c r="J1166" s="6" t="n">
        <v>0.684027777777778</v>
      </c>
      <c r="K1166" s="0" t="n">
        <v>10</v>
      </c>
      <c r="L1166" s="0" t="n">
        <v>25</v>
      </c>
      <c r="M1166" s="0" t="s">
        <v>7607</v>
      </c>
      <c r="N1166" s="7" t="s">
        <v>7608</v>
      </c>
      <c r="O1166" s="7"/>
      <c r="P1166" s="7" t="s">
        <v>7609</v>
      </c>
      <c r="Q1166" s="2" t="n">
        <v>43339</v>
      </c>
      <c r="S1166" s="0" t="n">
        <f aca="false">YEAR(Q1166)</f>
        <v>2018</v>
      </c>
      <c r="T1166" s="0" t="n">
        <f aca="false">MONTH(Q1166)</f>
        <v>8</v>
      </c>
    </row>
    <row r="1167" customFormat="false" ht="28.5" hidden="true" customHeight="false" outlineLevel="0" collapsed="false">
      <c r="A1167" s="0" t="n">
        <v>1166</v>
      </c>
      <c r="B1167" s="1" t="s">
        <v>935</v>
      </c>
      <c r="C1167" s="1" t="s">
        <v>1479</v>
      </c>
      <c r="D1167" s="1" t="s">
        <v>1480</v>
      </c>
      <c r="E1167" s="0" t="s">
        <v>43</v>
      </c>
      <c r="F1167" s="0" t="s">
        <v>49</v>
      </c>
      <c r="G1167" s="0" t="s">
        <v>3559</v>
      </c>
      <c r="I1167" s="6" t="n">
        <v>0.636805555555555</v>
      </c>
      <c r="J1167" s="6" t="n">
        <v>0.686805555555556</v>
      </c>
      <c r="L1167" s="0" t="n">
        <v>168</v>
      </c>
      <c r="M1167" s="7" t="s">
        <v>7610</v>
      </c>
      <c r="N1167" s="7" t="s">
        <v>7611</v>
      </c>
      <c r="O1167" s="7"/>
      <c r="P1167" s="7" t="s">
        <v>7612</v>
      </c>
      <c r="Q1167" s="2" t="n">
        <v>43339</v>
      </c>
      <c r="S1167" s="0" t="n">
        <f aca="false">YEAR(Q1167)</f>
        <v>2018</v>
      </c>
      <c r="T1167" s="0" t="n">
        <f aca="false">MONTH(Q1167)</f>
        <v>8</v>
      </c>
    </row>
    <row r="1168" customFormat="false" ht="28.5" hidden="true" customHeight="false" outlineLevel="0" collapsed="false">
      <c r="A1168" s="0" t="n">
        <v>1167</v>
      </c>
      <c r="B1168" s="1" t="s">
        <v>935</v>
      </c>
      <c r="C1168" s="1" t="s">
        <v>1479</v>
      </c>
      <c r="D1168" s="1" t="s">
        <v>1487</v>
      </c>
      <c r="E1168" s="0" t="s">
        <v>1488</v>
      </c>
      <c r="F1168" s="0" t="s">
        <v>49</v>
      </c>
      <c r="G1168" s="0" t="s">
        <v>7613</v>
      </c>
      <c r="I1168" s="6" t="n">
        <v>0.895833333333333</v>
      </c>
      <c r="J1168" s="6" t="n">
        <v>0.919444444444444</v>
      </c>
      <c r="L1168" s="0" t="n">
        <v>41</v>
      </c>
      <c r="M1168" s="7" t="s">
        <v>7614</v>
      </c>
      <c r="N1168" s="7" t="s">
        <v>7615</v>
      </c>
      <c r="O1168" s="7"/>
      <c r="P1168" s="7" t="s">
        <v>7616</v>
      </c>
      <c r="Q1168" s="2" t="n">
        <v>43339</v>
      </c>
      <c r="S1168" s="0" t="n">
        <f aca="false">YEAR(Q1168)</f>
        <v>2018</v>
      </c>
      <c r="T1168" s="0" t="n">
        <f aca="false">MONTH(Q1168)</f>
        <v>8</v>
      </c>
    </row>
    <row r="1169" customFormat="false" ht="28.5" hidden="true" customHeight="false" outlineLevel="0" collapsed="false">
      <c r="A1169" s="0" t="n">
        <v>1168</v>
      </c>
      <c r="B1169" s="1" t="s">
        <v>934</v>
      </c>
      <c r="C1169" s="1" t="s">
        <v>1479</v>
      </c>
      <c r="D1169" s="1" t="s">
        <v>1535</v>
      </c>
      <c r="E1169" s="0" t="s">
        <v>39</v>
      </c>
      <c r="F1169" s="0" t="s">
        <v>50</v>
      </c>
      <c r="G1169" s="0" t="s">
        <v>7617</v>
      </c>
      <c r="I1169" s="6" t="n">
        <v>0.921527777777778</v>
      </c>
      <c r="K1169" s="0" t="n">
        <v>2</v>
      </c>
      <c r="L1169" s="0" t="n">
        <v>5</v>
      </c>
      <c r="M1169" s="7" t="s">
        <v>7618</v>
      </c>
      <c r="N1169" s="7" t="s">
        <v>7619</v>
      </c>
      <c r="O1169" s="7"/>
      <c r="P1169" s="7" t="s">
        <v>7620</v>
      </c>
      <c r="Q1169" s="2" t="n">
        <v>43338</v>
      </c>
      <c r="S1169" s="0" t="n">
        <f aca="false">YEAR(Q1169)</f>
        <v>2018</v>
      </c>
      <c r="T1169" s="0" t="n">
        <f aca="false">MONTH(Q1169)</f>
        <v>8</v>
      </c>
    </row>
    <row r="1170" customFormat="false" ht="28.5" hidden="true" customHeight="false" outlineLevel="0" collapsed="false">
      <c r="A1170" s="0" t="n">
        <v>1169</v>
      </c>
      <c r="B1170" s="1" t="s">
        <v>934</v>
      </c>
      <c r="C1170" s="1" t="s">
        <v>1479</v>
      </c>
      <c r="D1170" s="1" t="s">
        <v>1496</v>
      </c>
      <c r="E1170" s="0" t="s">
        <v>38</v>
      </c>
      <c r="F1170" s="0" t="s">
        <v>50</v>
      </c>
      <c r="G1170" s="0" t="s">
        <v>7621</v>
      </c>
      <c r="M1170" s="7" t="s">
        <v>7622</v>
      </c>
      <c r="N1170" s="7" t="s">
        <v>7623</v>
      </c>
      <c r="O1170" s="7"/>
      <c r="P1170" s="7" t="s">
        <v>7624</v>
      </c>
      <c r="Q1170" s="2" t="n">
        <v>43338</v>
      </c>
      <c r="S1170" s="0" t="n">
        <f aca="false">YEAR(Q1170)</f>
        <v>2018</v>
      </c>
      <c r="T1170" s="0" t="n">
        <f aca="false">MONTH(Q1170)</f>
        <v>8</v>
      </c>
    </row>
    <row r="1171" customFormat="false" ht="28.5" hidden="true" customHeight="false" outlineLevel="0" collapsed="false">
      <c r="A1171" s="0" t="n">
        <v>1170</v>
      </c>
      <c r="B1171" s="1" t="s">
        <v>934</v>
      </c>
      <c r="C1171" s="1" t="s">
        <v>1479</v>
      </c>
      <c r="D1171" s="1" t="s">
        <v>1487</v>
      </c>
      <c r="E1171" s="0" t="s">
        <v>1488</v>
      </c>
      <c r="F1171" s="0" t="s">
        <v>50</v>
      </c>
      <c r="G1171" s="0" t="s">
        <v>7625</v>
      </c>
      <c r="I1171" s="6" t="n">
        <v>0.0555555555555556</v>
      </c>
      <c r="J1171" s="6" t="n">
        <v>0.0694444444444444</v>
      </c>
      <c r="K1171" s="0" t="n">
        <v>105</v>
      </c>
      <c r="L1171" s="0" t="n">
        <v>87</v>
      </c>
      <c r="M1171" s="7" t="s">
        <v>7626</v>
      </c>
      <c r="N1171" s="7" t="s">
        <v>7627</v>
      </c>
      <c r="O1171" s="7"/>
      <c r="P1171" s="7" t="s">
        <v>7628</v>
      </c>
      <c r="Q1171" s="2" t="n">
        <v>43338</v>
      </c>
      <c r="S1171" s="0" t="n">
        <f aca="false">YEAR(Q1171)</f>
        <v>2018</v>
      </c>
      <c r="T1171" s="0" t="n">
        <f aca="false">MONTH(Q1171)</f>
        <v>8</v>
      </c>
    </row>
    <row r="1172" customFormat="false" ht="28.5" hidden="true" customHeight="false" outlineLevel="0" collapsed="false">
      <c r="A1172" s="0" t="n">
        <v>1171</v>
      </c>
      <c r="B1172" s="1" t="s">
        <v>934</v>
      </c>
      <c r="C1172" s="1" t="s">
        <v>1479</v>
      </c>
      <c r="D1172" s="1" t="s">
        <v>1487</v>
      </c>
      <c r="E1172" s="0" t="s">
        <v>1488</v>
      </c>
      <c r="F1172" s="0" t="s">
        <v>50</v>
      </c>
      <c r="G1172" s="0" t="s">
        <v>7629</v>
      </c>
      <c r="I1172" s="6" t="n">
        <v>0.0555555555555556</v>
      </c>
      <c r="J1172" s="6" t="n">
        <v>0.0694444444444444</v>
      </c>
      <c r="L1172" s="0" t="n">
        <v>100</v>
      </c>
      <c r="M1172" s="7" t="s">
        <v>7630</v>
      </c>
      <c r="N1172" s="7" t="s">
        <v>7631</v>
      </c>
      <c r="O1172" s="7"/>
      <c r="P1172" s="7" t="s">
        <v>7632</v>
      </c>
      <c r="Q1172" s="2" t="n">
        <v>43338</v>
      </c>
      <c r="S1172" s="0" t="n">
        <f aca="false">YEAR(Q1172)</f>
        <v>2018</v>
      </c>
      <c r="T1172" s="0" t="n">
        <f aca="false">MONTH(Q1172)</f>
        <v>8</v>
      </c>
    </row>
    <row r="1173" customFormat="false" ht="57" hidden="true" customHeight="false" outlineLevel="0" collapsed="false">
      <c r="A1173" s="0" t="n">
        <v>1172</v>
      </c>
      <c r="B1173" s="1" t="s">
        <v>934</v>
      </c>
      <c r="C1173" s="1" t="s">
        <v>1479</v>
      </c>
      <c r="D1173" s="1" t="s">
        <v>1487</v>
      </c>
      <c r="E1173" s="0" t="s">
        <v>1488</v>
      </c>
      <c r="F1173" s="0" t="s">
        <v>50</v>
      </c>
      <c r="G1173" s="0" t="s">
        <v>7633</v>
      </c>
      <c r="I1173" s="6" t="n">
        <v>0.0555555555555556</v>
      </c>
      <c r="J1173" s="6" t="n">
        <v>0.0694444444444444</v>
      </c>
      <c r="L1173" s="0" t="n">
        <v>197</v>
      </c>
      <c r="M1173" s="7" t="s">
        <v>7634</v>
      </c>
      <c r="N1173" s="7" t="s">
        <v>7627</v>
      </c>
      <c r="O1173" s="7"/>
      <c r="P1173" s="7" t="s">
        <v>7635</v>
      </c>
      <c r="Q1173" s="2" t="n">
        <v>43338</v>
      </c>
      <c r="S1173" s="0" t="n">
        <f aca="false">YEAR(Q1173)</f>
        <v>2018</v>
      </c>
      <c r="T1173" s="0" t="n">
        <f aca="false">MONTH(Q1173)</f>
        <v>8</v>
      </c>
    </row>
    <row r="1174" customFormat="false" ht="57" hidden="true" customHeight="false" outlineLevel="0" collapsed="false">
      <c r="A1174" s="0" t="n">
        <v>1173</v>
      </c>
      <c r="B1174" s="1" t="s">
        <v>934</v>
      </c>
      <c r="C1174" s="1" t="s">
        <v>1479</v>
      </c>
      <c r="D1174" s="1" t="s">
        <v>1487</v>
      </c>
      <c r="E1174" s="0" t="s">
        <v>1488</v>
      </c>
      <c r="F1174" s="0" t="s">
        <v>50</v>
      </c>
      <c r="G1174" s="0" t="s">
        <v>7589</v>
      </c>
      <c r="I1174" s="6" t="n">
        <v>0.0555555555555556</v>
      </c>
      <c r="J1174" s="6" t="n">
        <v>0.0694444444444444</v>
      </c>
      <c r="L1174" s="0" t="n">
        <v>390</v>
      </c>
      <c r="M1174" s="7" t="s">
        <v>7636</v>
      </c>
      <c r="N1174" s="7" t="s">
        <v>7631</v>
      </c>
      <c r="O1174" s="7"/>
      <c r="P1174" s="7" t="s">
        <v>7592</v>
      </c>
      <c r="Q1174" s="2" t="n">
        <v>43338</v>
      </c>
      <c r="S1174" s="0" t="n">
        <f aca="false">YEAR(Q1174)</f>
        <v>2018</v>
      </c>
      <c r="T1174" s="0" t="n">
        <f aca="false">MONTH(Q1174)</f>
        <v>8</v>
      </c>
    </row>
    <row r="1175" customFormat="false" ht="28.5" hidden="true" customHeight="false" outlineLevel="0" collapsed="false">
      <c r="A1175" s="0" t="n">
        <v>1174</v>
      </c>
      <c r="B1175" s="1" t="s">
        <v>938</v>
      </c>
      <c r="C1175" s="1" t="s">
        <v>1503</v>
      </c>
      <c r="D1175" s="1" t="s">
        <v>1535</v>
      </c>
      <c r="E1175" s="0" t="s">
        <v>44</v>
      </c>
      <c r="F1175" s="0" t="s">
        <v>48</v>
      </c>
      <c r="G1175" s="0" t="s">
        <v>7637</v>
      </c>
      <c r="I1175" s="6" t="n">
        <v>0.33125</v>
      </c>
      <c r="J1175" s="6" t="n">
        <v>0.343055555555555</v>
      </c>
      <c r="K1175" s="0" t="n">
        <v>66</v>
      </c>
      <c r="L1175" s="0" t="n">
        <v>100</v>
      </c>
      <c r="M1175" s="7" t="s">
        <v>7638</v>
      </c>
      <c r="N1175" s="7" t="s">
        <v>7639</v>
      </c>
      <c r="O1175" s="7"/>
      <c r="P1175" s="7" t="s">
        <v>7640</v>
      </c>
      <c r="Q1175" s="2" t="n">
        <v>43340</v>
      </c>
      <c r="S1175" s="0" t="n">
        <f aca="false">YEAR(Q1175)</f>
        <v>2018</v>
      </c>
      <c r="T1175" s="0" t="n">
        <f aca="false">MONTH(Q1175)</f>
        <v>8</v>
      </c>
    </row>
    <row r="1176" customFormat="false" ht="42.75" hidden="true" customHeight="false" outlineLevel="0" collapsed="false">
      <c r="A1176" s="0" t="n">
        <v>1175</v>
      </c>
      <c r="B1176" s="1" t="s">
        <v>938</v>
      </c>
      <c r="C1176" s="1" t="s">
        <v>1479</v>
      </c>
      <c r="D1176" s="1" t="s">
        <v>1535</v>
      </c>
      <c r="E1176" s="0" t="s">
        <v>39</v>
      </c>
      <c r="F1176" s="0" t="s">
        <v>48</v>
      </c>
      <c r="G1176" s="0" t="s">
        <v>7641</v>
      </c>
      <c r="I1176" s="6" t="n">
        <v>0.396527777777778</v>
      </c>
      <c r="J1176" s="6" t="n">
        <v>0.4</v>
      </c>
      <c r="L1176" s="0" t="n">
        <v>8</v>
      </c>
      <c r="M1176" s="7" t="s">
        <v>7642</v>
      </c>
      <c r="N1176" s="7" t="s">
        <v>7643</v>
      </c>
      <c r="O1176" s="7"/>
      <c r="P1176" s="7" t="s">
        <v>7644</v>
      </c>
      <c r="Q1176" s="2" t="n">
        <v>43340</v>
      </c>
      <c r="S1176" s="0" t="n">
        <f aca="false">YEAR(Q1176)</f>
        <v>2018</v>
      </c>
      <c r="T1176" s="0" t="n">
        <f aca="false">MONTH(Q1176)</f>
        <v>8</v>
      </c>
    </row>
    <row r="1177" customFormat="false" ht="28.5" hidden="true" customHeight="false" outlineLevel="0" collapsed="false">
      <c r="A1177" s="0" t="n">
        <v>1176</v>
      </c>
      <c r="B1177" s="1" t="s">
        <v>938</v>
      </c>
      <c r="C1177" s="1" t="s">
        <v>1479</v>
      </c>
      <c r="D1177" s="1" t="s">
        <v>1487</v>
      </c>
      <c r="E1177" s="0" t="s">
        <v>1488</v>
      </c>
      <c r="F1177" s="0" t="s">
        <v>48</v>
      </c>
      <c r="G1177" s="0" t="s">
        <v>7645</v>
      </c>
      <c r="I1177" s="6" t="n">
        <v>0.423611111111111</v>
      </c>
      <c r="J1177" s="6" t="n">
        <v>0.455555555555556</v>
      </c>
      <c r="K1177" s="0" t="n">
        <v>60</v>
      </c>
      <c r="M1177" s="7" t="s">
        <v>7646</v>
      </c>
      <c r="N1177" s="7" t="s">
        <v>7647</v>
      </c>
      <c r="O1177" s="7"/>
      <c r="P1177" s="7" t="s">
        <v>7648</v>
      </c>
      <c r="Q1177" s="2" t="n">
        <v>43340</v>
      </c>
      <c r="S1177" s="0" t="n">
        <f aca="false">YEAR(Q1177)</f>
        <v>2018</v>
      </c>
      <c r="T1177" s="0" t="n">
        <f aca="false">MONTH(Q1177)</f>
        <v>8</v>
      </c>
    </row>
    <row r="1178" customFormat="false" ht="28.5" hidden="true" customHeight="false" outlineLevel="0" collapsed="false">
      <c r="A1178" s="0" t="n">
        <v>1177</v>
      </c>
      <c r="B1178" s="1" t="s">
        <v>938</v>
      </c>
      <c r="C1178" s="1" t="s">
        <v>1503</v>
      </c>
      <c r="D1178" s="1" t="s">
        <v>1535</v>
      </c>
      <c r="E1178" s="0" t="s">
        <v>44</v>
      </c>
      <c r="F1178" s="0" t="s">
        <v>48</v>
      </c>
      <c r="G1178" s="0" t="s">
        <v>7649</v>
      </c>
      <c r="I1178" s="6" t="n">
        <v>0.375</v>
      </c>
      <c r="J1178" s="6" t="n">
        <v>0.381944444444444</v>
      </c>
      <c r="K1178" s="0" t="n">
        <v>24</v>
      </c>
      <c r="L1178" s="0" t="n">
        <v>18</v>
      </c>
      <c r="M1178" s="7" t="s">
        <v>7650</v>
      </c>
      <c r="N1178" s="7" t="s">
        <v>7651</v>
      </c>
      <c r="O1178" s="7"/>
      <c r="P1178" s="7" t="s">
        <v>7652</v>
      </c>
      <c r="Q1178" s="2" t="n">
        <v>43340</v>
      </c>
      <c r="S1178" s="0" t="n">
        <f aca="false">YEAR(Q1178)</f>
        <v>2018</v>
      </c>
      <c r="T1178" s="0" t="n">
        <f aca="false">MONTH(Q1178)</f>
        <v>8</v>
      </c>
    </row>
    <row r="1179" customFormat="false" ht="28.5" hidden="true" customHeight="false" outlineLevel="0" collapsed="false">
      <c r="A1179" s="0" t="n">
        <v>1178</v>
      </c>
      <c r="B1179" s="1" t="s">
        <v>938</v>
      </c>
      <c r="C1179" s="1" t="s">
        <v>1503</v>
      </c>
      <c r="D1179" s="1" t="s">
        <v>1535</v>
      </c>
      <c r="E1179" s="0" t="s">
        <v>44</v>
      </c>
      <c r="F1179" s="0" t="s">
        <v>48</v>
      </c>
      <c r="G1179" s="0" t="s">
        <v>7653</v>
      </c>
      <c r="J1179" s="6" t="n">
        <v>0.361111111111111</v>
      </c>
      <c r="K1179" s="0" t="n">
        <v>100</v>
      </c>
      <c r="M1179" s="7" t="s">
        <v>7654</v>
      </c>
      <c r="N1179" s="7" t="s">
        <v>6753</v>
      </c>
      <c r="O1179" s="7"/>
      <c r="P1179" s="7" t="s">
        <v>7655</v>
      </c>
      <c r="Q1179" s="2" t="n">
        <v>43340</v>
      </c>
      <c r="S1179" s="0" t="n">
        <f aca="false">YEAR(Q1179)</f>
        <v>2018</v>
      </c>
      <c r="T1179" s="0" t="n">
        <f aca="false">MONTH(Q1179)</f>
        <v>8</v>
      </c>
    </row>
    <row r="1180" customFormat="false" ht="28.5" hidden="true" customHeight="false" outlineLevel="0" collapsed="false">
      <c r="A1180" s="0" t="n">
        <v>1179</v>
      </c>
      <c r="B1180" s="1" t="s">
        <v>938</v>
      </c>
      <c r="C1180" s="1" t="s">
        <v>1479</v>
      </c>
      <c r="D1180" s="1" t="s">
        <v>1535</v>
      </c>
      <c r="E1180" s="0" t="s">
        <v>39</v>
      </c>
      <c r="F1180" s="0" t="s">
        <v>48</v>
      </c>
      <c r="G1180" s="0" t="s">
        <v>7656</v>
      </c>
      <c r="I1180" s="6" t="n">
        <v>0.513888888888889</v>
      </c>
      <c r="K1180" s="0" t="n">
        <v>0</v>
      </c>
      <c r="M1180" s="7" t="s">
        <v>7657</v>
      </c>
      <c r="N1180" s="7" t="s">
        <v>7658</v>
      </c>
      <c r="O1180" s="7"/>
      <c r="P1180" s="7" t="s">
        <v>7659</v>
      </c>
      <c r="Q1180" s="2" t="n">
        <v>43340</v>
      </c>
      <c r="S1180" s="0" t="n">
        <f aca="false">YEAR(Q1180)</f>
        <v>2018</v>
      </c>
      <c r="T1180" s="0" t="n">
        <f aca="false">MONTH(Q1180)</f>
        <v>8</v>
      </c>
    </row>
    <row r="1181" customFormat="false" ht="28.5" hidden="true" customHeight="false" outlineLevel="0" collapsed="false">
      <c r="A1181" s="0" t="n">
        <v>1180</v>
      </c>
      <c r="B1181" s="1" t="s">
        <v>938</v>
      </c>
      <c r="C1181" s="1" t="s">
        <v>1503</v>
      </c>
      <c r="D1181" s="1" t="s">
        <v>1535</v>
      </c>
      <c r="E1181" s="0" t="s">
        <v>44</v>
      </c>
      <c r="F1181" s="0" t="s">
        <v>48</v>
      </c>
      <c r="G1181" s="0" t="s">
        <v>7352</v>
      </c>
      <c r="M1181" s="7" t="s">
        <v>7660</v>
      </c>
      <c r="P1181" s="7" t="s">
        <v>7661</v>
      </c>
      <c r="Q1181" s="2" t="n">
        <v>43340</v>
      </c>
      <c r="S1181" s="0" t="n">
        <f aca="false">YEAR(Q1181)</f>
        <v>2018</v>
      </c>
      <c r="T1181" s="0" t="n">
        <f aca="false">MONTH(Q1181)</f>
        <v>8</v>
      </c>
    </row>
    <row r="1182" customFormat="false" ht="28.5" hidden="true" customHeight="false" outlineLevel="0" collapsed="false">
      <c r="A1182" s="0" t="n">
        <v>1181</v>
      </c>
      <c r="B1182" s="1" t="s">
        <v>939</v>
      </c>
      <c r="C1182" s="1" t="s">
        <v>1479</v>
      </c>
      <c r="D1182" s="1" t="s">
        <v>1535</v>
      </c>
      <c r="E1182" s="0" t="s">
        <v>39</v>
      </c>
      <c r="F1182" s="0" t="s">
        <v>49</v>
      </c>
      <c r="G1182" s="0" t="s">
        <v>7662</v>
      </c>
      <c r="I1182" s="6" t="n">
        <v>0.916666666666667</v>
      </c>
      <c r="J1182" s="6" t="n">
        <v>0.925694444444444</v>
      </c>
      <c r="K1182" s="0" t="n">
        <v>3</v>
      </c>
      <c r="L1182" s="0" t="n">
        <v>3</v>
      </c>
      <c r="M1182" s="7" t="s">
        <v>7663</v>
      </c>
      <c r="N1182" s="7" t="s">
        <v>7664</v>
      </c>
      <c r="O1182" s="7"/>
      <c r="P1182" s="7" t="s">
        <v>7665</v>
      </c>
      <c r="Q1182" s="2" t="n">
        <v>43341</v>
      </c>
      <c r="S1182" s="0" t="n">
        <f aca="false">YEAR(Q1182)</f>
        <v>2018</v>
      </c>
      <c r="T1182" s="0" t="n">
        <f aca="false">MONTH(Q1182)</f>
        <v>8</v>
      </c>
    </row>
    <row r="1183" customFormat="false" ht="42.75" hidden="true" customHeight="false" outlineLevel="0" collapsed="false">
      <c r="A1183" s="0" t="n">
        <v>1182</v>
      </c>
      <c r="B1183" s="1" t="s">
        <v>939</v>
      </c>
      <c r="C1183" s="1" t="s">
        <v>1479</v>
      </c>
      <c r="D1183" s="1" t="s">
        <v>1487</v>
      </c>
      <c r="E1183" s="4" t="s">
        <v>1488</v>
      </c>
      <c r="F1183" s="0" t="s">
        <v>50</v>
      </c>
      <c r="G1183" s="0" t="s">
        <v>7666</v>
      </c>
      <c r="I1183" s="6" t="n">
        <v>0.991666666666667</v>
      </c>
      <c r="J1183" s="6" t="n">
        <v>0.0194444444444444</v>
      </c>
      <c r="K1183" s="0" t="n">
        <v>40</v>
      </c>
      <c r="L1183" s="0" t="n">
        <v>40</v>
      </c>
      <c r="M1183" s="7" t="s">
        <v>7667</v>
      </c>
      <c r="N1183" s="7" t="s">
        <v>7668</v>
      </c>
      <c r="O1183" s="7"/>
      <c r="P1183" s="7" t="s">
        <v>7669</v>
      </c>
      <c r="Q1183" s="2" t="n">
        <v>43341</v>
      </c>
      <c r="S1183" s="0" t="n">
        <f aca="false">YEAR(Q1183)</f>
        <v>2018</v>
      </c>
      <c r="T1183" s="0" t="n">
        <f aca="false">MONTH(Q1183)</f>
        <v>8</v>
      </c>
    </row>
    <row r="1184" customFormat="false" ht="42.75" hidden="true" customHeight="false" outlineLevel="0" collapsed="false">
      <c r="A1184" s="0" t="n">
        <v>1183</v>
      </c>
      <c r="B1184" s="1" t="s">
        <v>940</v>
      </c>
      <c r="C1184" s="1" t="s">
        <v>1503</v>
      </c>
      <c r="D1184" s="1" t="s">
        <v>1535</v>
      </c>
      <c r="E1184" s="0" t="s">
        <v>44</v>
      </c>
      <c r="F1184" s="0" t="s">
        <v>48</v>
      </c>
      <c r="G1184" s="0" t="s">
        <v>7649</v>
      </c>
      <c r="I1184" s="6" t="n">
        <v>0.286805555555556</v>
      </c>
      <c r="J1184" s="6" t="n">
        <v>0.29375</v>
      </c>
      <c r="K1184" s="0" t="n">
        <v>25</v>
      </c>
      <c r="L1184" s="0" t="n">
        <v>15</v>
      </c>
      <c r="M1184" s="7" t="s">
        <v>7670</v>
      </c>
      <c r="N1184" s="7" t="s">
        <v>7671</v>
      </c>
      <c r="O1184" s="7"/>
      <c r="P1184" s="7" t="s">
        <v>7672</v>
      </c>
      <c r="Q1184" s="2" t="n">
        <v>43342</v>
      </c>
      <c r="S1184" s="0" t="n">
        <f aca="false">YEAR(Q1184)</f>
        <v>2018</v>
      </c>
      <c r="T1184" s="0" t="n">
        <f aca="false">MONTH(Q1184)</f>
        <v>8</v>
      </c>
    </row>
    <row r="1185" customFormat="false" ht="42.75" hidden="true" customHeight="false" outlineLevel="0" collapsed="false">
      <c r="A1185" s="0" t="n">
        <v>1184</v>
      </c>
      <c r="B1185" s="1" t="s">
        <v>940</v>
      </c>
      <c r="C1185" s="1" t="s">
        <v>1479</v>
      </c>
      <c r="D1185" s="1" t="s">
        <v>1487</v>
      </c>
      <c r="E1185" s="0" t="s">
        <v>1488</v>
      </c>
      <c r="F1185" s="0" t="s">
        <v>48</v>
      </c>
      <c r="G1185" s="0" t="s">
        <v>7673</v>
      </c>
      <c r="I1185" s="6" t="n">
        <v>0.28125</v>
      </c>
      <c r="J1185" s="6" t="n">
        <v>0.305555555555555</v>
      </c>
      <c r="L1185" s="0" t="n">
        <v>43</v>
      </c>
      <c r="M1185" s="7" t="s">
        <v>7674</v>
      </c>
      <c r="N1185" s="7" t="s">
        <v>7675</v>
      </c>
      <c r="O1185" s="7"/>
      <c r="P1185" s="7" t="s">
        <v>7676</v>
      </c>
      <c r="Q1185" s="2" t="n">
        <v>43342</v>
      </c>
      <c r="S1185" s="0" t="n">
        <f aca="false">YEAR(Q1185)</f>
        <v>2018</v>
      </c>
      <c r="T1185" s="0" t="n">
        <f aca="false">MONTH(Q1185)</f>
        <v>8</v>
      </c>
    </row>
    <row r="1186" customFormat="false" ht="28.5" hidden="true" customHeight="false" outlineLevel="0" collapsed="false">
      <c r="A1186" s="0" t="n">
        <v>1185</v>
      </c>
      <c r="B1186" s="1" t="s">
        <v>940</v>
      </c>
      <c r="C1186" s="1" t="s">
        <v>1503</v>
      </c>
      <c r="D1186" s="1" t="s">
        <v>1535</v>
      </c>
      <c r="E1186" s="0" t="s">
        <v>44</v>
      </c>
      <c r="F1186" s="0" t="s">
        <v>48</v>
      </c>
      <c r="G1186" s="0" t="s">
        <v>7677</v>
      </c>
      <c r="I1186" s="6" t="n">
        <v>0.369444444444444</v>
      </c>
      <c r="J1186" s="6" t="n">
        <v>0.377083333333333</v>
      </c>
      <c r="L1186" s="0" t="n">
        <v>57</v>
      </c>
      <c r="M1186" s="7" t="s">
        <v>7678</v>
      </c>
      <c r="N1186" s="7" t="s">
        <v>7679</v>
      </c>
      <c r="O1186" s="7"/>
      <c r="P1186" s="7" t="s">
        <v>7680</v>
      </c>
      <c r="Q1186" s="2" t="n">
        <v>43342</v>
      </c>
      <c r="S1186" s="0" t="n">
        <f aca="false">YEAR(Q1186)</f>
        <v>2018</v>
      </c>
      <c r="T1186" s="0" t="n">
        <f aca="false">MONTH(Q1186)</f>
        <v>8</v>
      </c>
    </row>
    <row r="1187" customFormat="false" ht="28.5" hidden="true" customHeight="false" outlineLevel="0" collapsed="false">
      <c r="A1187" s="0" t="n">
        <v>1186</v>
      </c>
      <c r="B1187" s="1" t="s">
        <v>940</v>
      </c>
      <c r="C1187" s="1" t="s">
        <v>1479</v>
      </c>
      <c r="D1187" s="1" t="s">
        <v>1496</v>
      </c>
      <c r="E1187" s="0" t="s">
        <v>38</v>
      </c>
      <c r="F1187" s="0" t="s">
        <v>48</v>
      </c>
      <c r="G1187" s="0" t="s">
        <v>7681</v>
      </c>
      <c r="I1187" s="6" t="n">
        <v>0.570833333333333</v>
      </c>
      <c r="J1187" s="6" t="n">
        <v>0.577777777777778</v>
      </c>
      <c r="K1187" s="0" t="n">
        <v>7</v>
      </c>
      <c r="L1187" s="0" t="n">
        <v>9</v>
      </c>
      <c r="M1187" s="7" t="s">
        <v>7682</v>
      </c>
      <c r="N1187" s="7" t="s">
        <v>7683</v>
      </c>
      <c r="O1187" s="7"/>
      <c r="P1187" s="7" t="s">
        <v>7684</v>
      </c>
      <c r="Q1187" s="2" t="n">
        <v>43342</v>
      </c>
      <c r="S1187" s="0" t="n">
        <f aca="false">YEAR(Q1187)</f>
        <v>2018</v>
      </c>
      <c r="T1187" s="0" t="n">
        <f aca="false">MONTH(Q1187)</f>
        <v>8</v>
      </c>
    </row>
    <row r="1188" customFormat="false" ht="28.5" hidden="true" customHeight="false" outlineLevel="0" collapsed="false">
      <c r="A1188" s="0" t="n">
        <v>1187</v>
      </c>
      <c r="B1188" s="1" t="s">
        <v>940</v>
      </c>
      <c r="C1188" s="1" t="s">
        <v>1479</v>
      </c>
      <c r="D1188" s="1" t="s">
        <v>1487</v>
      </c>
      <c r="E1188" s="0" t="s">
        <v>1488</v>
      </c>
      <c r="F1188" s="0" t="s">
        <v>49</v>
      </c>
      <c r="G1188" s="0" t="s">
        <v>7685</v>
      </c>
      <c r="I1188" s="6" t="n">
        <v>0.75</v>
      </c>
      <c r="J1188" s="6" t="n">
        <v>0.770833333333333</v>
      </c>
      <c r="L1188" s="0" t="n">
        <v>145</v>
      </c>
      <c r="M1188" s="7" t="s">
        <v>7686</v>
      </c>
      <c r="N1188" s="7" t="s">
        <v>7687</v>
      </c>
      <c r="O1188" s="7"/>
      <c r="P1188" s="7" t="s">
        <v>7688</v>
      </c>
      <c r="Q1188" s="2" t="n">
        <v>43342</v>
      </c>
      <c r="S1188" s="0" t="n">
        <f aca="false">YEAR(Q1188)</f>
        <v>2018</v>
      </c>
      <c r="T1188" s="0" t="n">
        <f aca="false">MONTH(Q1188)</f>
        <v>8</v>
      </c>
    </row>
    <row r="1189" customFormat="false" ht="28.5" hidden="true" customHeight="false" outlineLevel="0" collapsed="false">
      <c r="A1189" s="0" t="n">
        <v>1188</v>
      </c>
      <c r="B1189" s="1" t="s">
        <v>940</v>
      </c>
      <c r="C1189" s="1" t="s">
        <v>1479</v>
      </c>
      <c r="D1189" s="1" t="s">
        <v>1535</v>
      </c>
      <c r="E1189" s="0" t="s">
        <v>39</v>
      </c>
      <c r="F1189" s="0" t="s">
        <v>50</v>
      </c>
      <c r="G1189" s="0" t="s">
        <v>7689</v>
      </c>
      <c r="I1189" s="6" t="n">
        <v>0.16875</v>
      </c>
      <c r="J1189" s="6" t="n">
        <v>0.170833333333333</v>
      </c>
      <c r="K1189" s="0" t="n">
        <v>14</v>
      </c>
      <c r="L1189" s="0" t="n">
        <v>14</v>
      </c>
      <c r="M1189" s="7" t="s">
        <v>7690</v>
      </c>
      <c r="N1189" s="7" t="s">
        <v>7691</v>
      </c>
      <c r="O1189" s="7"/>
      <c r="P1189" s="7" t="s">
        <v>7692</v>
      </c>
      <c r="Q1189" s="2" t="n">
        <v>43342</v>
      </c>
      <c r="S1189" s="0" t="n">
        <f aca="false">YEAR(Q1189)</f>
        <v>2018</v>
      </c>
      <c r="T1189" s="0" t="n">
        <f aca="false">MONTH(Q1189)</f>
        <v>8</v>
      </c>
    </row>
    <row r="1190" customFormat="false" ht="28.5" hidden="true" customHeight="false" outlineLevel="0" collapsed="false">
      <c r="A1190" s="0" t="n">
        <v>1189</v>
      </c>
      <c r="B1190" s="1" t="s">
        <v>941</v>
      </c>
      <c r="C1190" s="1" t="s">
        <v>1479</v>
      </c>
      <c r="D1190" s="1" t="s">
        <v>1487</v>
      </c>
      <c r="E1190" s="0" t="s">
        <v>1488</v>
      </c>
      <c r="F1190" s="0" t="s">
        <v>48</v>
      </c>
      <c r="G1190" s="0" t="s">
        <v>7693</v>
      </c>
      <c r="I1190" s="6" t="n">
        <v>0.576388888888889</v>
      </c>
      <c r="J1190" s="6" t="n">
        <v>0.5875</v>
      </c>
      <c r="K1190" s="0" t="n">
        <v>0</v>
      </c>
      <c r="L1190" s="0" t="n">
        <v>50</v>
      </c>
      <c r="M1190" s="7" t="s">
        <v>7694</v>
      </c>
      <c r="N1190" s="7" t="s">
        <v>7695</v>
      </c>
      <c r="O1190" s="7"/>
      <c r="P1190" s="7" t="s">
        <v>7696</v>
      </c>
      <c r="Q1190" s="2" t="n">
        <v>43343</v>
      </c>
      <c r="S1190" s="0" t="n">
        <f aca="false">YEAR(Q1190)</f>
        <v>2018</v>
      </c>
      <c r="T1190" s="0" t="n">
        <f aca="false">MONTH(Q1190)</f>
        <v>8</v>
      </c>
    </row>
    <row r="1191" customFormat="false" ht="42.75" hidden="true" customHeight="false" outlineLevel="0" collapsed="false">
      <c r="A1191" s="0" t="n">
        <v>1190</v>
      </c>
      <c r="B1191" s="1" t="s">
        <v>941</v>
      </c>
      <c r="C1191" s="1" t="s">
        <v>1479</v>
      </c>
      <c r="D1191" s="1" t="s">
        <v>1496</v>
      </c>
      <c r="E1191" s="0" t="s">
        <v>38</v>
      </c>
      <c r="F1191" s="0" t="s">
        <v>49</v>
      </c>
      <c r="G1191" s="0" t="s">
        <v>7697</v>
      </c>
      <c r="I1191" s="6" t="n">
        <v>0.703472222222222</v>
      </c>
      <c r="J1191" s="6" t="n">
        <v>0.713194444444444</v>
      </c>
      <c r="K1191" s="0" t="s">
        <v>7698</v>
      </c>
      <c r="L1191" s="0" t="n">
        <v>23</v>
      </c>
      <c r="M1191" s="7" t="s">
        <v>7699</v>
      </c>
      <c r="N1191" s="7" t="s">
        <v>7700</v>
      </c>
      <c r="O1191" s="7"/>
      <c r="P1191" s="7" t="s">
        <v>7701</v>
      </c>
      <c r="Q1191" s="2" t="n">
        <v>43343</v>
      </c>
      <c r="S1191" s="0" t="n">
        <f aca="false">YEAR(Q1191)</f>
        <v>2018</v>
      </c>
      <c r="T1191" s="0" t="n">
        <f aca="false">MONTH(Q1191)</f>
        <v>8</v>
      </c>
    </row>
    <row r="1192" customFormat="false" ht="28.5" hidden="true" customHeight="false" outlineLevel="0" collapsed="false">
      <c r="A1192" s="0" t="n">
        <v>1191</v>
      </c>
      <c r="B1192" s="1" t="s">
        <v>941</v>
      </c>
      <c r="C1192" s="1" t="s">
        <v>1479</v>
      </c>
      <c r="D1192" s="1" t="s">
        <v>1496</v>
      </c>
      <c r="E1192" s="0" t="s">
        <v>38</v>
      </c>
      <c r="F1192" s="0" t="s">
        <v>49</v>
      </c>
      <c r="G1192" s="0" t="s">
        <v>7702</v>
      </c>
      <c r="I1192" s="6" t="n">
        <v>0.930555555555555</v>
      </c>
      <c r="J1192" s="6" t="n">
        <v>0.940972222222222</v>
      </c>
      <c r="L1192" s="0" t="n">
        <v>48</v>
      </c>
      <c r="M1192" s="7" t="s">
        <v>7703</v>
      </c>
      <c r="N1192" s="7" t="s">
        <v>7704</v>
      </c>
      <c r="O1192" s="7"/>
      <c r="P1192" s="7" t="s">
        <v>7705</v>
      </c>
      <c r="Q1192" s="2" t="n">
        <v>43343</v>
      </c>
      <c r="S1192" s="0" t="n">
        <f aca="false">YEAR(Q1192)</f>
        <v>2018</v>
      </c>
      <c r="T1192" s="0" t="n">
        <f aca="false">MONTH(Q1192)</f>
        <v>8</v>
      </c>
    </row>
    <row r="1193" customFormat="false" ht="28.5" hidden="true" customHeight="false" outlineLevel="0" collapsed="false">
      <c r="A1193" s="0" t="n">
        <v>1192</v>
      </c>
      <c r="B1193" s="1" t="s">
        <v>942</v>
      </c>
      <c r="C1193" s="1" t="s">
        <v>1479</v>
      </c>
      <c r="D1193" s="1" t="s">
        <v>1535</v>
      </c>
      <c r="E1193" s="0" t="s">
        <v>39</v>
      </c>
      <c r="F1193" s="0" t="s">
        <v>50</v>
      </c>
      <c r="G1193" s="0" t="s">
        <v>7706</v>
      </c>
      <c r="I1193" s="6" t="n">
        <v>0.916666666666667</v>
      </c>
      <c r="J1193" s="6" t="n">
        <v>0.919444444444444</v>
      </c>
      <c r="K1193" s="0" t="n">
        <v>8</v>
      </c>
      <c r="L1193" s="0" t="n">
        <v>8</v>
      </c>
      <c r="M1193" s="7" t="s">
        <v>7707</v>
      </c>
      <c r="N1193" s="7" t="s">
        <v>7708</v>
      </c>
      <c r="O1193" s="7"/>
      <c r="P1193" s="7" t="s">
        <v>7709</v>
      </c>
      <c r="Q1193" s="2" t="n">
        <v>43345</v>
      </c>
      <c r="S1193" s="0" t="n">
        <f aca="false">YEAR(Q1193)</f>
        <v>2018</v>
      </c>
      <c r="T1193" s="0" t="n">
        <f aca="false">MONTH(Q1193)</f>
        <v>9</v>
      </c>
    </row>
    <row r="1194" customFormat="false" ht="42.75" hidden="true" customHeight="false" outlineLevel="0" collapsed="false">
      <c r="A1194" s="0" t="n">
        <v>1193</v>
      </c>
      <c r="B1194" s="1" t="s">
        <v>942</v>
      </c>
      <c r="C1194" s="1" t="s">
        <v>1479</v>
      </c>
      <c r="D1194" s="1" t="s">
        <v>1487</v>
      </c>
      <c r="E1194" s="0" t="s">
        <v>1488</v>
      </c>
      <c r="F1194" s="0" t="s">
        <v>50</v>
      </c>
      <c r="G1194" s="0" t="s">
        <v>7710</v>
      </c>
      <c r="I1194" s="6" t="n">
        <v>0.923611111111111</v>
      </c>
      <c r="J1194" s="6" t="n">
        <v>0.977083333333333</v>
      </c>
      <c r="L1194" s="0" t="n">
        <v>100</v>
      </c>
      <c r="M1194" s="7" t="s">
        <v>7711</v>
      </c>
      <c r="N1194" s="7" t="s">
        <v>7712</v>
      </c>
      <c r="O1194" s="7"/>
      <c r="P1194" s="7" t="s">
        <v>7713</v>
      </c>
      <c r="Q1194" s="2" t="n">
        <v>43345</v>
      </c>
      <c r="S1194" s="0" t="n">
        <f aca="false">YEAR(Q1194)</f>
        <v>2018</v>
      </c>
      <c r="T1194" s="0" t="n">
        <f aca="false">MONTH(Q1194)</f>
        <v>9</v>
      </c>
    </row>
    <row r="1195" customFormat="false" ht="57" hidden="true" customHeight="false" outlineLevel="0" collapsed="false">
      <c r="A1195" s="0" t="n">
        <v>1194</v>
      </c>
      <c r="B1195" s="1" t="s">
        <v>942</v>
      </c>
      <c r="C1195" s="1" t="s">
        <v>1503</v>
      </c>
      <c r="D1195" s="1" t="s">
        <v>1535</v>
      </c>
      <c r="E1195" s="0" t="s">
        <v>44</v>
      </c>
      <c r="F1195" s="0" t="s">
        <v>50</v>
      </c>
      <c r="G1195" s="0" t="s">
        <v>7714</v>
      </c>
      <c r="I1195" s="6" t="n">
        <v>0.916666666666667</v>
      </c>
      <c r="J1195" s="6" t="n">
        <v>0.930555555555555</v>
      </c>
      <c r="M1195" s="7" t="s">
        <v>7715</v>
      </c>
      <c r="N1195" s="7" t="s">
        <v>7716</v>
      </c>
      <c r="O1195" s="7"/>
      <c r="P1195" s="7" t="s">
        <v>7717</v>
      </c>
      <c r="Q1195" s="2" t="n">
        <v>43345</v>
      </c>
      <c r="S1195" s="0" t="n">
        <f aca="false">YEAR(Q1195)</f>
        <v>2018</v>
      </c>
      <c r="T1195" s="0" t="n">
        <f aca="false">MONTH(Q1195)</f>
        <v>9</v>
      </c>
    </row>
    <row r="1196" customFormat="false" ht="42.75" hidden="true" customHeight="false" outlineLevel="0" collapsed="false">
      <c r="A1196" s="0" t="n">
        <v>1195</v>
      </c>
      <c r="B1196" s="1" t="s">
        <v>942</v>
      </c>
      <c r="C1196" s="1" t="s">
        <v>1503</v>
      </c>
      <c r="D1196" s="1" t="s">
        <v>1535</v>
      </c>
      <c r="E1196" s="0" t="s">
        <v>44</v>
      </c>
      <c r="F1196" s="0" t="s">
        <v>50</v>
      </c>
      <c r="G1196" s="0" t="s">
        <v>7718</v>
      </c>
      <c r="I1196" s="6" t="n">
        <v>0.927083333333333</v>
      </c>
      <c r="J1196" s="6" t="n">
        <v>0.0208333333333333</v>
      </c>
      <c r="M1196" s="7" t="s">
        <v>7719</v>
      </c>
      <c r="N1196" s="7" t="s">
        <v>7720</v>
      </c>
      <c r="O1196" s="7"/>
      <c r="P1196" s="7" t="s">
        <v>7721</v>
      </c>
      <c r="Q1196" s="2" t="n">
        <v>43345</v>
      </c>
      <c r="S1196" s="0" t="n">
        <f aca="false">YEAR(Q1196)</f>
        <v>2018</v>
      </c>
      <c r="T1196" s="0" t="n">
        <f aca="false">MONTH(Q1196)</f>
        <v>9</v>
      </c>
    </row>
    <row r="1197" customFormat="false" ht="72" hidden="true" customHeight="false" outlineLevel="0" collapsed="false">
      <c r="A1197" s="0" t="n">
        <v>1197</v>
      </c>
      <c r="B1197" s="1" t="s">
        <v>943</v>
      </c>
      <c r="C1197" s="1" t="s">
        <v>1479</v>
      </c>
      <c r="D1197" s="1" t="s">
        <v>1487</v>
      </c>
      <c r="E1197" s="0" t="s">
        <v>1488</v>
      </c>
      <c r="F1197" s="0" t="s">
        <v>48</v>
      </c>
      <c r="G1197" s="0" t="s">
        <v>7722</v>
      </c>
      <c r="I1197" s="6" t="n">
        <v>0.277083333333333</v>
      </c>
      <c r="J1197" s="6" t="n">
        <v>0.290972222222222</v>
      </c>
      <c r="K1197" s="0" t="n">
        <v>0</v>
      </c>
      <c r="L1197" s="0" t="n">
        <v>36</v>
      </c>
      <c r="M1197" s="7" t="s">
        <v>7723</v>
      </c>
      <c r="N1197" s="7" t="s">
        <v>7724</v>
      </c>
      <c r="O1197" s="7"/>
      <c r="P1197" s="7" t="s">
        <v>7725</v>
      </c>
      <c r="Q1197" s="2" t="n">
        <v>43346</v>
      </c>
      <c r="S1197" s="0" t="n">
        <f aca="false">YEAR(Q1197)</f>
        <v>2018</v>
      </c>
      <c r="T1197" s="0" t="n">
        <f aca="false">MONTH(Q1197)</f>
        <v>9</v>
      </c>
    </row>
    <row r="1198" customFormat="false" ht="28.5" hidden="true" customHeight="false" outlineLevel="0" collapsed="false">
      <c r="A1198" s="0" t="n">
        <v>1198</v>
      </c>
      <c r="B1198" s="1" t="s">
        <v>943</v>
      </c>
      <c r="C1198" s="1" t="s">
        <v>1503</v>
      </c>
      <c r="D1198" s="1" t="s">
        <v>1535</v>
      </c>
      <c r="E1198" s="0" t="s">
        <v>44</v>
      </c>
      <c r="F1198" s="0" t="s">
        <v>48</v>
      </c>
      <c r="G1198" s="0" t="s">
        <v>7726</v>
      </c>
      <c r="I1198" s="6" t="n">
        <v>0</v>
      </c>
      <c r="J1198" s="6" t="n">
        <v>0.322916666666667</v>
      </c>
      <c r="M1198" s="7" t="s">
        <v>7727</v>
      </c>
      <c r="N1198" s="7" t="s">
        <v>7728</v>
      </c>
      <c r="O1198" s="7"/>
      <c r="P1198" s="7" t="s">
        <v>7729</v>
      </c>
      <c r="Q1198" s="2" t="n">
        <v>43346</v>
      </c>
      <c r="S1198" s="0" t="n">
        <f aca="false">YEAR(Q1198)</f>
        <v>2018</v>
      </c>
      <c r="T1198" s="0" t="n">
        <f aca="false">MONTH(Q1198)</f>
        <v>9</v>
      </c>
    </row>
    <row r="1199" customFormat="false" ht="28.5" hidden="true" customHeight="false" outlineLevel="0" collapsed="false">
      <c r="A1199" s="0" t="n">
        <v>1199</v>
      </c>
      <c r="B1199" s="1" t="s">
        <v>943</v>
      </c>
      <c r="C1199" s="1" t="s">
        <v>1503</v>
      </c>
      <c r="D1199" s="1" t="s">
        <v>1535</v>
      </c>
      <c r="E1199" s="0" t="s">
        <v>44</v>
      </c>
      <c r="F1199" s="0" t="s">
        <v>48</v>
      </c>
      <c r="G1199" s="0" t="s">
        <v>7730</v>
      </c>
      <c r="I1199" s="6" t="n">
        <v>0.336111111111111</v>
      </c>
      <c r="J1199" s="6" t="n">
        <v>0.343055555555555</v>
      </c>
      <c r="K1199" s="0" t="n">
        <v>20</v>
      </c>
      <c r="L1199" s="0" t="n">
        <v>15</v>
      </c>
      <c r="M1199" s="7" t="s">
        <v>7731</v>
      </c>
      <c r="N1199" s="7" t="s">
        <v>7732</v>
      </c>
      <c r="O1199" s="7"/>
      <c r="P1199" s="7" t="s">
        <v>7733</v>
      </c>
      <c r="Q1199" s="2" t="n">
        <v>43346</v>
      </c>
      <c r="S1199" s="0" t="n">
        <f aca="false">YEAR(Q1199)</f>
        <v>2018</v>
      </c>
      <c r="T1199" s="0" t="n">
        <f aca="false">MONTH(Q1199)</f>
        <v>9</v>
      </c>
    </row>
    <row r="1200" customFormat="false" ht="28.5" hidden="true" customHeight="false" outlineLevel="0" collapsed="false">
      <c r="A1200" s="0" t="n">
        <v>1200</v>
      </c>
      <c r="B1200" s="1" t="s">
        <v>943</v>
      </c>
      <c r="C1200" s="1" t="s">
        <v>1503</v>
      </c>
      <c r="D1200" s="1" t="s">
        <v>1535</v>
      </c>
      <c r="E1200" s="0" t="s">
        <v>44</v>
      </c>
      <c r="F1200" s="0" t="s">
        <v>48</v>
      </c>
      <c r="G1200" s="0" t="s">
        <v>7734</v>
      </c>
      <c r="I1200" s="6" t="n">
        <v>0.354166666666667</v>
      </c>
      <c r="J1200" s="6" t="n">
        <v>0.290972222222222</v>
      </c>
      <c r="K1200" s="0" t="n">
        <v>42</v>
      </c>
      <c r="L1200" s="0" t="n">
        <v>30</v>
      </c>
      <c r="M1200" s="7" t="s">
        <v>7735</v>
      </c>
      <c r="N1200" s="7" t="s">
        <v>7736</v>
      </c>
      <c r="O1200" s="7"/>
      <c r="P1200" s="7" t="s">
        <v>7737</v>
      </c>
      <c r="Q1200" s="2" t="n">
        <v>43346</v>
      </c>
      <c r="S1200" s="0" t="n">
        <f aca="false">YEAR(Q1200)</f>
        <v>2018</v>
      </c>
      <c r="T1200" s="0" t="n">
        <f aca="false">MONTH(Q1200)</f>
        <v>9</v>
      </c>
    </row>
    <row r="1201" customFormat="false" ht="72" hidden="true" customHeight="false" outlineLevel="0" collapsed="false">
      <c r="A1201" s="0" t="n">
        <v>1201</v>
      </c>
      <c r="B1201" s="1" t="s">
        <v>943</v>
      </c>
      <c r="C1201" s="1" t="s">
        <v>1479</v>
      </c>
      <c r="D1201" s="1" t="s">
        <v>1535</v>
      </c>
      <c r="E1201" s="0" t="s">
        <v>4643</v>
      </c>
      <c r="F1201" s="0" t="s">
        <v>49</v>
      </c>
      <c r="G1201" s="0" t="s">
        <v>7738</v>
      </c>
      <c r="I1201" s="6" t="n">
        <v>0.881944444444444</v>
      </c>
      <c r="J1201" s="6" t="n">
        <v>0.884722222222222</v>
      </c>
      <c r="K1201" s="0" t="n">
        <v>0</v>
      </c>
      <c r="L1201" s="0" t="n">
        <v>90</v>
      </c>
      <c r="M1201" s="7" t="s">
        <v>7739</v>
      </c>
      <c r="N1201" s="7" t="s">
        <v>7740</v>
      </c>
      <c r="O1201" s="7"/>
      <c r="P1201" s="7" t="s">
        <v>7741</v>
      </c>
      <c r="Q1201" s="2" t="n">
        <v>43346</v>
      </c>
      <c r="S1201" s="0" t="n">
        <f aca="false">YEAR(Q1201)</f>
        <v>2018</v>
      </c>
      <c r="T1201" s="0" t="n">
        <f aca="false">MONTH(Q1201)</f>
        <v>9</v>
      </c>
    </row>
    <row r="1202" customFormat="false" ht="28.5" hidden="true" customHeight="false" outlineLevel="0" collapsed="false">
      <c r="A1202" s="0" t="n">
        <v>1202</v>
      </c>
      <c r="B1202" s="1" t="s">
        <v>944</v>
      </c>
      <c r="C1202" s="1" t="s">
        <v>1479</v>
      </c>
      <c r="D1202" s="1" t="s">
        <v>1535</v>
      </c>
      <c r="E1202" s="0" t="s">
        <v>39</v>
      </c>
      <c r="F1202" s="0" t="s">
        <v>48</v>
      </c>
      <c r="G1202" s="0" t="s">
        <v>7742</v>
      </c>
      <c r="I1202" s="6" t="n">
        <v>0.576388888888889</v>
      </c>
      <c r="J1202" s="6" t="n">
        <v>0.584722222222222</v>
      </c>
      <c r="L1202" s="0" t="n">
        <v>30</v>
      </c>
      <c r="M1202" s="7" t="s">
        <v>7743</v>
      </c>
      <c r="N1202" s="7" t="s">
        <v>7744</v>
      </c>
      <c r="O1202" s="7"/>
      <c r="P1202" s="7" t="s">
        <v>7745</v>
      </c>
      <c r="Q1202" s="2" t="n">
        <v>43347</v>
      </c>
      <c r="S1202" s="0" t="n">
        <f aca="false">YEAR(Q1202)</f>
        <v>2018</v>
      </c>
      <c r="T1202" s="0" t="n">
        <f aca="false">MONTH(Q1202)</f>
        <v>9</v>
      </c>
    </row>
    <row r="1203" customFormat="false" ht="28.5" hidden="true" customHeight="false" outlineLevel="0" collapsed="false">
      <c r="A1203" s="0" t="n">
        <v>1203</v>
      </c>
      <c r="B1203" s="1" t="s">
        <v>944</v>
      </c>
      <c r="C1203" s="1" t="s">
        <v>1479</v>
      </c>
      <c r="D1203" s="1" t="s">
        <v>1535</v>
      </c>
      <c r="E1203" s="0" t="s">
        <v>39</v>
      </c>
      <c r="F1203" s="0" t="s">
        <v>50</v>
      </c>
      <c r="G1203" s="0" t="s">
        <v>7746</v>
      </c>
      <c r="I1203" s="6" t="n">
        <v>0.0555555555555556</v>
      </c>
      <c r="J1203" s="6" t="n">
        <v>0.0625</v>
      </c>
      <c r="K1203" s="0" t="n">
        <v>300</v>
      </c>
      <c r="L1203" s="0" t="n">
        <v>334</v>
      </c>
      <c r="M1203" s="7" t="s">
        <v>7747</v>
      </c>
      <c r="N1203" s="7" t="s">
        <v>7748</v>
      </c>
      <c r="O1203" s="7"/>
      <c r="P1203" s="7" t="s">
        <v>7749</v>
      </c>
      <c r="Q1203" s="2" t="n">
        <v>43347</v>
      </c>
      <c r="S1203" s="0" t="n">
        <f aca="false">YEAR(Q1203)</f>
        <v>2018</v>
      </c>
      <c r="T1203" s="0" t="n">
        <f aca="false">MONTH(Q1203)</f>
        <v>9</v>
      </c>
    </row>
    <row r="1204" customFormat="false" ht="28.5" hidden="true" customHeight="false" outlineLevel="0" collapsed="false">
      <c r="A1204" s="0" t="n">
        <v>1204</v>
      </c>
      <c r="B1204" s="1" t="s">
        <v>946</v>
      </c>
      <c r="C1204" s="1" t="s">
        <v>1503</v>
      </c>
      <c r="D1204" s="1" t="s">
        <v>1535</v>
      </c>
      <c r="E1204" s="0" t="s">
        <v>44</v>
      </c>
      <c r="F1204" s="0" t="s">
        <v>48</v>
      </c>
      <c r="G1204" s="0" t="s">
        <v>7750</v>
      </c>
      <c r="I1204" s="6" t="n">
        <v>0.298611111111111</v>
      </c>
      <c r="L1204" s="0" t="n">
        <v>37</v>
      </c>
      <c r="M1204" s="7" t="s">
        <v>7751</v>
      </c>
      <c r="Q1204" s="2" t="n">
        <v>43349</v>
      </c>
      <c r="S1204" s="0" t="n">
        <f aca="false">YEAR(Q1204)</f>
        <v>2018</v>
      </c>
      <c r="T1204" s="0" t="n">
        <f aca="false">MONTH(Q1204)</f>
        <v>9</v>
      </c>
    </row>
    <row r="1205" customFormat="false" ht="28.5" hidden="true" customHeight="false" outlineLevel="0" collapsed="false">
      <c r="A1205" s="0" t="n">
        <v>1205</v>
      </c>
      <c r="B1205" s="1" t="s">
        <v>946</v>
      </c>
      <c r="C1205" s="1" t="s">
        <v>1503</v>
      </c>
      <c r="D1205" s="1" t="s">
        <v>1535</v>
      </c>
      <c r="E1205" s="0" t="s">
        <v>44</v>
      </c>
      <c r="F1205" s="0" t="s">
        <v>50</v>
      </c>
      <c r="G1205" s="0" t="s">
        <v>7752</v>
      </c>
      <c r="I1205" s="6" t="n">
        <v>0.0208333333333333</v>
      </c>
      <c r="J1205" s="6" t="n">
        <v>0.0333333333333333</v>
      </c>
      <c r="K1205" s="0" t="n">
        <v>0</v>
      </c>
      <c r="L1205" s="0" t="n">
        <v>20</v>
      </c>
      <c r="M1205" s="7" t="s">
        <v>7753</v>
      </c>
      <c r="N1205" s="7" t="s">
        <v>7754</v>
      </c>
      <c r="O1205" s="7"/>
      <c r="P1205" s="7" t="s">
        <v>7755</v>
      </c>
      <c r="Q1205" s="2" t="n">
        <v>43349</v>
      </c>
      <c r="S1205" s="0" t="n">
        <f aca="false">YEAR(Q1205)</f>
        <v>2018</v>
      </c>
      <c r="T1205" s="0" t="n">
        <f aca="false">MONTH(Q1205)</f>
        <v>9</v>
      </c>
    </row>
    <row r="1206" customFormat="false" ht="14.25" hidden="true" customHeight="false" outlineLevel="0" collapsed="false">
      <c r="A1206" s="0" t="n">
        <v>1206</v>
      </c>
      <c r="B1206" s="1" t="s">
        <v>946</v>
      </c>
      <c r="C1206" s="1" t="s">
        <v>1503</v>
      </c>
      <c r="D1206" s="1" t="s">
        <v>1535</v>
      </c>
      <c r="E1206" s="0" t="s">
        <v>44</v>
      </c>
      <c r="F1206" s="0" t="s">
        <v>50</v>
      </c>
      <c r="G1206" s="0" t="s">
        <v>3495</v>
      </c>
      <c r="I1206" s="6" t="n">
        <v>0.0277777777777778</v>
      </c>
      <c r="J1206" s="6" t="n">
        <v>0.0347222222222222</v>
      </c>
      <c r="K1206" s="0" t="n">
        <v>0</v>
      </c>
      <c r="L1206" s="0" t="n">
        <v>15</v>
      </c>
      <c r="M1206" s="0" t="s">
        <v>7756</v>
      </c>
      <c r="N1206" s="0" t="s">
        <v>7757</v>
      </c>
      <c r="P1206" s="0" t="s">
        <v>7758</v>
      </c>
      <c r="Q1206" s="2" t="n">
        <v>43349</v>
      </c>
      <c r="S1206" s="0" t="n">
        <f aca="false">YEAR(Q1206)</f>
        <v>2018</v>
      </c>
      <c r="T1206" s="0" t="n">
        <f aca="false">MONTH(Q1206)</f>
        <v>9</v>
      </c>
    </row>
    <row r="1207" customFormat="false" ht="28.5" hidden="true" customHeight="false" outlineLevel="0" collapsed="false">
      <c r="A1207" s="0" t="n">
        <v>1207</v>
      </c>
      <c r="B1207" s="1" t="s">
        <v>946</v>
      </c>
      <c r="C1207" s="1" t="s">
        <v>1479</v>
      </c>
      <c r="D1207" s="1" t="s">
        <v>1535</v>
      </c>
      <c r="E1207" s="0" t="s">
        <v>39</v>
      </c>
      <c r="F1207" s="0" t="s">
        <v>50</v>
      </c>
      <c r="G1207" s="0" t="s">
        <v>7759</v>
      </c>
      <c r="J1207" s="6" t="n">
        <v>0.104166666666667</v>
      </c>
      <c r="K1207" s="0" t="n">
        <v>0</v>
      </c>
      <c r="M1207" s="7" t="s">
        <v>7760</v>
      </c>
      <c r="N1207" s="7" t="s">
        <v>7761</v>
      </c>
      <c r="O1207" s="7"/>
      <c r="P1207" s="7" t="s">
        <v>7762</v>
      </c>
      <c r="Q1207" s="2" t="n">
        <v>43349</v>
      </c>
      <c r="S1207" s="0" t="n">
        <f aca="false">YEAR(Q1207)</f>
        <v>2018</v>
      </c>
      <c r="T1207" s="0" t="n">
        <f aca="false">MONTH(Q1207)</f>
        <v>9</v>
      </c>
    </row>
    <row r="1208" customFormat="false" ht="28.5" hidden="true" customHeight="false" outlineLevel="0" collapsed="false">
      <c r="A1208" s="0" t="n">
        <v>1208</v>
      </c>
      <c r="B1208" s="1" t="s">
        <v>948</v>
      </c>
      <c r="C1208" s="1" t="s">
        <v>1479</v>
      </c>
      <c r="D1208" s="1" t="s">
        <v>1487</v>
      </c>
      <c r="E1208" s="4" t="s">
        <v>1488</v>
      </c>
      <c r="F1208" s="0" t="s">
        <v>48</v>
      </c>
      <c r="G1208" s="0" t="s">
        <v>7763</v>
      </c>
      <c r="K1208" s="0" t="n">
        <v>7</v>
      </c>
      <c r="M1208" s="7" t="s">
        <v>7764</v>
      </c>
      <c r="N1208" s="7" t="s">
        <v>7765</v>
      </c>
      <c r="O1208" s="7"/>
      <c r="P1208" s="7" t="s">
        <v>7766</v>
      </c>
      <c r="Q1208" s="2" t="n">
        <v>43353</v>
      </c>
      <c r="S1208" s="0" t="n">
        <f aca="false">YEAR(Q1208)</f>
        <v>2018</v>
      </c>
      <c r="T1208" s="0" t="n">
        <f aca="false">MONTH(Q1208)</f>
        <v>9</v>
      </c>
    </row>
    <row r="1209" customFormat="false" ht="42.75" hidden="true" customHeight="false" outlineLevel="0" collapsed="false">
      <c r="A1209" s="0" t="n">
        <v>1209</v>
      </c>
      <c r="B1209" s="1" t="s">
        <v>948</v>
      </c>
      <c r="C1209" s="1" t="s">
        <v>1479</v>
      </c>
      <c r="D1209" s="1" t="s">
        <v>1487</v>
      </c>
      <c r="E1209" s="4" t="s">
        <v>1488</v>
      </c>
      <c r="F1209" s="0" t="s">
        <v>48</v>
      </c>
      <c r="G1209" s="0" t="s">
        <v>7767</v>
      </c>
      <c r="J1209" s="6" t="n">
        <v>0.378472222222222</v>
      </c>
      <c r="K1209" s="0" t="n">
        <v>28</v>
      </c>
      <c r="L1209" s="0" t="n">
        <v>28</v>
      </c>
      <c r="M1209" s="7" t="s">
        <v>7768</v>
      </c>
      <c r="N1209" s="7" t="s">
        <v>7769</v>
      </c>
      <c r="O1209" s="7"/>
      <c r="P1209" s="7" t="s">
        <v>7770</v>
      </c>
      <c r="Q1209" s="2" t="n">
        <v>43353</v>
      </c>
      <c r="S1209" s="0" t="n">
        <f aca="false">YEAR(Q1209)</f>
        <v>2018</v>
      </c>
      <c r="T1209" s="0" t="n">
        <f aca="false">MONTH(Q1209)</f>
        <v>9</v>
      </c>
    </row>
    <row r="1210" customFormat="false" ht="42.75" hidden="true" customHeight="false" outlineLevel="0" collapsed="false">
      <c r="A1210" s="0" t="n">
        <v>1210</v>
      </c>
      <c r="B1210" s="1" t="s">
        <v>948</v>
      </c>
      <c r="C1210" s="1" t="s">
        <v>1503</v>
      </c>
      <c r="D1210" s="1" t="s">
        <v>1535</v>
      </c>
      <c r="E1210" s="0" t="s">
        <v>44</v>
      </c>
      <c r="F1210" s="0" t="s">
        <v>48</v>
      </c>
      <c r="G1210" s="0" t="s">
        <v>7771</v>
      </c>
      <c r="I1210" s="6" t="n">
        <v>0.506944444444444</v>
      </c>
      <c r="K1210" s="0" t="n">
        <v>30</v>
      </c>
      <c r="L1210" s="0" t="n">
        <v>80</v>
      </c>
      <c r="M1210" s="7" t="s">
        <v>7772</v>
      </c>
      <c r="N1210" s="7" t="s">
        <v>7773</v>
      </c>
      <c r="O1210" s="7"/>
      <c r="P1210" s="7" t="s">
        <v>7774</v>
      </c>
      <c r="Q1210" s="2" t="n">
        <v>43353</v>
      </c>
      <c r="S1210" s="0" t="n">
        <f aca="false">YEAR(Q1210)</f>
        <v>2018</v>
      </c>
      <c r="T1210" s="0" t="n">
        <f aca="false">MONTH(Q1210)</f>
        <v>9</v>
      </c>
    </row>
    <row r="1211" customFormat="false" ht="42.75" hidden="true" customHeight="false" outlineLevel="0" collapsed="false">
      <c r="A1211" s="0" t="n">
        <v>1211</v>
      </c>
      <c r="B1211" s="1" t="s">
        <v>948</v>
      </c>
      <c r="C1211" s="1" t="s">
        <v>1503</v>
      </c>
      <c r="D1211" s="1" t="s">
        <v>1535</v>
      </c>
      <c r="E1211" s="0" t="s">
        <v>44</v>
      </c>
      <c r="F1211" s="0" t="s">
        <v>48</v>
      </c>
      <c r="G1211" s="0" t="s">
        <v>7775</v>
      </c>
      <c r="I1211" s="6" t="n">
        <v>0.572916666666667</v>
      </c>
      <c r="K1211" s="0" t="n">
        <v>40</v>
      </c>
      <c r="L1211" s="0" t="n">
        <v>85</v>
      </c>
      <c r="M1211" s="7" t="s">
        <v>7776</v>
      </c>
      <c r="N1211" s="7" t="s">
        <v>7777</v>
      </c>
      <c r="O1211" s="7"/>
      <c r="P1211" s="7" t="s">
        <v>7778</v>
      </c>
      <c r="Q1211" s="2" t="n">
        <v>43353</v>
      </c>
      <c r="S1211" s="0" t="n">
        <f aca="false">YEAR(Q1211)</f>
        <v>2018</v>
      </c>
      <c r="T1211" s="0" t="n">
        <f aca="false">MONTH(Q1211)</f>
        <v>9</v>
      </c>
    </row>
    <row r="1212" customFormat="false" ht="28.5" hidden="true" customHeight="false" outlineLevel="0" collapsed="false">
      <c r="A1212" s="0" t="n">
        <v>1212</v>
      </c>
      <c r="B1212" s="1" t="s">
        <v>948</v>
      </c>
      <c r="C1212" s="1" t="s">
        <v>1479</v>
      </c>
      <c r="D1212" s="1" t="s">
        <v>1535</v>
      </c>
      <c r="E1212" s="0" t="s">
        <v>39</v>
      </c>
      <c r="F1212" s="0" t="s">
        <v>48</v>
      </c>
      <c r="G1212" s="0" t="s">
        <v>7779</v>
      </c>
      <c r="I1212" s="6" t="n">
        <v>0.5</v>
      </c>
      <c r="J1212" s="6" t="n">
        <v>0.507638888888889</v>
      </c>
      <c r="L1212" s="0" t="n">
        <v>80</v>
      </c>
      <c r="M1212" s="7" t="s">
        <v>7780</v>
      </c>
      <c r="N1212" s="7" t="s">
        <v>6753</v>
      </c>
      <c r="O1212" s="7"/>
      <c r="P1212" s="7" t="s">
        <v>7781</v>
      </c>
      <c r="Q1212" s="2" t="n">
        <v>43353</v>
      </c>
      <c r="S1212" s="0" t="n">
        <f aca="false">YEAR(Q1212)</f>
        <v>2018</v>
      </c>
      <c r="T1212" s="0" t="n">
        <f aca="false">MONTH(Q1212)</f>
        <v>9</v>
      </c>
    </row>
    <row r="1213" customFormat="false" ht="14.25" hidden="true" customHeight="false" outlineLevel="0" collapsed="false">
      <c r="A1213" s="0" t="n">
        <v>1213</v>
      </c>
      <c r="B1213" s="1" t="s">
        <v>948</v>
      </c>
      <c r="C1213" s="1" t="s">
        <v>1503</v>
      </c>
      <c r="D1213" s="1" t="s">
        <v>1648</v>
      </c>
      <c r="E1213" s="0" t="s">
        <v>1648</v>
      </c>
      <c r="F1213" s="0" t="s">
        <v>50</v>
      </c>
      <c r="G1213" s="0" t="s">
        <v>7782</v>
      </c>
      <c r="J1213" s="6" t="n">
        <v>0.968055555555556</v>
      </c>
      <c r="M1213" s="0" t="s">
        <v>7783</v>
      </c>
      <c r="N1213" s="0" t="s">
        <v>7784</v>
      </c>
      <c r="P1213" s="0" t="s">
        <v>7785</v>
      </c>
      <c r="Q1213" s="2" t="n">
        <v>43353</v>
      </c>
      <c r="S1213" s="0" t="n">
        <f aca="false">YEAR(Q1213)</f>
        <v>2018</v>
      </c>
      <c r="T1213" s="0" t="n">
        <f aca="false">MONTH(Q1213)</f>
        <v>9</v>
      </c>
    </row>
    <row r="1214" customFormat="false" ht="28.5" hidden="true" customHeight="false" outlineLevel="0" collapsed="false">
      <c r="A1214" s="0" t="n">
        <v>1214</v>
      </c>
      <c r="B1214" s="1" t="s">
        <v>950</v>
      </c>
      <c r="C1214" s="1" t="s">
        <v>1479</v>
      </c>
      <c r="D1214" s="1" t="s">
        <v>1487</v>
      </c>
      <c r="E1214" s="4" t="s">
        <v>1488</v>
      </c>
      <c r="F1214" s="0" t="s">
        <v>48</v>
      </c>
      <c r="G1214" s="0" t="s">
        <v>7786</v>
      </c>
      <c r="I1214" s="6" t="n">
        <v>0.3125</v>
      </c>
      <c r="J1214" s="6" t="n">
        <v>0.322916666666667</v>
      </c>
      <c r="K1214" s="0" t="n">
        <v>15</v>
      </c>
      <c r="L1214" s="0" t="n">
        <v>15</v>
      </c>
      <c r="M1214" s="7" t="s">
        <v>7787</v>
      </c>
      <c r="N1214" s="7" t="s">
        <v>7788</v>
      </c>
      <c r="O1214" s="7"/>
      <c r="P1214" s="7" t="s">
        <v>7789</v>
      </c>
      <c r="Q1214" s="2" t="n">
        <v>43354</v>
      </c>
      <c r="S1214" s="0" t="n">
        <f aca="false">YEAR(Q1214)</f>
        <v>2018</v>
      </c>
      <c r="T1214" s="0" t="n">
        <f aca="false">MONTH(Q1214)</f>
        <v>9</v>
      </c>
    </row>
    <row r="1215" customFormat="false" ht="42.75" hidden="true" customHeight="false" outlineLevel="0" collapsed="false">
      <c r="A1215" s="0" t="n">
        <v>1215</v>
      </c>
      <c r="B1215" s="1" t="s">
        <v>950</v>
      </c>
      <c r="C1215" s="1" t="s">
        <v>1479</v>
      </c>
      <c r="D1215" s="1" t="s">
        <v>1487</v>
      </c>
      <c r="E1215" s="4" t="s">
        <v>1488</v>
      </c>
      <c r="F1215" s="0" t="s">
        <v>48</v>
      </c>
      <c r="G1215" s="0" t="s">
        <v>7790</v>
      </c>
      <c r="I1215" s="6" t="n">
        <v>0.479166666666667</v>
      </c>
      <c r="J1215" s="6" t="n">
        <v>0.524305555555556</v>
      </c>
      <c r="K1215" s="0" t="n">
        <v>12</v>
      </c>
      <c r="L1215" s="0" t="n">
        <v>5</v>
      </c>
      <c r="M1215" s="7" t="s">
        <v>7791</v>
      </c>
      <c r="N1215" s="7" t="s">
        <v>7792</v>
      </c>
      <c r="O1215" s="7"/>
      <c r="P1215" s="7" t="s">
        <v>7793</v>
      </c>
      <c r="Q1215" s="2" t="n">
        <v>43354</v>
      </c>
      <c r="S1215" s="0" t="n">
        <f aca="false">YEAR(Q1215)</f>
        <v>2018</v>
      </c>
      <c r="T1215" s="0" t="n">
        <f aca="false">MONTH(Q1215)</f>
        <v>9</v>
      </c>
    </row>
    <row r="1216" customFormat="false" ht="28.5" hidden="true" customHeight="false" outlineLevel="0" collapsed="false">
      <c r="A1216" s="0" t="n">
        <v>1216</v>
      </c>
      <c r="B1216" s="1" t="s">
        <v>950</v>
      </c>
      <c r="C1216" s="1" t="s">
        <v>1503</v>
      </c>
      <c r="D1216" s="1" t="s">
        <v>1535</v>
      </c>
      <c r="E1216" s="0" t="s">
        <v>44</v>
      </c>
      <c r="F1216" s="0" t="s">
        <v>49</v>
      </c>
      <c r="G1216" s="0" t="s">
        <v>7794</v>
      </c>
      <c r="I1216" s="6" t="n">
        <v>0.611111111111111</v>
      </c>
      <c r="J1216" s="6" t="n">
        <v>0.831944444444444</v>
      </c>
      <c r="K1216" s="0" t="n">
        <v>20</v>
      </c>
      <c r="M1216" s="7" t="s">
        <v>7795</v>
      </c>
      <c r="N1216" s="7" t="s">
        <v>7796</v>
      </c>
      <c r="O1216" s="7"/>
      <c r="P1216" s="7" t="s">
        <v>7797</v>
      </c>
      <c r="Q1216" s="2" t="n">
        <v>43354</v>
      </c>
      <c r="S1216" s="0" t="n">
        <f aca="false">YEAR(Q1216)</f>
        <v>2018</v>
      </c>
      <c r="T1216" s="0" t="n">
        <f aca="false">MONTH(Q1216)</f>
        <v>9</v>
      </c>
    </row>
    <row r="1217" customFormat="false" ht="42.75" hidden="true" customHeight="false" outlineLevel="0" collapsed="false">
      <c r="A1217" s="0" t="n">
        <v>1217</v>
      </c>
      <c r="B1217" s="1" t="s">
        <v>951</v>
      </c>
      <c r="C1217" s="1" t="s">
        <v>1479</v>
      </c>
      <c r="D1217" s="1" t="s">
        <v>1535</v>
      </c>
      <c r="E1217" s="0" t="s">
        <v>39</v>
      </c>
      <c r="F1217" s="0" t="s">
        <v>48</v>
      </c>
      <c r="G1217" s="0" t="s">
        <v>7798</v>
      </c>
      <c r="I1217" s="6" t="n">
        <v>0.260416666666667</v>
      </c>
      <c r="J1217" s="6" t="n">
        <v>0.285416666666667</v>
      </c>
      <c r="L1217" s="0" t="n">
        <v>44</v>
      </c>
      <c r="M1217" s="7" t="s">
        <v>7799</v>
      </c>
      <c r="N1217" s="7" t="s">
        <v>7800</v>
      </c>
      <c r="O1217" s="7"/>
      <c r="P1217" s="7" t="s">
        <v>7801</v>
      </c>
      <c r="Q1217" s="2" t="n">
        <v>43355</v>
      </c>
      <c r="S1217" s="0" t="n">
        <f aca="false">YEAR(Q1217)</f>
        <v>2018</v>
      </c>
      <c r="T1217" s="0" t="n">
        <f aca="false">MONTH(Q1217)</f>
        <v>9</v>
      </c>
    </row>
    <row r="1218" customFormat="false" ht="28.5" hidden="true" customHeight="false" outlineLevel="0" collapsed="false">
      <c r="A1218" s="0" t="n">
        <v>1218</v>
      </c>
      <c r="B1218" s="1" t="s">
        <v>951</v>
      </c>
      <c r="C1218" s="1" t="s">
        <v>1479</v>
      </c>
      <c r="D1218" s="1" t="s">
        <v>1535</v>
      </c>
      <c r="E1218" s="0" t="s">
        <v>39</v>
      </c>
      <c r="F1218" s="0" t="s">
        <v>48</v>
      </c>
      <c r="G1218" s="0" t="s">
        <v>7802</v>
      </c>
      <c r="I1218" s="6" t="n">
        <v>0.397916666666667</v>
      </c>
      <c r="J1218" s="6" t="n">
        <v>0.413194444444444</v>
      </c>
      <c r="K1218" s="0" t="n">
        <v>3</v>
      </c>
      <c r="L1218" s="0" t="n">
        <v>43</v>
      </c>
      <c r="M1218" s="7" t="s">
        <v>7803</v>
      </c>
      <c r="N1218" s="7" t="s">
        <v>7804</v>
      </c>
      <c r="O1218" s="7"/>
      <c r="P1218" s="7" t="s">
        <v>7805</v>
      </c>
      <c r="Q1218" s="2" t="n">
        <v>43355</v>
      </c>
      <c r="S1218" s="0" t="n">
        <f aca="false">YEAR(Q1218)</f>
        <v>2018</v>
      </c>
      <c r="T1218" s="0" t="n">
        <f aca="false">MONTH(Q1218)</f>
        <v>9</v>
      </c>
    </row>
    <row r="1219" customFormat="false" ht="14.25" hidden="true" customHeight="false" outlineLevel="0" collapsed="false">
      <c r="A1219" s="0" t="n">
        <v>1219</v>
      </c>
      <c r="B1219" s="1" t="s">
        <v>953</v>
      </c>
      <c r="C1219" s="1" t="s">
        <v>1479</v>
      </c>
      <c r="D1219" s="1" t="s">
        <v>1487</v>
      </c>
      <c r="E1219" s="0" t="s">
        <v>1488</v>
      </c>
      <c r="F1219" s="0" t="s">
        <v>49</v>
      </c>
      <c r="I1219" s="6" t="n">
        <v>0.66875</v>
      </c>
      <c r="J1219" s="6" t="n">
        <v>0</v>
      </c>
      <c r="L1219" s="0" t="n">
        <v>20</v>
      </c>
      <c r="M1219" s="0" t="s">
        <v>7806</v>
      </c>
      <c r="N1219" s="0" t="s">
        <v>7807</v>
      </c>
      <c r="P1219" s="0" t="s">
        <v>7808</v>
      </c>
      <c r="Q1219" s="2" t="n">
        <v>43356</v>
      </c>
      <c r="S1219" s="0" t="n">
        <f aca="false">YEAR(Q1219)</f>
        <v>2018</v>
      </c>
      <c r="T1219" s="0" t="n">
        <f aca="false">MONTH(Q1219)</f>
        <v>9</v>
      </c>
    </row>
    <row r="1220" customFormat="false" ht="114.75" hidden="true" customHeight="false" outlineLevel="0" collapsed="false">
      <c r="A1220" s="0" t="n">
        <v>1220</v>
      </c>
      <c r="B1220" s="1" t="s">
        <v>955</v>
      </c>
      <c r="C1220" s="1" t="s">
        <v>1479</v>
      </c>
      <c r="D1220" s="1" t="s">
        <v>1487</v>
      </c>
      <c r="E1220" s="0" t="s">
        <v>1488</v>
      </c>
      <c r="F1220" s="0" t="s">
        <v>49</v>
      </c>
      <c r="G1220" s="0" t="s">
        <v>7809</v>
      </c>
      <c r="I1220" s="6" t="n">
        <v>0.664583333333333</v>
      </c>
      <c r="J1220" s="6" t="n">
        <v>0</v>
      </c>
      <c r="K1220" s="0" t="n">
        <v>0</v>
      </c>
      <c r="L1220" s="0" t="n">
        <v>11</v>
      </c>
      <c r="M1220" s="0" t="s">
        <v>7810</v>
      </c>
      <c r="N1220" s="7" t="s">
        <v>7811</v>
      </c>
      <c r="O1220" s="7"/>
      <c r="P1220" s="0" t="s">
        <v>7812</v>
      </c>
      <c r="Q1220" s="2" t="n">
        <v>43357</v>
      </c>
      <c r="S1220" s="0" t="n">
        <f aca="false">YEAR(Q1220)</f>
        <v>2018</v>
      </c>
      <c r="T1220" s="0" t="n">
        <f aca="false">MONTH(Q1220)</f>
        <v>9</v>
      </c>
    </row>
    <row r="1221" customFormat="false" ht="28.5" hidden="true" customHeight="false" outlineLevel="0" collapsed="false">
      <c r="A1221" s="0" t="n">
        <v>1221</v>
      </c>
      <c r="B1221" s="1" t="s">
        <v>956</v>
      </c>
      <c r="C1221" s="1" t="s">
        <v>1479</v>
      </c>
      <c r="D1221" s="1" t="s">
        <v>1496</v>
      </c>
      <c r="E1221" s="0" t="s">
        <v>38</v>
      </c>
      <c r="F1221" s="0" t="s">
        <v>48</v>
      </c>
      <c r="G1221" s="0" t="s">
        <v>7813</v>
      </c>
      <c r="I1221" s="6" t="n">
        <v>0.25625</v>
      </c>
      <c r="J1221" s="6" t="n">
        <v>0.260416666666667</v>
      </c>
      <c r="K1221" s="0" t="n">
        <v>18</v>
      </c>
      <c r="L1221" s="0" t="n">
        <v>17</v>
      </c>
      <c r="M1221" s="0" t="s">
        <v>7814</v>
      </c>
      <c r="N1221" s="0" t="s">
        <v>7815</v>
      </c>
      <c r="P1221" s="7" t="s">
        <v>7816</v>
      </c>
      <c r="Q1221" s="2" t="n">
        <v>43361</v>
      </c>
      <c r="S1221" s="0" t="n">
        <f aca="false">YEAR(Q1221)</f>
        <v>2018</v>
      </c>
      <c r="T1221" s="0" t="n">
        <f aca="false">MONTH(Q1221)</f>
        <v>9</v>
      </c>
    </row>
    <row r="1222" customFormat="false" ht="57" hidden="true" customHeight="false" outlineLevel="0" collapsed="false">
      <c r="A1222" s="0" t="n">
        <v>1222</v>
      </c>
      <c r="B1222" s="1" t="s">
        <v>956</v>
      </c>
      <c r="C1222" s="1" t="s">
        <v>1479</v>
      </c>
      <c r="D1222" s="1" t="s">
        <v>1487</v>
      </c>
      <c r="E1222" s="0" t="s">
        <v>1488</v>
      </c>
      <c r="F1222" s="0" t="s">
        <v>48</v>
      </c>
      <c r="G1222" s="0" t="s">
        <v>7817</v>
      </c>
      <c r="I1222" s="6" t="n">
        <v>0.404166666666667</v>
      </c>
      <c r="J1222" s="6" t="n">
        <v>0.415277777777778</v>
      </c>
      <c r="M1222" s="0" t="s">
        <v>7818</v>
      </c>
      <c r="N1222" s="0" t="s">
        <v>7819</v>
      </c>
      <c r="P1222" s="7" t="s">
        <v>7820</v>
      </c>
      <c r="Q1222" s="2" t="n">
        <v>43361</v>
      </c>
      <c r="S1222" s="0" t="n">
        <f aca="false">YEAR(Q1222)</f>
        <v>2018</v>
      </c>
      <c r="T1222" s="0" t="n">
        <f aca="false">MONTH(Q1222)</f>
        <v>9</v>
      </c>
    </row>
    <row r="1223" customFormat="false" ht="28.5" hidden="true" customHeight="false" outlineLevel="0" collapsed="false">
      <c r="A1223" s="0" t="n">
        <v>1223</v>
      </c>
      <c r="B1223" s="1" t="s">
        <v>957</v>
      </c>
      <c r="C1223" s="1" t="s">
        <v>1503</v>
      </c>
      <c r="D1223" s="1" t="s">
        <v>1504</v>
      </c>
      <c r="E1223" s="0" t="s">
        <v>45</v>
      </c>
      <c r="F1223" s="0" t="s">
        <v>48</v>
      </c>
      <c r="G1223" s="0" t="s">
        <v>7821</v>
      </c>
      <c r="I1223" s="6" t="n">
        <v>0.236111111111111</v>
      </c>
      <c r="J1223" s="6" t="n">
        <v>0.290972222222222</v>
      </c>
      <c r="L1223" s="0" t="n">
        <v>180</v>
      </c>
      <c r="M1223" s="0" t="s">
        <v>7822</v>
      </c>
      <c r="N1223" s="0" t="s">
        <v>7823</v>
      </c>
      <c r="P1223" s="7" t="s">
        <v>7824</v>
      </c>
      <c r="Q1223" s="2" t="n">
        <v>43360</v>
      </c>
      <c r="S1223" s="0" t="n">
        <f aca="false">YEAR(Q1223)</f>
        <v>2018</v>
      </c>
      <c r="T1223" s="0" t="n">
        <f aca="false">MONTH(Q1223)</f>
        <v>9</v>
      </c>
    </row>
    <row r="1224" customFormat="false" ht="14.25" hidden="true" customHeight="false" outlineLevel="0" collapsed="false">
      <c r="A1224" s="0" t="n">
        <v>1224</v>
      </c>
      <c r="B1224" s="1" t="s">
        <v>957</v>
      </c>
      <c r="C1224" s="1" t="s">
        <v>1479</v>
      </c>
      <c r="D1224" s="1" t="s">
        <v>1535</v>
      </c>
      <c r="E1224" s="0" t="s">
        <v>39</v>
      </c>
      <c r="F1224" s="0" t="s">
        <v>50</v>
      </c>
      <c r="G1224" s="0" t="s">
        <v>3324</v>
      </c>
      <c r="I1224" s="6" t="n">
        <v>0.739583333333333</v>
      </c>
      <c r="M1224" s="0" t="s">
        <v>7825</v>
      </c>
      <c r="N1224" s="0" t="s">
        <v>7826</v>
      </c>
      <c r="P1224" s="0" t="s">
        <v>7827</v>
      </c>
      <c r="Q1224" s="2" t="n">
        <v>43360</v>
      </c>
      <c r="S1224" s="0" t="n">
        <f aca="false">YEAR(Q1224)</f>
        <v>2018</v>
      </c>
      <c r="T1224" s="0" t="n">
        <f aca="false">MONTH(Q1224)</f>
        <v>9</v>
      </c>
    </row>
    <row r="1225" customFormat="false" ht="28.5" hidden="true" customHeight="false" outlineLevel="0" collapsed="false">
      <c r="A1225" s="0" t="n">
        <v>1225</v>
      </c>
      <c r="B1225" s="1" t="s">
        <v>958</v>
      </c>
      <c r="C1225" s="1" t="s">
        <v>1479</v>
      </c>
      <c r="D1225" s="1" t="s">
        <v>1496</v>
      </c>
      <c r="E1225" s="0" t="s">
        <v>38</v>
      </c>
      <c r="F1225" s="0" t="s">
        <v>48</v>
      </c>
      <c r="G1225" s="0" t="s">
        <v>7828</v>
      </c>
      <c r="I1225" s="6" t="n">
        <v>0.361111111111111</v>
      </c>
      <c r="J1225" s="6" t="n">
        <v>0.375</v>
      </c>
      <c r="L1225" s="0" t="n">
        <v>300</v>
      </c>
      <c r="M1225" s="0" t="s">
        <v>7829</v>
      </c>
      <c r="N1225" s="0" t="s">
        <v>7830</v>
      </c>
      <c r="P1225" s="7" t="s">
        <v>7831</v>
      </c>
      <c r="Q1225" s="2" t="n">
        <v>43362</v>
      </c>
      <c r="S1225" s="0" t="n">
        <f aca="false">YEAR(Q1225)</f>
        <v>2018</v>
      </c>
      <c r="T1225" s="0" t="n">
        <f aca="false">MONTH(Q1225)</f>
        <v>9</v>
      </c>
    </row>
    <row r="1226" customFormat="false" ht="42.75" hidden="true" customHeight="false" outlineLevel="0" collapsed="false">
      <c r="A1226" s="0" t="n">
        <v>1226</v>
      </c>
      <c r="B1226" s="1" t="s">
        <v>958</v>
      </c>
      <c r="C1226" s="1" t="s">
        <v>1479</v>
      </c>
      <c r="D1226" s="1" t="s">
        <v>1496</v>
      </c>
      <c r="E1226" s="0" t="s">
        <v>38</v>
      </c>
      <c r="F1226" s="0" t="s">
        <v>49</v>
      </c>
      <c r="G1226" s="0" t="s">
        <v>7832</v>
      </c>
      <c r="J1226" s="6" t="n">
        <v>0.625</v>
      </c>
      <c r="K1226" s="0" t="n">
        <v>21</v>
      </c>
      <c r="L1226" s="0" t="n">
        <v>160</v>
      </c>
      <c r="M1226" s="0" t="s">
        <v>7833</v>
      </c>
      <c r="N1226" s="0" t="s">
        <v>7834</v>
      </c>
      <c r="P1226" s="7" t="s">
        <v>7835</v>
      </c>
      <c r="Q1226" s="2" t="n">
        <v>43362</v>
      </c>
      <c r="S1226" s="0" t="n">
        <f aca="false">YEAR(Q1226)</f>
        <v>2018</v>
      </c>
      <c r="T1226" s="0" t="n">
        <f aca="false">MONTH(Q1226)</f>
        <v>9</v>
      </c>
    </row>
    <row r="1227" customFormat="false" ht="28.5" hidden="true" customHeight="false" outlineLevel="0" collapsed="false">
      <c r="A1227" s="0" t="n">
        <v>1227</v>
      </c>
      <c r="B1227" s="1" t="s">
        <v>958</v>
      </c>
      <c r="C1227" s="1" t="s">
        <v>1479</v>
      </c>
      <c r="D1227" s="1" t="s">
        <v>1496</v>
      </c>
      <c r="E1227" s="0" t="s">
        <v>38</v>
      </c>
      <c r="F1227" s="0" t="s">
        <v>49</v>
      </c>
      <c r="G1227" s="0" t="s">
        <v>7836</v>
      </c>
      <c r="J1227" s="6" t="n">
        <v>0.872916666666667</v>
      </c>
      <c r="K1227" s="0" t="n">
        <v>0</v>
      </c>
      <c r="L1227" s="0" t="n">
        <v>25</v>
      </c>
      <c r="M1227" s="0" t="s">
        <v>7837</v>
      </c>
      <c r="N1227" s="7" t="s">
        <v>7838</v>
      </c>
      <c r="O1227" s="7"/>
      <c r="P1227" s="0" t="s">
        <v>7839</v>
      </c>
      <c r="Q1227" s="2" t="n">
        <v>43362</v>
      </c>
      <c r="S1227" s="0" t="n">
        <f aca="false">YEAR(Q1227)</f>
        <v>2018</v>
      </c>
      <c r="T1227" s="0" t="n">
        <f aca="false">MONTH(Q1227)</f>
        <v>9</v>
      </c>
    </row>
    <row r="1228" customFormat="false" ht="14.25" hidden="true" customHeight="false" outlineLevel="0" collapsed="false">
      <c r="A1228" s="0" t="n">
        <v>1228</v>
      </c>
      <c r="B1228" s="1" t="s">
        <v>958</v>
      </c>
      <c r="C1228" s="1" t="s">
        <v>1479</v>
      </c>
      <c r="D1228" s="1" t="s">
        <v>1535</v>
      </c>
      <c r="E1228" s="0" t="s">
        <v>39</v>
      </c>
      <c r="F1228" s="0" t="s">
        <v>50</v>
      </c>
      <c r="G1228" s="0" t="s">
        <v>7840</v>
      </c>
      <c r="I1228" s="6" t="n">
        <v>0.104166666666667</v>
      </c>
      <c r="J1228" s="6" t="n">
        <v>0.10625</v>
      </c>
      <c r="K1228" s="0" t="n">
        <v>3</v>
      </c>
      <c r="L1228" s="0" t="n">
        <v>6</v>
      </c>
      <c r="M1228" s="0" t="s">
        <v>7841</v>
      </c>
      <c r="N1228" s="0" t="s">
        <v>7842</v>
      </c>
      <c r="P1228" s="0" t="s">
        <v>7843</v>
      </c>
      <c r="Q1228" s="2" t="n">
        <v>43362</v>
      </c>
      <c r="S1228" s="0" t="n">
        <f aca="false">YEAR(Q1228)</f>
        <v>2018</v>
      </c>
      <c r="T1228" s="0" t="n">
        <f aca="false">MONTH(Q1228)</f>
        <v>9</v>
      </c>
    </row>
    <row r="1229" customFormat="false" ht="42.75" hidden="true" customHeight="false" outlineLevel="0" collapsed="false">
      <c r="A1229" s="0" t="n">
        <v>1229</v>
      </c>
      <c r="B1229" s="1" t="s">
        <v>959</v>
      </c>
      <c r="C1229" s="1" t="s">
        <v>1479</v>
      </c>
      <c r="D1229" s="1" t="s">
        <v>1487</v>
      </c>
      <c r="E1229" s="0" t="s">
        <v>1488</v>
      </c>
      <c r="F1229" s="0" t="s">
        <v>48</v>
      </c>
      <c r="G1229" s="0" t="s">
        <v>7844</v>
      </c>
      <c r="J1229" s="6" t="n">
        <v>0.243055555555556</v>
      </c>
      <c r="M1229" s="0" t="s">
        <v>7845</v>
      </c>
      <c r="N1229" s="0" t="s">
        <v>7846</v>
      </c>
      <c r="P1229" s="7" t="s">
        <v>7847</v>
      </c>
      <c r="Q1229" s="2" t="n">
        <v>43363</v>
      </c>
      <c r="S1229" s="0" t="n">
        <f aca="false">YEAR(Q1229)</f>
        <v>2018</v>
      </c>
      <c r="T1229" s="0" t="n">
        <f aca="false">MONTH(Q1229)</f>
        <v>9</v>
      </c>
    </row>
    <row r="1230" customFormat="false" ht="28.5" hidden="true" customHeight="false" outlineLevel="0" collapsed="false">
      <c r="A1230" s="0" t="n">
        <v>1230</v>
      </c>
      <c r="B1230" s="1" t="s">
        <v>959</v>
      </c>
      <c r="C1230" s="1" t="s">
        <v>1479</v>
      </c>
      <c r="D1230" s="1" t="s">
        <v>1480</v>
      </c>
      <c r="E1230" s="0" t="s">
        <v>43</v>
      </c>
      <c r="F1230" s="0" t="s">
        <v>48</v>
      </c>
      <c r="G1230" s="0" t="s">
        <v>7848</v>
      </c>
      <c r="J1230" s="6" t="n">
        <v>0.243055555555556</v>
      </c>
      <c r="M1230" s="0" t="s">
        <v>7845</v>
      </c>
      <c r="N1230" s="0" t="s">
        <v>4434</v>
      </c>
      <c r="P1230" s="7" t="s">
        <v>7849</v>
      </c>
      <c r="Q1230" s="2" t="n">
        <v>43363</v>
      </c>
      <c r="S1230" s="0" t="n">
        <f aca="false">YEAR(Q1230)</f>
        <v>2018</v>
      </c>
      <c r="T1230" s="0" t="n">
        <f aca="false">MONTH(Q1230)</f>
        <v>9</v>
      </c>
    </row>
    <row r="1231" customFormat="false" ht="28.5" hidden="true" customHeight="false" outlineLevel="0" collapsed="false">
      <c r="A1231" s="0" t="n">
        <v>1231</v>
      </c>
      <c r="B1231" s="1" t="s">
        <v>961</v>
      </c>
      <c r="C1231" s="1" t="s">
        <v>1479</v>
      </c>
      <c r="D1231" s="1" t="s">
        <v>1535</v>
      </c>
      <c r="E1231" s="0" t="s">
        <v>39</v>
      </c>
      <c r="F1231" s="0" t="s">
        <v>48</v>
      </c>
      <c r="G1231" s="0" t="s">
        <v>7850</v>
      </c>
      <c r="M1231" s="0" t="s">
        <v>7851</v>
      </c>
      <c r="N1231" s="0" t="s">
        <v>7852</v>
      </c>
      <c r="P1231" s="7" t="s">
        <v>7853</v>
      </c>
      <c r="Q1231" s="2" t="n">
        <v>43364</v>
      </c>
      <c r="S1231" s="0" t="n">
        <f aca="false">YEAR(Q1231)</f>
        <v>2018</v>
      </c>
      <c r="T1231" s="0" t="n">
        <f aca="false">MONTH(Q1231)</f>
        <v>9</v>
      </c>
    </row>
    <row r="1232" customFormat="false" ht="14.25" hidden="true" customHeight="false" outlineLevel="0" collapsed="false">
      <c r="A1232" s="0" t="n">
        <v>1232</v>
      </c>
      <c r="B1232" s="1" t="s">
        <v>961</v>
      </c>
      <c r="C1232" s="1" t="s">
        <v>1479</v>
      </c>
      <c r="D1232" s="1" t="s">
        <v>1535</v>
      </c>
      <c r="E1232" s="0" t="s">
        <v>39</v>
      </c>
      <c r="F1232" s="0" t="s">
        <v>48</v>
      </c>
      <c r="G1232" s="0" t="s">
        <v>7854</v>
      </c>
      <c r="I1232" s="6" t="n">
        <v>0</v>
      </c>
      <c r="J1232" s="6" t="n">
        <v>0.373611111111111</v>
      </c>
      <c r="K1232" s="0" t="n">
        <v>13</v>
      </c>
      <c r="M1232" s="0" t="s">
        <v>7855</v>
      </c>
      <c r="N1232" s="0" t="s">
        <v>7856</v>
      </c>
      <c r="P1232" s="0" t="s">
        <v>7857</v>
      </c>
      <c r="Q1232" s="2" t="n">
        <v>43364</v>
      </c>
      <c r="S1232" s="0" t="n">
        <f aca="false">YEAR(Q1232)</f>
        <v>2018</v>
      </c>
      <c r="T1232" s="0" t="n">
        <f aca="false">MONTH(Q1232)</f>
        <v>9</v>
      </c>
    </row>
    <row r="1233" customFormat="false" ht="14.25" hidden="true" customHeight="false" outlineLevel="0" collapsed="false">
      <c r="A1233" s="0" t="n">
        <v>1233</v>
      </c>
      <c r="B1233" s="1" t="s">
        <v>961</v>
      </c>
      <c r="C1233" s="1" t="s">
        <v>1479</v>
      </c>
      <c r="D1233" s="1" t="s">
        <v>1480</v>
      </c>
      <c r="E1233" s="0" t="s">
        <v>43</v>
      </c>
      <c r="F1233" s="0" t="s">
        <v>48</v>
      </c>
      <c r="G1233" s="0" t="s">
        <v>7858</v>
      </c>
      <c r="J1233" s="6" t="n">
        <v>0.411805555555556</v>
      </c>
      <c r="M1233" s="0" t="s">
        <v>7851</v>
      </c>
      <c r="N1233" s="0" t="s">
        <v>7852</v>
      </c>
      <c r="P1233" s="0" t="s">
        <v>7859</v>
      </c>
      <c r="Q1233" s="2" t="n">
        <v>43364</v>
      </c>
      <c r="S1233" s="0" t="n">
        <f aca="false">YEAR(Q1233)</f>
        <v>2018</v>
      </c>
      <c r="T1233" s="0" t="n">
        <f aca="false">MONTH(Q1233)</f>
        <v>9</v>
      </c>
    </row>
    <row r="1234" customFormat="false" ht="28.5" hidden="true" customHeight="false" outlineLevel="0" collapsed="false">
      <c r="A1234" s="0" t="n">
        <v>1234</v>
      </c>
      <c r="B1234" s="1" t="s">
        <v>961</v>
      </c>
      <c r="C1234" s="1" t="s">
        <v>1479</v>
      </c>
      <c r="D1234" s="1" t="s">
        <v>1535</v>
      </c>
      <c r="E1234" s="0" t="s">
        <v>39</v>
      </c>
      <c r="F1234" s="0" t="s">
        <v>49</v>
      </c>
      <c r="G1234" s="0" t="s">
        <v>7860</v>
      </c>
      <c r="J1234" s="6" t="n">
        <v>0.865972222222222</v>
      </c>
      <c r="K1234" s="0" t="n">
        <v>0</v>
      </c>
      <c r="L1234" s="0" t="n">
        <v>30</v>
      </c>
      <c r="M1234" s="0" t="s">
        <v>7861</v>
      </c>
      <c r="N1234" s="0" t="s">
        <v>7862</v>
      </c>
      <c r="P1234" s="7" t="s">
        <v>7863</v>
      </c>
      <c r="Q1234" s="2" t="n">
        <v>43364</v>
      </c>
      <c r="S1234" s="0" t="n">
        <f aca="false">YEAR(Q1234)</f>
        <v>2018</v>
      </c>
      <c r="T1234" s="0" t="n">
        <f aca="false">MONTH(Q1234)</f>
        <v>9</v>
      </c>
    </row>
    <row r="1235" customFormat="false" ht="28.5" hidden="true" customHeight="false" outlineLevel="0" collapsed="false">
      <c r="A1235" s="0" t="n">
        <v>1235</v>
      </c>
      <c r="B1235" s="1" t="s">
        <v>964</v>
      </c>
      <c r="C1235" s="1" t="s">
        <v>1479</v>
      </c>
      <c r="D1235" s="1" t="s">
        <v>1496</v>
      </c>
      <c r="E1235" s="0" t="s">
        <v>38</v>
      </c>
      <c r="F1235" s="0" t="s">
        <v>48</v>
      </c>
      <c r="G1235" s="0" t="s">
        <v>7864</v>
      </c>
      <c r="J1235" s="6" t="n">
        <v>0.240277777777778</v>
      </c>
      <c r="L1235" s="0" t="n">
        <v>55</v>
      </c>
      <c r="M1235" s="0" t="s">
        <v>7865</v>
      </c>
      <c r="N1235" s="0" t="s">
        <v>7866</v>
      </c>
      <c r="P1235" s="7" t="s">
        <v>7867</v>
      </c>
      <c r="Q1235" s="2" t="n">
        <v>43367</v>
      </c>
      <c r="S1235" s="0" t="n">
        <f aca="false">YEAR(Q1235)</f>
        <v>2018</v>
      </c>
      <c r="T1235" s="0" t="n">
        <f aca="false">MONTH(Q1235)</f>
        <v>9</v>
      </c>
    </row>
    <row r="1236" customFormat="false" ht="14.25" hidden="true" customHeight="false" outlineLevel="0" collapsed="false">
      <c r="A1236" s="0" t="n">
        <v>1236</v>
      </c>
      <c r="B1236" s="1" t="s">
        <v>964</v>
      </c>
      <c r="C1236" s="1" t="s">
        <v>1479</v>
      </c>
      <c r="D1236" s="1" t="s">
        <v>1496</v>
      </c>
      <c r="E1236" s="0" t="s">
        <v>38</v>
      </c>
      <c r="F1236" s="0" t="s">
        <v>48</v>
      </c>
      <c r="G1236" s="0" t="s">
        <v>7868</v>
      </c>
      <c r="J1236" s="6" t="n">
        <v>0.240277777777778</v>
      </c>
      <c r="L1236" s="0" t="n">
        <v>55</v>
      </c>
      <c r="M1236" s="0" t="s">
        <v>7869</v>
      </c>
      <c r="N1236" s="0" t="s">
        <v>7870</v>
      </c>
      <c r="P1236" s="0" t="s">
        <v>7871</v>
      </c>
      <c r="Q1236" s="2" t="n">
        <v>43367</v>
      </c>
      <c r="S1236" s="0" t="n">
        <f aca="false">YEAR(Q1236)</f>
        <v>2018</v>
      </c>
      <c r="T1236" s="0" t="n">
        <f aca="false">MONTH(Q1236)</f>
        <v>9</v>
      </c>
    </row>
    <row r="1237" customFormat="false" ht="28.5" hidden="true" customHeight="false" outlineLevel="0" collapsed="false">
      <c r="A1237" s="0" t="n">
        <v>1237</v>
      </c>
      <c r="B1237" s="1" t="s">
        <v>964</v>
      </c>
      <c r="C1237" s="1" t="s">
        <v>1479</v>
      </c>
      <c r="D1237" s="1" t="s">
        <v>1487</v>
      </c>
      <c r="E1237" s="0" t="s">
        <v>1488</v>
      </c>
      <c r="F1237" s="0" t="s">
        <v>48</v>
      </c>
      <c r="G1237" s="0" t="s">
        <v>7872</v>
      </c>
      <c r="M1237" s="0" t="s">
        <v>7873</v>
      </c>
      <c r="N1237" s="0" t="s">
        <v>7874</v>
      </c>
      <c r="P1237" s="7" t="s">
        <v>7875</v>
      </c>
      <c r="Q1237" s="2" t="n">
        <v>43367</v>
      </c>
      <c r="S1237" s="0" t="n">
        <f aca="false">YEAR(Q1237)</f>
        <v>2018</v>
      </c>
      <c r="T1237" s="0" t="n">
        <f aca="false">MONTH(Q1237)</f>
        <v>9</v>
      </c>
    </row>
    <row r="1238" customFormat="false" ht="42.75" hidden="true" customHeight="false" outlineLevel="0" collapsed="false">
      <c r="A1238" s="0" t="n">
        <v>1238</v>
      </c>
      <c r="B1238" s="1" t="s">
        <v>964</v>
      </c>
      <c r="C1238" s="1" t="s">
        <v>1479</v>
      </c>
      <c r="D1238" s="1" t="s">
        <v>1535</v>
      </c>
      <c r="E1238" s="0" t="s">
        <v>39</v>
      </c>
      <c r="F1238" s="0" t="s">
        <v>48</v>
      </c>
      <c r="G1238" s="0" t="s">
        <v>7876</v>
      </c>
      <c r="I1238" s="6" t="n">
        <v>0.510416666666667</v>
      </c>
      <c r="J1238" s="6" t="n">
        <v>0.514583333333333</v>
      </c>
      <c r="L1238" s="0" t="n">
        <v>80</v>
      </c>
      <c r="M1238" s="0" t="s">
        <v>7877</v>
      </c>
      <c r="N1238" s="0" t="s">
        <v>7878</v>
      </c>
      <c r="P1238" s="7" t="s">
        <v>7879</v>
      </c>
      <c r="Q1238" s="2" t="n">
        <v>43367</v>
      </c>
      <c r="S1238" s="0" t="n">
        <f aca="false">YEAR(Q1238)</f>
        <v>2018</v>
      </c>
      <c r="T1238" s="0" t="n">
        <f aca="false">MONTH(Q1238)</f>
        <v>9</v>
      </c>
    </row>
    <row r="1239" customFormat="false" ht="14.25" hidden="true" customHeight="false" outlineLevel="0" collapsed="false">
      <c r="A1239" s="0" t="n">
        <v>1239</v>
      </c>
      <c r="B1239" s="1" t="s">
        <v>964</v>
      </c>
      <c r="C1239" s="1" t="s">
        <v>1479</v>
      </c>
      <c r="D1239" s="1" t="s">
        <v>1487</v>
      </c>
      <c r="E1239" s="0" t="s">
        <v>1488</v>
      </c>
      <c r="F1239" s="0" t="s">
        <v>49</v>
      </c>
      <c r="G1239" s="0" t="s">
        <v>7880</v>
      </c>
      <c r="J1239" s="6" t="n">
        <v>0.661805555555556</v>
      </c>
      <c r="L1239" s="0" t="n">
        <v>24</v>
      </c>
      <c r="M1239" s="0" t="s">
        <v>7881</v>
      </c>
      <c r="N1239" s="0" t="s">
        <v>5360</v>
      </c>
      <c r="P1239" s="0" t="s">
        <v>7882</v>
      </c>
      <c r="Q1239" s="2" t="n">
        <v>43367</v>
      </c>
      <c r="S1239" s="0" t="n">
        <f aca="false">YEAR(Q1239)</f>
        <v>2018</v>
      </c>
      <c r="T1239" s="0" t="n">
        <f aca="false">MONTH(Q1239)</f>
        <v>9</v>
      </c>
    </row>
    <row r="1240" customFormat="false" ht="14.25" hidden="true" customHeight="false" outlineLevel="0" collapsed="false">
      <c r="A1240" s="0" t="n">
        <v>1240</v>
      </c>
      <c r="B1240" s="1" t="s">
        <v>964</v>
      </c>
      <c r="C1240" s="1" t="s">
        <v>1479</v>
      </c>
      <c r="D1240" s="1" t="s">
        <v>1496</v>
      </c>
      <c r="E1240" s="0" t="s">
        <v>38</v>
      </c>
      <c r="F1240" s="0" t="s">
        <v>49</v>
      </c>
      <c r="G1240" s="0" t="s">
        <v>7883</v>
      </c>
      <c r="K1240" s="0" t="n">
        <v>25</v>
      </c>
      <c r="L1240" s="0" t="n">
        <v>120</v>
      </c>
      <c r="M1240" s="0" t="s">
        <v>7884</v>
      </c>
      <c r="N1240" s="0" t="s">
        <v>7885</v>
      </c>
      <c r="P1240" s="0" t="s">
        <v>7886</v>
      </c>
      <c r="Q1240" s="2" t="n">
        <v>43367</v>
      </c>
      <c r="S1240" s="0" t="n">
        <f aca="false">YEAR(Q1240)</f>
        <v>2018</v>
      </c>
      <c r="T1240" s="0" t="n">
        <f aca="false">MONTH(Q1240)</f>
        <v>9</v>
      </c>
    </row>
    <row r="1241" customFormat="false" ht="14.25" hidden="true" customHeight="false" outlineLevel="0" collapsed="false">
      <c r="A1241" s="0" t="n">
        <v>1241</v>
      </c>
      <c r="B1241" s="1" t="s">
        <v>964</v>
      </c>
      <c r="C1241" s="1" t="s">
        <v>1479</v>
      </c>
      <c r="D1241" s="1" t="s">
        <v>1535</v>
      </c>
      <c r="E1241" s="0" t="s">
        <v>39</v>
      </c>
      <c r="F1241" s="0" t="s">
        <v>49</v>
      </c>
      <c r="G1241" s="0" t="s">
        <v>7887</v>
      </c>
      <c r="I1241" s="6" t="n">
        <v>0.91875</v>
      </c>
      <c r="J1241" s="6" t="n">
        <v>0.930555555555555</v>
      </c>
      <c r="M1241" s="0" t="s">
        <v>7888</v>
      </c>
      <c r="N1241" s="0" t="s">
        <v>7889</v>
      </c>
      <c r="P1241" s="0" t="s">
        <v>7890</v>
      </c>
      <c r="Q1241" s="2" t="n">
        <v>43367</v>
      </c>
      <c r="S1241" s="0" t="n">
        <f aca="false">YEAR(Q1241)</f>
        <v>2018</v>
      </c>
      <c r="T1241" s="0" t="n">
        <f aca="false">MONTH(Q1241)</f>
        <v>9</v>
      </c>
    </row>
    <row r="1242" customFormat="false" ht="28.5" hidden="true" customHeight="false" outlineLevel="0" collapsed="false">
      <c r="A1242" s="0" t="n">
        <v>1242</v>
      </c>
      <c r="B1242" s="1" t="s">
        <v>964</v>
      </c>
      <c r="C1242" s="1" t="s">
        <v>1479</v>
      </c>
      <c r="D1242" s="1" t="s">
        <v>1535</v>
      </c>
      <c r="E1242" s="0" t="s">
        <v>39</v>
      </c>
      <c r="F1242" s="0" t="s">
        <v>50</v>
      </c>
      <c r="G1242" s="0" t="s">
        <v>7887</v>
      </c>
      <c r="J1242" s="6" t="n">
        <v>0.930555555555555</v>
      </c>
      <c r="L1242" s="0" t="n">
        <v>200</v>
      </c>
      <c r="M1242" s="0" t="s">
        <v>7891</v>
      </c>
      <c r="N1242" s="0" t="s">
        <v>7892</v>
      </c>
      <c r="P1242" s="7" t="s">
        <v>7893</v>
      </c>
      <c r="Q1242" s="2" t="n">
        <v>43367</v>
      </c>
      <c r="S1242" s="0" t="n">
        <f aca="false">YEAR(Q1242)</f>
        <v>2018</v>
      </c>
      <c r="T1242" s="0" t="n">
        <f aca="false">MONTH(Q1242)</f>
        <v>9</v>
      </c>
    </row>
    <row r="1243" customFormat="false" ht="42.75" hidden="true" customHeight="false" outlineLevel="0" collapsed="false">
      <c r="A1243" s="0" t="n">
        <v>1243</v>
      </c>
      <c r="B1243" s="1" t="s">
        <v>966</v>
      </c>
      <c r="C1243" s="1" t="s">
        <v>1479</v>
      </c>
      <c r="D1243" s="1" t="s">
        <v>1496</v>
      </c>
      <c r="E1243" s="0" t="s">
        <v>38</v>
      </c>
      <c r="F1243" s="0" t="s">
        <v>48</v>
      </c>
      <c r="G1243" s="0" t="s">
        <v>7894</v>
      </c>
      <c r="I1243" s="6" t="n">
        <v>0.579166666666667</v>
      </c>
      <c r="J1243" s="6" t="n">
        <v>0.584722222222222</v>
      </c>
      <c r="L1243" s="0" t="n">
        <v>9</v>
      </c>
      <c r="M1243" s="0" t="s">
        <v>7895</v>
      </c>
      <c r="N1243" s="7" t="s">
        <v>7896</v>
      </c>
      <c r="O1243" s="7"/>
      <c r="P1243" s="7" t="s">
        <v>7897</v>
      </c>
      <c r="Q1243" s="2" t="n">
        <v>43368</v>
      </c>
      <c r="S1243" s="0" t="n">
        <f aca="false">YEAR(Q1243)</f>
        <v>2018</v>
      </c>
      <c r="T1243" s="0" t="n">
        <f aca="false">MONTH(Q1243)</f>
        <v>9</v>
      </c>
    </row>
    <row r="1244" customFormat="false" ht="14.25" hidden="true" customHeight="false" outlineLevel="0" collapsed="false">
      <c r="A1244" s="0" t="n">
        <v>1244</v>
      </c>
      <c r="B1244" s="1" t="s">
        <v>966</v>
      </c>
      <c r="C1244" s="1" t="s">
        <v>1479</v>
      </c>
      <c r="D1244" s="1" t="s">
        <v>1487</v>
      </c>
      <c r="E1244" s="4" t="s">
        <v>1488</v>
      </c>
      <c r="F1244" s="0" t="s">
        <v>50</v>
      </c>
      <c r="G1244" s="0" t="s">
        <v>7898</v>
      </c>
      <c r="I1244" s="6" t="n">
        <v>0.95625</v>
      </c>
      <c r="J1244" s="6" t="n">
        <v>0.975</v>
      </c>
      <c r="K1244" s="0" t="n">
        <v>15</v>
      </c>
      <c r="L1244" s="0" t="n">
        <v>87</v>
      </c>
      <c r="M1244" s="0" t="s">
        <v>7899</v>
      </c>
      <c r="N1244" s="0" t="s">
        <v>7900</v>
      </c>
      <c r="P1244" s="0" t="s">
        <v>7901</v>
      </c>
      <c r="Q1244" s="2" t="n">
        <v>43368</v>
      </c>
      <c r="S1244" s="0" t="n">
        <f aca="false">YEAR(Q1244)</f>
        <v>2018</v>
      </c>
      <c r="T1244" s="0" t="n">
        <f aca="false">MONTH(Q1244)</f>
        <v>9</v>
      </c>
    </row>
    <row r="1245" customFormat="false" ht="14.25" hidden="true" customHeight="false" outlineLevel="0" collapsed="false">
      <c r="A1245" s="0" t="n">
        <v>1245</v>
      </c>
      <c r="B1245" s="1" t="s">
        <v>966</v>
      </c>
      <c r="C1245" s="1" t="s">
        <v>1479</v>
      </c>
      <c r="D1245" s="1" t="s">
        <v>1487</v>
      </c>
      <c r="E1245" s="4" t="s">
        <v>1488</v>
      </c>
      <c r="F1245" s="0" t="s">
        <v>50</v>
      </c>
      <c r="G1245" s="0" t="s">
        <v>7902</v>
      </c>
      <c r="I1245" s="6" t="n">
        <v>0.986111111111111</v>
      </c>
      <c r="J1245" s="6" t="n">
        <v>0.986111111111111</v>
      </c>
      <c r="K1245" s="0" t="n">
        <v>10</v>
      </c>
      <c r="L1245" s="0" t="n">
        <v>15</v>
      </c>
      <c r="M1245" s="0" t="s">
        <v>7903</v>
      </c>
      <c r="N1245" s="0" t="s">
        <v>7904</v>
      </c>
      <c r="P1245" s="0" t="s">
        <v>7905</v>
      </c>
      <c r="Q1245" s="2" t="n">
        <v>43368</v>
      </c>
      <c r="S1245" s="0" t="n">
        <f aca="false">YEAR(Q1245)</f>
        <v>2018</v>
      </c>
      <c r="T1245" s="0" t="n">
        <f aca="false">MONTH(Q1245)</f>
        <v>9</v>
      </c>
    </row>
    <row r="1246" customFormat="false" ht="42.75" hidden="true" customHeight="false" outlineLevel="0" collapsed="false">
      <c r="A1246" s="0" t="n">
        <v>1246</v>
      </c>
      <c r="B1246" s="1" t="s">
        <v>968</v>
      </c>
      <c r="C1246" s="1" t="s">
        <v>1479</v>
      </c>
      <c r="D1246" s="1" t="s">
        <v>1487</v>
      </c>
      <c r="E1246" s="4" t="s">
        <v>1488</v>
      </c>
      <c r="F1246" s="0" t="s">
        <v>48</v>
      </c>
      <c r="G1246" s="0" t="s">
        <v>7906</v>
      </c>
      <c r="I1246" s="6" t="n">
        <v>0.365277777777778</v>
      </c>
      <c r="J1246" s="6" t="n">
        <v>0.375</v>
      </c>
      <c r="K1246" s="0" t="n">
        <v>17</v>
      </c>
      <c r="L1246" s="0" t="n">
        <v>34</v>
      </c>
      <c r="M1246" s="0" t="s">
        <v>7907</v>
      </c>
      <c r="N1246" s="0" t="s">
        <v>7908</v>
      </c>
      <c r="P1246" s="7" t="s">
        <v>7909</v>
      </c>
      <c r="Q1246" s="2" t="n">
        <v>43369</v>
      </c>
      <c r="S1246" s="0" t="n">
        <f aca="false">YEAR(Q1246)</f>
        <v>2018</v>
      </c>
      <c r="T1246" s="0" t="n">
        <f aca="false">MONTH(Q1246)</f>
        <v>9</v>
      </c>
    </row>
    <row r="1247" customFormat="false" ht="14.25" hidden="true" customHeight="false" outlineLevel="0" collapsed="false">
      <c r="A1247" s="0" t="n">
        <v>1247</v>
      </c>
      <c r="B1247" s="1" t="s">
        <v>968</v>
      </c>
      <c r="C1247" s="1" t="s">
        <v>1479</v>
      </c>
      <c r="D1247" s="1" t="s">
        <v>1487</v>
      </c>
      <c r="E1247" s="4" t="s">
        <v>1488</v>
      </c>
      <c r="F1247" s="0" t="s">
        <v>48</v>
      </c>
      <c r="G1247" s="0" t="s">
        <v>7910</v>
      </c>
      <c r="I1247" s="6" t="n">
        <v>0.375</v>
      </c>
      <c r="J1247" s="6" t="n">
        <v>0.396527777777778</v>
      </c>
      <c r="K1247" s="0" t="n">
        <v>40</v>
      </c>
      <c r="L1247" s="0" t="n">
        <v>40</v>
      </c>
      <c r="M1247" s="0" t="s">
        <v>7911</v>
      </c>
      <c r="N1247" s="0" t="s">
        <v>7912</v>
      </c>
      <c r="P1247" s="0" t="s">
        <v>7913</v>
      </c>
      <c r="Q1247" s="2" t="n">
        <v>43369</v>
      </c>
      <c r="S1247" s="0" t="n">
        <f aca="false">YEAR(Q1247)</f>
        <v>2018</v>
      </c>
      <c r="T1247" s="0" t="n">
        <f aca="false">MONTH(Q1247)</f>
        <v>9</v>
      </c>
    </row>
    <row r="1248" customFormat="false" ht="14.25" hidden="true" customHeight="false" outlineLevel="0" collapsed="false">
      <c r="A1248" s="0" t="n">
        <v>1248</v>
      </c>
      <c r="B1248" s="1" t="s">
        <v>971</v>
      </c>
      <c r="C1248" s="1" t="s">
        <v>1479</v>
      </c>
      <c r="D1248" s="1" t="s">
        <v>1487</v>
      </c>
      <c r="E1248" s="0" t="s">
        <v>1488</v>
      </c>
      <c r="F1248" s="0" t="s">
        <v>50</v>
      </c>
      <c r="G1248" s="0" t="s">
        <v>7914</v>
      </c>
      <c r="M1248" s="0" t="s">
        <v>7915</v>
      </c>
      <c r="N1248" s="0" t="s">
        <v>7916</v>
      </c>
      <c r="P1248" s="0" t="s">
        <v>7917</v>
      </c>
      <c r="Q1248" s="2" t="n">
        <v>43373</v>
      </c>
      <c r="S1248" s="0" t="n">
        <f aca="false">YEAR(Q1248)</f>
        <v>2018</v>
      </c>
      <c r="T1248" s="0" t="n">
        <f aca="false">MONTH(Q1248)</f>
        <v>9</v>
      </c>
    </row>
    <row r="1249" customFormat="false" ht="14.25" hidden="true" customHeight="false" outlineLevel="0" collapsed="false">
      <c r="A1249" s="0" t="n">
        <v>1249</v>
      </c>
      <c r="B1249" s="1" t="s">
        <v>971</v>
      </c>
      <c r="C1249" s="1" t="s">
        <v>1479</v>
      </c>
      <c r="D1249" s="1" t="s">
        <v>1487</v>
      </c>
      <c r="E1249" s="0" t="s">
        <v>1488</v>
      </c>
      <c r="F1249" s="0" t="s">
        <v>50</v>
      </c>
      <c r="G1249" s="0" t="s">
        <v>3644</v>
      </c>
      <c r="M1249" s="0" t="s">
        <v>7918</v>
      </c>
      <c r="N1249" s="0" t="s">
        <v>7919</v>
      </c>
      <c r="P1249" s="0" t="s">
        <v>7920</v>
      </c>
      <c r="Q1249" s="2" t="n">
        <v>43373</v>
      </c>
      <c r="S1249" s="0" t="n">
        <f aca="false">YEAR(Q1249)</f>
        <v>2018</v>
      </c>
      <c r="T1249" s="0" t="n">
        <f aca="false">MONTH(Q1249)</f>
        <v>9</v>
      </c>
    </row>
    <row r="1250" customFormat="false" ht="14.25" hidden="true" customHeight="false" outlineLevel="0" collapsed="false">
      <c r="A1250" s="0" t="n">
        <v>1250</v>
      </c>
      <c r="B1250" s="1" t="s">
        <v>971</v>
      </c>
      <c r="C1250" s="1" t="s">
        <v>1479</v>
      </c>
      <c r="D1250" s="1" t="s">
        <v>1487</v>
      </c>
      <c r="E1250" s="0" t="s">
        <v>1488</v>
      </c>
      <c r="F1250" s="0" t="s">
        <v>50</v>
      </c>
      <c r="G1250" s="0" t="s">
        <v>7921</v>
      </c>
      <c r="M1250" s="0" t="s">
        <v>7922</v>
      </c>
      <c r="N1250" s="0" t="s">
        <v>7923</v>
      </c>
      <c r="P1250" s="0" t="s">
        <v>7924</v>
      </c>
      <c r="Q1250" s="2" t="n">
        <v>43373</v>
      </c>
      <c r="S1250" s="0" t="n">
        <f aca="false">YEAR(Q1250)</f>
        <v>2018</v>
      </c>
      <c r="T1250" s="0" t="n">
        <f aca="false">MONTH(Q1250)</f>
        <v>9</v>
      </c>
    </row>
    <row r="1251" customFormat="false" ht="14.25" hidden="true" customHeight="false" outlineLevel="0" collapsed="false">
      <c r="A1251" s="0" t="n">
        <v>1251</v>
      </c>
      <c r="B1251" s="1" t="s">
        <v>971</v>
      </c>
      <c r="C1251" s="1" t="s">
        <v>1479</v>
      </c>
      <c r="D1251" s="1" t="s">
        <v>1487</v>
      </c>
      <c r="E1251" s="0" t="s">
        <v>1488</v>
      </c>
      <c r="F1251" s="0" t="s">
        <v>50</v>
      </c>
      <c r="G1251" s="0" t="s">
        <v>7925</v>
      </c>
      <c r="M1251" s="0" t="s">
        <v>7926</v>
      </c>
      <c r="N1251" s="0" t="s">
        <v>7927</v>
      </c>
      <c r="P1251" s="0" t="s">
        <v>7928</v>
      </c>
      <c r="Q1251" s="2" t="n">
        <v>43373</v>
      </c>
      <c r="S1251" s="0" t="n">
        <f aca="false">YEAR(Q1251)</f>
        <v>2018</v>
      </c>
      <c r="T1251" s="0" t="n">
        <f aca="false">MONTH(Q1251)</f>
        <v>9</v>
      </c>
    </row>
    <row r="1252" customFormat="false" ht="14.25" hidden="true" customHeight="false" outlineLevel="0" collapsed="false">
      <c r="A1252" s="0" t="n">
        <v>1252</v>
      </c>
      <c r="B1252" s="1" t="s">
        <v>971</v>
      </c>
      <c r="C1252" s="1" t="s">
        <v>1479</v>
      </c>
      <c r="D1252" s="1" t="s">
        <v>1487</v>
      </c>
      <c r="E1252" s="0" t="s">
        <v>1488</v>
      </c>
      <c r="F1252" s="0" t="s">
        <v>50</v>
      </c>
      <c r="G1252" s="0" t="s">
        <v>3835</v>
      </c>
      <c r="M1252" s="0" t="s">
        <v>7929</v>
      </c>
      <c r="N1252" s="0" t="s">
        <v>7930</v>
      </c>
      <c r="P1252" s="0" t="s">
        <v>7931</v>
      </c>
      <c r="Q1252" s="2" t="n">
        <v>43373</v>
      </c>
      <c r="S1252" s="0" t="n">
        <f aca="false">YEAR(Q1252)</f>
        <v>2018</v>
      </c>
      <c r="T1252" s="0" t="n">
        <f aca="false">MONTH(Q1252)</f>
        <v>9</v>
      </c>
    </row>
    <row r="1253" customFormat="false" ht="14.25" hidden="true" customHeight="false" outlineLevel="0" collapsed="false">
      <c r="A1253" s="0" t="n">
        <v>1253</v>
      </c>
      <c r="B1253" s="1" t="s">
        <v>971</v>
      </c>
      <c r="C1253" s="1" t="s">
        <v>1479</v>
      </c>
      <c r="D1253" s="1" t="s">
        <v>1496</v>
      </c>
      <c r="E1253" s="0" t="s">
        <v>38</v>
      </c>
      <c r="F1253" s="0" t="s">
        <v>50</v>
      </c>
      <c r="M1253" s="0" t="s">
        <v>7932</v>
      </c>
      <c r="N1253" s="0" t="s">
        <v>7933</v>
      </c>
      <c r="P1253" s="0" t="s">
        <v>7934</v>
      </c>
      <c r="Q1253" s="2" t="n">
        <v>43373</v>
      </c>
      <c r="S1253" s="0" t="n">
        <f aca="false">YEAR(Q1253)</f>
        <v>2018</v>
      </c>
      <c r="T1253" s="0" t="n">
        <f aca="false">MONTH(Q1253)</f>
        <v>9</v>
      </c>
    </row>
    <row r="1254" customFormat="false" ht="14.25" hidden="true" customHeight="false" outlineLevel="0" collapsed="false">
      <c r="A1254" s="0" t="n">
        <v>1254</v>
      </c>
      <c r="B1254" s="1" t="s">
        <v>972</v>
      </c>
      <c r="C1254" s="1" t="s">
        <v>1503</v>
      </c>
      <c r="D1254" s="1" t="s">
        <v>1535</v>
      </c>
      <c r="E1254" s="0" t="s">
        <v>44</v>
      </c>
      <c r="F1254" s="0" t="s">
        <v>48</v>
      </c>
      <c r="G1254" s="0" t="s">
        <v>7935</v>
      </c>
      <c r="I1254" s="6" t="n">
        <v>0.25</v>
      </c>
      <c r="J1254" s="6" t="n">
        <v>0.28125</v>
      </c>
      <c r="L1254" s="0" t="n">
        <v>12</v>
      </c>
      <c r="M1254" s="0" t="s">
        <v>7936</v>
      </c>
      <c r="N1254" s="0" t="s">
        <v>7937</v>
      </c>
      <c r="P1254" s="0" t="s">
        <v>7938</v>
      </c>
      <c r="Q1254" s="2" t="n">
        <v>43374</v>
      </c>
      <c r="S1254" s="0" t="n">
        <f aca="false">YEAR(Q1254)</f>
        <v>2018</v>
      </c>
      <c r="T1254" s="0" t="n">
        <f aca="false">MONTH(Q1254)</f>
        <v>10</v>
      </c>
    </row>
    <row r="1255" customFormat="false" ht="14.25" hidden="true" customHeight="false" outlineLevel="0" collapsed="false">
      <c r="A1255" s="0" t="n">
        <v>1255</v>
      </c>
      <c r="B1255" s="1" t="s">
        <v>972</v>
      </c>
      <c r="C1255" s="1" t="s">
        <v>1479</v>
      </c>
      <c r="D1255" s="1" t="s">
        <v>1487</v>
      </c>
      <c r="E1255" s="0" t="s">
        <v>1488</v>
      </c>
      <c r="F1255" s="0" t="s">
        <v>48</v>
      </c>
      <c r="G1255" s="0" t="s">
        <v>7939</v>
      </c>
      <c r="I1255" s="6" t="n">
        <v>0.413194444444444</v>
      </c>
      <c r="J1255" s="6" t="n">
        <v>0.431944444444444</v>
      </c>
      <c r="L1255" s="0" t="n">
        <v>28</v>
      </c>
      <c r="M1255" s="0" t="s">
        <v>7940</v>
      </c>
      <c r="N1255" s="0" t="s">
        <v>7941</v>
      </c>
      <c r="P1255" s="0" t="s">
        <v>7942</v>
      </c>
      <c r="Q1255" s="2" t="n">
        <v>43374</v>
      </c>
      <c r="S1255" s="0" t="n">
        <f aca="false">YEAR(Q1255)</f>
        <v>2018</v>
      </c>
      <c r="T1255" s="0" t="n">
        <f aca="false">MONTH(Q1255)</f>
        <v>10</v>
      </c>
    </row>
    <row r="1256" customFormat="false" ht="14.25" hidden="true" customHeight="false" outlineLevel="0" collapsed="false">
      <c r="A1256" s="0" t="n">
        <v>1256</v>
      </c>
      <c r="B1256" s="1" t="s">
        <v>972</v>
      </c>
      <c r="C1256" s="1" t="s">
        <v>1503</v>
      </c>
      <c r="D1256" s="1" t="s">
        <v>1504</v>
      </c>
      <c r="E1256" s="0" t="s">
        <v>45</v>
      </c>
      <c r="F1256" s="0" t="s">
        <v>49</v>
      </c>
      <c r="G1256" s="0" t="s">
        <v>7943</v>
      </c>
      <c r="I1256" s="6" t="n">
        <v>0.75</v>
      </c>
      <c r="J1256" s="6" t="n">
        <v>0.849305555555556</v>
      </c>
      <c r="M1256" s="0" t="s">
        <v>7944</v>
      </c>
      <c r="N1256" s="0" t="s">
        <v>7945</v>
      </c>
      <c r="P1256" s="0" t="s">
        <v>7946</v>
      </c>
      <c r="Q1256" s="2" t="n">
        <v>43374</v>
      </c>
      <c r="S1256" s="0" t="n">
        <f aca="false">YEAR(Q1256)</f>
        <v>2018</v>
      </c>
      <c r="T1256" s="0" t="n">
        <f aca="false">MONTH(Q1256)</f>
        <v>10</v>
      </c>
    </row>
    <row r="1257" customFormat="false" ht="14.25" hidden="true" customHeight="false" outlineLevel="0" collapsed="false">
      <c r="A1257" s="0" t="n">
        <v>1257</v>
      </c>
      <c r="B1257" s="1" t="s">
        <v>972</v>
      </c>
      <c r="C1257" s="1" t="s">
        <v>1479</v>
      </c>
      <c r="D1257" s="1" t="s">
        <v>1535</v>
      </c>
      <c r="E1257" s="0" t="s">
        <v>39</v>
      </c>
      <c r="F1257" s="0" t="s">
        <v>49</v>
      </c>
      <c r="G1257" s="0" t="s">
        <v>7947</v>
      </c>
      <c r="I1257" s="6" t="n">
        <v>0.880555555555556</v>
      </c>
      <c r="J1257" s="6" t="n">
        <v>0.882638888888889</v>
      </c>
      <c r="L1257" s="0" t="n">
        <v>6</v>
      </c>
      <c r="M1257" s="0" t="s">
        <v>7948</v>
      </c>
      <c r="N1257" s="0" t="s">
        <v>7949</v>
      </c>
      <c r="P1257" s="0" t="s">
        <v>7950</v>
      </c>
      <c r="Q1257" s="2" t="n">
        <v>43374</v>
      </c>
      <c r="S1257" s="0" t="n">
        <f aca="false">YEAR(Q1257)</f>
        <v>2018</v>
      </c>
      <c r="T1257" s="0" t="n">
        <f aca="false">MONTH(Q1257)</f>
        <v>10</v>
      </c>
    </row>
    <row r="1258" customFormat="false" ht="28.5" hidden="true" customHeight="false" outlineLevel="0" collapsed="false">
      <c r="A1258" s="0" t="n">
        <v>1258</v>
      </c>
      <c r="B1258" s="1" t="s">
        <v>973</v>
      </c>
      <c r="C1258" s="1" t="s">
        <v>1479</v>
      </c>
      <c r="D1258" s="1" t="s">
        <v>1487</v>
      </c>
      <c r="E1258" s="0" t="s">
        <v>1488</v>
      </c>
      <c r="F1258" s="0" t="s">
        <v>48</v>
      </c>
      <c r="G1258" s="0" t="s">
        <v>7951</v>
      </c>
      <c r="I1258" s="6" t="n">
        <v>0.522916666666667</v>
      </c>
      <c r="J1258" s="6" t="n">
        <v>0.547222222222222</v>
      </c>
      <c r="K1258" s="0" t="n">
        <v>74</v>
      </c>
      <c r="L1258" s="0" t="n">
        <v>120</v>
      </c>
      <c r="M1258" s="7" t="s">
        <v>7952</v>
      </c>
      <c r="N1258" s="0" t="s">
        <v>7953</v>
      </c>
      <c r="P1258" s="0" t="s">
        <v>7954</v>
      </c>
      <c r="Q1258" s="2" t="n">
        <v>43375</v>
      </c>
      <c r="S1258" s="0" t="n">
        <f aca="false">YEAR(Q1258)</f>
        <v>2018</v>
      </c>
      <c r="T1258" s="0" t="n">
        <f aca="false">MONTH(Q1258)</f>
        <v>10</v>
      </c>
    </row>
    <row r="1259" customFormat="false" ht="14.25" hidden="true" customHeight="false" outlineLevel="0" collapsed="false">
      <c r="A1259" s="0" t="n">
        <v>1259</v>
      </c>
      <c r="B1259" s="1" t="s">
        <v>973</v>
      </c>
      <c r="C1259" s="1" t="s">
        <v>1479</v>
      </c>
      <c r="D1259" s="1" t="s">
        <v>1535</v>
      </c>
      <c r="E1259" s="0" t="s">
        <v>39</v>
      </c>
      <c r="F1259" s="0" t="s">
        <v>49</v>
      </c>
      <c r="G1259" s="0" t="s">
        <v>7955</v>
      </c>
      <c r="I1259" s="6" t="n">
        <v>0.708333333333333</v>
      </c>
      <c r="J1259" s="6" t="n">
        <v>0.71875</v>
      </c>
      <c r="L1259" s="0" t="n">
        <v>25</v>
      </c>
      <c r="M1259" s="0" t="s">
        <v>7956</v>
      </c>
      <c r="N1259" s="0" t="s">
        <v>7957</v>
      </c>
      <c r="P1259" s="0" t="s">
        <v>7958</v>
      </c>
      <c r="Q1259" s="2" t="n">
        <v>43375</v>
      </c>
      <c r="S1259" s="0" t="n">
        <f aca="false">YEAR(Q1259)</f>
        <v>2018</v>
      </c>
      <c r="T1259" s="0" t="n">
        <f aca="false">MONTH(Q1259)</f>
        <v>10</v>
      </c>
    </row>
    <row r="1260" customFormat="false" ht="14.25" hidden="true" customHeight="false" outlineLevel="0" collapsed="false">
      <c r="A1260" s="0" t="n">
        <v>1260</v>
      </c>
      <c r="B1260" s="1" t="s">
        <v>973</v>
      </c>
      <c r="C1260" s="1" t="s">
        <v>1479</v>
      </c>
      <c r="D1260" s="1" t="s">
        <v>1535</v>
      </c>
      <c r="E1260" s="0" t="s">
        <v>39</v>
      </c>
      <c r="F1260" s="0" t="s">
        <v>50</v>
      </c>
      <c r="G1260" s="0" t="s">
        <v>7959</v>
      </c>
      <c r="I1260" s="6" t="n">
        <v>0.100694444444444</v>
      </c>
      <c r="J1260" s="6" t="n">
        <v>0.104166666666667</v>
      </c>
      <c r="K1260" s="0" t="n">
        <v>3</v>
      </c>
      <c r="L1260" s="0" t="n">
        <v>100</v>
      </c>
      <c r="M1260" s="0" t="s">
        <v>7960</v>
      </c>
      <c r="N1260" s="0" t="s">
        <v>7961</v>
      </c>
      <c r="P1260" s="0" t="s">
        <v>7962</v>
      </c>
      <c r="Q1260" s="2" t="n">
        <v>43375</v>
      </c>
      <c r="S1260" s="0" t="n">
        <f aca="false">YEAR(Q1260)</f>
        <v>2018</v>
      </c>
      <c r="T1260" s="0" t="n">
        <f aca="false">MONTH(Q1260)</f>
        <v>10</v>
      </c>
    </row>
    <row r="1261" customFormat="false" ht="14.25" hidden="true" customHeight="false" outlineLevel="0" collapsed="false">
      <c r="A1261" s="0" t="n">
        <v>1261</v>
      </c>
      <c r="B1261" s="1" t="s">
        <v>973</v>
      </c>
      <c r="C1261" s="1" t="s">
        <v>1479</v>
      </c>
      <c r="D1261" s="1" t="s">
        <v>1496</v>
      </c>
      <c r="E1261" s="0" t="s">
        <v>38</v>
      </c>
      <c r="F1261" s="0" t="s">
        <v>50</v>
      </c>
      <c r="G1261" s="0" t="s">
        <v>7963</v>
      </c>
      <c r="I1261" s="6" t="n">
        <v>0.152777777777778</v>
      </c>
      <c r="J1261" s="6" t="n">
        <v>0.157638888888889</v>
      </c>
      <c r="K1261" s="0" t="n">
        <v>8</v>
      </c>
      <c r="L1261" s="0" t="n">
        <v>50</v>
      </c>
      <c r="M1261" s="0" t="s">
        <v>7964</v>
      </c>
      <c r="N1261" s="0" t="s">
        <v>4784</v>
      </c>
      <c r="P1261" s="0" t="s">
        <v>7965</v>
      </c>
      <c r="Q1261" s="2" t="n">
        <v>43375</v>
      </c>
      <c r="S1261" s="0" t="n">
        <f aca="false">YEAR(Q1261)</f>
        <v>2018</v>
      </c>
      <c r="T1261" s="0" t="n">
        <f aca="false">MONTH(Q1261)</f>
        <v>10</v>
      </c>
    </row>
    <row r="1262" customFormat="false" ht="28.5" hidden="true" customHeight="false" outlineLevel="0" collapsed="false">
      <c r="A1262" s="0" t="n">
        <v>1262</v>
      </c>
      <c r="B1262" s="1" t="s">
        <v>975</v>
      </c>
      <c r="C1262" s="1" t="s">
        <v>1479</v>
      </c>
      <c r="D1262" s="1" t="s">
        <v>1535</v>
      </c>
      <c r="E1262" s="0" t="s">
        <v>39</v>
      </c>
      <c r="F1262" s="0" t="s">
        <v>48</v>
      </c>
      <c r="G1262" s="0" t="s">
        <v>7966</v>
      </c>
      <c r="I1262" s="6" t="n">
        <v>0.364583333333333</v>
      </c>
      <c r="J1262" s="6" t="n">
        <v>0.375</v>
      </c>
      <c r="M1262" s="0" t="s">
        <v>4010</v>
      </c>
      <c r="N1262" s="0" t="s">
        <v>7967</v>
      </c>
      <c r="P1262" s="7" t="s">
        <v>7968</v>
      </c>
      <c r="Q1262" s="2" t="n">
        <v>43376</v>
      </c>
      <c r="S1262" s="0" t="n">
        <f aca="false">YEAR(Q1262)</f>
        <v>2018</v>
      </c>
      <c r="T1262" s="0" t="n">
        <f aca="false">MONTH(Q1262)</f>
        <v>10</v>
      </c>
    </row>
    <row r="1263" customFormat="false" ht="14.25" hidden="true" customHeight="false" outlineLevel="0" collapsed="false">
      <c r="A1263" s="0" t="n">
        <v>1263</v>
      </c>
      <c r="B1263" s="1" t="s">
        <v>975</v>
      </c>
      <c r="C1263" s="1" t="s">
        <v>1479</v>
      </c>
      <c r="D1263" s="1" t="s">
        <v>1487</v>
      </c>
      <c r="E1263" s="0" t="s">
        <v>1488</v>
      </c>
      <c r="F1263" s="0" t="s">
        <v>48</v>
      </c>
      <c r="G1263" s="0" t="s">
        <v>7969</v>
      </c>
      <c r="I1263" s="6" t="n">
        <v>0.385416666666667</v>
      </c>
      <c r="M1263" s="0" t="s">
        <v>7970</v>
      </c>
      <c r="N1263" s="0" t="s">
        <v>7971</v>
      </c>
      <c r="P1263" s="0" t="s">
        <v>7972</v>
      </c>
      <c r="Q1263" s="2" t="n">
        <v>43376</v>
      </c>
      <c r="S1263" s="0" t="n">
        <f aca="false">YEAR(Q1263)</f>
        <v>2018</v>
      </c>
      <c r="T1263" s="0" t="n">
        <f aca="false">MONTH(Q1263)</f>
        <v>10</v>
      </c>
    </row>
    <row r="1264" customFormat="false" ht="42.75" hidden="true" customHeight="false" outlineLevel="0" collapsed="false">
      <c r="A1264" s="0" t="n">
        <v>1264</v>
      </c>
      <c r="B1264" s="1" t="s">
        <v>975</v>
      </c>
      <c r="C1264" s="1" t="s">
        <v>1479</v>
      </c>
      <c r="D1264" s="1" t="s">
        <v>1496</v>
      </c>
      <c r="E1264" s="0" t="s">
        <v>38</v>
      </c>
      <c r="F1264" s="0" t="s">
        <v>50</v>
      </c>
      <c r="G1264" s="0" t="s">
        <v>7963</v>
      </c>
      <c r="I1264" s="6" t="n">
        <v>0.979166666666667</v>
      </c>
      <c r="J1264" s="6" t="n">
        <v>0.986111111111111</v>
      </c>
      <c r="K1264" s="0" t="n">
        <v>15</v>
      </c>
      <c r="L1264" s="0" t="n">
        <v>90</v>
      </c>
      <c r="M1264" s="0" t="s">
        <v>7973</v>
      </c>
      <c r="N1264" s="0" t="s">
        <v>7974</v>
      </c>
      <c r="P1264" s="7" t="s">
        <v>7975</v>
      </c>
      <c r="Q1264" s="2" t="n">
        <v>43376</v>
      </c>
      <c r="S1264" s="0" t="n">
        <f aca="false">YEAR(Q1264)</f>
        <v>2018</v>
      </c>
      <c r="T1264" s="0" t="n">
        <f aca="false">MONTH(Q1264)</f>
        <v>10</v>
      </c>
    </row>
    <row r="1265" customFormat="false" ht="42.75" hidden="true" customHeight="false" outlineLevel="0" collapsed="false">
      <c r="A1265" s="0" t="n">
        <v>1265</v>
      </c>
      <c r="B1265" s="1" t="s">
        <v>975</v>
      </c>
      <c r="C1265" s="1" t="s">
        <v>1479</v>
      </c>
      <c r="D1265" s="1" t="s">
        <v>1535</v>
      </c>
      <c r="E1265" s="0" t="s">
        <v>39</v>
      </c>
      <c r="F1265" s="0" t="s">
        <v>50</v>
      </c>
      <c r="G1265" s="0" t="s">
        <v>7976</v>
      </c>
      <c r="I1265" s="6" t="n">
        <v>0.0868055555555556</v>
      </c>
      <c r="J1265" s="6" t="n">
        <v>0.0888888888888889</v>
      </c>
      <c r="K1265" s="0" t="n">
        <v>5</v>
      </c>
      <c r="L1265" s="0" t="n">
        <v>15</v>
      </c>
      <c r="M1265" s="7" t="s">
        <v>7977</v>
      </c>
      <c r="N1265" s="0" t="s">
        <v>7978</v>
      </c>
      <c r="P1265" s="0" t="s">
        <v>7979</v>
      </c>
      <c r="Q1265" s="2" t="n">
        <v>43376</v>
      </c>
      <c r="S1265" s="0" t="n">
        <f aca="false">YEAR(Q1265)</f>
        <v>2018</v>
      </c>
      <c r="T1265" s="0" t="n">
        <f aca="false">MONTH(Q1265)</f>
        <v>10</v>
      </c>
    </row>
    <row r="1266" customFormat="false" ht="14.25" hidden="true" customHeight="false" outlineLevel="0" collapsed="false">
      <c r="A1266" s="0" t="n">
        <v>1266</v>
      </c>
      <c r="B1266" s="1" t="s">
        <v>976</v>
      </c>
      <c r="C1266" s="1" t="s">
        <v>1503</v>
      </c>
      <c r="D1266" s="1" t="s">
        <v>1535</v>
      </c>
      <c r="E1266" s="0" t="s">
        <v>1503</v>
      </c>
      <c r="F1266" s="0" t="s">
        <v>48</v>
      </c>
      <c r="G1266" s="0" t="s">
        <v>7980</v>
      </c>
      <c r="I1266" s="6" t="n">
        <v>0.270833333333333</v>
      </c>
      <c r="J1266" s="6" t="n">
        <v>0.338194444444444</v>
      </c>
      <c r="M1266" s="0" t="s">
        <v>1538</v>
      </c>
      <c r="N1266" s="0" t="s">
        <v>7981</v>
      </c>
      <c r="P1266" s="0" t="s">
        <v>7982</v>
      </c>
      <c r="Q1266" s="2" t="n">
        <v>43377</v>
      </c>
      <c r="S1266" s="0" t="n">
        <f aca="false">YEAR(Q1266)</f>
        <v>2018</v>
      </c>
      <c r="T1266" s="0" t="n">
        <f aca="false">MONTH(Q1266)</f>
        <v>10</v>
      </c>
    </row>
    <row r="1267" customFormat="false" ht="42.75" hidden="true" customHeight="false" outlineLevel="0" collapsed="false">
      <c r="A1267" s="0" t="n">
        <v>1267</v>
      </c>
      <c r="B1267" s="1" t="s">
        <v>976</v>
      </c>
      <c r="C1267" s="1" t="s">
        <v>1503</v>
      </c>
      <c r="D1267" s="1" t="s">
        <v>1648</v>
      </c>
      <c r="E1267" s="0" t="s">
        <v>1648</v>
      </c>
      <c r="F1267" s="0" t="s">
        <v>49</v>
      </c>
      <c r="G1267" s="0" t="s">
        <v>7983</v>
      </c>
      <c r="I1267" s="6" t="n">
        <v>0.708333333333333</v>
      </c>
      <c r="J1267" s="6" t="n">
        <v>0.739583333333333</v>
      </c>
      <c r="L1267" s="0" t="n">
        <v>220</v>
      </c>
      <c r="M1267" s="7" t="s">
        <v>7984</v>
      </c>
      <c r="N1267" s="0" t="s">
        <v>7985</v>
      </c>
      <c r="P1267" s="0" t="s">
        <v>7986</v>
      </c>
      <c r="Q1267" s="2" t="n">
        <v>43377</v>
      </c>
      <c r="S1267" s="0" t="n">
        <f aca="false">YEAR(Q1267)</f>
        <v>2018</v>
      </c>
      <c r="T1267" s="0" t="n">
        <f aca="false">MONTH(Q1267)</f>
        <v>10</v>
      </c>
    </row>
    <row r="1268" customFormat="false" ht="14.25" hidden="true" customHeight="false" outlineLevel="0" collapsed="false">
      <c r="A1268" s="0" t="n">
        <v>1268</v>
      </c>
      <c r="B1268" s="1" t="s">
        <v>977</v>
      </c>
      <c r="C1268" s="1" t="s">
        <v>1479</v>
      </c>
      <c r="D1268" s="1" t="s">
        <v>1480</v>
      </c>
      <c r="E1268" s="0" t="s">
        <v>43</v>
      </c>
      <c r="F1268" s="0" t="s">
        <v>48</v>
      </c>
      <c r="G1268" s="0" t="s">
        <v>7987</v>
      </c>
      <c r="I1268" s="6" t="n">
        <v>0.278472222222222</v>
      </c>
      <c r="J1268" s="6" t="n">
        <v>0.3125</v>
      </c>
      <c r="L1268" s="0" t="n">
        <v>300</v>
      </c>
      <c r="M1268" s="0" t="s">
        <v>7988</v>
      </c>
      <c r="N1268" s="0" t="s">
        <v>7989</v>
      </c>
      <c r="P1268" s="0" t="s">
        <v>7990</v>
      </c>
      <c r="Q1268" s="2" t="n">
        <v>43378</v>
      </c>
      <c r="S1268" s="0" t="n">
        <f aca="false">YEAR(Q1268)</f>
        <v>2018</v>
      </c>
      <c r="T1268" s="0" t="n">
        <f aca="false">MONTH(Q1268)</f>
        <v>10</v>
      </c>
    </row>
    <row r="1269" customFormat="false" ht="14.25" hidden="true" customHeight="false" outlineLevel="0" collapsed="false">
      <c r="A1269" s="0" t="n">
        <v>1269</v>
      </c>
      <c r="B1269" s="1" t="s">
        <v>977</v>
      </c>
      <c r="C1269" s="1" t="s">
        <v>1503</v>
      </c>
      <c r="D1269" s="1" t="s">
        <v>1535</v>
      </c>
      <c r="E1269" s="0" t="s">
        <v>1503</v>
      </c>
      <c r="F1269" s="0" t="s">
        <v>50</v>
      </c>
      <c r="G1269" s="0" t="s">
        <v>4197</v>
      </c>
      <c r="I1269" s="6"/>
      <c r="J1269" s="6" t="n">
        <v>0.188888888888889</v>
      </c>
      <c r="L1269" s="0" t="n">
        <v>90</v>
      </c>
      <c r="M1269" s="0" t="s">
        <v>7991</v>
      </c>
      <c r="N1269" s="0" t="s">
        <v>7992</v>
      </c>
      <c r="P1269" s="0" t="s">
        <v>7993</v>
      </c>
      <c r="Q1269" s="2" t="n">
        <v>43378</v>
      </c>
      <c r="S1269" s="0" t="n">
        <f aca="false">YEAR(Q1269)</f>
        <v>2018</v>
      </c>
      <c r="T1269" s="0" t="n">
        <f aca="false">MONTH(Q1269)</f>
        <v>10</v>
      </c>
    </row>
    <row r="1270" customFormat="false" ht="28.5" hidden="true" customHeight="false" outlineLevel="0" collapsed="false">
      <c r="A1270" s="0" t="n">
        <v>1270</v>
      </c>
      <c r="B1270" s="1" t="s">
        <v>980</v>
      </c>
      <c r="C1270" s="1" t="s">
        <v>1479</v>
      </c>
      <c r="D1270" s="1" t="s">
        <v>1487</v>
      </c>
      <c r="E1270" s="0" t="s">
        <v>1488</v>
      </c>
      <c r="F1270" s="0" t="s">
        <v>49</v>
      </c>
      <c r="G1270" s="0" t="s">
        <v>7994</v>
      </c>
      <c r="I1270" s="6" t="n">
        <v>0.65625</v>
      </c>
      <c r="J1270" s="6" t="n">
        <v>0.659722222222222</v>
      </c>
      <c r="L1270" s="0" t="n">
        <v>40</v>
      </c>
      <c r="M1270" s="0" t="s">
        <v>7995</v>
      </c>
      <c r="N1270" s="7" t="s">
        <v>7996</v>
      </c>
      <c r="O1270" s="7"/>
      <c r="P1270" s="0" t="s">
        <v>7997</v>
      </c>
      <c r="Q1270" s="2" t="n">
        <v>43351</v>
      </c>
      <c r="S1270" s="0" t="n">
        <f aca="false">YEAR(Q1270)</f>
        <v>2018</v>
      </c>
      <c r="T1270" s="0" t="n">
        <f aca="false">MONTH(Q1270)</f>
        <v>9</v>
      </c>
    </row>
    <row r="1271" customFormat="false" ht="14.25" hidden="true" customHeight="false" outlineLevel="0" collapsed="false">
      <c r="A1271" s="0" t="n">
        <v>1271</v>
      </c>
      <c r="B1271" s="1" t="s">
        <v>980</v>
      </c>
      <c r="C1271" s="1" t="s">
        <v>1479</v>
      </c>
      <c r="D1271" s="1" t="s">
        <v>1535</v>
      </c>
      <c r="E1271" s="0" t="s">
        <v>39</v>
      </c>
      <c r="F1271" s="0" t="s">
        <v>49</v>
      </c>
      <c r="G1271" s="0" t="s">
        <v>7998</v>
      </c>
      <c r="I1271" s="6" t="n">
        <v>0.75</v>
      </c>
      <c r="J1271" s="6" t="n">
        <v>0.753472222222222</v>
      </c>
      <c r="L1271" s="0" t="n">
        <v>30</v>
      </c>
      <c r="M1271" s="0" t="s">
        <v>7999</v>
      </c>
      <c r="N1271" s="0" t="s">
        <v>8000</v>
      </c>
      <c r="P1271" s="0" t="s">
        <v>8001</v>
      </c>
      <c r="Q1271" s="2" t="n">
        <v>43351</v>
      </c>
      <c r="S1271" s="0" t="n">
        <f aca="false">YEAR(Q1271)</f>
        <v>2018</v>
      </c>
      <c r="T1271" s="0" t="n">
        <f aca="false">MONTH(Q1271)</f>
        <v>9</v>
      </c>
    </row>
    <row r="1272" customFormat="false" ht="14.25" hidden="true" customHeight="false" outlineLevel="0" collapsed="false">
      <c r="A1272" s="0" t="n">
        <v>1272</v>
      </c>
      <c r="B1272" s="1" t="s">
        <v>980</v>
      </c>
      <c r="C1272" s="1" t="s">
        <v>1479</v>
      </c>
      <c r="D1272" s="1" t="s">
        <v>1487</v>
      </c>
      <c r="E1272" s="0" t="s">
        <v>1488</v>
      </c>
      <c r="F1272" s="0" t="s">
        <v>49</v>
      </c>
      <c r="G1272" s="0" t="s">
        <v>8002</v>
      </c>
      <c r="I1272" s="6" t="n">
        <v>0.809027777777778</v>
      </c>
      <c r="J1272" s="6" t="n">
        <v>0.817361111111111</v>
      </c>
      <c r="L1272" s="0" t="n">
        <v>20</v>
      </c>
      <c r="M1272" s="0" t="s">
        <v>8003</v>
      </c>
      <c r="N1272" s="0" t="s">
        <v>8004</v>
      </c>
      <c r="P1272" s="0" t="s">
        <v>8005</v>
      </c>
      <c r="Q1272" s="2" t="n">
        <v>43351</v>
      </c>
      <c r="S1272" s="0" t="n">
        <f aca="false">YEAR(Q1272)</f>
        <v>2018</v>
      </c>
      <c r="T1272" s="0" t="n">
        <f aca="false">MONTH(Q1272)</f>
        <v>9</v>
      </c>
    </row>
    <row r="1273" customFormat="false" ht="42.75" hidden="true" customHeight="false" outlineLevel="0" collapsed="false">
      <c r="A1273" s="0" t="n">
        <v>1273</v>
      </c>
      <c r="B1273" s="1" t="s">
        <v>980</v>
      </c>
      <c r="C1273" s="1" t="s">
        <v>1503</v>
      </c>
      <c r="D1273" s="1" t="s">
        <v>1648</v>
      </c>
      <c r="E1273" s="0" t="s">
        <v>1648</v>
      </c>
      <c r="F1273" s="0" t="s">
        <v>49</v>
      </c>
      <c r="G1273" s="0" t="s">
        <v>8006</v>
      </c>
      <c r="J1273" s="6" t="n">
        <v>0.909722222222222</v>
      </c>
      <c r="M1273" s="0" t="s">
        <v>8007</v>
      </c>
      <c r="N1273" s="7" t="s">
        <v>8008</v>
      </c>
      <c r="O1273" s="7"/>
      <c r="P1273" s="7" t="s">
        <v>8009</v>
      </c>
      <c r="Q1273" s="2" t="n">
        <v>43351</v>
      </c>
      <c r="S1273" s="0" t="n">
        <f aca="false">YEAR(Q1273)</f>
        <v>2018</v>
      </c>
      <c r="T1273" s="0" t="n">
        <f aca="false">MONTH(Q1273)</f>
        <v>9</v>
      </c>
    </row>
    <row r="1274" customFormat="false" ht="14.25" hidden="true" customHeight="false" outlineLevel="0" collapsed="false">
      <c r="A1274" s="0" t="n">
        <v>1274</v>
      </c>
      <c r="B1274" s="1" t="s">
        <v>981</v>
      </c>
      <c r="C1274" s="1" t="s">
        <v>1479</v>
      </c>
      <c r="D1274" s="1" t="s">
        <v>1480</v>
      </c>
      <c r="E1274" s="0" t="s">
        <v>43</v>
      </c>
      <c r="F1274" s="0" t="s">
        <v>49</v>
      </c>
      <c r="G1274" s="0" t="s">
        <v>8010</v>
      </c>
      <c r="I1274" s="6" t="n">
        <v>0.600694444444444</v>
      </c>
      <c r="J1274" s="6" t="n">
        <v>0.663194444444444</v>
      </c>
      <c r="L1274" s="0" t="n">
        <v>360</v>
      </c>
      <c r="M1274" s="0" t="s">
        <v>8011</v>
      </c>
      <c r="N1274" s="0" t="s">
        <v>5360</v>
      </c>
      <c r="P1274" s="0" t="s">
        <v>8012</v>
      </c>
      <c r="Q1274" s="2" t="n">
        <v>43382</v>
      </c>
      <c r="S1274" s="0" t="n">
        <f aca="false">YEAR(Q1274)</f>
        <v>2018</v>
      </c>
      <c r="T1274" s="0" t="n">
        <f aca="false">MONTH(Q1274)</f>
        <v>10</v>
      </c>
    </row>
    <row r="1275" customFormat="false" ht="28.5" hidden="true" customHeight="false" outlineLevel="0" collapsed="false">
      <c r="A1275" s="0" t="n">
        <v>1275</v>
      </c>
      <c r="B1275" s="1" t="s">
        <v>981</v>
      </c>
      <c r="C1275" s="1" t="s">
        <v>1479</v>
      </c>
      <c r="D1275" s="1" t="s">
        <v>1535</v>
      </c>
      <c r="E1275" s="0" t="s">
        <v>39</v>
      </c>
      <c r="F1275" s="0" t="s">
        <v>49</v>
      </c>
      <c r="G1275" s="0" t="s">
        <v>8013</v>
      </c>
      <c r="J1275" s="6" t="n">
        <v>0.746527777777778</v>
      </c>
      <c r="K1275" s="0" t="n">
        <v>76</v>
      </c>
      <c r="L1275" s="0" t="n">
        <v>76</v>
      </c>
      <c r="M1275" s="0" t="s">
        <v>8014</v>
      </c>
      <c r="N1275" s="0" t="s">
        <v>8015</v>
      </c>
      <c r="P1275" s="7" t="s">
        <v>8016</v>
      </c>
      <c r="Q1275" s="2" t="n">
        <v>43382</v>
      </c>
      <c r="S1275" s="0" t="n">
        <f aca="false">YEAR(Q1275)</f>
        <v>2018</v>
      </c>
      <c r="T1275" s="0" t="n">
        <f aca="false">MONTH(Q1275)</f>
        <v>10</v>
      </c>
    </row>
    <row r="1276" customFormat="false" ht="28.5" hidden="true" customHeight="false" outlineLevel="0" collapsed="false">
      <c r="A1276" s="0" t="n">
        <v>1276</v>
      </c>
      <c r="B1276" s="1" t="s">
        <v>981</v>
      </c>
      <c r="C1276" s="1" t="s">
        <v>1479</v>
      </c>
      <c r="D1276" s="1" t="s">
        <v>1496</v>
      </c>
      <c r="E1276" s="0" t="s">
        <v>38</v>
      </c>
      <c r="F1276" s="0" t="s">
        <v>50</v>
      </c>
      <c r="G1276" s="0" t="s">
        <v>8017</v>
      </c>
      <c r="I1276" s="6" t="n">
        <v>0.204861111111111</v>
      </c>
      <c r="J1276" s="6" t="n">
        <v>0.209722222222222</v>
      </c>
      <c r="L1276" s="0" t="n">
        <v>35</v>
      </c>
      <c r="M1276" s="0" t="s">
        <v>8018</v>
      </c>
      <c r="N1276" s="0" t="s">
        <v>8019</v>
      </c>
      <c r="P1276" s="7" t="s">
        <v>8020</v>
      </c>
      <c r="Q1276" s="2" t="n">
        <v>43382</v>
      </c>
      <c r="S1276" s="0" t="n">
        <f aca="false">YEAR(Q1276)</f>
        <v>2018</v>
      </c>
      <c r="T1276" s="0" t="n">
        <f aca="false">MONTH(Q1276)</f>
        <v>10</v>
      </c>
    </row>
    <row r="1277" customFormat="false" ht="42.75" hidden="true" customHeight="false" outlineLevel="0" collapsed="false">
      <c r="A1277" s="0" t="n">
        <v>1277</v>
      </c>
      <c r="B1277" s="1" t="s">
        <v>982</v>
      </c>
      <c r="C1277" s="1" t="s">
        <v>1479</v>
      </c>
      <c r="D1277" s="1" t="s">
        <v>1535</v>
      </c>
      <c r="E1277" s="0" t="s">
        <v>39</v>
      </c>
      <c r="F1277" s="0" t="s">
        <v>49</v>
      </c>
      <c r="G1277" s="0" t="s">
        <v>8021</v>
      </c>
      <c r="I1277" s="6" t="n">
        <v>0.633333333333333</v>
      </c>
      <c r="J1277" s="6" t="n">
        <v>0.631944444444444</v>
      </c>
      <c r="K1277" s="0" t="n">
        <v>0</v>
      </c>
      <c r="M1277" s="7" t="s">
        <v>8022</v>
      </c>
      <c r="N1277" s="7" t="s">
        <v>8023</v>
      </c>
      <c r="O1277" s="7"/>
      <c r="P1277" s="7" t="s">
        <v>8024</v>
      </c>
      <c r="Q1277" s="2" t="n">
        <v>43383</v>
      </c>
      <c r="S1277" s="0" t="n">
        <f aca="false">YEAR(Q1277)</f>
        <v>2018</v>
      </c>
      <c r="T1277" s="0" t="n">
        <f aca="false">MONTH(Q1277)</f>
        <v>10</v>
      </c>
    </row>
    <row r="1278" customFormat="false" ht="42.75" hidden="true" customHeight="false" outlineLevel="0" collapsed="false">
      <c r="A1278" s="0" t="n">
        <v>1278</v>
      </c>
      <c r="B1278" s="1" t="s">
        <v>982</v>
      </c>
      <c r="C1278" s="1" t="s">
        <v>1479</v>
      </c>
      <c r="D1278" s="1" t="s">
        <v>1535</v>
      </c>
      <c r="E1278" s="0" t="s">
        <v>39</v>
      </c>
      <c r="F1278" s="0" t="s">
        <v>50</v>
      </c>
      <c r="G1278" s="0" t="s">
        <v>8025</v>
      </c>
      <c r="I1278" s="6" t="n">
        <v>0.145833333333333</v>
      </c>
      <c r="J1278" s="0" t="n">
        <v>4</v>
      </c>
      <c r="L1278" s="0" t="n">
        <v>90</v>
      </c>
      <c r="M1278" s="0" t="s">
        <v>8026</v>
      </c>
      <c r="N1278" s="7" t="s">
        <v>8027</v>
      </c>
      <c r="O1278" s="7"/>
      <c r="P1278" s="7" t="s">
        <v>8028</v>
      </c>
      <c r="Q1278" s="2" t="n">
        <v>43383</v>
      </c>
      <c r="S1278" s="0" t="n">
        <f aca="false">YEAR(Q1278)</f>
        <v>2018</v>
      </c>
      <c r="T1278" s="0" t="n">
        <f aca="false">MONTH(Q1278)</f>
        <v>10</v>
      </c>
    </row>
    <row r="1279" customFormat="false" ht="42.75" hidden="true" customHeight="false" outlineLevel="0" collapsed="false">
      <c r="A1279" s="0" t="n">
        <v>1279</v>
      </c>
      <c r="B1279" s="1" t="s">
        <v>983</v>
      </c>
      <c r="C1279" s="1" t="s">
        <v>1479</v>
      </c>
      <c r="D1279" s="1" t="s">
        <v>1496</v>
      </c>
      <c r="E1279" s="0" t="s">
        <v>38</v>
      </c>
      <c r="F1279" s="0" t="s">
        <v>50</v>
      </c>
      <c r="G1279" s="0" t="s">
        <v>8029</v>
      </c>
      <c r="I1279" s="6" t="n">
        <v>0.944444444444444</v>
      </c>
      <c r="J1279" s="6" t="n">
        <v>0.945138888888889</v>
      </c>
      <c r="K1279" s="0" t="n">
        <v>10</v>
      </c>
      <c r="L1279" s="0" t="n">
        <v>10</v>
      </c>
      <c r="M1279" s="7" t="s">
        <v>8030</v>
      </c>
      <c r="N1279" s="7" t="s">
        <v>8031</v>
      </c>
      <c r="O1279" s="7"/>
      <c r="P1279" s="7" t="s">
        <v>8032</v>
      </c>
      <c r="Q1279" s="2" t="n">
        <v>43387</v>
      </c>
      <c r="S1279" s="0" t="n">
        <f aca="false">YEAR(Q1279)</f>
        <v>2018</v>
      </c>
      <c r="T1279" s="0" t="n">
        <f aca="false">MONTH(Q1279)</f>
        <v>10</v>
      </c>
    </row>
    <row r="1280" customFormat="false" ht="42.75" hidden="true" customHeight="false" outlineLevel="0" collapsed="false">
      <c r="A1280" s="0" t="n">
        <v>1280</v>
      </c>
      <c r="B1280" s="1" t="s">
        <v>983</v>
      </c>
      <c r="C1280" s="1" t="s">
        <v>1479</v>
      </c>
      <c r="D1280" s="1" t="s">
        <v>1535</v>
      </c>
      <c r="E1280" s="0" t="s">
        <v>39</v>
      </c>
      <c r="F1280" s="0" t="s">
        <v>50</v>
      </c>
      <c r="G1280" s="0" t="s">
        <v>8033</v>
      </c>
      <c r="I1280" s="6" t="n">
        <v>0.934722222222222</v>
      </c>
      <c r="J1280" s="6" t="n">
        <v>0.936805555555556</v>
      </c>
      <c r="K1280" s="0" t="n">
        <v>4</v>
      </c>
      <c r="L1280" s="0" t="n">
        <v>8</v>
      </c>
      <c r="M1280" s="0" t="s">
        <v>8034</v>
      </c>
      <c r="N1280" s="7" t="s">
        <v>8035</v>
      </c>
      <c r="O1280" s="7"/>
      <c r="P1280" s="0" t="s">
        <v>8036</v>
      </c>
      <c r="Q1280" s="2" t="n">
        <v>43387</v>
      </c>
      <c r="S1280" s="0" t="n">
        <f aca="false">YEAR(Q1280)</f>
        <v>2018</v>
      </c>
      <c r="T1280" s="0" t="n">
        <f aca="false">MONTH(Q1280)</f>
        <v>10</v>
      </c>
    </row>
    <row r="1281" customFormat="false" ht="28.5" hidden="true" customHeight="false" outlineLevel="0" collapsed="false">
      <c r="A1281" s="0" t="n">
        <v>1281</v>
      </c>
      <c r="B1281" s="1" t="s">
        <v>983</v>
      </c>
      <c r="C1281" s="1" t="s">
        <v>1479</v>
      </c>
      <c r="D1281" s="1" t="s">
        <v>1535</v>
      </c>
      <c r="E1281" s="0" t="s">
        <v>39</v>
      </c>
      <c r="F1281" s="0" t="s">
        <v>50</v>
      </c>
      <c r="G1281" s="0" t="s">
        <v>8037</v>
      </c>
      <c r="I1281" s="6" t="n">
        <v>0.0173611111111111</v>
      </c>
      <c r="J1281" s="6" t="n">
        <v>0.0208333333333333</v>
      </c>
      <c r="L1281" s="0" t="n">
        <v>60</v>
      </c>
      <c r="M1281" s="0" t="s">
        <v>8038</v>
      </c>
      <c r="N1281" s="7" t="s">
        <v>8039</v>
      </c>
      <c r="O1281" s="7"/>
      <c r="P1281" s="7" t="s">
        <v>8040</v>
      </c>
      <c r="Q1281" s="2" t="n">
        <v>43387</v>
      </c>
      <c r="S1281" s="0" t="n">
        <f aca="false">YEAR(Q1281)</f>
        <v>2018</v>
      </c>
      <c r="T1281" s="0" t="n">
        <f aca="false">MONTH(Q1281)</f>
        <v>10</v>
      </c>
    </row>
    <row r="1282" customFormat="false" ht="42.75" hidden="true" customHeight="false" outlineLevel="0" collapsed="false">
      <c r="A1282" s="0" t="n">
        <v>1282</v>
      </c>
      <c r="B1282" s="1" t="s">
        <v>983</v>
      </c>
      <c r="C1282" s="1" t="s">
        <v>1479</v>
      </c>
      <c r="D1282" s="1" t="s">
        <v>1535</v>
      </c>
      <c r="E1282" s="0" t="s">
        <v>39</v>
      </c>
      <c r="F1282" s="0" t="s">
        <v>50</v>
      </c>
      <c r="G1282" s="0" t="s">
        <v>8041</v>
      </c>
      <c r="I1282" s="6" t="n">
        <v>0.125</v>
      </c>
      <c r="J1282" s="6" t="n">
        <v>0.138888888888889</v>
      </c>
      <c r="L1282" s="0" t="n">
        <v>45</v>
      </c>
      <c r="M1282" s="7" t="s">
        <v>8042</v>
      </c>
      <c r="N1282" s="7" t="s">
        <v>8043</v>
      </c>
      <c r="O1282" s="7"/>
      <c r="P1282" s="7" t="s">
        <v>8044</v>
      </c>
      <c r="Q1282" s="2" t="n">
        <v>43387</v>
      </c>
      <c r="S1282" s="0" t="n">
        <f aca="false">YEAR(Q1282)</f>
        <v>2018</v>
      </c>
      <c r="T1282" s="0" t="n">
        <f aca="false">MONTH(Q1282)</f>
        <v>10</v>
      </c>
    </row>
    <row r="1283" customFormat="false" ht="28.5" hidden="true" customHeight="false" outlineLevel="0" collapsed="false">
      <c r="A1283" s="0" t="n">
        <v>1283</v>
      </c>
      <c r="B1283" s="1" t="s">
        <v>983</v>
      </c>
      <c r="C1283" s="1" t="s">
        <v>1479</v>
      </c>
      <c r="D1283" s="1" t="s">
        <v>1480</v>
      </c>
      <c r="E1283" s="0" t="s">
        <v>43</v>
      </c>
      <c r="F1283" s="0" t="s">
        <v>50</v>
      </c>
      <c r="G1283" s="0" t="s">
        <v>8045</v>
      </c>
      <c r="J1283" s="6" t="n">
        <v>0.75</v>
      </c>
      <c r="M1283" s="0" t="s">
        <v>8046</v>
      </c>
      <c r="N1283" s="0" t="s">
        <v>8047</v>
      </c>
      <c r="P1283" s="7" t="s">
        <v>8048</v>
      </c>
      <c r="Q1283" s="2" t="n">
        <v>43387</v>
      </c>
      <c r="S1283" s="0" t="n">
        <f aca="false">YEAR(Q1283)</f>
        <v>2018</v>
      </c>
      <c r="T1283" s="0" t="n">
        <f aca="false">MONTH(Q1283)</f>
        <v>10</v>
      </c>
    </row>
    <row r="1284" customFormat="false" ht="42.75" hidden="true" customHeight="false" outlineLevel="0" collapsed="false">
      <c r="A1284" s="0" t="n">
        <v>1284</v>
      </c>
      <c r="B1284" s="1" t="s">
        <v>984</v>
      </c>
      <c r="C1284" s="1" t="s">
        <v>1495</v>
      </c>
      <c r="D1284" s="1" t="s">
        <v>1487</v>
      </c>
      <c r="E1284" s="0" t="s">
        <v>1656</v>
      </c>
      <c r="F1284" s="0" t="s">
        <v>48</v>
      </c>
      <c r="G1284" s="0" t="s">
        <v>8049</v>
      </c>
      <c r="I1284" s="6" t="n">
        <v>0</v>
      </c>
      <c r="J1284" s="6" t="n">
        <v>0.243055555555556</v>
      </c>
      <c r="K1284" s="0" t="n">
        <v>3</v>
      </c>
      <c r="L1284" s="0" t="n">
        <v>29</v>
      </c>
      <c r="M1284" s="7" t="s">
        <v>8050</v>
      </c>
      <c r="N1284" s="7" t="s">
        <v>8051</v>
      </c>
      <c r="O1284" s="7"/>
      <c r="P1284" s="0" t="s">
        <v>8052</v>
      </c>
      <c r="Q1284" s="2" t="n">
        <v>43388</v>
      </c>
      <c r="S1284" s="0" t="n">
        <f aca="false">YEAR(Q1284)</f>
        <v>2018</v>
      </c>
      <c r="T1284" s="0" t="n">
        <f aca="false">MONTH(Q1284)</f>
        <v>10</v>
      </c>
    </row>
    <row r="1285" customFormat="false" ht="42.75" hidden="true" customHeight="false" outlineLevel="0" collapsed="false">
      <c r="A1285" s="0" t="n">
        <v>1285</v>
      </c>
      <c r="B1285" s="1" t="s">
        <v>984</v>
      </c>
      <c r="C1285" s="1" t="s">
        <v>1479</v>
      </c>
      <c r="D1285" s="1" t="s">
        <v>1535</v>
      </c>
      <c r="E1285" s="0" t="s">
        <v>39</v>
      </c>
      <c r="F1285" s="0" t="s">
        <v>49</v>
      </c>
      <c r="G1285" s="0" t="s">
        <v>8053</v>
      </c>
      <c r="J1285" s="6" t="n">
        <v>0.600694444444444</v>
      </c>
      <c r="M1285" s="0" t="s">
        <v>8054</v>
      </c>
      <c r="N1285" s="7" t="s">
        <v>8055</v>
      </c>
      <c r="O1285" s="7"/>
      <c r="P1285" s="7" t="s">
        <v>8056</v>
      </c>
      <c r="Q1285" s="2" t="n">
        <v>43388</v>
      </c>
      <c r="S1285" s="0" t="n">
        <f aca="false">YEAR(Q1285)</f>
        <v>2018</v>
      </c>
      <c r="T1285" s="0" t="n">
        <f aca="false">MONTH(Q1285)</f>
        <v>10</v>
      </c>
    </row>
    <row r="1286" customFormat="false" ht="28.5" hidden="true" customHeight="false" outlineLevel="0" collapsed="false">
      <c r="A1286" s="0" t="n">
        <v>1286</v>
      </c>
      <c r="B1286" s="1" t="s">
        <v>984</v>
      </c>
      <c r="C1286" s="1" t="s">
        <v>1495</v>
      </c>
      <c r="D1286" s="1" t="s">
        <v>1487</v>
      </c>
      <c r="E1286" s="0" t="s">
        <v>40</v>
      </c>
      <c r="F1286" s="0" t="s">
        <v>49</v>
      </c>
      <c r="G1286" s="0" t="s">
        <v>8049</v>
      </c>
      <c r="I1286" s="6" t="n">
        <v>0</v>
      </c>
      <c r="J1286" s="6" t="n">
        <v>0.888888888888889</v>
      </c>
      <c r="M1286" s="0" t="s">
        <v>8057</v>
      </c>
      <c r="N1286" s="0" t="s">
        <v>8058</v>
      </c>
      <c r="P1286" s="7" t="s">
        <v>8059</v>
      </c>
      <c r="Q1286" s="2" t="n">
        <v>43388</v>
      </c>
      <c r="S1286" s="0" t="n">
        <f aca="false">YEAR(Q1286)</f>
        <v>2018</v>
      </c>
      <c r="T1286" s="0" t="n">
        <f aca="false">MONTH(Q1286)</f>
        <v>10</v>
      </c>
    </row>
    <row r="1287" customFormat="false" ht="28.5" hidden="true" customHeight="false" outlineLevel="0" collapsed="false">
      <c r="A1287" s="0" t="n">
        <v>1287</v>
      </c>
      <c r="B1287" s="1" t="s">
        <v>985</v>
      </c>
      <c r="C1287" s="1" t="s">
        <v>1479</v>
      </c>
      <c r="D1287" s="1" t="s">
        <v>1535</v>
      </c>
      <c r="E1287" s="0" t="s">
        <v>39</v>
      </c>
      <c r="F1287" s="0" t="s">
        <v>48</v>
      </c>
      <c r="G1287" s="0" t="s">
        <v>8060</v>
      </c>
      <c r="I1287" s="6" t="n">
        <v>0.5</v>
      </c>
      <c r="J1287" s="6" t="n">
        <v>0.554861111111111</v>
      </c>
      <c r="L1287" s="0" t="n">
        <v>390</v>
      </c>
      <c r="M1287" s="0" t="s">
        <v>8061</v>
      </c>
      <c r="N1287" s="7" t="s">
        <v>8062</v>
      </c>
      <c r="O1287" s="7"/>
      <c r="P1287" s="7" t="s">
        <v>8063</v>
      </c>
      <c r="Q1287" s="2" t="n">
        <v>43389</v>
      </c>
      <c r="S1287" s="0" t="n">
        <f aca="false">YEAR(Q1287)</f>
        <v>2018</v>
      </c>
      <c r="T1287" s="0" t="n">
        <f aca="false">MONTH(Q1287)</f>
        <v>10</v>
      </c>
    </row>
    <row r="1288" customFormat="false" ht="42.75" hidden="true" customHeight="false" outlineLevel="0" collapsed="false">
      <c r="A1288" s="0" t="n">
        <v>1288</v>
      </c>
      <c r="B1288" s="1" t="s">
        <v>985</v>
      </c>
      <c r="C1288" s="1" t="s">
        <v>1495</v>
      </c>
      <c r="D1288" s="1" t="s">
        <v>1487</v>
      </c>
      <c r="E1288" s="0" t="s">
        <v>40</v>
      </c>
      <c r="F1288" s="0" t="s">
        <v>48</v>
      </c>
      <c r="G1288" s="0" t="s">
        <v>8064</v>
      </c>
      <c r="I1288" s="6" t="n">
        <v>0.4375</v>
      </c>
      <c r="J1288" s="6" t="n">
        <v>0.451388888888889</v>
      </c>
      <c r="L1288" s="0" t="n">
        <v>180</v>
      </c>
      <c r="M1288" s="7" t="s">
        <v>8065</v>
      </c>
      <c r="N1288" s="0" t="s">
        <v>8066</v>
      </c>
      <c r="P1288" s="7" t="s">
        <v>8067</v>
      </c>
      <c r="Q1288" s="2" t="n">
        <v>43389</v>
      </c>
      <c r="S1288" s="0" t="n">
        <f aca="false">YEAR(Q1288)</f>
        <v>2018</v>
      </c>
      <c r="T1288" s="0" t="n">
        <f aca="false">MONTH(Q1288)</f>
        <v>10</v>
      </c>
    </row>
    <row r="1289" customFormat="false" ht="14.25" hidden="true" customHeight="false" outlineLevel="0" collapsed="false">
      <c r="A1289" s="0" t="n">
        <v>1289</v>
      </c>
      <c r="B1289" s="1" t="s">
        <v>987</v>
      </c>
      <c r="C1289" s="1" t="s">
        <v>1479</v>
      </c>
      <c r="D1289" s="1" t="s">
        <v>1487</v>
      </c>
      <c r="E1289" s="4" t="s">
        <v>1488</v>
      </c>
      <c r="F1289" s="0" t="s">
        <v>48</v>
      </c>
      <c r="G1289" s="0" t="s">
        <v>8068</v>
      </c>
      <c r="I1289" s="6" t="n">
        <v>0.416666666666667</v>
      </c>
      <c r="J1289" s="6" t="n">
        <v>0.425694444444444</v>
      </c>
      <c r="K1289" s="0" t="n">
        <v>33</v>
      </c>
      <c r="L1289" s="0" t="n">
        <v>50</v>
      </c>
      <c r="M1289" s="0" t="s">
        <v>8069</v>
      </c>
      <c r="N1289" s="0" t="s">
        <v>8070</v>
      </c>
      <c r="P1289" s="0" t="s">
        <v>8071</v>
      </c>
      <c r="Q1289" s="2" t="n">
        <v>43390</v>
      </c>
      <c r="S1289" s="0" t="n">
        <f aca="false">YEAR(Q1289)</f>
        <v>2018</v>
      </c>
      <c r="T1289" s="0" t="n">
        <f aca="false">MONTH(Q1289)</f>
        <v>10</v>
      </c>
    </row>
    <row r="1290" customFormat="false" ht="42.75" hidden="true" customHeight="false" outlineLevel="0" collapsed="false">
      <c r="A1290" s="0" t="n">
        <v>1290</v>
      </c>
      <c r="B1290" s="1" t="s">
        <v>987</v>
      </c>
      <c r="C1290" s="1" t="s">
        <v>1479</v>
      </c>
      <c r="D1290" s="1" t="s">
        <v>1480</v>
      </c>
      <c r="E1290" s="0" t="s">
        <v>43</v>
      </c>
      <c r="F1290" s="0" t="s">
        <v>48</v>
      </c>
      <c r="G1290" s="0" t="s">
        <v>1568</v>
      </c>
      <c r="I1290" s="6" t="n">
        <v>0.416666666666667</v>
      </c>
      <c r="J1290" s="6" t="n">
        <v>0.425694444444444</v>
      </c>
      <c r="L1290" s="0" t="n">
        <v>150</v>
      </c>
      <c r="M1290" s="7" t="s">
        <v>8072</v>
      </c>
      <c r="N1290" s="7" t="s">
        <v>8073</v>
      </c>
      <c r="O1290" s="7"/>
      <c r="P1290" s="7" t="s">
        <v>8074</v>
      </c>
      <c r="Q1290" s="2" t="n">
        <v>43390</v>
      </c>
      <c r="S1290" s="0" t="n">
        <f aca="false">YEAR(Q1290)</f>
        <v>2018</v>
      </c>
      <c r="T1290" s="0" t="n">
        <f aca="false">MONTH(Q1290)</f>
        <v>10</v>
      </c>
    </row>
    <row r="1291" customFormat="false" ht="14.25" hidden="true" customHeight="false" outlineLevel="0" collapsed="false">
      <c r="A1291" s="0" t="n">
        <v>1291</v>
      </c>
      <c r="B1291" s="1" t="s">
        <v>987</v>
      </c>
      <c r="C1291" s="1" t="s">
        <v>1479</v>
      </c>
      <c r="D1291" s="1" t="s">
        <v>1480</v>
      </c>
      <c r="E1291" s="0" t="s">
        <v>43</v>
      </c>
      <c r="F1291" s="0" t="s">
        <v>49</v>
      </c>
      <c r="G1291" s="0" t="s">
        <v>1568</v>
      </c>
      <c r="I1291" s="6" t="n">
        <v>0.645833333333333</v>
      </c>
      <c r="J1291" s="6" t="n">
        <v>0.645833333333333</v>
      </c>
      <c r="L1291" s="0" t="n">
        <v>12</v>
      </c>
      <c r="M1291" s="0" t="s">
        <v>8075</v>
      </c>
      <c r="N1291" s="0" t="s">
        <v>8076</v>
      </c>
      <c r="P1291" s="0" t="s">
        <v>8077</v>
      </c>
      <c r="Q1291" s="2" t="n">
        <v>43390</v>
      </c>
      <c r="S1291" s="0" t="n">
        <f aca="false">YEAR(Q1291)</f>
        <v>2018</v>
      </c>
      <c r="T1291" s="0" t="n">
        <f aca="false">MONTH(Q1291)</f>
        <v>10</v>
      </c>
    </row>
    <row r="1292" customFormat="false" ht="28.5" hidden="true" customHeight="false" outlineLevel="0" collapsed="false">
      <c r="A1292" s="0" t="n">
        <v>1292</v>
      </c>
      <c r="B1292" s="1" t="s">
        <v>987</v>
      </c>
      <c r="C1292" s="1" t="s">
        <v>1479</v>
      </c>
      <c r="D1292" s="1" t="s">
        <v>1487</v>
      </c>
      <c r="E1292" s="0" t="s">
        <v>1488</v>
      </c>
      <c r="F1292" s="0" t="s">
        <v>49</v>
      </c>
      <c r="G1292" s="0" t="s">
        <v>8078</v>
      </c>
      <c r="J1292" s="6" t="n">
        <v>0.75</v>
      </c>
      <c r="M1292" s="7" t="s">
        <v>8079</v>
      </c>
      <c r="N1292" s="7" t="s">
        <v>8080</v>
      </c>
      <c r="O1292" s="7"/>
      <c r="P1292" s="7" t="s">
        <v>8081</v>
      </c>
      <c r="Q1292" s="2" t="n">
        <v>43390</v>
      </c>
      <c r="S1292" s="0" t="n">
        <f aca="false">YEAR(Q1292)</f>
        <v>2018</v>
      </c>
      <c r="T1292" s="0" t="n">
        <f aca="false">MONTH(Q1292)</f>
        <v>10</v>
      </c>
    </row>
    <row r="1293" customFormat="false" ht="28.5" hidden="true" customHeight="false" outlineLevel="0" collapsed="false">
      <c r="A1293" s="0" t="n">
        <v>1293</v>
      </c>
      <c r="B1293" s="1" t="s">
        <v>987</v>
      </c>
      <c r="C1293" s="1" t="s">
        <v>1479</v>
      </c>
      <c r="D1293" s="1" t="s">
        <v>1496</v>
      </c>
      <c r="E1293" s="0" t="s">
        <v>38</v>
      </c>
      <c r="F1293" s="0" t="s">
        <v>49</v>
      </c>
      <c r="G1293" s="0" t="s">
        <v>8082</v>
      </c>
      <c r="I1293" s="6" t="n">
        <v>0.848611111111111</v>
      </c>
      <c r="J1293" s="6" t="n">
        <v>0.864583333333333</v>
      </c>
      <c r="K1293" s="0" t="n">
        <v>14</v>
      </c>
      <c r="L1293" s="0" t="n">
        <v>50</v>
      </c>
      <c r="M1293" s="7" t="s">
        <v>8083</v>
      </c>
      <c r="N1293" s="0" t="s">
        <v>8084</v>
      </c>
      <c r="P1293" s="7" t="s">
        <v>8085</v>
      </c>
      <c r="Q1293" s="2" t="n">
        <v>43390</v>
      </c>
      <c r="S1293" s="0" t="n">
        <f aca="false">YEAR(Q1293)</f>
        <v>2018</v>
      </c>
      <c r="T1293" s="0" t="n">
        <f aca="false">MONTH(Q1293)</f>
        <v>10</v>
      </c>
    </row>
    <row r="1294" customFormat="false" ht="28.5" hidden="true" customHeight="false" outlineLevel="0" collapsed="false">
      <c r="A1294" s="0" t="n">
        <v>1294</v>
      </c>
      <c r="B1294" s="1" t="s">
        <v>987</v>
      </c>
      <c r="C1294" s="1" t="s">
        <v>1479</v>
      </c>
      <c r="D1294" s="1" t="s">
        <v>1496</v>
      </c>
      <c r="E1294" s="0" t="s">
        <v>38</v>
      </c>
      <c r="F1294" s="0" t="s">
        <v>49</v>
      </c>
      <c r="G1294" s="0" t="s">
        <v>8086</v>
      </c>
      <c r="I1294" s="6" t="n">
        <v>0.85625</v>
      </c>
      <c r="J1294" s="6" t="n">
        <v>0.864583333333333</v>
      </c>
      <c r="K1294" s="0" t="n">
        <v>20</v>
      </c>
      <c r="L1294" s="0" t="n">
        <v>120</v>
      </c>
      <c r="M1294" s="7" t="s">
        <v>8087</v>
      </c>
      <c r="N1294" s="7" t="s">
        <v>8088</v>
      </c>
      <c r="O1294" s="7"/>
      <c r="P1294" s="7" t="s">
        <v>8089</v>
      </c>
      <c r="Q1294" s="2" t="n">
        <v>43390</v>
      </c>
      <c r="S1294" s="0" t="n">
        <f aca="false">YEAR(Q1294)</f>
        <v>2018</v>
      </c>
      <c r="T1294" s="0" t="n">
        <f aca="false">MONTH(Q1294)</f>
        <v>10</v>
      </c>
    </row>
    <row r="1295" customFormat="false" ht="42.75" hidden="true" customHeight="false" outlineLevel="0" collapsed="false">
      <c r="A1295" s="0" t="n">
        <v>1295</v>
      </c>
      <c r="B1295" s="1" t="s">
        <v>988</v>
      </c>
      <c r="C1295" s="1" t="s">
        <v>1479</v>
      </c>
      <c r="D1295" s="1" t="s">
        <v>1535</v>
      </c>
      <c r="E1295" s="0" t="s">
        <v>39</v>
      </c>
      <c r="F1295" s="0" t="s">
        <v>48</v>
      </c>
      <c r="I1295" s="6" t="n">
        <v>0.431944444444444</v>
      </c>
      <c r="J1295" s="6" t="n">
        <v>0.439583333333333</v>
      </c>
      <c r="M1295" s="7" t="s">
        <v>8090</v>
      </c>
      <c r="N1295" s="7" t="s">
        <v>8091</v>
      </c>
      <c r="O1295" s="7"/>
      <c r="P1295" s="0" t="s">
        <v>8092</v>
      </c>
      <c r="Q1295" s="2" t="n">
        <v>43392</v>
      </c>
      <c r="S1295" s="0" t="n">
        <f aca="false">YEAR(Q1295)</f>
        <v>2018</v>
      </c>
      <c r="T1295" s="0" t="n">
        <f aca="false">MONTH(Q1295)</f>
        <v>10</v>
      </c>
    </row>
    <row r="1296" customFormat="false" ht="42.75" hidden="true" customHeight="false" outlineLevel="0" collapsed="false">
      <c r="A1296" s="0" t="n">
        <v>1296</v>
      </c>
      <c r="B1296" s="1" t="s">
        <v>988</v>
      </c>
      <c r="C1296" s="1" t="s">
        <v>1479</v>
      </c>
      <c r="D1296" s="1" t="s">
        <v>1535</v>
      </c>
      <c r="E1296" s="0" t="s">
        <v>39</v>
      </c>
      <c r="F1296" s="0" t="s">
        <v>48</v>
      </c>
      <c r="G1296" s="0" t="s">
        <v>8093</v>
      </c>
      <c r="I1296" s="6" t="n">
        <v>0.431944444444444</v>
      </c>
      <c r="J1296" s="6" t="n">
        <v>0.439583333333333</v>
      </c>
      <c r="L1296" s="0" t="n">
        <v>24</v>
      </c>
      <c r="M1296" s="7" t="s">
        <v>8094</v>
      </c>
      <c r="N1296" s="0" t="s">
        <v>8095</v>
      </c>
      <c r="P1296" s="7" t="s">
        <v>8096</v>
      </c>
      <c r="Q1296" s="2" t="n">
        <v>43392</v>
      </c>
      <c r="S1296" s="0" t="n">
        <f aca="false">YEAR(Q1296)</f>
        <v>2018</v>
      </c>
      <c r="T1296" s="0" t="n">
        <f aca="false">MONTH(Q1296)</f>
        <v>10</v>
      </c>
    </row>
    <row r="1297" customFormat="false" ht="28.5" hidden="true" customHeight="false" outlineLevel="0" collapsed="false">
      <c r="A1297" s="0" t="n">
        <v>1297</v>
      </c>
      <c r="B1297" s="1" t="s">
        <v>989</v>
      </c>
      <c r="C1297" s="1" t="s">
        <v>1479</v>
      </c>
      <c r="D1297" s="1" t="s">
        <v>1496</v>
      </c>
      <c r="E1297" s="0" t="s">
        <v>38</v>
      </c>
      <c r="F1297" s="0" t="s">
        <v>48</v>
      </c>
      <c r="G1297" s="0" t="s">
        <v>8097</v>
      </c>
      <c r="J1297" s="6" t="n">
        <v>0.427083333333333</v>
      </c>
      <c r="M1297" s="0" t="s">
        <v>8098</v>
      </c>
      <c r="N1297" s="0" t="s">
        <v>8099</v>
      </c>
      <c r="P1297" s="7" t="s">
        <v>8100</v>
      </c>
      <c r="Q1297" s="2" t="n">
        <v>43394</v>
      </c>
      <c r="S1297" s="0" t="n">
        <f aca="false">YEAR(Q1297)</f>
        <v>2018</v>
      </c>
      <c r="T1297" s="0" t="n">
        <f aca="false">MONTH(Q1297)</f>
        <v>10</v>
      </c>
    </row>
    <row r="1298" customFormat="false" ht="28.5" hidden="true" customHeight="false" outlineLevel="0" collapsed="false">
      <c r="A1298" s="0" t="n">
        <v>1298</v>
      </c>
      <c r="B1298" s="1" t="s">
        <v>989</v>
      </c>
      <c r="C1298" s="1" t="s">
        <v>1479</v>
      </c>
      <c r="D1298" s="1" t="s">
        <v>1480</v>
      </c>
      <c r="E1298" s="0" t="s">
        <v>43</v>
      </c>
      <c r="F1298" s="0" t="s">
        <v>48</v>
      </c>
      <c r="G1298" s="0" t="s">
        <v>8101</v>
      </c>
      <c r="I1298" s="6" t="n">
        <v>0.5</v>
      </c>
      <c r="J1298" s="6" t="n">
        <v>0.5</v>
      </c>
      <c r="L1298" s="0" t="n">
        <v>180</v>
      </c>
      <c r="M1298" s="0" t="s">
        <v>8102</v>
      </c>
      <c r="N1298" s="7" t="s">
        <v>8103</v>
      </c>
      <c r="O1298" s="7"/>
      <c r="P1298" s="7" t="s">
        <v>8104</v>
      </c>
      <c r="Q1298" s="2" t="n">
        <v>43394</v>
      </c>
      <c r="S1298" s="0" t="n">
        <f aca="false">YEAR(Q1298)</f>
        <v>2018</v>
      </c>
      <c r="T1298" s="0" t="n">
        <f aca="false">MONTH(Q1298)</f>
        <v>10</v>
      </c>
    </row>
    <row r="1299" customFormat="false" ht="42.75" hidden="true" customHeight="false" outlineLevel="0" collapsed="false">
      <c r="A1299" s="0" t="n">
        <v>1299</v>
      </c>
      <c r="B1299" s="1" t="s">
        <v>989</v>
      </c>
      <c r="C1299" s="1" t="s">
        <v>1479</v>
      </c>
      <c r="D1299" s="1" t="s">
        <v>1535</v>
      </c>
      <c r="E1299" s="0" t="s">
        <v>39</v>
      </c>
      <c r="F1299" s="0" t="s">
        <v>50</v>
      </c>
      <c r="G1299" s="0" t="s">
        <v>8105</v>
      </c>
      <c r="I1299" s="6" t="n">
        <v>0.209722222222222</v>
      </c>
      <c r="J1299" s="6" t="n">
        <v>0.209722222222222</v>
      </c>
      <c r="M1299" s="7" t="s">
        <v>8106</v>
      </c>
      <c r="N1299" s="7" t="s">
        <v>8107</v>
      </c>
      <c r="O1299" s="7"/>
      <c r="P1299" s="0" t="s">
        <v>8108</v>
      </c>
      <c r="Q1299" s="2" t="n">
        <v>43394</v>
      </c>
      <c r="S1299" s="0" t="n">
        <f aca="false">YEAR(Q1299)</f>
        <v>2018</v>
      </c>
      <c r="T1299" s="0" t="n">
        <f aca="false">MONTH(Q1299)</f>
        <v>10</v>
      </c>
    </row>
    <row r="1300" customFormat="false" ht="28.5" hidden="true" customHeight="false" outlineLevel="0" collapsed="false">
      <c r="A1300" s="0" t="n">
        <v>1300</v>
      </c>
      <c r="B1300" s="1" t="s">
        <v>991</v>
      </c>
      <c r="C1300" s="1" t="s">
        <v>1479</v>
      </c>
      <c r="D1300" s="1" t="s">
        <v>1487</v>
      </c>
      <c r="E1300" s="0" t="s">
        <v>1488</v>
      </c>
      <c r="F1300" s="0" t="s">
        <v>48</v>
      </c>
      <c r="G1300" s="0" t="s">
        <v>8109</v>
      </c>
      <c r="I1300" s="6" t="n">
        <v>0.645833333333333</v>
      </c>
      <c r="L1300" s="0" t="n">
        <v>40</v>
      </c>
      <c r="M1300" s="0" t="s">
        <v>8110</v>
      </c>
      <c r="N1300" s="0" t="s">
        <v>8111</v>
      </c>
      <c r="P1300" s="7" t="s">
        <v>8112</v>
      </c>
      <c r="Q1300" s="2" t="n">
        <v>43396</v>
      </c>
      <c r="S1300" s="0" t="n">
        <f aca="false">YEAR(Q1300)</f>
        <v>2018</v>
      </c>
      <c r="T1300" s="0" t="n">
        <f aca="false">MONTH(Q1300)</f>
        <v>10</v>
      </c>
    </row>
    <row r="1301" customFormat="false" ht="14.25" hidden="true" customHeight="false" outlineLevel="0" collapsed="false">
      <c r="A1301" s="0" t="n">
        <v>1301</v>
      </c>
      <c r="B1301" s="1" t="s">
        <v>991</v>
      </c>
      <c r="C1301" s="1" t="s">
        <v>1479</v>
      </c>
      <c r="D1301" s="1" t="s">
        <v>1487</v>
      </c>
      <c r="E1301" s="0" t="s">
        <v>1488</v>
      </c>
      <c r="F1301" s="0" t="s">
        <v>48</v>
      </c>
      <c r="G1301" s="0" t="s">
        <v>3644</v>
      </c>
      <c r="I1301" s="6" t="n">
        <v>0.354166666666667</v>
      </c>
      <c r="J1301" s="6" t="n">
        <v>0.361805555555556</v>
      </c>
      <c r="M1301" s="0" t="s">
        <v>8113</v>
      </c>
      <c r="N1301" s="0" t="s">
        <v>8114</v>
      </c>
      <c r="P1301" s="0" t="s">
        <v>8115</v>
      </c>
      <c r="Q1301" s="2" t="n">
        <v>43396</v>
      </c>
      <c r="S1301" s="0" t="n">
        <f aca="false">YEAR(Q1301)</f>
        <v>2018</v>
      </c>
      <c r="T1301" s="0" t="n">
        <f aca="false">MONTH(Q1301)</f>
        <v>10</v>
      </c>
    </row>
    <row r="1302" customFormat="false" ht="28.5" hidden="true" customHeight="false" outlineLevel="0" collapsed="false">
      <c r="A1302" s="0" t="n">
        <v>1302</v>
      </c>
      <c r="B1302" s="1" t="s">
        <v>991</v>
      </c>
      <c r="C1302" s="1" t="s">
        <v>1479</v>
      </c>
      <c r="D1302" s="1" t="s">
        <v>1487</v>
      </c>
      <c r="E1302" s="0" t="s">
        <v>1488</v>
      </c>
      <c r="F1302" s="0" t="s">
        <v>49</v>
      </c>
      <c r="G1302" s="0" t="s">
        <v>8116</v>
      </c>
      <c r="I1302" s="6" t="n">
        <v>0.809027777777778</v>
      </c>
      <c r="J1302" s="6" t="n">
        <v>0.815972222222222</v>
      </c>
      <c r="L1302" s="0" t="n">
        <v>35</v>
      </c>
      <c r="M1302" s="7" t="s">
        <v>8117</v>
      </c>
      <c r="N1302" s="7" t="s">
        <v>8118</v>
      </c>
      <c r="O1302" s="7"/>
      <c r="P1302" s="7" t="s">
        <v>8119</v>
      </c>
      <c r="Q1302" s="2" t="n">
        <v>43396</v>
      </c>
      <c r="S1302" s="0" t="n">
        <f aca="false">YEAR(Q1302)</f>
        <v>2018</v>
      </c>
      <c r="T1302" s="0" t="n">
        <f aca="false">MONTH(Q1302)</f>
        <v>10</v>
      </c>
    </row>
    <row r="1303" customFormat="false" ht="42.75" hidden="true" customHeight="false" outlineLevel="0" collapsed="false">
      <c r="A1303" s="0" t="n">
        <v>1303</v>
      </c>
      <c r="B1303" s="1" t="s">
        <v>991</v>
      </c>
      <c r="C1303" s="1" t="s">
        <v>1479</v>
      </c>
      <c r="D1303" s="1" t="s">
        <v>1480</v>
      </c>
      <c r="E1303" s="0" t="s">
        <v>43</v>
      </c>
      <c r="F1303" s="0" t="s">
        <v>49</v>
      </c>
      <c r="G1303" s="0" t="s">
        <v>8120</v>
      </c>
      <c r="I1303" s="6" t="n">
        <v>0.645833333333333</v>
      </c>
      <c r="J1303" s="6" t="n">
        <v>0.652777777777778</v>
      </c>
      <c r="L1303" s="0" t="n">
        <v>250</v>
      </c>
      <c r="M1303" s="7" t="s">
        <v>8121</v>
      </c>
      <c r="N1303" s="7" t="s">
        <v>8122</v>
      </c>
      <c r="O1303" s="7"/>
      <c r="P1303" s="7" t="s">
        <v>8123</v>
      </c>
      <c r="Q1303" s="2" t="n">
        <v>43396</v>
      </c>
      <c r="S1303" s="0" t="n">
        <f aca="false">YEAR(Q1303)</f>
        <v>2018</v>
      </c>
      <c r="T1303" s="0" t="n">
        <f aca="false">MONTH(Q1303)</f>
        <v>10</v>
      </c>
    </row>
    <row r="1304" customFormat="false" ht="42.75" hidden="true" customHeight="false" outlineLevel="0" collapsed="false">
      <c r="A1304" s="0" t="n">
        <v>1304</v>
      </c>
      <c r="B1304" s="1" t="s">
        <v>992</v>
      </c>
      <c r="C1304" s="1" t="s">
        <v>1503</v>
      </c>
      <c r="D1304" s="1" t="s">
        <v>1535</v>
      </c>
      <c r="E1304" s="0" t="s">
        <v>44</v>
      </c>
      <c r="F1304" s="0" t="s">
        <v>49</v>
      </c>
      <c r="G1304" s="0" t="s">
        <v>8124</v>
      </c>
      <c r="I1304" s="6" t="n">
        <v>0.694444444444444</v>
      </c>
      <c r="J1304" s="6" t="n">
        <v>0.7</v>
      </c>
      <c r="L1304" s="0" t="n">
        <v>20</v>
      </c>
      <c r="M1304" s="0" t="s">
        <v>8125</v>
      </c>
      <c r="N1304" s="7" t="s">
        <v>8126</v>
      </c>
      <c r="O1304" s="7"/>
      <c r="P1304" s="7" t="s">
        <v>8127</v>
      </c>
      <c r="Q1304" s="2" t="n">
        <v>43395</v>
      </c>
      <c r="S1304" s="0" t="n">
        <f aca="false">YEAR(Q1304)</f>
        <v>2018</v>
      </c>
      <c r="T1304" s="0" t="n">
        <f aca="false">MONTH(Q1304)</f>
        <v>10</v>
      </c>
    </row>
    <row r="1305" customFormat="false" ht="42.75" hidden="true" customHeight="false" outlineLevel="0" collapsed="false">
      <c r="A1305" s="0" t="n">
        <v>1305</v>
      </c>
      <c r="B1305" s="1" t="s">
        <v>992</v>
      </c>
      <c r="C1305" s="1" t="s">
        <v>1503</v>
      </c>
      <c r="D1305" s="1" t="s">
        <v>1535</v>
      </c>
      <c r="E1305" s="0" t="s">
        <v>44</v>
      </c>
      <c r="F1305" s="0" t="s">
        <v>49</v>
      </c>
      <c r="G1305" s="0" t="s">
        <v>8128</v>
      </c>
      <c r="I1305" s="6" t="n">
        <v>0.743055555555555</v>
      </c>
      <c r="J1305" s="6" t="n">
        <v>0.753472222222222</v>
      </c>
      <c r="K1305" s="0" t="n">
        <v>20</v>
      </c>
      <c r="M1305" s="7" t="s">
        <v>8129</v>
      </c>
      <c r="N1305" s="7" t="s">
        <v>8130</v>
      </c>
      <c r="O1305" s="7"/>
      <c r="P1305" s="7" t="s">
        <v>8131</v>
      </c>
      <c r="Q1305" s="2" t="n">
        <v>43395</v>
      </c>
      <c r="S1305" s="0" t="n">
        <f aca="false">YEAR(Q1305)</f>
        <v>2018</v>
      </c>
      <c r="T1305" s="0" t="n">
        <f aca="false">MONTH(Q1305)</f>
        <v>10</v>
      </c>
    </row>
    <row r="1306" customFormat="false" ht="28.5" hidden="true" customHeight="false" outlineLevel="0" collapsed="false">
      <c r="A1306" s="0" t="n">
        <v>1306</v>
      </c>
      <c r="B1306" s="1" t="s">
        <v>992</v>
      </c>
      <c r="C1306" s="1" t="s">
        <v>1479</v>
      </c>
      <c r="D1306" s="1" t="s">
        <v>1487</v>
      </c>
      <c r="E1306" s="0" t="s">
        <v>1488</v>
      </c>
      <c r="F1306" s="0" t="s">
        <v>50</v>
      </c>
      <c r="G1306" s="0" t="s">
        <v>8132</v>
      </c>
      <c r="I1306" s="6" t="n">
        <v>0.0347222222222222</v>
      </c>
      <c r="J1306" s="6" t="n">
        <v>0.0833333333333333</v>
      </c>
      <c r="L1306" s="0" t="n">
        <v>55</v>
      </c>
      <c r="M1306" s="0" t="s">
        <v>8133</v>
      </c>
      <c r="N1306" s="0" t="s">
        <v>8134</v>
      </c>
      <c r="P1306" s="7" t="s">
        <v>8135</v>
      </c>
      <c r="Q1306" s="2" t="n">
        <v>43395</v>
      </c>
      <c r="S1306" s="0" t="n">
        <f aca="false">YEAR(Q1306)</f>
        <v>2018</v>
      </c>
      <c r="T1306" s="0" t="n">
        <f aca="false">MONTH(Q1306)</f>
        <v>10</v>
      </c>
    </row>
    <row r="1307" customFormat="false" ht="14.25" hidden="true" customHeight="false" outlineLevel="0" collapsed="false">
      <c r="A1307" s="0" t="n">
        <v>1307</v>
      </c>
      <c r="B1307" s="1" t="s">
        <v>993</v>
      </c>
      <c r="C1307" s="1" t="s">
        <v>1479</v>
      </c>
      <c r="D1307" s="1" t="s">
        <v>1480</v>
      </c>
      <c r="E1307" s="0" t="s">
        <v>43</v>
      </c>
      <c r="F1307" s="0" t="s">
        <v>48</v>
      </c>
      <c r="G1307" s="0" t="s">
        <v>8136</v>
      </c>
      <c r="I1307" s="6" t="n">
        <v>0.607638888888889</v>
      </c>
      <c r="J1307" s="6" t="n">
        <v>0.609722222222222</v>
      </c>
      <c r="L1307" s="0" t="n">
        <v>40</v>
      </c>
      <c r="M1307" s="0" t="s">
        <v>8137</v>
      </c>
      <c r="N1307" s="0" t="s">
        <v>8138</v>
      </c>
      <c r="P1307" s="0" t="s">
        <v>8139</v>
      </c>
      <c r="Q1307" s="2" t="n">
        <v>43397</v>
      </c>
      <c r="S1307" s="0" t="n">
        <f aca="false">YEAR(Q1307)</f>
        <v>2018</v>
      </c>
      <c r="T1307" s="0" t="n">
        <f aca="false">MONTH(Q1307)</f>
        <v>10</v>
      </c>
    </row>
    <row r="1308" customFormat="false" ht="14.25" hidden="true" customHeight="false" outlineLevel="0" collapsed="false">
      <c r="A1308" s="0" t="n">
        <v>1308</v>
      </c>
      <c r="B1308" s="1" t="s">
        <v>993</v>
      </c>
      <c r="C1308" s="1" t="s">
        <v>1479</v>
      </c>
      <c r="D1308" s="1" t="s">
        <v>1535</v>
      </c>
      <c r="E1308" s="0" t="s">
        <v>39</v>
      </c>
      <c r="F1308" s="0" t="s">
        <v>49</v>
      </c>
      <c r="G1308" s="0" t="s">
        <v>8140</v>
      </c>
      <c r="I1308" s="6" t="n">
        <v>0.607638888888889</v>
      </c>
      <c r="J1308" s="6" t="n">
        <v>0.609722222222222</v>
      </c>
      <c r="L1308" s="0" t="n">
        <v>40</v>
      </c>
      <c r="M1308" s="0" t="s">
        <v>8141</v>
      </c>
      <c r="N1308" s="0" t="s">
        <v>8142</v>
      </c>
      <c r="P1308" s="0" t="s">
        <v>8143</v>
      </c>
      <c r="Q1308" s="2" t="n">
        <v>43397</v>
      </c>
      <c r="S1308" s="0" t="n">
        <f aca="false">YEAR(Q1308)</f>
        <v>2018</v>
      </c>
      <c r="T1308" s="0" t="n">
        <f aca="false">MONTH(Q1308)</f>
        <v>10</v>
      </c>
    </row>
    <row r="1309" customFormat="false" ht="57" hidden="true" customHeight="false" outlineLevel="0" collapsed="false">
      <c r="A1309" s="0" t="n">
        <v>1309</v>
      </c>
      <c r="B1309" s="1" t="s">
        <v>993</v>
      </c>
      <c r="C1309" s="1" t="s">
        <v>1479</v>
      </c>
      <c r="D1309" s="1" t="s">
        <v>1487</v>
      </c>
      <c r="E1309" s="0" t="s">
        <v>1488</v>
      </c>
      <c r="F1309" s="0" t="s">
        <v>50</v>
      </c>
      <c r="G1309" s="0" t="s">
        <v>8144</v>
      </c>
      <c r="I1309" s="6" t="n">
        <v>0.0208333333333333</v>
      </c>
      <c r="J1309" s="6" t="n">
        <v>0.0347222222222222</v>
      </c>
      <c r="L1309" s="0" t="n">
        <v>210</v>
      </c>
      <c r="M1309" s="0" t="s">
        <v>8145</v>
      </c>
      <c r="N1309" s="0" t="s">
        <v>8146</v>
      </c>
      <c r="P1309" s="7" t="s">
        <v>8147</v>
      </c>
      <c r="Q1309" s="2" t="n">
        <v>43397</v>
      </c>
      <c r="S1309" s="0" t="n">
        <f aca="false">YEAR(Q1309)</f>
        <v>2018</v>
      </c>
      <c r="T1309" s="0" t="n">
        <f aca="false">MONTH(Q1309)</f>
        <v>10</v>
      </c>
    </row>
    <row r="1310" customFormat="false" ht="42.75" hidden="true" customHeight="false" outlineLevel="0" collapsed="false">
      <c r="A1310" s="0" t="n">
        <v>1310</v>
      </c>
      <c r="B1310" s="1" t="s">
        <v>993</v>
      </c>
      <c r="C1310" s="1" t="s">
        <v>1479</v>
      </c>
      <c r="D1310" s="1" t="s">
        <v>1487</v>
      </c>
      <c r="E1310" s="0" t="s">
        <v>1488</v>
      </c>
      <c r="F1310" s="0" t="s">
        <v>49</v>
      </c>
      <c r="G1310" s="0" t="s">
        <v>8148</v>
      </c>
      <c r="I1310" s="6" t="n">
        <v>0.756944444444444</v>
      </c>
      <c r="J1310" s="6" t="n">
        <v>0.763888888888889</v>
      </c>
      <c r="L1310" s="0" t="n">
        <v>30</v>
      </c>
      <c r="M1310" s="0" t="s">
        <v>8149</v>
      </c>
      <c r="N1310" s="7" t="s">
        <v>8150</v>
      </c>
      <c r="O1310" s="7"/>
      <c r="P1310" s="0" t="s">
        <v>8151</v>
      </c>
      <c r="Q1310" s="2" t="n">
        <v>43397</v>
      </c>
      <c r="S1310" s="0" t="n">
        <f aca="false">YEAR(Q1310)</f>
        <v>2018</v>
      </c>
      <c r="T1310" s="0" t="n">
        <f aca="false">MONTH(Q1310)</f>
        <v>10</v>
      </c>
    </row>
    <row r="1311" customFormat="false" ht="14.25" hidden="true" customHeight="false" outlineLevel="0" collapsed="false">
      <c r="A1311" s="0" t="n">
        <v>1311</v>
      </c>
      <c r="B1311" s="1" t="s">
        <v>995</v>
      </c>
      <c r="C1311" s="1" t="s">
        <v>1479</v>
      </c>
      <c r="D1311" s="1" t="s">
        <v>1480</v>
      </c>
      <c r="E1311" s="0" t="s">
        <v>43</v>
      </c>
      <c r="F1311" s="0" t="s">
        <v>48</v>
      </c>
      <c r="G1311" s="0" t="s">
        <v>1568</v>
      </c>
      <c r="I1311" s="6" t="n">
        <v>0.265972222222222</v>
      </c>
      <c r="J1311" s="6" t="n">
        <v>0.315972222222222</v>
      </c>
      <c r="L1311" s="0" t="n">
        <v>36</v>
      </c>
      <c r="M1311" s="0" t="s">
        <v>8152</v>
      </c>
      <c r="N1311" s="0" t="s">
        <v>3545</v>
      </c>
      <c r="P1311" s="0" t="s">
        <v>8153</v>
      </c>
      <c r="Q1311" s="2" t="n">
        <v>43391</v>
      </c>
      <c r="S1311" s="0" t="n">
        <f aca="false">YEAR(Q1311)</f>
        <v>2018</v>
      </c>
      <c r="T1311" s="0" t="n">
        <f aca="false">MONTH(Q1311)</f>
        <v>10</v>
      </c>
    </row>
    <row r="1312" customFormat="false" ht="14.25" hidden="true" customHeight="false" outlineLevel="0" collapsed="false">
      <c r="A1312" s="0" t="n">
        <v>1312</v>
      </c>
      <c r="B1312" s="1" t="s">
        <v>995</v>
      </c>
      <c r="C1312" s="1" t="s">
        <v>1479</v>
      </c>
      <c r="D1312" s="1" t="s">
        <v>1480</v>
      </c>
      <c r="E1312" s="0" t="s">
        <v>43</v>
      </c>
      <c r="F1312" s="0" t="s">
        <v>48</v>
      </c>
      <c r="G1312" s="0" t="s">
        <v>1568</v>
      </c>
      <c r="I1312" s="6" t="n">
        <v>0.378472222222222</v>
      </c>
      <c r="L1312" s="0" t="n">
        <v>58</v>
      </c>
      <c r="M1312" s="0" t="s">
        <v>8154</v>
      </c>
      <c r="N1312" s="0" t="s">
        <v>8155</v>
      </c>
      <c r="P1312" s="0" t="s">
        <v>8156</v>
      </c>
      <c r="Q1312" s="2" t="n">
        <v>43391</v>
      </c>
      <c r="S1312" s="0" t="n">
        <f aca="false">YEAR(Q1312)</f>
        <v>2018</v>
      </c>
      <c r="T1312" s="0" t="n">
        <f aca="false">MONTH(Q1312)</f>
        <v>10</v>
      </c>
    </row>
    <row r="1313" customFormat="false" ht="14.25" hidden="true" customHeight="false" outlineLevel="0" collapsed="false">
      <c r="A1313" s="0" t="n">
        <v>1313</v>
      </c>
      <c r="B1313" s="1" t="s">
        <v>995</v>
      </c>
      <c r="C1313" s="1" t="s">
        <v>1479</v>
      </c>
      <c r="D1313" s="1" t="s">
        <v>1480</v>
      </c>
      <c r="E1313" s="0" t="s">
        <v>43</v>
      </c>
      <c r="F1313" s="0" t="s">
        <v>49</v>
      </c>
      <c r="G1313" s="0" t="s">
        <v>1568</v>
      </c>
      <c r="J1313" s="6" t="n">
        <v>0.696527777777778</v>
      </c>
      <c r="K1313" s="0" t="n">
        <v>296</v>
      </c>
      <c r="L1313" s="0" t="n">
        <v>43</v>
      </c>
      <c r="M1313" s="0" t="s">
        <v>8075</v>
      </c>
      <c r="N1313" s="0" t="s">
        <v>8157</v>
      </c>
      <c r="P1313" s="0" t="s">
        <v>8158</v>
      </c>
      <c r="Q1313" s="2" t="n">
        <v>43391</v>
      </c>
      <c r="S1313" s="0" t="n">
        <f aca="false">YEAR(Q1313)</f>
        <v>2018</v>
      </c>
      <c r="T1313" s="0" t="n">
        <f aca="false">MONTH(Q1313)</f>
        <v>10</v>
      </c>
    </row>
    <row r="1314" customFormat="false" ht="14.25" hidden="true" customHeight="false" outlineLevel="0" collapsed="false">
      <c r="A1314" s="0" t="n">
        <v>1314</v>
      </c>
      <c r="B1314" s="1" t="s">
        <v>995</v>
      </c>
      <c r="C1314" s="1" t="s">
        <v>1479</v>
      </c>
      <c r="D1314" s="1" t="s">
        <v>1535</v>
      </c>
      <c r="E1314" s="0" t="s">
        <v>39</v>
      </c>
      <c r="F1314" s="0" t="s">
        <v>49</v>
      </c>
      <c r="G1314" s="0" t="s">
        <v>8159</v>
      </c>
      <c r="I1314" s="6" t="n">
        <v>0.8875</v>
      </c>
      <c r="J1314" s="6" t="n">
        <v>0.895833333333333</v>
      </c>
      <c r="L1314" s="0" t="n">
        <v>390</v>
      </c>
      <c r="M1314" s="0" t="s">
        <v>8160</v>
      </c>
      <c r="N1314" s="0" t="s">
        <v>8161</v>
      </c>
      <c r="P1314" s="0" t="s">
        <v>8162</v>
      </c>
      <c r="Q1314" s="2" t="n">
        <v>43391</v>
      </c>
      <c r="S1314" s="0" t="n">
        <f aca="false">YEAR(Q1314)</f>
        <v>2018</v>
      </c>
      <c r="T1314" s="0" t="n">
        <f aca="false">MONTH(Q1314)</f>
        <v>10</v>
      </c>
    </row>
    <row r="1315" customFormat="false" ht="129" hidden="true" customHeight="false" outlineLevel="0" collapsed="false">
      <c r="A1315" s="0" t="n">
        <v>1315</v>
      </c>
      <c r="B1315" s="1" t="s">
        <v>998</v>
      </c>
      <c r="C1315" s="1" t="s">
        <v>1479</v>
      </c>
      <c r="D1315" s="1" t="s">
        <v>1535</v>
      </c>
      <c r="E1315" s="0" t="s">
        <v>39</v>
      </c>
      <c r="F1315" s="0" t="s">
        <v>48</v>
      </c>
      <c r="G1315" s="0" t="s">
        <v>8163</v>
      </c>
      <c r="I1315" s="6" t="n">
        <v>0.253472222222222</v>
      </c>
      <c r="J1315" s="6" t="n">
        <v>0.255555555555556</v>
      </c>
      <c r="K1315" s="0" t="n">
        <v>7</v>
      </c>
      <c r="M1315" s="0" t="s">
        <v>8164</v>
      </c>
      <c r="N1315" s="0" t="s">
        <v>8165</v>
      </c>
      <c r="P1315" s="7" t="s">
        <v>8166</v>
      </c>
      <c r="Q1315" s="2" t="n">
        <v>43398</v>
      </c>
      <c r="S1315" s="0" t="n">
        <f aca="false">YEAR(Q1315)</f>
        <v>2018</v>
      </c>
      <c r="T1315" s="0" t="n">
        <f aca="false">MONTH(Q1315)</f>
        <v>10</v>
      </c>
    </row>
    <row r="1316" customFormat="false" ht="14.25" hidden="true" customHeight="false" outlineLevel="0" collapsed="false">
      <c r="A1316" s="0" t="n">
        <v>1316</v>
      </c>
      <c r="B1316" s="1" t="s">
        <v>998</v>
      </c>
      <c r="C1316" s="1" t="s">
        <v>1503</v>
      </c>
      <c r="D1316" s="1" t="s">
        <v>1535</v>
      </c>
      <c r="E1316" s="0" t="s">
        <v>1503</v>
      </c>
      <c r="F1316" s="0" t="s">
        <v>48</v>
      </c>
      <c r="G1316" s="0" t="s">
        <v>8167</v>
      </c>
      <c r="I1316" s="6" t="n">
        <v>0.270833333333333</v>
      </c>
      <c r="J1316" s="6" t="n">
        <v>0.284722222222222</v>
      </c>
      <c r="M1316" s="0" t="s">
        <v>8168</v>
      </c>
      <c r="N1316" s="0" t="s">
        <v>8169</v>
      </c>
      <c r="P1316" s="0" t="s">
        <v>8170</v>
      </c>
      <c r="Q1316" s="2" t="n">
        <v>43398</v>
      </c>
      <c r="S1316" s="0" t="n">
        <f aca="false">YEAR(Q1316)</f>
        <v>2018</v>
      </c>
      <c r="T1316" s="0" t="n">
        <f aca="false">MONTH(Q1316)</f>
        <v>10</v>
      </c>
    </row>
    <row r="1317" customFormat="false" ht="14.25" hidden="true" customHeight="false" outlineLevel="0" collapsed="false">
      <c r="A1317" s="0" t="n">
        <v>1317</v>
      </c>
      <c r="B1317" s="1" t="s">
        <v>998</v>
      </c>
      <c r="C1317" s="1" t="s">
        <v>1479</v>
      </c>
      <c r="D1317" s="1" t="s">
        <v>1487</v>
      </c>
      <c r="E1317" s="0" t="s">
        <v>1488</v>
      </c>
      <c r="F1317" s="0" t="s">
        <v>49</v>
      </c>
      <c r="I1317" s="6" t="n">
        <v>0.622916666666667</v>
      </c>
      <c r="J1317" s="6" t="n">
        <v>0.633333333333333</v>
      </c>
      <c r="L1317" s="0" t="n">
        <v>17</v>
      </c>
      <c r="M1317" s="0" t="s">
        <v>8171</v>
      </c>
      <c r="N1317" s="0" t="s">
        <v>8172</v>
      </c>
      <c r="P1317" s="0" t="s">
        <v>8173</v>
      </c>
      <c r="Q1317" s="2" t="n">
        <v>43398</v>
      </c>
      <c r="S1317" s="0" t="n">
        <f aca="false">YEAR(Q1317)</f>
        <v>2018</v>
      </c>
      <c r="T1317" s="0" t="n">
        <f aca="false">MONTH(Q1317)</f>
        <v>10</v>
      </c>
    </row>
    <row r="1318" customFormat="false" ht="14.25" hidden="true" customHeight="false" outlineLevel="0" collapsed="false">
      <c r="A1318" s="0" t="n">
        <v>1318</v>
      </c>
      <c r="B1318" s="1" t="s">
        <v>998</v>
      </c>
      <c r="C1318" s="1" t="s">
        <v>1479</v>
      </c>
      <c r="D1318" s="1" t="s">
        <v>1496</v>
      </c>
      <c r="E1318" s="0" t="s">
        <v>38</v>
      </c>
      <c r="F1318" s="0" t="s">
        <v>50</v>
      </c>
      <c r="G1318" s="0" t="s">
        <v>8174</v>
      </c>
      <c r="J1318" s="6" t="n">
        <v>0.503472222222222</v>
      </c>
      <c r="K1318" s="0" t="n">
        <v>30</v>
      </c>
      <c r="L1318" s="0" t="n">
        <v>30</v>
      </c>
      <c r="M1318" s="0" t="s">
        <v>8175</v>
      </c>
      <c r="N1318" s="0" t="s">
        <v>8176</v>
      </c>
      <c r="P1318" s="0" t="s">
        <v>8177</v>
      </c>
      <c r="Q1318" s="2" t="n">
        <v>43398</v>
      </c>
      <c r="S1318" s="0" t="n">
        <f aca="false">YEAR(Q1318)</f>
        <v>2018</v>
      </c>
      <c r="T1318" s="0" t="n">
        <f aca="false">MONTH(Q1318)</f>
        <v>10</v>
      </c>
    </row>
    <row r="1319" customFormat="false" ht="14.25" hidden="true" customHeight="false" outlineLevel="0" collapsed="false">
      <c r="A1319" s="0" t="n">
        <v>1319</v>
      </c>
      <c r="B1319" s="1" t="s">
        <v>1000</v>
      </c>
      <c r="C1319" s="1" t="s">
        <v>1503</v>
      </c>
      <c r="D1319" s="1" t="s">
        <v>1535</v>
      </c>
      <c r="E1319" s="0" t="s">
        <v>1503</v>
      </c>
      <c r="F1319" s="0" t="s">
        <v>48</v>
      </c>
      <c r="G1319" s="0" t="s">
        <v>8178</v>
      </c>
      <c r="J1319" s="6" t="n">
        <v>0.34375</v>
      </c>
      <c r="L1319" s="0" t="n">
        <v>130</v>
      </c>
      <c r="M1319" s="0" t="s">
        <v>8179</v>
      </c>
      <c r="N1319" s="0" t="s">
        <v>8180</v>
      </c>
      <c r="P1319" s="0" t="s">
        <v>8181</v>
      </c>
      <c r="Q1319" s="2" t="n">
        <v>43399</v>
      </c>
      <c r="S1319" s="0" t="n">
        <f aca="false">YEAR(Q1319)</f>
        <v>2018</v>
      </c>
      <c r="T1319" s="0" t="n">
        <f aca="false">MONTH(Q1319)</f>
        <v>10</v>
      </c>
    </row>
    <row r="1320" customFormat="false" ht="14.25" hidden="true" customHeight="false" outlineLevel="0" collapsed="false">
      <c r="A1320" s="0" t="n">
        <v>1320</v>
      </c>
      <c r="B1320" s="1" t="s">
        <v>1000</v>
      </c>
      <c r="C1320" s="1" t="s">
        <v>1479</v>
      </c>
      <c r="D1320" s="1" t="s">
        <v>1496</v>
      </c>
      <c r="E1320" s="0" t="s">
        <v>38</v>
      </c>
      <c r="F1320" s="0" t="s">
        <v>49</v>
      </c>
      <c r="G1320" s="0" t="s">
        <v>8182</v>
      </c>
      <c r="I1320" s="6" t="n">
        <v>0.849305555555556</v>
      </c>
      <c r="J1320" s="6" t="n">
        <v>0.895833333333333</v>
      </c>
      <c r="L1320" s="0" t="n">
        <v>80</v>
      </c>
      <c r="M1320" s="0" t="s">
        <v>8183</v>
      </c>
      <c r="N1320" s="0" t="s">
        <v>8184</v>
      </c>
      <c r="P1320" s="0" t="s">
        <v>8185</v>
      </c>
      <c r="Q1320" s="2" t="n">
        <v>43399</v>
      </c>
      <c r="S1320" s="0" t="n">
        <f aca="false">YEAR(Q1320)</f>
        <v>2018</v>
      </c>
      <c r="T1320" s="0" t="n">
        <f aca="false">MONTH(Q1320)</f>
        <v>10</v>
      </c>
    </row>
    <row r="1321" customFormat="false" ht="28.5" hidden="true" customHeight="false" outlineLevel="0" collapsed="false">
      <c r="A1321" s="0" t="n">
        <v>1321</v>
      </c>
      <c r="B1321" s="1" t="s">
        <v>1001</v>
      </c>
      <c r="C1321" s="1" t="s">
        <v>1479</v>
      </c>
      <c r="D1321" s="1" t="s">
        <v>1487</v>
      </c>
      <c r="E1321" s="4" t="s">
        <v>1488</v>
      </c>
      <c r="F1321" s="0" t="s">
        <v>50</v>
      </c>
      <c r="G1321" s="0" t="s">
        <v>8186</v>
      </c>
      <c r="I1321" s="6" t="n">
        <v>0.0590277777777778</v>
      </c>
      <c r="J1321" s="6" t="n">
        <v>0.0763888888888889</v>
      </c>
      <c r="K1321" s="0" t="n">
        <v>10</v>
      </c>
      <c r="L1321" s="0" t="n">
        <v>36</v>
      </c>
      <c r="M1321" s="0" t="s">
        <v>8187</v>
      </c>
      <c r="N1321" s="7" t="s">
        <v>8188</v>
      </c>
      <c r="O1321" s="7"/>
      <c r="P1321" s="0" t="s">
        <v>8189</v>
      </c>
      <c r="Q1321" s="2" t="n">
        <v>43401</v>
      </c>
      <c r="S1321" s="0" t="n">
        <f aca="false">YEAR(Q1321)</f>
        <v>2018</v>
      </c>
      <c r="T1321" s="0" t="n">
        <f aca="false">MONTH(Q1321)</f>
        <v>10</v>
      </c>
    </row>
    <row r="1322" customFormat="false" ht="28.5" hidden="true" customHeight="false" outlineLevel="0" collapsed="false">
      <c r="A1322" s="0" t="n">
        <v>1322</v>
      </c>
      <c r="B1322" s="1" t="s">
        <v>1001</v>
      </c>
      <c r="C1322" s="1" t="s">
        <v>1479</v>
      </c>
      <c r="D1322" s="1" t="s">
        <v>1535</v>
      </c>
      <c r="E1322" s="0" t="s">
        <v>39</v>
      </c>
      <c r="F1322" s="0" t="s">
        <v>50</v>
      </c>
      <c r="G1322" s="0" t="s">
        <v>8190</v>
      </c>
      <c r="I1322" s="6" t="n">
        <v>0.131944444444444</v>
      </c>
      <c r="J1322" s="6" t="n">
        <v>0.140972222222222</v>
      </c>
      <c r="L1322" s="0" t="n">
        <v>50</v>
      </c>
      <c r="M1322" s="0" t="s">
        <v>8191</v>
      </c>
      <c r="N1322" s="0" t="s">
        <v>8192</v>
      </c>
      <c r="P1322" s="7" t="s">
        <v>8193</v>
      </c>
      <c r="Q1322" s="2" t="n">
        <v>43401</v>
      </c>
      <c r="S1322" s="0" t="n">
        <f aca="false">YEAR(Q1322)</f>
        <v>2018</v>
      </c>
      <c r="T1322" s="0" t="n">
        <f aca="false">MONTH(Q1322)</f>
        <v>10</v>
      </c>
    </row>
    <row r="1323" customFormat="false" ht="14.25" hidden="true" customHeight="false" outlineLevel="0" collapsed="false">
      <c r="A1323" s="0" t="n">
        <v>1323</v>
      </c>
      <c r="B1323" s="1" t="s">
        <v>1002</v>
      </c>
      <c r="C1323" s="1" t="s">
        <v>1495</v>
      </c>
      <c r="D1323" s="1" t="s">
        <v>1496</v>
      </c>
      <c r="E1323" s="0" t="s">
        <v>41</v>
      </c>
      <c r="F1323" s="0" t="s">
        <v>48</v>
      </c>
      <c r="G1323" s="0" t="s">
        <v>1761</v>
      </c>
      <c r="I1323" s="6" t="n">
        <v>0</v>
      </c>
      <c r="J1323" s="6" t="n">
        <v>0.427083333333333</v>
      </c>
      <c r="M1323" s="0" t="s">
        <v>8194</v>
      </c>
      <c r="N1323" s="0" t="s">
        <v>8195</v>
      </c>
      <c r="P1323" s="0" t="s">
        <v>8196</v>
      </c>
      <c r="Q1323" s="2" t="n">
        <v>43402</v>
      </c>
      <c r="S1323" s="0" t="n">
        <f aca="false">YEAR(Q1323)</f>
        <v>2018</v>
      </c>
      <c r="T1323" s="0" t="n">
        <f aca="false">MONTH(Q1323)</f>
        <v>10</v>
      </c>
    </row>
    <row r="1324" customFormat="false" ht="14.25" hidden="true" customHeight="false" outlineLevel="0" collapsed="false">
      <c r="A1324" s="0" t="n">
        <v>1324</v>
      </c>
      <c r="B1324" s="1" t="s">
        <v>1002</v>
      </c>
      <c r="C1324" s="1" t="s">
        <v>1503</v>
      </c>
      <c r="D1324" s="1" t="s">
        <v>1535</v>
      </c>
      <c r="E1324" s="0" t="s">
        <v>44</v>
      </c>
      <c r="F1324" s="0" t="s">
        <v>48</v>
      </c>
      <c r="G1324" s="0" t="s">
        <v>8197</v>
      </c>
      <c r="I1324" s="6" t="n">
        <v>0</v>
      </c>
      <c r="J1324" s="6" t="n">
        <v>0</v>
      </c>
      <c r="M1324" s="0" t="s">
        <v>8198</v>
      </c>
      <c r="N1324" s="0" t="s">
        <v>8199</v>
      </c>
      <c r="P1324" s="0" t="s">
        <v>8200</v>
      </c>
      <c r="Q1324" s="2" t="n">
        <v>43402</v>
      </c>
      <c r="S1324" s="0" t="n">
        <f aca="false">YEAR(Q1324)</f>
        <v>2018</v>
      </c>
      <c r="T1324" s="0" t="n">
        <f aca="false">MONTH(Q1324)</f>
        <v>10</v>
      </c>
    </row>
    <row r="1325" customFormat="false" ht="28.5" hidden="true" customHeight="false" outlineLevel="0" collapsed="false">
      <c r="A1325" s="0" t="n">
        <v>1325</v>
      </c>
      <c r="B1325" s="1" t="s">
        <v>1003</v>
      </c>
      <c r="C1325" s="1" t="s">
        <v>1479</v>
      </c>
      <c r="D1325" s="1" t="s">
        <v>1480</v>
      </c>
      <c r="E1325" s="0" t="s">
        <v>43</v>
      </c>
      <c r="F1325" s="0" t="s">
        <v>48</v>
      </c>
      <c r="G1325" s="0" t="s">
        <v>8201</v>
      </c>
      <c r="I1325" s="6" t="n">
        <v>0.277777777777778</v>
      </c>
      <c r="J1325" s="6" t="n">
        <v>0.317361111111111</v>
      </c>
      <c r="L1325" s="0" t="n">
        <v>100</v>
      </c>
      <c r="M1325" s="0" t="s">
        <v>8202</v>
      </c>
      <c r="N1325" s="0" t="s">
        <v>8203</v>
      </c>
      <c r="P1325" s="7" t="s">
        <v>8204</v>
      </c>
      <c r="Q1325" s="2" t="n">
        <v>43403</v>
      </c>
      <c r="S1325" s="0" t="n">
        <f aca="false">YEAR(Q1325)</f>
        <v>2018</v>
      </c>
      <c r="T1325" s="0" t="n">
        <f aca="false">MONTH(Q1325)</f>
        <v>10</v>
      </c>
    </row>
    <row r="1326" customFormat="false" ht="14.25" hidden="true" customHeight="false" outlineLevel="0" collapsed="false">
      <c r="A1326" s="0" t="n">
        <v>1326</v>
      </c>
      <c r="B1326" s="1" t="s">
        <v>1003</v>
      </c>
      <c r="C1326" s="1" t="s">
        <v>1479</v>
      </c>
      <c r="D1326" s="1" t="s">
        <v>1480</v>
      </c>
      <c r="E1326" s="0" t="s">
        <v>43</v>
      </c>
      <c r="F1326" s="0" t="s">
        <v>48</v>
      </c>
      <c r="G1326" s="0" t="s">
        <v>8205</v>
      </c>
      <c r="I1326" s="6" t="n">
        <v>0.366666666666667</v>
      </c>
      <c r="J1326" s="6" t="n">
        <v>0.366666666666667</v>
      </c>
      <c r="L1326" s="0" t="n">
        <v>10</v>
      </c>
      <c r="M1326" s="0" t="s">
        <v>8206</v>
      </c>
      <c r="N1326" s="0" t="s">
        <v>8207</v>
      </c>
      <c r="P1326" s="0" t="s">
        <v>8208</v>
      </c>
      <c r="Q1326" s="2" t="n">
        <v>43403</v>
      </c>
      <c r="S1326" s="0" t="n">
        <f aca="false">YEAR(Q1326)</f>
        <v>2018</v>
      </c>
      <c r="T1326" s="0" t="n">
        <f aca="false">MONTH(Q1326)</f>
        <v>10</v>
      </c>
    </row>
    <row r="1327" customFormat="false" ht="14.25" hidden="true" customHeight="false" outlineLevel="0" collapsed="false">
      <c r="A1327" s="0" t="n">
        <v>1327</v>
      </c>
      <c r="B1327" s="1" t="s">
        <v>1003</v>
      </c>
      <c r="C1327" s="1" t="s">
        <v>1503</v>
      </c>
      <c r="D1327" s="1" t="s">
        <v>1648</v>
      </c>
      <c r="E1327" s="0" t="s">
        <v>1648</v>
      </c>
      <c r="F1327" s="0" t="s">
        <v>48</v>
      </c>
      <c r="G1327" s="0" t="s">
        <v>8209</v>
      </c>
      <c r="I1327" s="6" t="n">
        <v>0.317361111111111</v>
      </c>
      <c r="J1327" s="6" t="n">
        <v>0.413194444444444</v>
      </c>
      <c r="L1327" s="0" t="n">
        <v>160</v>
      </c>
      <c r="M1327" s="0" t="s">
        <v>8210</v>
      </c>
      <c r="N1327" s="0" t="s">
        <v>8211</v>
      </c>
      <c r="P1327" s="0" t="s">
        <v>8212</v>
      </c>
      <c r="Q1327" s="2" t="n">
        <v>43403</v>
      </c>
      <c r="S1327" s="0" t="n">
        <f aca="false">YEAR(Q1327)</f>
        <v>2018</v>
      </c>
      <c r="T1327" s="0" t="n">
        <f aca="false">MONTH(Q1327)</f>
        <v>10</v>
      </c>
    </row>
    <row r="1328" customFormat="false" ht="28.5" hidden="true" customHeight="false" outlineLevel="0" collapsed="false">
      <c r="A1328" s="0" t="n">
        <v>1328</v>
      </c>
      <c r="B1328" s="1" t="s">
        <v>1003</v>
      </c>
      <c r="C1328" s="1" t="s">
        <v>1503</v>
      </c>
      <c r="D1328" s="1" t="s">
        <v>1648</v>
      </c>
      <c r="E1328" s="0" t="s">
        <v>1648</v>
      </c>
      <c r="F1328" s="0" t="s">
        <v>50</v>
      </c>
      <c r="G1328" s="0" t="s">
        <v>8213</v>
      </c>
      <c r="I1328" s="6" t="n">
        <v>0.0625</v>
      </c>
      <c r="J1328" s="6" t="n">
        <v>0.0673611111111111</v>
      </c>
      <c r="L1328" s="0" t="n">
        <v>20</v>
      </c>
      <c r="M1328" s="0" t="s">
        <v>8214</v>
      </c>
      <c r="N1328" s="0" t="s">
        <v>8215</v>
      </c>
      <c r="P1328" s="7" t="s">
        <v>8216</v>
      </c>
      <c r="Q1328" s="2" t="n">
        <v>43403</v>
      </c>
      <c r="S1328" s="0" t="n">
        <f aca="false">YEAR(Q1328)</f>
        <v>2018</v>
      </c>
      <c r="T1328" s="0" t="n">
        <f aca="false">MONTH(Q1328)</f>
        <v>10</v>
      </c>
    </row>
    <row r="1329" customFormat="false" ht="28.5" hidden="true" customHeight="false" outlineLevel="0" collapsed="false">
      <c r="A1329" s="0" t="n">
        <v>1329</v>
      </c>
      <c r="B1329" s="1" t="s">
        <v>1004</v>
      </c>
      <c r="C1329" s="1" t="s">
        <v>1479</v>
      </c>
      <c r="D1329" s="1" t="s">
        <v>1487</v>
      </c>
      <c r="E1329" s="0" t="s">
        <v>1488</v>
      </c>
      <c r="F1329" s="0" t="s">
        <v>48</v>
      </c>
      <c r="G1329" s="0" t="s">
        <v>8217</v>
      </c>
      <c r="I1329" s="6" t="n">
        <v>0.493055555555556</v>
      </c>
      <c r="J1329" s="6" t="n">
        <v>0.5</v>
      </c>
      <c r="L1329" s="0" t="n">
        <v>20</v>
      </c>
      <c r="M1329" s="0" t="s">
        <v>8218</v>
      </c>
      <c r="N1329" s="0" t="s">
        <v>8219</v>
      </c>
      <c r="P1329" s="7" t="s">
        <v>8220</v>
      </c>
      <c r="Q1329" s="2" t="s">
        <v>1006</v>
      </c>
      <c r="S1329" s="0" t="e">
        <f aca="false">YEAR(Q1329)</f>
        <v>#VALUE!</v>
      </c>
      <c r="T1329" s="0" t="e">
        <f aca="false">MONTH(Q1329)</f>
        <v>#VALUE!</v>
      </c>
    </row>
    <row r="1330" customFormat="false" ht="57" hidden="true" customHeight="false" outlineLevel="0" collapsed="false">
      <c r="A1330" s="0" t="n">
        <v>1330</v>
      </c>
      <c r="B1330" s="1" t="s">
        <v>1004</v>
      </c>
      <c r="C1330" s="1" t="s">
        <v>1503</v>
      </c>
      <c r="D1330" s="1" t="s">
        <v>1648</v>
      </c>
      <c r="E1330" s="0" t="s">
        <v>1648</v>
      </c>
      <c r="F1330" s="0" t="s">
        <v>50</v>
      </c>
      <c r="G1330" s="0" t="s">
        <v>8213</v>
      </c>
      <c r="I1330" s="6" t="n">
        <v>0.0104166666666667</v>
      </c>
      <c r="J1330" s="6" t="n">
        <v>0.01875</v>
      </c>
      <c r="L1330" s="0" t="n">
        <v>45</v>
      </c>
      <c r="M1330" s="7" t="s">
        <v>8221</v>
      </c>
      <c r="N1330" s="7" t="s">
        <v>8222</v>
      </c>
      <c r="O1330" s="7"/>
      <c r="P1330" s="7" t="s">
        <v>8223</v>
      </c>
      <c r="Q1330" s="2" t="s">
        <v>1006</v>
      </c>
      <c r="S1330" s="0" t="e">
        <f aca="false">YEAR(Q1330)</f>
        <v>#VALUE!</v>
      </c>
      <c r="T1330" s="0" t="e">
        <f aca="false">MONTH(Q1330)</f>
        <v>#VALUE!</v>
      </c>
    </row>
    <row r="1331" customFormat="false" ht="14.25" hidden="true" customHeight="false" outlineLevel="0" collapsed="false">
      <c r="A1331" s="0" t="n">
        <v>1331</v>
      </c>
      <c r="B1331" s="1" t="s">
        <v>1004</v>
      </c>
      <c r="C1331" s="1" t="s">
        <v>1479</v>
      </c>
      <c r="D1331" s="1" t="s">
        <v>1535</v>
      </c>
      <c r="E1331" s="0" t="s">
        <v>39</v>
      </c>
      <c r="F1331" s="0" t="s">
        <v>50</v>
      </c>
      <c r="G1331" s="0" t="s">
        <v>8224</v>
      </c>
      <c r="I1331" s="6" t="n">
        <v>0.0625</v>
      </c>
      <c r="J1331" s="6" t="n">
        <v>0.0645833333333333</v>
      </c>
      <c r="L1331" s="0" t="n">
        <v>35</v>
      </c>
      <c r="M1331" s="0" t="s">
        <v>8225</v>
      </c>
      <c r="N1331" s="0" t="s">
        <v>8226</v>
      </c>
      <c r="P1331" s="0" t="s">
        <v>8227</v>
      </c>
      <c r="Q1331" s="2" t="s">
        <v>1006</v>
      </c>
      <c r="S1331" s="0" t="e">
        <f aca="false">YEAR(Q1331)</f>
        <v>#VALUE!</v>
      </c>
      <c r="T1331" s="0" t="e">
        <f aca="false">MONTH(Q1331)</f>
        <v>#VALUE!</v>
      </c>
    </row>
    <row r="1332" customFormat="false" ht="14.25" hidden="true" customHeight="false" outlineLevel="0" collapsed="false">
      <c r="A1332" s="0" t="n">
        <v>1332</v>
      </c>
      <c r="B1332" s="1" t="s">
        <v>1004</v>
      </c>
      <c r="C1332" s="1" t="s">
        <v>1479</v>
      </c>
      <c r="D1332" s="1" t="s">
        <v>1535</v>
      </c>
      <c r="E1332" s="0" t="s">
        <v>39</v>
      </c>
      <c r="F1332" s="0" t="s">
        <v>50</v>
      </c>
      <c r="G1332" s="0" t="s">
        <v>8228</v>
      </c>
      <c r="I1332" s="6" t="n">
        <v>0.0555555555555556</v>
      </c>
      <c r="J1332" s="6" t="n">
        <v>0.0645833333333333</v>
      </c>
      <c r="L1332" s="0" t="n">
        <v>100</v>
      </c>
      <c r="M1332" s="0" t="s">
        <v>8229</v>
      </c>
      <c r="N1332" s="0" t="s">
        <v>8230</v>
      </c>
      <c r="P1332" s="0" t="s">
        <v>8231</v>
      </c>
      <c r="Q1332" s="2" t="s">
        <v>1006</v>
      </c>
      <c r="S1332" s="0" t="e">
        <f aca="false">YEAR(Q1332)</f>
        <v>#VALUE!</v>
      </c>
      <c r="T1332" s="0" t="e">
        <f aca="false">MONTH(Q1332)</f>
        <v>#VALUE!</v>
      </c>
    </row>
    <row r="1333" customFormat="false" ht="14.25" hidden="true" customHeight="false" outlineLevel="0" collapsed="false">
      <c r="A1333" s="0" t="n">
        <v>1333</v>
      </c>
      <c r="B1333" s="1" t="s">
        <v>1007</v>
      </c>
      <c r="C1333" s="1" t="s">
        <v>1503</v>
      </c>
      <c r="D1333" s="1" t="s">
        <v>1535</v>
      </c>
      <c r="E1333" s="0" t="s">
        <v>44</v>
      </c>
      <c r="F1333" s="0" t="s">
        <v>48</v>
      </c>
      <c r="G1333" s="0" t="s">
        <v>8232</v>
      </c>
      <c r="I1333" s="6" t="n">
        <v>0.458333333333333</v>
      </c>
      <c r="J1333" s="6" t="n">
        <v>0.46875</v>
      </c>
      <c r="M1333" s="0" t="s">
        <v>8233</v>
      </c>
      <c r="N1333" s="0" t="s">
        <v>8234</v>
      </c>
      <c r="P1333" s="0" t="s">
        <v>8235</v>
      </c>
      <c r="Q1333" s="2" t="n">
        <v>43405</v>
      </c>
      <c r="S1333" s="0" t="n">
        <f aca="false">YEAR(Q1333)</f>
        <v>2018</v>
      </c>
      <c r="T1333" s="0" t="n">
        <f aca="false">MONTH(Q1333)</f>
        <v>11</v>
      </c>
    </row>
    <row r="1334" customFormat="false" ht="14.25" hidden="true" customHeight="false" outlineLevel="0" collapsed="false">
      <c r="A1334" s="0" t="n">
        <v>1334</v>
      </c>
      <c r="B1334" s="1" t="s">
        <v>1007</v>
      </c>
      <c r="C1334" s="1" t="s">
        <v>1479</v>
      </c>
      <c r="D1334" s="1" t="s">
        <v>1496</v>
      </c>
      <c r="E1334" s="0" t="s">
        <v>38</v>
      </c>
      <c r="F1334" s="0" t="s">
        <v>48</v>
      </c>
      <c r="G1334" s="0" t="s">
        <v>8236</v>
      </c>
      <c r="I1334" s="6" t="n">
        <v>0.49375</v>
      </c>
      <c r="J1334" s="6" t="n">
        <v>0.501388888888889</v>
      </c>
      <c r="L1334" s="0" t="n">
        <v>26</v>
      </c>
      <c r="M1334" s="0" t="s">
        <v>8237</v>
      </c>
      <c r="N1334" s="0" t="s">
        <v>8238</v>
      </c>
      <c r="P1334" s="0" t="s">
        <v>8239</v>
      </c>
      <c r="Q1334" s="2" t="n">
        <v>43405</v>
      </c>
      <c r="S1334" s="0" t="n">
        <f aca="false">YEAR(Q1334)</f>
        <v>2018</v>
      </c>
      <c r="T1334" s="0" t="n">
        <f aca="false">MONTH(Q1334)</f>
        <v>11</v>
      </c>
    </row>
    <row r="1335" customFormat="false" ht="14.25" hidden="true" customHeight="false" outlineLevel="0" collapsed="false">
      <c r="A1335" s="0" t="n">
        <v>1335</v>
      </c>
      <c r="B1335" s="1" t="s">
        <v>1007</v>
      </c>
      <c r="C1335" s="1" t="s">
        <v>1479</v>
      </c>
      <c r="D1335" s="1" t="s">
        <v>1535</v>
      </c>
      <c r="E1335" s="0" t="s">
        <v>39</v>
      </c>
      <c r="F1335" s="0" t="s">
        <v>49</v>
      </c>
      <c r="I1335" s="6" t="n">
        <v>0.875</v>
      </c>
      <c r="J1335" s="6" t="n">
        <v>0.88125</v>
      </c>
      <c r="K1335" s="0" t="n">
        <v>2</v>
      </c>
      <c r="L1335" s="0" t="n">
        <v>70</v>
      </c>
      <c r="M1335" s="0" t="s">
        <v>8240</v>
      </c>
      <c r="N1335" s="0" t="s">
        <v>3545</v>
      </c>
      <c r="P1335" s="0" t="s">
        <v>8241</v>
      </c>
      <c r="Q1335" s="2" t="n">
        <v>43405</v>
      </c>
      <c r="S1335" s="0" t="n">
        <f aca="false">YEAR(Q1335)</f>
        <v>2018</v>
      </c>
      <c r="T1335" s="0" t="n">
        <f aca="false">MONTH(Q1335)</f>
        <v>11</v>
      </c>
    </row>
    <row r="1336" customFormat="false" ht="42.75" hidden="true" customHeight="false" outlineLevel="0" collapsed="false">
      <c r="A1336" s="0" t="n">
        <v>1336</v>
      </c>
      <c r="B1336" s="1" t="s">
        <v>1007</v>
      </c>
      <c r="C1336" s="1" t="s">
        <v>1503</v>
      </c>
      <c r="D1336" s="1" t="s">
        <v>1648</v>
      </c>
      <c r="E1336" s="0" t="s">
        <v>1648</v>
      </c>
      <c r="F1336" s="0" t="s">
        <v>50</v>
      </c>
      <c r="G1336" s="0" t="s">
        <v>1497</v>
      </c>
      <c r="I1336" s="6" t="n">
        <v>0.0798611111111111</v>
      </c>
      <c r="J1336" s="6" t="n">
        <v>0.0902777777777778</v>
      </c>
      <c r="L1336" s="0" t="n">
        <v>40</v>
      </c>
      <c r="M1336" s="0" t="s">
        <v>8242</v>
      </c>
      <c r="N1336" s="0" t="s">
        <v>8243</v>
      </c>
      <c r="P1336" s="7" t="s">
        <v>8244</v>
      </c>
      <c r="Q1336" s="2" t="n">
        <v>43405</v>
      </c>
      <c r="S1336" s="0" t="n">
        <f aca="false">YEAR(Q1336)</f>
        <v>2018</v>
      </c>
      <c r="T1336" s="0" t="n">
        <f aca="false">MONTH(Q1336)</f>
        <v>11</v>
      </c>
    </row>
    <row r="1337" customFormat="false" ht="42.75" hidden="true" customHeight="false" outlineLevel="0" collapsed="false">
      <c r="A1337" s="0" t="n">
        <v>1337</v>
      </c>
      <c r="B1337" s="1" t="s">
        <v>1008</v>
      </c>
      <c r="C1337" s="1" t="s">
        <v>1479</v>
      </c>
      <c r="D1337" s="1" t="s">
        <v>1487</v>
      </c>
      <c r="E1337" s="0" t="s">
        <v>1488</v>
      </c>
      <c r="F1337" s="0" t="s">
        <v>48</v>
      </c>
      <c r="G1337" s="0" t="s">
        <v>8217</v>
      </c>
      <c r="I1337" s="6" t="n">
        <v>0.493055555555556</v>
      </c>
      <c r="J1337" s="6" t="n">
        <v>0.5</v>
      </c>
      <c r="L1337" s="0" t="n">
        <v>20</v>
      </c>
      <c r="M1337" s="0" t="s">
        <v>8218</v>
      </c>
      <c r="N1337" s="0" t="s">
        <v>8219</v>
      </c>
      <c r="P1337" s="7" t="s">
        <v>8245</v>
      </c>
      <c r="Q1337" s="2" t="n">
        <v>43404</v>
      </c>
      <c r="S1337" s="0" t="n">
        <f aca="false">YEAR(Q1337)</f>
        <v>2018</v>
      </c>
      <c r="T1337" s="0" t="n">
        <f aca="false">MONTH(Q1337)</f>
        <v>10</v>
      </c>
    </row>
    <row r="1338" customFormat="false" ht="72" hidden="true" customHeight="false" outlineLevel="0" collapsed="false">
      <c r="A1338" s="0" t="n">
        <v>1338</v>
      </c>
      <c r="B1338" s="1" t="s">
        <v>1008</v>
      </c>
      <c r="C1338" s="1" t="s">
        <v>1503</v>
      </c>
      <c r="D1338" s="1" t="s">
        <v>1648</v>
      </c>
      <c r="E1338" s="0" t="s">
        <v>1648</v>
      </c>
      <c r="F1338" s="0" t="s">
        <v>50</v>
      </c>
      <c r="G1338" s="0" t="s">
        <v>7082</v>
      </c>
      <c r="I1338" s="6" t="n">
        <v>0.0104166666666667</v>
      </c>
      <c r="J1338" s="6" t="n">
        <v>0.01875</v>
      </c>
      <c r="L1338" s="0" t="n">
        <v>45</v>
      </c>
      <c r="M1338" s="7" t="s">
        <v>8246</v>
      </c>
      <c r="N1338" s="7" t="s">
        <v>8247</v>
      </c>
      <c r="O1338" s="7"/>
      <c r="P1338" s="7" t="s">
        <v>8248</v>
      </c>
      <c r="Q1338" s="2" t="n">
        <v>43404</v>
      </c>
      <c r="S1338" s="0" t="n">
        <f aca="false">YEAR(Q1338)</f>
        <v>2018</v>
      </c>
      <c r="T1338" s="0" t="n">
        <f aca="false">MONTH(Q1338)</f>
        <v>10</v>
      </c>
    </row>
    <row r="1339" customFormat="false" ht="72" hidden="true" customHeight="false" outlineLevel="0" collapsed="false">
      <c r="A1339" s="0" t="n">
        <v>1339</v>
      </c>
      <c r="B1339" s="1" t="s">
        <v>1008</v>
      </c>
      <c r="C1339" s="1" t="s">
        <v>1479</v>
      </c>
      <c r="D1339" s="1" t="s">
        <v>1535</v>
      </c>
      <c r="E1339" s="0" t="s">
        <v>39</v>
      </c>
      <c r="F1339" s="0" t="s">
        <v>50</v>
      </c>
      <c r="G1339" s="0" t="s">
        <v>8249</v>
      </c>
      <c r="I1339" s="6" t="n">
        <v>0.0625</v>
      </c>
      <c r="J1339" s="6" t="n">
        <v>0.0645833333333333</v>
      </c>
      <c r="L1339" s="0" t="n">
        <v>35</v>
      </c>
      <c r="M1339" s="0" t="s">
        <v>8225</v>
      </c>
      <c r="N1339" s="0" t="s">
        <v>8226</v>
      </c>
      <c r="P1339" s="7" t="s">
        <v>8250</v>
      </c>
      <c r="Q1339" s="2" t="n">
        <v>43404</v>
      </c>
      <c r="S1339" s="0" t="n">
        <f aca="false">YEAR(Q1339)</f>
        <v>2018</v>
      </c>
      <c r="T1339" s="0" t="n">
        <f aca="false">MONTH(Q1339)</f>
        <v>10</v>
      </c>
    </row>
    <row r="1340" customFormat="false" ht="28.5" hidden="true" customHeight="false" outlineLevel="0" collapsed="false">
      <c r="A1340" s="0" t="n">
        <v>1340</v>
      </c>
      <c r="B1340" s="1" t="s">
        <v>1008</v>
      </c>
      <c r="C1340" s="1" t="s">
        <v>1479</v>
      </c>
      <c r="D1340" s="1" t="s">
        <v>1535</v>
      </c>
      <c r="E1340" s="0" t="s">
        <v>39</v>
      </c>
      <c r="F1340" s="0" t="s">
        <v>50</v>
      </c>
      <c r="G1340" s="0" t="s">
        <v>8228</v>
      </c>
      <c r="I1340" s="6" t="n">
        <v>0.0555555555555556</v>
      </c>
      <c r="J1340" s="6" t="n">
        <v>0.0645833333333333</v>
      </c>
      <c r="L1340" s="0" t="n">
        <v>100</v>
      </c>
      <c r="M1340" s="0" t="s">
        <v>8229</v>
      </c>
      <c r="N1340" s="7" t="s">
        <v>8251</v>
      </c>
      <c r="O1340" s="7"/>
      <c r="P1340" s="7" t="s">
        <v>8252</v>
      </c>
      <c r="Q1340" s="2" t="n">
        <v>43404</v>
      </c>
      <c r="S1340" s="0" t="n">
        <f aca="false">YEAR(Q1340)</f>
        <v>2018</v>
      </c>
      <c r="T1340" s="0" t="n">
        <f aca="false">MONTH(Q1340)</f>
        <v>10</v>
      </c>
    </row>
    <row r="1341" customFormat="false" ht="14.25" hidden="true" customHeight="false" outlineLevel="0" collapsed="false">
      <c r="A1341" s="0" t="n">
        <v>1341</v>
      </c>
      <c r="B1341" s="1" t="s">
        <v>1009</v>
      </c>
      <c r="C1341" s="1" t="s">
        <v>1503</v>
      </c>
      <c r="D1341" s="1" t="s">
        <v>1535</v>
      </c>
      <c r="E1341" s="0" t="s">
        <v>44</v>
      </c>
      <c r="F1341" s="0" t="s">
        <v>48</v>
      </c>
      <c r="G1341" s="0" t="s">
        <v>8253</v>
      </c>
      <c r="I1341" s="6" t="n">
        <v>0.236111111111111</v>
      </c>
      <c r="J1341" s="6" t="n">
        <v>0.300694444444444</v>
      </c>
      <c r="L1341" s="0" t="n">
        <v>0</v>
      </c>
      <c r="M1341" s="0" t="s">
        <v>8254</v>
      </c>
      <c r="N1341" s="0" t="s">
        <v>8255</v>
      </c>
      <c r="P1341" s="0" t="s">
        <v>8256</v>
      </c>
      <c r="Q1341" s="2" t="n">
        <v>43409</v>
      </c>
      <c r="S1341" s="0" t="n">
        <f aca="false">YEAR(Q1341)</f>
        <v>2018</v>
      </c>
      <c r="T1341" s="0" t="n">
        <f aca="false">MONTH(Q1341)</f>
        <v>11</v>
      </c>
    </row>
    <row r="1342" customFormat="false" ht="86.25" hidden="true" customHeight="false" outlineLevel="0" collapsed="false">
      <c r="A1342" s="0" t="n">
        <v>1342</v>
      </c>
      <c r="B1342" s="1" t="s">
        <v>1009</v>
      </c>
      <c r="C1342" s="1" t="s">
        <v>1479</v>
      </c>
      <c r="D1342" s="1" t="s">
        <v>1487</v>
      </c>
      <c r="E1342" s="0" t="s">
        <v>1488</v>
      </c>
      <c r="F1342" s="0" t="s">
        <v>48</v>
      </c>
      <c r="G1342" s="0" t="s">
        <v>8257</v>
      </c>
      <c r="I1342" s="6" t="n">
        <v>0.344444444444444</v>
      </c>
      <c r="J1342" s="6" t="n">
        <v>0.349305555555556</v>
      </c>
      <c r="L1342" s="0" t="n">
        <v>16</v>
      </c>
      <c r="M1342" s="0" t="s">
        <v>8258</v>
      </c>
      <c r="N1342" s="0" t="s">
        <v>8259</v>
      </c>
      <c r="P1342" s="7" t="s">
        <v>8260</v>
      </c>
      <c r="Q1342" s="2" t="n">
        <v>43409</v>
      </c>
      <c r="S1342" s="0" t="n">
        <f aca="false">YEAR(Q1342)</f>
        <v>2018</v>
      </c>
      <c r="T1342" s="0" t="n">
        <f aca="false">MONTH(Q1342)</f>
        <v>11</v>
      </c>
    </row>
    <row r="1343" customFormat="false" ht="14.25" hidden="true" customHeight="false" outlineLevel="0" collapsed="false">
      <c r="A1343" s="0" t="n">
        <v>1343</v>
      </c>
      <c r="B1343" s="1" t="s">
        <v>1009</v>
      </c>
      <c r="C1343" s="1" t="s">
        <v>1479</v>
      </c>
      <c r="D1343" s="1" t="s">
        <v>1496</v>
      </c>
      <c r="E1343" s="0" t="s">
        <v>38</v>
      </c>
      <c r="F1343" s="0" t="s">
        <v>48</v>
      </c>
      <c r="G1343" s="0" t="s">
        <v>8261</v>
      </c>
      <c r="I1343" s="6" t="n">
        <v>0.564583333333333</v>
      </c>
      <c r="J1343" s="6" t="n">
        <v>0.572916666666667</v>
      </c>
      <c r="L1343" s="0" t="n">
        <v>7</v>
      </c>
      <c r="M1343" s="0" t="s">
        <v>8262</v>
      </c>
      <c r="N1343" s="0" t="s">
        <v>8263</v>
      </c>
      <c r="P1343" s="0" t="s">
        <v>8264</v>
      </c>
      <c r="Q1343" s="2" t="n">
        <v>43409</v>
      </c>
      <c r="S1343" s="0" t="n">
        <f aca="false">YEAR(Q1343)</f>
        <v>2018</v>
      </c>
      <c r="T1343" s="0" t="n">
        <f aca="false">MONTH(Q1343)</f>
        <v>11</v>
      </c>
    </row>
    <row r="1344" customFormat="false" ht="28.5" hidden="true" customHeight="false" outlineLevel="0" collapsed="false">
      <c r="A1344" s="0" t="n">
        <v>1344</v>
      </c>
      <c r="B1344" s="1" t="s">
        <v>1009</v>
      </c>
      <c r="C1344" s="1" t="s">
        <v>1479</v>
      </c>
      <c r="D1344" s="1" t="s">
        <v>1535</v>
      </c>
      <c r="E1344" s="0" t="s">
        <v>39</v>
      </c>
      <c r="F1344" s="0" t="s">
        <v>49</v>
      </c>
      <c r="G1344" s="0" t="s">
        <v>8265</v>
      </c>
      <c r="I1344" s="6" t="n">
        <v>0.694444444444444</v>
      </c>
      <c r="J1344" s="6" t="n">
        <v>0.702083333333333</v>
      </c>
      <c r="L1344" s="0" t="n">
        <v>97</v>
      </c>
      <c r="M1344" s="0" t="s">
        <v>8266</v>
      </c>
      <c r="N1344" s="7" t="s">
        <v>8267</v>
      </c>
      <c r="O1344" s="7"/>
      <c r="P1344" s="7" t="s">
        <v>8268</v>
      </c>
      <c r="Q1344" s="2" t="n">
        <v>43409</v>
      </c>
      <c r="S1344" s="0" t="n">
        <f aca="false">YEAR(Q1344)</f>
        <v>2018</v>
      </c>
      <c r="T1344" s="0" t="n">
        <f aca="false">MONTH(Q1344)</f>
        <v>11</v>
      </c>
    </row>
    <row r="1345" customFormat="false" ht="14.25" hidden="true" customHeight="false" outlineLevel="0" collapsed="false">
      <c r="A1345" s="0" t="n">
        <v>1345</v>
      </c>
      <c r="B1345" s="1" t="s">
        <v>1009</v>
      </c>
      <c r="C1345" s="1" t="s">
        <v>1479</v>
      </c>
      <c r="D1345" s="1" t="s">
        <v>1535</v>
      </c>
      <c r="E1345" s="0" t="s">
        <v>39</v>
      </c>
      <c r="F1345" s="0" t="s">
        <v>50</v>
      </c>
      <c r="G1345" s="0" t="s">
        <v>8269</v>
      </c>
      <c r="I1345" s="6" t="n">
        <v>0.916666666666667</v>
      </c>
      <c r="J1345" s="6" t="n">
        <v>0.0138888888888889</v>
      </c>
      <c r="K1345" s="0" t="n">
        <v>0</v>
      </c>
      <c r="L1345" s="0" t="n">
        <v>240</v>
      </c>
      <c r="M1345" s="0" t="s">
        <v>8270</v>
      </c>
      <c r="N1345" s="0" t="s">
        <v>8271</v>
      </c>
      <c r="P1345" s="0" t="s">
        <v>8272</v>
      </c>
      <c r="Q1345" s="2" t="n">
        <v>43409</v>
      </c>
      <c r="S1345" s="0" t="n">
        <f aca="false">YEAR(Q1345)</f>
        <v>2018</v>
      </c>
      <c r="T1345" s="0" t="n">
        <f aca="false">MONTH(Q1345)</f>
        <v>11</v>
      </c>
    </row>
    <row r="1346" customFormat="false" ht="14.25" hidden="true" customHeight="false" outlineLevel="0" collapsed="false">
      <c r="A1346" s="0" t="n">
        <v>1346</v>
      </c>
      <c r="B1346" s="1" t="s">
        <v>1009</v>
      </c>
      <c r="C1346" s="1" t="s">
        <v>1479</v>
      </c>
      <c r="D1346" s="1" t="s">
        <v>1496</v>
      </c>
      <c r="E1346" s="0" t="s">
        <v>38</v>
      </c>
      <c r="F1346" s="0" t="s">
        <v>50</v>
      </c>
      <c r="G1346" s="0" t="s">
        <v>8273</v>
      </c>
      <c r="I1346" s="6" t="n">
        <v>0.09375</v>
      </c>
      <c r="J1346" s="6" t="n">
        <v>0.104166666666667</v>
      </c>
      <c r="K1346" s="0" t="n">
        <v>20</v>
      </c>
      <c r="L1346" s="0" t="n">
        <v>26</v>
      </c>
      <c r="M1346" s="0" t="s">
        <v>8274</v>
      </c>
      <c r="N1346" s="0" t="s">
        <v>8275</v>
      </c>
      <c r="P1346" s="0" t="s">
        <v>8276</v>
      </c>
      <c r="Q1346" s="2" t="n">
        <v>43409</v>
      </c>
      <c r="S1346" s="0" t="n">
        <f aca="false">YEAR(Q1346)</f>
        <v>2018</v>
      </c>
      <c r="T1346" s="0" t="n">
        <f aca="false">MONTH(Q1346)</f>
        <v>11</v>
      </c>
    </row>
    <row r="1347" customFormat="false" ht="28.5" hidden="true" customHeight="false" outlineLevel="0" collapsed="false">
      <c r="A1347" s="0" t="n">
        <v>1347</v>
      </c>
      <c r="B1347" s="1" t="s">
        <v>1009</v>
      </c>
      <c r="C1347" s="1" t="s">
        <v>1479</v>
      </c>
      <c r="D1347" s="1" t="s">
        <v>1487</v>
      </c>
      <c r="E1347" s="0" t="s">
        <v>1488</v>
      </c>
      <c r="F1347" s="0" t="s">
        <v>50</v>
      </c>
      <c r="G1347" s="0" t="s">
        <v>1489</v>
      </c>
      <c r="I1347" s="6" t="n">
        <v>0.111111111111111</v>
      </c>
      <c r="J1347" s="6" t="n">
        <v>0.136111111111111</v>
      </c>
      <c r="K1347" s="0" t="n">
        <v>26</v>
      </c>
      <c r="L1347" s="0" t="n">
        <v>45</v>
      </c>
      <c r="M1347" s="0" t="s">
        <v>8277</v>
      </c>
      <c r="N1347" s="0" t="s">
        <v>8278</v>
      </c>
      <c r="P1347" s="7" t="s">
        <v>8279</v>
      </c>
      <c r="Q1347" s="2" t="n">
        <v>43409</v>
      </c>
      <c r="S1347" s="0" t="n">
        <f aca="false">YEAR(Q1347)</f>
        <v>2018</v>
      </c>
      <c r="T1347" s="0" t="n">
        <f aca="false">MONTH(Q1347)</f>
        <v>11</v>
      </c>
    </row>
    <row r="1348" customFormat="false" ht="14.25" hidden="true" customHeight="false" outlineLevel="0" collapsed="false">
      <c r="A1348" s="0" t="n">
        <v>1348</v>
      </c>
      <c r="B1348" s="1" t="s">
        <v>1010</v>
      </c>
      <c r="C1348" s="1" t="s">
        <v>1479</v>
      </c>
      <c r="D1348" s="1" t="s">
        <v>1496</v>
      </c>
      <c r="E1348" s="0" t="s">
        <v>38</v>
      </c>
      <c r="F1348" s="0" t="s">
        <v>48</v>
      </c>
      <c r="G1348" s="0" t="s">
        <v>8261</v>
      </c>
      <c r="I1348" s="6" t="n">
        <v>0.416666666666667</v>
      </c>
      <c r="J1348" s="6" t="n">
        <v>0.459722222222222</v>
      </c>
      <c r="M1348" s="0" t="s">
        <v>8280</v>
      </c>
      <c r="N1348" s="0" t="s">
        <v>8281</v>
      </c>
      <c r="P1348" s="0" t="s">
        <v>8282</v>
      </c>
      <c r="Q1348" s="2" t="n">
        <v>43410</v>
      </c>
      <c r="S1348" s="0" t="n">
        <f aca="false">YEAR(Q1348)</f>
        <v>2018</v>
      </c>
      <c r="T1348" s="0" t="n">
        <f aca="false">MONTH(Q1348)</f>
        <v>11</v>
      </c>
    </row>
    <row r="1349" customFormat="false" ht="14.25" hidden="true" customHeight="false" outlineLevel="0" collapsed="false">
      <c r="A1349" s="0" t="n">
        <v>1349</v>
      </c>
      <c r="B1349" s="1" t="s">
        <v>1010</v>
      </c>
      <c r="C1349" s="1" t="s">
        <v>1479</v>
      </c>
      <c r="D1349" s="1" t="s">
        <v>1535</v>
      </c>
      <c r="E1349" s="0" t="s">
        <v>39</v>
      </c>
      <c r="F1349" s="0" t="s">
        <v>49</v>
      </c>
      <c r="G1349" s="0" t="s">
        <v>4059</v>
      </c>
      <c r="I1349" s="6" t="n">
        <v>0.744444444444444</v>
      </c>
      <c r="J1349" s="6" t="n">
        <v>0.75</v>
      </c>
      <c r="K1349" s="0" t="n">
        <v>12</v>
      </c>
      <c r="L1349" s="0" t="n">
        <v>12</v>
      </c>
      <c r="M1349" s="0" t="s">
        <v>8283</v>
      </c>
      <c r="N1349" s="0" t="s">
        <v>8284</v>
      </c>
      <c r="P1349" s="0" t="s">
        <v>8285</v>
      </c>
      <c r="Q1349" s="2" t="n">
        <v>43410</v>
      </c>
      <c r="S1349" s="0" t="n">
        <f aca="false">YEAR(Q1349)</f>
        <v>2018</v>
      </c>
      <c r="T1349" s="0" t="n">
        <f aca="false">MONTH(Q1349)</f>
        <v>11</v>
      </c>
    </row>
    <row r="1350" customFormat="false" ht="28.5" hidden="true" customHeight="false" outlineLevel="0" collapsed="false">
      <c r="A1350" s="0" t="n">
        <v>1350</v>
      </c>
      <c r="B1350" s="1" t="s">
        <v>1010</v>
      </c>
      <c r="C1350" s="1" t="s">
        <v>1479</v>
      </c>
      <c r="D1350" s="1" t="s">
        <v>1496</v>
      </c>
      <c r="E1350" s="0" t="s">
        <v>38</v>
      </c>
      <c r="F1350" s="0" t="s">
        <v>50</v>
      </c>
      <c r="G1350" s="0" t="s">
        <v>8286</v>
      </c>
      <c r="I1350" s="6" t="n">
        <v>0.0125</v>
      </c>
      <c r="J1350" s="6" t="n">
        <v>0.0152777777777778</v>
      </c>
      <c r="K1350" s="0" t="n">
        <v>16</v>
      </c>
      <c r="L1350" s="0" t="n">
        <v>20</v>
      </c>
      <c r="M1350" s="0" t="s">
        <v>8287</v>
      </c>
      <c r="N1350" s="0" t="s">
        <v>8288</v>
      </c>
      <c r="P1350" s="7" t="s">
        <v>8289</v>
      </c>
      <c r="Q1350" s="2" t="n">
        <v>43410</v>
      </c>
      <c r="S1350" s="0" t="n">
        <f aca="false">YEAR(Q1350)</f>
        <v>2018</v>
      </c>
      <c r="T1350" s="0" t="n">
        <f aca="false">MONTH(Q1350)</f>
        <v>11</v>
      </c>
    </row>
    <row r="1351" customFormat="false" ht="86.25" hidden="true" customHeight="false" outlineLevel="0" collapsed="false">
      <c r="A1351" s="0" t="n">
        <v>1351</v>
      </c>
      <c r="B1351" s="1" t="s">
        <v>1010</v>
      </c>
      <c r="C1351" s="1" t="s">
        <v>1479</v>
      </c>
      <c r="D1351" s="1" t="s">
        <v>1487</v>
      </c>
      <c r="E1351" s="4" t="s">
        <v>1488</v>
      </c>
      <c r="F1351" s="0" t="s">
        <v>49</v>
      </c>
      <c r="G1351" s="0" t="s">
        <v>8290</v>
      </c>
      <c r="I1351" s="6" t="n">
        <v>0.775694444444444</v>
      </c>
      <c r="J1351" s="6" t="n">
        <v>0.788194444444444</v>
      </c>
      <c r="K1351" s="0" t="n">
        <v>2</v>
      </c>
      <c r="L1351" s="0" t="n">
        <v>60</v>
      </c>
      <c r="M1351" s="0" t="s">
        <v>8291</v>
      </c>
      <c r="N1351" s="7" t="s">
        <v>8292</v>
      </c>
      <c r="O1351" s="7"/>
      <c r="P1351" s="7" t="s">
        <v>8293</v>
      </c>
      <c r="Q1351" s="2" t="n">
        <v>43410</v>
      </c>
      <c r="S1351" s="0" t="n">
        <f aca="false">YEAR(Q1351)</f>
        <v>2018</v>
      </c>
      <c r="T1351" s="0" t="n">
        <f aca="false">MONTH(Q1351)</f>
        <v>11</v>
      </c>
    </row>
    <row r="1352" customFormat="false" ht="14.25" hidden="true" customHeight="false" outlineLevel="0" collapsed="false">
      <c r="A1352" s="0" t="n">
        <v>1352</v>
      </c>
      <c r="B1352" s="1" t="s">
        <v>1011</v>
      </c>
      <c r="C1352" s="1" t="s">
        <v>1479</v>
      </c>
      <c r="D1352" s="1" t="s">
        <v>1535</v>
      </c>
      <c r="E1352" s="0" t="s">
        <v>39</v>
      </c>
      <c r="F1352" s="0" t="s">
        <v>48</v>
      </c>
      <c r="G1352" s="0" t="s">
        <v>8294</v>
      </c>
      <c r="I1352" s="6" t="n">
        <v>0</v>
      </c>
      <c r="J1352" s="6" t="n">
        <v>0</v>
      </c>
      <c r="M1352" s="0" t="s">
        <v>8295</v>
      </c>
      <c r="N1352" s="0" t="s">
        <v>8296</v>
      </c>
      <c r="P1352" s="0" t="s">
        <v>8297</v>
      </c>
      <c r="Q1352" s="2" t="n">
        <v>43411</v>
      </c>
      <c r="S1352" s="0" t="n">
        <f aca="false">YEAR(Q1352)</f>
        <v>2018</v>
      </c>
      <c r="T1352" s="0" t="n">
        <f aca="false">MONTH(Q1352)</f>
        <v>11</v>
      </c>
    </row>
    <row r="1353" customFormat="false" ht="14.25" hidden="true" customHeight="false" outlineLevel="0" collapsed="false">
      <c r="A1353" s="0" t="n">
        <v>1353</v>
      </c>
      <c r="B1353" s="1" t="s">
        <v>1011</v>
      </c>
      <c r="C1353" s="1" t="s">
        <v>1479</v>
      </c>
      <c r="D1353" s="1" t="s">
        <v>1487</v>
      </c>
      <c r="E1353" s="0" t="s">
        <v>1488</v>
      </c>
      <c r="F1353" s="0" t="s">
        <v>48</v>
      </c>
      <c r="G1353" s="0" t="s">
        <v>8298</v>
      </c>
      <c r="J1353" s="6" t="n">
        <v>0.260416666666667</v>
      </c>
      <c r="M1353" s="0" t="s">
        <v>8299</v>
      </c>
      <c r="N1353" s="0" t="s">
        <v>8300</v>
      </c>
      <c r="P1353" s="0" t="s">
        <v>8301</v>
      </c>
      <c r="Q1353" s="2" t="n">
        <v>43411</v>
      </c>
      <c r="S1353" s="0" t="n">
        <f aca="false">YEAR(Q1353)</f>
        <v>2018</v>
      </c>
      <c r="T1353" s="0" t="n">
        <f aca="false">MONTH(Q1353)</f>
        <v>11</v>
      </c>
    </row>
    <row r="1354" customFormat="false" ht="86.25" hidden="true" customHeight="false" outlineLevel="0" collapsed="false">
      <c r="A1354" s="0" t="n">
        <v>1354</v>
      </c>
      <c r="B1354" s="1" t="s">
        <v>1011</v>
      </c>
      <c r="C1354" s="1" t="s">
        <v>1479</v>
      </c>
      <c r="D1354" s="1" t="s">
        <v>1496</v>
      </c>
      <c r="E1354" s="0" t="s">
        <v>38</v>
      </c>
      <c r="F1354" s="0" t="s">
        <v>49</v>
      </c>
      <c r="G1354" s="0" t="s">
        <v>8302</v>
      </c>
      <c r="I1354" s="6" t="n">
        <v>0.71875</v>
      </c>
      <c r="J1354" s="6" t="n">
        <v>0.75</v>
      </c>
      <c r="K1354" s="0" t="n">
        <v>0</v>
      </c>
      <c r="L1354" s="0" t="n">
        <v>90</v>
      </c>
      <c r="M1354" s="0" t="s">
        <v>8303</v>
      </c>
      <c r="N1354" s="7" t="s">
        <v>8304</v>
      </c>
      <c r="O1354" s="7"/>
      <c r="P1354" s="7" t="s">
        <v>8305</v>
      </c>
      <c r="Q1354" s="2" t="n">
        <v>43411</v>
      </c>
      <c r="S1354" s="0" t="n">
        <f aca="false">YEAR(Q1354)</f>
        <v>2018</v>
      </c>
      <c r="T1354" s="0" t="n">
        <f aca="false">MONTH(Q1354)</f>
        <v>11</v>
      </c>
    </row>
    <row r="1355" customFormat="false" ht="72" hidden="true" customHeight="false" outlineLevel="0" collapsed="false">
      <c r="A1355" s="0" t="n">
        <v>1355</v>
      </c>
      <c r="B1355" s="1" t="s">
        <v>1013</v>
      </c>
      <c r="C1355" s="1" t="s">
        <v>1479</v>
      </c>
      <c r="D1355" s="1" t="s">
        <v>1535</v>
      </c>
      <c r="E1355" s="0" t="s">
        <v>39</v>
      </c>
      <c r="F1355" s="0" t="s">
        <v>48</v>
      </c>
      <c r="G1355" s="0" t="s">
        <v>8306</v>
      </c>
      <c r="I1355" s="6" t="n">
        <v>0.340277777777778</v>
      </c>
      <c r="J1355" s="6" t="n">
        <v>0.345833333333333</v>
      </c>
      <c r="M1355" s="0" t="s">
        <v>8307</v>
      </c>
      <c r="N1355" s="0" t="s">
        <v>8308</v>
      </c>
      <c r="P1355" s="7" t="s">
        <v>8309</v>
      </c>
      <c r="Q1355" s="2" t="n">
        <v>43412</v>
      </c>
      <c r="S1355" s="0" t="n">
        <f aca="false">YEAR(Q1355)</f>
        <v>2018</v>
      </c>
      <c r="T1355" s="0" t="n">
        <f aca="false">MONTH(Q1355)</f>
        <v>11</v>
      </c>
    </row>
    <row r="1356" customFormat="false" ht="86.25" hidden="true" customHeight="false" outlineLevel="0" collapsed="false">
      <c r="A1356" s="0" t="n">
        <v>1356</v>
      </c>
      <c r="B1356" s="1" t="s">
        <v>1013</v>
      </c>
      <c r="C1356" s="1" t="s">
        <v>1479</v>
      </c>
      <c r="D1356" s="1" t="s">
        <v>1863</v>
      </c>
      <c r="E1356" s="0" t="s">
        <v>1863</v>
      </c>
      <c r="F1356" s="0" t="s">
        <v>49</v>
      </c>
      <c r="G1356" s="0" t="s">
        <v>8310</v>
      </c>
      <c r="J1356" s="6" t="n">
        <v>0.84375</v>
      </c>
      <c r="M1356" s="7" t="s">
        <v>8311</v>
      </c>
      <c r="N1356" s="7" t="s">
        <v>8312</v>
      </c>
      <c r="O1356" s="7"/>
      <c r="P1356" s="7" t="s">
        <v>8313</v>
      </c>
      <c r="Q1356" s="2" t="n">
        <v>43412</v>
      </c>
      <c r="S1356" s="0" t="n">
        <f aca="false">YEAR(Q1356)</f>
        <v>2018</v>
      </c>
      <c r="T1356" s="0" t="n">
        <f aca="false">MONTH(Q1356)</f>
        <v>11</v>
      </c>
    </row>
    <row r="1357" customFormat="false" ht="28.5" hidden="true" customHeight="false" outlineLevel="0" collapsed="false">
      <c r="A1357" s="0" t="n">
        <v>1357</v>
      </c>
      <c r="B1357" s="1" t="s">
        <v>1014</v>
      </c>
      <c r="C1357" s="1" t="s">
        <v>1479</v>
      </c>
      <c r="D1357" s="1" t="s">
        <v>1535</v>
      </c>
      <c r="E1357" s="0" t="s">
        <v>39</v>
      </c>
      <c r="F1357" s="0" t="s">
        <v>48</v>
      </c>
      <c r="G1357" s="0" t="s">
        <v>8314</v>
      </c>
      <c r="I1357" s="6" t="n">
        <v>0.383333333333333</v>
      </c>
      <c r="J1357" s="6" t="n">
        <v>0.390277777777778</v>
      </c>
      <c r="M1357" s="0" t="s">
        <v>8315</v>
      </c>
      <c r="N1357" s="0" t="s">
        <v>8316</v>
      </c>
      <c r="P1357" s="7" t="s">
        <v>8317</v>
      </c>
      <c r="Q1357" s="2" t="n">
        <v>43413</v>
      </c>
      <c r="S1357" s="0" t="n">
        <f aca="false">YEAR(Q1357)</f>
        <v>2018</v>
      </c>
      <c r="T1357" s="0" t="n">
        <f aca="false">MONTH(Q1357)</f>
        <v>11</v>
      </c>
    </row>
    <row r="1358" customFormat="false" ht="28.5" hidden="true" customHeight="false" outlineLevel="0" collapsed="false">
      <c r="A1358" s="0" t="n">
        <v>1358</v>
      </c>
      <c r="B1358" s="1" t="s">
        <v>1014</v>
      </c>
      <c r="C1358" s="1" t="s">
        <v>1479</v>
      </c>
      <c r="D1358" s="1" t="s">
        <v>1496</v>
      </c>
      <c r="E1358" s="0" t="s">
        <v>38</v>
      </c>
      <c r="F1358" s="0" t="s">
        <v>48</v>
      </c>
      <c r="G1358" s="0" t="s">
        <v>8318</v>
      </c>
      <c r="I1358" s="6" t="n">
        <v>0.383333333333333</v>
      </c>
      <c r="J1358" s="6" t="n">
        <v>0.390277777777778</v>
      </c>
      <c r="K1358" s="0" t="n">
        <v>56</v>
      </c>
      <c r="L1358" s="0" t="n">
        <v>75</v>
      </c>
      <c r="M1358" s="0" t="s">
        <v>8319</v>
      </c>
      <c r="N1358" s="0" t="s">
        <v>8320</v>
      </c>
      <c r="P1358" s="7" t="s">
        <v>8321</v>
      </c>
      <c r="Q1358" s="2" t="n">
        <v>43413</v>
      </c>
      <c r="S1358" s="0" t="n">
        <f aca="false">YEAR(Q1358)</f>
        <v>2018</v>
      </c>
      <c r="T1358" s="0" t="n">
        <f aca="false">MONTH(Q1358)</f>
        <v>11</v>
      </c>
    </row>
    <row r="1359" customFormat="false" ht="14.25" hidden="true" customHeight="false" outlineLevel="0" collapsed="false">
      <c r="A1359" s="0" t="n">
        <v>1359</v>
      </c>
      <c r="B1359" s="1" t="s">
        <v>1014</v>
      </c>
      <c r="C1359" s="1" t="s">
        <v>1479</v>
      </c>
      <c r="D1359" s="1" t="s">
        <v>1535</v>
      </c>
      <c r="E1359" s="0" t="s">
        <v>39</v>
      </c>
      <c r="F1359" s="0" t="s">
        <v>50</v>
      </c>
      <c r="G1359" s="0" t="s">
        <v>8322</v>
      </c>
      <c r="J1359" s="6" t="n">
        <v>0.246527777777778</v>
      </c>
      <c r="L1359" s="0" t="n">
        <v>50</v>
      </c>
      <c r="M1359" s="0" t="s">
        <v>8323</v>
      </c>
      <c r="N1359" s="0" t="s">
        <v>8324</v>
      </c>
      <c r="P1359" s="0" t="s">
        <v>8325</v>
      </c>
      <c r="Q1359" s="2" t="n">
        <v>43413</v>
      </c>
      <c r="S1359" s="0" t="n">
        <f aca="false">YEAR(Q1359)</f>
        <v>2018</v>
      </c>
      <c r="T1359" s="0" t="n">
        <f aca="false">MONTH(Q1359)</f>
        <v>11</v>
      </c>
    </row>
    <row r="1360" customFormat="false" ht="42.75" hidden="true" customHeight="false" outlineLevel="0" collapsed="false">
      <c r="A1360" s="0" t="n">
        <v>1360</v>
      </c>
      <c r="B1360" s="1" t="s">
        <v>1015</v>
      </c>
      <c r="C1360" s="1" t="s">
        <v>1479</v>
      </c>
      <c r="D1360" s="1" t="s">
        <v>1535</v>
      </c>
      <c r="E1360" s="0" t="s">
        <v>39</v>
      </c>
      <c r="F1360" s="0" t="s">
        <v>50</v>
      </c>
      <c r="G1360" s="0" t="s">
        <v>8326</v>
      </c>
      <c r="K1360" s="0" t="n">
        <v>0</v>
      </c>
      <c r="M1360" s="0" t="s">
        <v>8327</v>
      </c>
      <c r="N1360" s="0" t="s">
        <v>8328</v>
      </c>
      <c r="P1360" s="7" t="s">
        <v>8329</v>
      </c>
      <c r="Q1360" s="2" t="n">
        <v>43415</v>
      </c>
      <c r="S1360" s="0" t="n">
        <f aca="false">YEAR(Q1360)</f>
        <v>2018</v>
      </c>
      <c r="T1360" s="0" t="n">
        <f aca="false">MONTH(Q1360)</f>
        <v>11</v>
      </c>
    </row>
    <row r="1361" customFormat="false" ht="28.5" hidden="true" customHeight="false" outlineLevel="0" collapsed="false">
      <c r="A1361" s="0" t="n">
        <v>1361</v>
      </c>
      <c r="B1361" s="1" t="s">
        <v>1015</v>
      </c>
      <c r="C1361" s="1" t="s">
        <v>1479</v>
      </c>
      <c r="D1361" s="1" t="s">
        <v>1535</v>
      </c>
      <c r="E1361" s="0" t="s">
        <v>39</v>
      </c>
      <c r="F1361" s="0" t="s">
        <v>50</v>
      </c>
      <c r="G1361" s="0" t="s">
        <v>8330</v>
      </c>
      <c r="I1361" s="6" t="n">
        <v>0.159722222222222</v>
      </c>
      <c r="J1361" s="6" t="n">
        <v>0.161805555555556</v>
      </c>
      <c r="K1361" s="0" t="n">
        <v>18</v>
      </c>
      <c r="L1361" s="0" t="n">
        <v>18</v>
      </c>
      <c r="M1361" s="0" t="s">
        <v>8331</v>
      </c>
      <c r="N1361" s="0" t="s">
        <v>8332</v>
      </c>
      <c r="P1361" s="7" t="s">
        <v>8333</v>
      </c>
      <c r="Q1361" s="2" t="n">
        <v>43415</v>
      </c>
      <c r="S1361" s="0" t="n">
        <f aca="false">YEAR(Q1361)</f>
        <v>2018</v>
      </c>
      <c r="T1361" s="0" t="n">
        <f aca="false">MONTH(Q1361)</f>
        <v>11</v>
      </c>
    </row>
    <row r="1362" customFormat="false" ht="72" hidden="true" customHeight="false" outlineLevel="0" collapsed="false">
      <c r="A1362" s="0" t="n">
        <v>1362</v>
      </c>
      <c r="B1362" s="1" t="s">
        <v>1016</v>
      </c>
      <c r="C1362" s="1" t="s">
        <v>1479</v>
      </c>
      <c r="D1362" s="1" t="s">
        <v>1535</v>
      </c>
      <c r="E1362" s="0" t="s">
        <v>39</v>
      </c>
      <c r="F1362" s="0" t="s">
        <v>48</v>
      </c>
      <c r="G1362" s="0" t="s">
        <v>8334</v>
      </c>
      <c r="I1362" s="6" t="n">
        <v>0.323611111111111</v>
      </c>
      <c r="J1362" s="6" t="n">
        <v>0.370138888888889</v>
      </c>
      <c r="K1362" s="0" t="n">
        <v>31</v>
      </c>
      <c r="L1362" s="0" t="n">
        <v>31</v>
      </c>
      <c r="M1362" s="0" t="s">
        <v>8335</v>
      </c>
      <c r="N1362" s="0" t="s">
        <v>8336</v>
      </c>
      <c r="P1362" s="7" t="s">
        <v>8337</v>
      </c>
      <c r="Q1362" s="2" t="n">
        <v>43416</v>
      </c>
      <c r="S1362" s="0" t="n">
        <f aca="false">YEAR(Q1362)</f>
        <v>2018</v>
      </c>
      <c r="T1362" s="0" t="n">
        <f aca="false">MONTH(Q1362)</f>
        <v>11</v>
      </c>
    </row>
    <row r="1363" customFormat="false" ht="14.25" hidden="true" customHeight="false" outlineLevel="0" collapsed="false">
      <c r="A1363" s="0" t="n">
        <v>1363</v>
      </c>
      <c r="B1363" s="1" t="s">
        <v>1016</v>
      </c>
      <c r="C1363" s="1" t="s">
        <v>1503</v>
      </c>
      <c r="D1363" s="1" t="s">
        <v>1504</v>
      </c>
      <c r="E1363" s="0" t="s">
        <v>45</v>
      </c>
      <c r="F1363" s="0" t="s">
        <v>49</v>
      </c>
      <c r="G1363" s="0" t="s">
        <v>8338</v>
      </c>
      <c r="I1363" s="6" t="n">
        <v>0.5</v>
      </c>
      <c r="J1363" s="6" t="n">
        <v>0.684027777777778</v>
      </c>
      <c r="L1363" s="0" t="n">
        <v>300</v>
      </c>
      <c r="M1363" s="0" t="s">
        <v>8339</v>
      </c>
      <c r="N1363" s="0" t="s">
        <v>8340</v>
      </c>
      <c r="P1363" s="0" t="s">
        <v>8341</v>
      </c>
      <c r="Q1363" s="2" t="n">
        <v>43416</v>
      </c>
      <c r="S1363" s="0" t="n">
        <f aca="false">YEAR(Q1363)</f>
        <v>2018</v>
      </c>
      <c r="T1363" s="0" t="n">
        <f aca="false">MONTH(Q1363)</f>
        <v>11</v>
      </c>
    </row>
    <row r="1364" customFormat="false" ht="14.25" hidden="true" customHeight="false" outlineLevel="0" collapsed="false">
      <c r="A1364" s="0" t="n">
        <v>1364</v>
      </c>
      <c r="B1364" s="1" t="s">
        <v>1018</v>
      </c>
      <c r="C1364" s="1" t="s">
        <v>1479</v>
      </c>
      <c r="D1364" s="1" t="s">
        <v>1487</v>
      </c>
      <c r="E1364" s="0" t="s">
        <v>1488</v>
      </c>
      <c r="F1364" s="0" t="s">
        <v>49</v>
      </c>
      <c r="G1364" s="0" t="s">
        <v>8342</v>
      </c>
      <c r="I1364" s="6" t="n">
        <v>0.581944444444444</v>
      </c>
      <c r="J1364" s="6" t="n">
        <v>0.590277777777778</v>
      </c>
      <c r="L1364" s="0" t="n">
        <v>35</v>
      </c>
      <c r="M1364" s="0" t="s">
        <v>8343</v>
      </c>
      <c r="N1364" s="0" t="s">
        <v>8344</v>
      </c>
      <c r="P1364" s="0" t="s">
        <v>8345</v>
      </c>
      <c r="Q1364" s="2" t="n">
        <v>43417</v>
      </c>
      <c r="S1364" s="0" t="n">
        <f aca="false">YEAR(Q1364)</f>
        <v>2018</v>
      </c>
      <c r="T1364" s="0" t="n">
        <f aca="false">MONTH(Q1364)</f>
        <v>11</v>
      </c>
    </row>
    <row r="1365" customFormat="false" ht="14.25" hidden="true" customHeight="false" outlineLevel="0" collapsed="false">
      <c r="A1365" s="0" t="n">
        <v>1365</v>
      </c>
      <c r="B1365" s="1" t="s">
        <v>1018</v>
      </c>
      <c r="C1365" s="1" t="s">
        <v>1479</v>
      </c>
      <c r="D1365" s="1" t="s">
        <v>1535</v>
      </c>
      <c r="E1365" s="0" t="s">
        <v>39</v>
      </c>
      <c r="F1365" s="0" t="s">
        <v>49</v>
      </c>
      <c r="G1365" s="0" t="s">
        <v>8346</v>
      </c>
      <c r="I1365" s="6" t="n">
        <v>0.630555555555556</v>
      </c>
      <c r="J1365" s="6" t="n">
        <v>0.635416666666667</v>
      </c>
      <c r="L1365" s="0" t="n">
        <v>52</v>
      </c>
      <c r="M1365" s="0" t="s">
        <v>8347</v>
      </c>
      <c r="N1365" s="0" t="s">
        <v>8348</v>
      </c>
      <c r="P1365" s="0" t="s">
        <v>8349</v>
      </c>
      <c r="Q1365" s="2" t="n">
        <v>43417</v>
      </c>
      <c r="S1365" s="0" t="n">
        <f aca="false">YEAR(Q1365)</f>
        <v>2018</v>
      </c>
      <c r="T1365" s="0" t="n">
        <f aca="false">MONTH(Q1365)</f>
        <v>11</v>
      </c>
    </row>
    <row r="1366" customFormat="false" ht="28.5" hidden="true" customHeight="false" outlineLevel="0" collapsed="false">
      <c r="A1366" s="0" t="n">
        <v>1366</v>
      </c>
      <c r="B1366" s="1" t="s">
        <v>1018</v>
      </c>
      <c r="C1366" s="1" t="s">
        <v>1503</v>
      </c>
      <c r="D1366" s="1" t="s">
        <v>1535</v>
      </c>
      <c r="E1366" s="0" t="s">
        <v>44</v>
      </c>
      <c r="F1366" s="0" t="s">
        <v>49</v>
      </c>
      <c r="G1366" s="0" t="s">
        <v>8350</v>
      </c>
      <c r="I1366" s="6"/>
      <c r="J1366" s="6" t="n">
        <v>0.602083333333333</v>
      </c>
      <c r="L1366" s="0" t="n">
        <v>41</v>
      </c>
      <c r="M1366" s="0" t="s">
        <v>8351</v>
      </c>
      <c r="N1366" s="7" t="s">
        <v>8352</v>
      </c>
      <c r="O1366" s="7"/>
      <c r="P1366" s="0" t="s">
        <v>8353</v>
      </c>
      <c r="Q1366" s="2" t="n">
        <v>43417</v>
      </c>
      <c r="S1366" s="0" t="n">
        <f aca="false">YEAR(Q1366)</f>
        <v>2018</v>
      </c>
      <c r="T1366" s="0" t="n">
        <f aca="false">MONTH(Q1366)</f>
        <v>11</v>
      </c>
    </row>
    <row r="1367" customFormat="false" ht="86.25" hidden="true" customHeight="false" outlineLevel="0" collapsed="false">
      <c r="A1367" s="0" t="n">
        <v>1367</v>
      </c>
      <c r="B1367" s="1" t="s">
        <v>1018</v>
      </c>
      <c r="C1367" s="1" t="s">
        <v>1479</v>
      </c>
      <c r="D1367" s="1" t="s">
        <v>1487</v>
      </c>
      <c r="E1367" s="0" t="s">
        <v>1488</v>
      </c>
      <c r="F1367" s="0" t="s">
        <v>50</v>
      </c>
      <c r="G1367" s="0" t="s">
        <v>1489</v>
      </c>
      <c r="J1367" s="6" t="n">
        <v>0.104166666666667</v>
      </c>
      <c r="L1367" s="0" t="n">
        <v>80</v>
      </c>
      <c r="M1367" s="0" t="s">
        <v>8354</v>
      </c>
      <c r="N1367" s="0" t="s">
        <v>8355</v>
      </c>
      <c r="P1367" s="7" t="s">
        <v>8356</v>
      </c>
      <c r="Q1367" s="2" t="n">
        <v>43417</v>
      </c>
      <c r="S1367" s="0" t="n">
        <f aca="false">YEAR(Q1367)</f>
        <v>2018</v>
      </c>
      <c r="T1367" s="0" t="n">
        <f aca="false">MONTH(Q1367)</f>
        <v>11</v>
      </c>
    </row>
    <row r="1368" customFormat="false" ht="14.25" hidden="true" customHeight="false" outlineLevel="0" collapsed="false">
      <c r="A1368" s="0" t="n">
        <v>1368</v>
      </c>
      <c r="B1368" s="1" t="s">
        <v>1018</v>
      </c>
      <c r="C1368" s="1" t="s">
        <v>1479</v>
      </c>
      <c r="D1368" s="1" t="s">
        <v>1535</v>
      </c>
      <c r="E1368" s="0" t="s">
        <v>39</v>
      </c>
      <c r="F1368" s="0" t="s">
        <v>49</v>
      </c>
      <c r="I1368" s="6" t="n">
        <v>0.863888888888889</v>
      </c>
      <c r="J1368" s="6" t="n">
        <v>0.86875</v>
      </c>
      <c r="L1368" s="0" t="n">
        <v>52</v>
      </c>
      <c r="M1368" s="0" t="s">
        <v>8357</v>
      </c>
      <c r="N1368" s="0" t="s">
        <v>8358</v>
      </c>
      <c r="P1368" s="0" t="s">
        <v>8359</v>
      </c>
      <c r="Q1368" s="2" t="n">
        <v>43417</v>
      </c>
      <c r="S1368" s="0" t="n">
        <f aca="false">YEAR(Q1368)</f>
        <v>2018</v>
      </c>
      <c r="T1368" s="0" t="n">
        <f aca="false">MONTH(Q1368)</f>
        <v>11</v>
      </c>
    </row>
    <row r="1369" customFormat="false" ht="28.5" hidden="true" customHeight="false" outlineLevel="0" collapsed="false">
      <c r="A1369" s="0" t="n">
        <v>1373</v>
      </c>
      <c r="B1369" s="1" t="s">
        <v>1021</v>
      </c>
      <c r="C1369" s="1" t="s">
        <v>1479</v>
      </c>
      <c r="D1369" s="1" t="s">
        <v>1535</v>
      </c>
      <c r="E1369" s="0" t="s">
        <v>39</v>
      </c>
      <c r="F1369" s="0" t="s">
        <v>48</v>
      </c>
      <c r="I1369" s="6" t="n">
        <v>0.177083333333333</v>
      </c>
      <c r="J1369" s="6" t="n">
        <v>0.177083333333333</v>
      </c>
      <c r="L1369" s="0" t="n">
        <v>360</v>
      </c>
      <c r="M1369" s="0" t="s">
        <v>8360</v>
      </c>
      <c r="N1369" s="0" t="s">
        <v>8361</v>
      </c>
      <c r="P1369" s="7" t="s">
        <v>8362</v>
      </c>
      <c r="Q1369" s="2" t="n">
        <v>43423</v>
      </c>
      <c r="S1369" s="0" t="n">
        <f aca="false">YEAR(Q1369)</f>
        <v>2018</v>
      </c>
      <c r="T1369" s="0" t="n">
        <f aca="false">MONTH(Q1369)</f>
        <v>11</v>
      </c>
    </row>
    <row r="1370" customFormat="false" ht="14.25" hidden="true" customHeight="false" outlineLevel="0" collapsed="false">
      <c r="A1370" s="0" t="n">
        <v>1374</v>
      </c>
      <c r="B1370" s="1" t="s">
        <v>1021</v>
      </c>
      <c r="C1370" s="1" t="s">
        <v>1503</v>
      </c>
      <c r="D1370" s="1" t="s">
        <v>1504</v>
      </c>
      <c r="E1370" s="0" t="s">
        <v>45</v>
      </c>
      <c r="F1370" s="0" t="s">
        <v>49</v>
      </c>
      <c r="G1370" s="0" t="s">
        <v>8363</v>
      </c>
      <c r="J1370" s="6" t="n">
        <v>0.680555555555555</v>
      </c>
      <c r="L1370" s="0" t="n">
        <v>100</v>
      </c>
      <c r="M1370" s="0" t="s">
        <v>8364</v>
      </c>
      <c r="N1370" s="0" t="s">
        <v>8365</v>
      </c>
      <c r="P1370" s="0" t="s">
        <v>8366</v>
      </c>
      <c r="Q1370" s="2" t="n">
        <v>43423</v>
      </c>
      <c r="S1370" s="0" t="n">
        <f aca="false">YEAR(Q1370)</f>
        <v>2018</v>
      </c>
      <c r="T1370" s="0" t="n">
        <f aca="false">MONTH(Q1370)</f>
        <v>11</v>
      </c>
    </row>
    <row r="1371" customFormat="false" ht="14.25" hidden="true" customHeight="false" outlineLevel="0" collapsed="false">
      <c r="A1371" s="0" t="n">
        <v>1375</v>
      </c>
      <c r="B1371" s="1" t="s">
        <v>1023</v>
      </c>
      <c r="C1371" s="1" t="s">
        <v>1479</v>
      </c>
      <c r="D1371" s="1" t="s">
        <v>1487</v>
      </c>
      <c r="E1371" s="0" t="s">
        <v>1488</v>
      </c>
      <c r="F1371" s="0" t="s">
        <v>50</v>
      </c>
      <c r="G1371" s="0" t="s">
        <v>8367</v>
      </c>
      <c r="I1371" s="6" t="n">
        <v>0.209722222222222</v>
      </c>
      <c r="J1371" s="6" t="n">
        <v>0.225694444444444</v>
      </c>
      <c r="L1371" s="0" t="n">
        <v>65</v>
      </c>
      <c r="M1371" s="0" t="s">
        <v>8368</v>
      </c>
      <c r="N1371" s="0" t="s">
        <v>8369</v>
      </c>
      <c r="P1371" s="0" t="s">
        <v>8370</v>
      </c>
      <c r="Q1371" s="2" t="n">
        <v>43425</v>
      </c>
      <c r="S1371" s="0" t="n">
        <f aca="false">YEAR(Q1371)</f>
        <v>2018</v>
      </c>
      <c r="T1371" s="0" t="n">
        <f aca="false">MONTH(Q1371)</f>
        <v>11</v>
      </c>
    </row>
    <row r="1372" customFormat="false" ht="14.25" hidden="true" customHeight="false" outlineLevel="0" collapsed="false">
      <c r="A1372" s="0" t="n">
        <v>1376</v>
      </c>
      <c r="B1372" s="1" t="s">
        <v>1024</v>
      </c>
      <c r="C1372" s="1" t="s">
        <v>1479</v>
      </c>
      <c r="D1372" s="1" t="s">
        <v>1496</v>
      </c>
      <c r="E1372" s="0" t="s">
        <v>38</v>
      </c>
      <c r="F1372" s="0" t="s">
        <v>49</v>
      </c>
      <c r="G1372" s="0" t="s">
        <v>8371</v>
      </c>
      <c r="I1372" s="6" t="n">
        <v>0.875</v>
      </c>
      <c r="J1372" s="6" t="n">
        <v>0.902777777777778</v>
      </c>
      <c r="K1372" s="0" t="n">
        <v>65</v>
      </c>
      <c r="L1372" s="0" t="n">
        <v>65</v>
      </c>
      <c r="M1372" s="0" t="s">
        <v>8372</v>
      </c>
      <c r="N1372" s="0" t="s">
        <v>8373</v>
      </c>
      <c r="P1372" s="7" t="s">
        <v>8374</v>
      </c>
      <c r="Q1372" s="2" t="n">
        <v>43427</v>
      </c>
      <c r="S1372" s="0" t="n">
        <f aca="false">YEAR(Q1372)</f>
        <v>2018</v>
      </c>
      <c r="T1372" s="0" t="n">
        <f aca="false">MONTH(Q1372)</f>
        <v>11</v>
      </c>
    </row>
    <row r="1373" customFormat="false" ht="28.5" hidden="true" customHeight="false" outlineLevel="0" collapsed="false">
      <c r="A1373" s="0" t="n">
        <v>1377</v>
      </c>
      <c r="B1373" s="1" t="s">
        <v>1024</v>
      </c>
      <c r="C1373" s="1" t="s">
        <v>1495</v>
      </c>
      <c r="D1373" s="1" t="s">
        <v>1496</v>
      </c>
      <c r="E1373" s="0" t="s">
        <v>41</v>
      </c>
      <c r="F1373" s="0" t="s">
        <v>48</v>
      </c>
      <c r="G1373" s="0" t="s">
        <v>8375</v>
      </c>
      <c r="I1373" s="6" t="n">
        <v>0.458333333333333</v>
      </c>
      <c r="J1373" s="6" t="n">
        <v>0.5</v>
      </c>
      <c r="L1373" s="0" t="n">
        <v>110</v>
      </c>
      <c r="M1373" s="0" t="s">
        <v>8376</v>
      </c>
      <c r="N1373" s="7" t="s">
        <v>8377</v>
      </c>
      <c r="O1373" s="7"/>
      <c r="P1373" s="7" t="s">
        <v>8378</v>
      </c>
      <c r="Q1373" s="2" t="n">
        <v>43427</v>
      </c>
      <c r="S1373" s="0" t="n">
        <f aca="false">YEAR(Q1373)</f>
        <v>2018</v>
      </c>
      <c r="T1373" s="0" t="n">
        <f aca="false">MONTH(Q1373)</f>
        <v>11</v>
      </c>
    </row>
    <row r="1374" customFormat="false" ht="14.25" hidden="true" customHeight="false" outlineLevel="0" collapsed="false">
      <c r="A1374" s="0" t="n">
        <v>1378</v>
      </c>
      <c r="B1374" s="1" t="s">
        <v>1027</v>
      </c>
      <c r="C1374" s="1" t="s">
        <v>1479</v>
      </c>
      <c r="D1374" s="1" t="s">
        <v>1487</v>
      </c>
      <c r="E1374" s="0" t="s">
        <v>1488</v>
      </c>
      <c r="F1374" s="0" t="s">
        <v>49</v>
      </c>
      <c r="G1374" s="0" t="s">
        <v>8379</v>
      </c>
      <c r="I1374" s="6" t="n">
        <v>0.64375</v>
      </c>
      <c r="J1374" s="6" t="n">
        <v>0.656944444444444</v>
      </c>
      <c r="K1374" s="0" t="n">
        <v>0</v>
      </c>
      <c r="L1374" s="0" t="n">
        <v>28</v>
      </c>
      <c r="M1374" s="0" t="s">
        <v>8380</v>
      </c>
      <c r="N1374" s="0" t="s">
        <v>8381</v>
      </c>
      <c r="P1374" s="0" t="s">
        <v>8382</v>
      </c>
      <c r="Q1374" s="2" t="n">
        <v>43426</v>
      </c>
      <c r="S1374" s="0" t="n">
        <f aca="false">YEAR(Q1374)</f>
        <v>2018</v>
      </c>
      <c r="T1374" s="0" t="n">
        <f aca="false">MONTH(Q1374)</f>
        <v>11</v>
      </c>
    </row>
    <row r="1375" customFormat="false" ht="28.5" hidden="true" customHeight="false" outlineLevel="0" collapsed="false">
      <c r="A1375" s="0" t="n">
        <v>1379</v>
      </c>
      <c r="B1375" s="1" t="s">
        <v>1027</v>
      </c>
      <c r="C1375" s="1" t="s">
        <v>1479</v>
      </c>
      <c r="D1375" s="1" t="s">
        <v>1487</v>
      </c>
      <c r="E1375" s="4" t="s">
        <v>1488</v>
      </c>
      <c r="F1375" s="0" t="s">
        <v>49</v>
      </c>
      <c r="G1375" s="0" t="s">
        <v>8383</v>
      </c>
      <c r="I1375" s="6" t="n">
        <v>0.868055555555555</v>
      </c>
      <c r="J1375" s="6" t="n">
        <v>0.875</v>
      </c>
      <c r="K1375" s="0" t="n">
        <v>12</v>
      </c>
      <c r="L1375" s="0" t="n">
        <v>27</v>
      </c>
      <c r="M1375" s="0" t="s">
        <v>8384</v>
      </c>
      <c r="N1375" s="0" t="s">
        <v>8385</v>
      </c>
      <c r="P1375" s="7" t="s">
        <v>8386</v>
      </c>
      <c r="Q1375" s="2" t="n">
        <v>43426</v>
      </c>
      <c r="S1375" s="0" t="n">
        <f aca="false">YEAR(Q1375)</f>
        <v>2018</v>
      </c>
      <c r="T1375" s="0" t="n">
        <f aca="false">MONTH(Q1375)</f>
        <v>11</v>
      </c>
    </row>
    <row r="1376" customFormat="false" ht="86.25" hidden="true" customHeight="false" outlineLevel="0" collapsed="false">
      <c r="A1376" s="0" t="n">
        <v>1380</v>
      </c>
      <c r="B1376" s="1" t="s">
        <v>1030</v>
      </c>
      <c r="C1376" s="1" t="s">
        <v>1479</v>
      </c>
      <c r="D1376" s="1" t="s">
        <v>1535</v>
      </c>
      <c r="E1376" s="0" t="s">
        <v>39</v>
      </c>
      <c r="F1376" s="0" t="s">
        <v>50</v>
      </c>
      <c r="G1376" s="0" t="s">
        <v>8387</v>
      </c>
      <c r="I1376" s="6" t="n">
        <v>0.940972222222222</v>
      </c>
      <c r="J1376" s="6" t="n">
        <v>0.944444444444444</v>
      </c>
      <c r="K1376" s="0" t="n">
        <v>0</v>
      </c>
      <c r="L1376" s="0" t="n">
        <v>8</v>
      </c>
      <c r="M1376" s="7" t="s">
        <v>8388</v>
      </c>
      <c r="N1376" s="0" t="s">
        <v>8389</v>
      </c>
      <c r="P1376" s="7" t="s">
        <v>8390</v>
      </c>
      <c r="Q1376" s="2" t="n">
        <v>43429</v>
      </c>
      <c r="S1376" s="0" t="n">
        <f aca="false">YEAR(Q1376)</f>
        <v>2018</v>
      </c>
      <c r="T1376" s="0" t="n">
        <f aca="false">MONTH(Q1376)</f>
        <v>11</v>
      </c>
    </row>
    <row r="1377" customFormat="false" ht="42.75" hidden="true" customHeight="false" outlineLevel="0" collapsed="false">
      <c r="A1377" s="0" t="n">
        <v>1381</v>
      </c>
      <c r="B1377" s="1" t="s">
        <v>1030</v>
      </c>
      <c r="C1377" s="1" t="s">
        <v>1503</v>
      </c>
      <c r="D1377" s="1" t="s">
        <v>1648</v>
      </c>
      <c r="E1377" s="0" t="s">
        <v>8391</v>
      </c>
      <c r="F1377" s="0" t="s">
        <v>50</v>
      </c>
      <c r="G1377" s="0" t="s">
        <v>8392</v>
      </c>
      <c r="J1377" s="6" t="n">
        <v>0.025</v>
      </c>
      <c r="K1377" s="0" t="n">
        <v>0</v>
      </c>
      <c r="L1377" s="0" t="n">
        <v>0</v>
      </c>
      <c r="M1377" s="0" t="s">
        <v>8393</v>
      </c>
      <c r="N1377" s="7" t="s">
        <v>8394</v>
      </c>
      <c r="O1377" s="7"/>
      <c r="P1377" s="7" t="s">
        <v>8395</v>
      </c>
      <c r="Q1377" s="2" t="n">
        <v>43429</v>
      </c>
      <c r="S1377" s="0" t="n">
        <f aca="false">YEAR(Q1377)</f>
        <v>2018</v>
      </c>
      <c r="T1377" s="0" t="n">
        <f aca="false">MONTH(Q1377)</f>
        <v>11</v>
      </c>
    </row>
    <row r="1378" customFormat="false" ht="28.5" hidden="true" customHeight="false" outlineLevel="0" collapsed="false">
      <c r="A1378" s="0" t="n">
        <v>1382</v>
      </c>
      <c r="B1378" s="1" t="s">
        <v>1032</v>
      </c>
      <c r="C1378" s="1" t="s">
        <v>1479</v>
      </c>
      <c r="D1378" s="1" t="s">
        <v>1487</v>
      </c>
      <c r="E1378" s="4" t="s">
        <v>1488</v>
      </c>
      <c r="F1378" s="0" t="s">
        <v>48</v>
      </c>
      <c r="G1378" s="0" t="s">
        <v>8396</v>
      </c>
      <c r="I1378" s="6" t="n">
        <v>0.258333333333333</v>
      </c>
      <c r="J1378" s="6" t="n">
        <v>0.272916666666667</v>
      </c>
      <c r="K1378" s="0" t="n">
        <v>20</v>
      </c>
      <c r="L1378" s="0" t="n">
        <v>35</v>
      </c>
      <c r="M1378" s="0" t="s">
        <v>8397</v>
      </c>
      <c r="N1378" s="0" t="s">
        <v>8398</v>
      </c>
      <c r="P1378" s="7" t="s">
        <v>8399</v>
      </c>
      <c r="Q1378" s="2" t="n">
        <v>43430</v>
      </c>
      <c r="S1378" s="0" t="n">
        <f aca="false">YEAR(Q1378)</f>
        <v>2018</v>
      </c>
      <c r="T1378" s="0" t="n">
        <f aca="false">MONTH(Q1378)</f>
        <v>11</v>
      </c>
    </row>
    <row r="1379" customFormat="false" ht="72" hidden="true" customHeight="false" outlineLevel="0" collapsed="false">
      <c r="A1379" s="0" t="n">
        <v>1383</v>
      </c>
      <c r="B1379" s="1" t="s">
        <v>1032</v>
      </c>
      <c r="C1379" s="1" t="s">
        <v>1479</v>
      </c>
      <c r="D1379" s="1" t="s">
        <v>1496</v>
      </c>
      <c r="E1379" s="0" t="s">
        <v>38</v>
      </c>
      <c r="F1379" s="0" t="s">
        <v>48</v>
      </c>
      <c r="G1379" s="0" t="s">
        <v>8400</v>
      </c>
      <c r="I1379" s="6" t="n">
        <v>0.433333333333333</v>
      </c>
      <c r="J1379" s="6" t="n">
        <v>0.467361111111111</v>
      </c>
      <c r="K1379" s="0" t="n">
        <v>23</v>
      </c>
      <c r="M1379" s="0" t="s">
        <v>8401</v>
      </c>
      <c r="N1379" s="0" t="s">
        <v>8402</v>
      </c>
      <c r="P1379" s="7" t="s">
        <v>8403</v>
      </c>
      <c r="Q1379" s="2" t="n">
        <v>43430</v>
      </c>
      <c r="S1379" s="0" t="n">
        <f aca="false">YEAR(Q1379)</f>
        <v>2018</v>
      </c>
      <c r="T1379" s="0" t="n">
        <f aca="false">MONTH(Q1379)</f>
        <v>11</v>
      </c>
    </row>
    <row r="1380" customFormat="false" ht="72" hidden="true" customHeight="false" outlineLevel="0" collapsed="false">
      <c r="A1380" s="0" t="n">
        <v>1384</v>
      </c>
      <c r="B1380" s="1" t="s">
        <v>1035</v>
      </c>
      <c r="C1380" s="1" t="s">
        <v>1479</v>
      </c>
      <c r="D1380" s="1" t="s">
        <v>1487</v>
      </c>
      <c r="E1380" s="0" t="s">
        <v>1488</v>
      </c>
      <c r="F1380" s="0" t="s">
        <v>48</v>
      </c>
      <c r="G1380" s="0" t="s">
        <v>8404</v>
      </c>
      <c r="I1380" s="6" t="n">
        <v>0.517361111111111</v>
      </c>
      <c r="J1380" s="6" t="n">
        <v>0.527777777777778</v>
      </c>
      <c r="L1380" s="0" t="n">
        <v>65</v>
      </c>
      <c r="M1380" s="0" t="s">
        <v>8405</v>
      </c>
      <c r="N1380" s="0" t="s">
        <v>8406</v>
      </c>
      <c r="P1380" s="7" t="s">
        <v>8407</v>
      </c>
      <c r="Q1380" s="2" t="n">
        <v>43431</v>
      </c>
      <c r="S1380" s="0" t="n">
        <f aca="false">YEAR(Q1380)</f>
        <v>2018</v>
      </c>
      <c r="T1380" s="0" t="n">
        <f aca="false">MONTH(Q1380)</f>
        <v>11</v>
      </c>
    </row>
    <row r="1381" customFormat="false" ht="42.75" hidden="true" customHeight="false" outlineLevel="0" collapsed="false">
      <c r="A1381" s="0" t="n">
        <v>1385</v>
      </c>
      <c r="B1381" s="1" t="s">
        <v>1035</v>
      </c>
      <c r="C1381" s="1" t="s">
        <v>1495</v>
      </c>
      <c r="D1381" s="1" t="s">
        <v>1487</v>
      </c>
      <c r="E1381" s="0" t="s">
        <v>40</v>
      </c>
      <c r="F1381" s="0" t="s">
        <v>48</v>
      </c>
      <c r="I1381" s="6" t="n">
        <v>0.423611111111111</v>
      </c>
      <c r="J1381" s="6" t="n">
        <v>0.458333333333333</v>
      </c>
      <c r="L1381" s="0" t="n">
        <v>60</v>
      </c>
      <c r="M1381" s="7" t="s">
        <v>8408</v>
      </c>
      <c r="N1381" s="0" t="s">
        <v>8409</v>
      </c>
      <c r="P1381" s="0" t="s">
        <v>8410</v>
      </c>
      <c r="Q1381" s="2" t="n">
        <v>43431</v>
      </c>
      <c r="S1381" s="0" t="n">
        <f aca="false">YEAR(Q1381)</f>
        <v>2018</v>
      </c>
      <c r="T1381" s="0" t="n">
        <f aca="false">MONTH(Q1381)</f>
        <v>11</v>
      </c>
    </row>
    <row r="1382" customFormat="false" ht="42.75" hidden="true" customHeight="false" outlineLevel="0" collapsed="false">
      <c r="A1382" s="0" t="n">
        <v>1386</v>
      </c>
      <c r="B1382" s="1" t="s">
        <v>1035</v>
      </c>
      <c r="C1382" s="1" t="s">
        <v>1479</v>
      </c>
      <c r="D1382" s="1" t="s">
        <v>1535</v>
      </c>
      <c r="E1382" s="0" t="s">
        <v>39</v>
      </c>
      <c r="F1382" s="0" t="s">
        <v>49</v>
      </c>
      <c r="G1382" s="0" t="s">
        <v>5624</v>
      </c>
      <c r="I1382" s="6" t="n">
        <v>0.672222222222222</v>
      </c>
      <c r="J1382" s="6" t="n">
        <v>0.675694444444444</v>
      </c>
      <c r="K1382" s="0" t="n">
        <v>3</v>
      </c>
      <c r="L1382" s="0" t="n">
        <v>10</v>
      </c>
      <c r="M1382" s="0" t="s">
        <v>8411</v>
      </c>
      <c r="N1382" s="7" t="s">
        <v>8412</v>
      </c>
      <c r="O1382" s="7"/>
      <c r="P1382" s="0" t="s">
        <v>8413</v>
      </c>
      <c r="Q1382" s="2" t="n">
        <v>43431</v>
      </c>
      <c r="S1382" s="0" t="n">
        <f aca="false">YEAR(Q1382)</f>
        <v>2018</v>
      </c>
      <c r="T1382" s="0" t="n">
        <f aca="false">MONTH(Q1382)</f>
        <v>11</v>
      </c>
    </row>
    <row r="1383" customFormat="false" ht="42.75" hidden="true" customHeight="false" outlineLevel="0" collapsed="false">
      <c r="A1383" s="0" t="n">
        <v>1387</v>
      </c>
      <c r="B1383" s="1" t="s">
        <v>1035</v>
      </c>
      <c r="C1383" s="1" t="s">
        <v>1479</v>
      </c>
      <c r="D1383" s="1" t="s">
        <v>1535</v>
      </c>
      <c r="E1383" s="0" t="s">
        <v>39</v>
      </c>
      <c r="F1383" s="0" t="s">
        <v>50</v>
      </c>
      <c r="G1383" s="0" t="s">
        <v>8414</v>
      </c>
      <c r="I1383" s="6" t="n">
        <v>0.0416666666666667</v>
      </c>
      <c r="J1383" s="6" t="n">
        <v>0.0625</v>
      </c>
      <c r="L1383" s="0" t="n">
        <v>240</v>
      </c>
      <c r="M1383" s="0" t="s">
        <v>8415</v>
      </c>
      <c r="N1383" s="7" t="s">
        <v>8416</v>
      </c>
      <c r="O1383" s="7"/>
      <c r="P1383" s="7" t="s">
        <v>8417</v>
      </c>
      <c r="Q1383" s="2" t="n">
        <v>43431</v>
      </c>
      <c r="S1383" s="0" t="n">
        <f aca="false">YEAR(Q1383)</f>
        <v>2018</v>
      </c>
      <c r="T1383" s="0" t="n">
        <f aca="false">MONTH(Q1383)</f>
        <v>11</v>
      </c>
    </row>
    <row r="1384" customFormat="false" ht="72" hidden="true" customHeight="false" outlineLevel="0" collapsed="false">
      <c r="A1384" s="0" t="n">
        <v>1388</v>
      </c>
      <c r="B1384" s="1" t="s">
        <v>1037</v>
      </c>
      <c r="C1384" s="1" t="s">
        <v>1479</v>
      </c>
      <c r="D1384" s="1" t="s">
        <v>1480</v>
      </c>
      <c r="E1384" s="0" t="s">
        <v>43</v>
      </c>
      <c r="F1384" s="0" t="s">
        <v>48</v>
      </c>
      <c r="G1384" s="0" t="s">
        <v>8418</v>
      </c>
      <c r="I1384" s="6" t="n">
        <v>0.25</v>
      </c>
      <c r="J1384" s="6" t="n">
        <v>0.261805555555556</v>
      </c>
      <c r="M1384" s="0" t="s">
        <v>8419</v>
      </c>
      <c r="N1384" s="0" t="s">
        <v>8420</v>
      </c>
      <c r="P1384" s="7" t="s">
        <v>8421</v>
      </c>
      <c r="Q1384" s="2" t="n">
        <v>43432</v>
      </c>
      <c r="S1384" s="0" t="n">
        <f aca="false">YEAR(Q1384)</f>
        <v>2018</v>
      </c>
      <c r="T1384" s="0" t="n">
        <f aca="false">MONTH(Q1384)</f>
        <v>11</v>
      </c>
    </row>
    <row r="1385" customFormat="false" ht="42.75" hidden="true" customHeight="false" outlineLevel="0" collapsed="false">
      <c r="A1385" s="0" t="n">
        <v>1389</v>
      </c>
      <c r="B1385" s="1" t="s">
        <v>1037</v>
      </c>
      <c r="C1385" s="1" t="s">
        <v>1503</v>
      </c>
      <c r="D1385" s="1" t="s">
        <v>1535</v>
      </c>
      <c r="E1385" s="0" t="s">
        <v>1503</v>
      </c>
      <c r="F1385" s="0" t="s">
        <v>50</v>
      </c>
      <c r="G1385" s="0" t="s">
        <v>3495</v>
      </c>
      <c r="I1385" s="6" t="n">
        <v>0</v>
      </c>
      <c r="J1385" s="6" t="n">
        <v>0.965277777777778</v>
      </c>
      <c r="M1385" s="7" t="s">
        <v>8422</v>
      </c>
      <c r="N1385" s="0" t="s">
        <v>8423</v>
      </c>
      <c r="P1385" s="7" t="s">
        <v>8424</v>
      </c>
      <c r="Q1385" s="2" t="n">
        <v>43432</v>
      </c>
      <c r="S1385" s="0" t="n">
        <f aca="false">YEAR(Q1385)</f>
        <v>2018</v>
      </c>
      <c r="T1385" s="0" t="n">
        <f aca="false">MONTH(Q1385)</f>
        <v>11</v>
      </c>
    </row>
    <row r="1386" customFormat="false" ht="86.25" hidden="true" customHeight="false" outlineLevel="0" collapsed="false">
      <c r="A1386" s="0" t="n">
        <v>1390</v>
      </c>
      <c r="B1386" s="1" t="s">
        <v>1038</v>
      </c>
      <c r="C1386" s="1" t="s">
        <v>1479</v>
      </c>
      <c r="D1386" s="1" t="s">
        <v>1487</v>
      </c>
      <c r="E1386" s="0" t="s">
        <v>1488</v>
      </c>
      <c r="F1386" s="0" t="s">
        <v>48</v>
      </c>
      <c r="G1386" s="0" t="s">
        <v>8425</v>
      </c>
      <c r="I1386" s="6" t="n">
        <v>0.166666666666667</v>
      </c>
      <c r="J1386" s="6" t="n">
        <v>0.229166666666667</v>
      </c>
      <c r="L1386" s="0" t="n">
        <v>280</v>
      </c>
      <c r="M1386" s="0" t="s">
        <v>8426</v>
      </c>
      <c r="N1386" s="0" t="s">
        <v>8427</v>
      </c>
      <c r="P1386" s="7" t="s">
        <v>8428</v>
      </c>
      <c r="Q1386" s="2" t="n">
        <v>43434</v>
      </c>
      <c r="S1386" s="0" t="n">
        <f aca="false">YEAR(Q1386)</f>
        <v>2018</v>
      </c>
      <c r="T1386" s="0" t="n">
        <f aca="false">MONTH(Q1386)</f>
        <v>11</v>
      </c>
    </row>
    <row r="1387" customFormat="false" ht="14.25" hidden="true" customHeight="false" outlineLevel="0" collapsed="false">
      <c r="A1387" s="0" t="n">
        <v>1391</v>
      </c>
      <c r="B1387" s="1" t="s">
        <v>1038</v>
      </c>
      <c r="C1387" s="1" t="s">
        <v>1479</v>
      </c>
      <c r="D1387" s="1" t="s">
        <v>1480</v>
      </c>
      <c r="E1387" s="0" t="s">
        <v>43</v>
      </c>
      <c r="F1387" s="0" t="s">
        <v>50</v>
      </c>
      <c r="G1387" s="0" t="s">
        <v>8429</v>
      </c>
      <c r="I1387" s="6" t="n">
        <v>0.0833333333333333</v>
      </c>
      <c r="M1387" s="0" t="s">
        <v>8430</v>
      </c>
      <c r="N1387" s="0" t="s">
        <v>8430</v>
      </c>
      <c r="P1387" s="0" t="s">
        <v>8431</v>
      </c>
      <c r="Q1387" s="2" t="n">
        <v>43434</v>
      </c>
      <c r="S1387" s="0" t="n">
        <f aca="false">YEAR(Q1387)</f>
        <v>2018</v>
      </c>
      <c r="T1387" s="0" t="n">
        <f aca="false">MONTH(Q1387)</f>
        <v>11</v>
      </c>
    </row>
    <row r="1388" customFormat="false" ht="14.25" hidden="true" customHeight="false" outlineLevel="0" collapsed="false">
      <c r="A1388" s="0" t="n">
        <v>1392</v>
      </c>
      <c r="B1388" s="1" t="s">
        <v>1039</v>
      </c>
      <c r="C1388" s="1" t="s">
        <v>1503</v>
      </c>
      <c r="D1388" s="1" t="s">
        <v>1535</v>
      </c>
      <c r="E1388" s="0" t="s">
        <v>44</v>
      </c>
      <c r="F1388" s="0" t="s">
        <v>48</v>
      </c>
      <c r="G1388" s="0" t="s">
        <v>8432</v>
      </c>
      <c r="I1388" s="6" t="n">
        <v>0.246527777777778</v>
      </c>
      <c r="J1388" s="6" t="n">
        <v>0.249305555555556</v>
      </c>
      <c r="K1388" s="0" t="n">
        <v>27</v>
      </c>
      <c r="L1388" s="0" t="n">
        <v>50</v>
      </c>
      <c r="M1388" s="0" t="s">
        <v>8433</v>
      </c>
      <c r="N1388" s="0" t="s">
        <v>8434</v>
      </c>
      <c r="P1388" s="0" t="s">
        <v>8435</v>
      </c>
      <c r="Q1388" s="2" t="n">
        <v>43433</v>
      </c>
      <c r="S1388" s="0" t="n">
        <f aca="false">YEAR(Q1388)</f>
        <v>2018</v>
      </c>
      <c r="T1388" s="0" t="n">
        <f aca="false">MONTH(Q1388)</f>
        <v>11</v>
      </c>
    </row>
    <row r="1389" customFormat="false" ht="72" hidden="true" customHeight="false" outlineLevel="0" collapsed="false">
      <c r="A1389" s="0" t="n">
        <v>1393</v>
      </c>
      <c r="B1389" s="1" t="s">
        <v>1039</v>
      </c>
      <c r="C1389" s="1" t="s">
        <v>1503</v>
      </c>
      <c r="D1389" s="1" t="s">
        <v>1504</v>
      </c>
      <c r="E1389" s="0" t="s">
        <v>45</v>
      </c>
      <c r="F1389" s="0" t="s">
        <v>48</v>
      </c>
      <c r="G1389" s="0" t="s">
        <v>8436</v>
      </c>
      <c r="I1389" s="6" t="n">
        <v>0</v>
      </c>
      <c r="J1389" s="6" t="n">
        <v>0.291666666666667</v>
      </c>
      <c r="M1389" s="0" t="s">
        <v>8437</v>
      </c>
      <c r="N1389" s="0" t="s">
        <v>8438</v>
      </c>
      <c r="P1389" s="7" t="s">
        <v>8439</v>
      </c>
      <c r="Q1389" s="2" t="n">
        <v>43433</v>
      </c>
      <c r="S1389" s="0" t="n">
        <f aca="false">YEAR(Q1389)</f>
        <v>2018</v>
      </c>
      <c r="T1389" s="0" t="n">
        <f aca="false">MONTH(Q1389)</f>
        <v>11</v>
      </c>
    </row>
    <row r="1390" customFormat="false" ht="28.5" hidden="true" customHeight="false" outlineLevel="0" collapsed="false">
      <c r="A1390" s="0" t="n">
        <v>1394</v>
      </c>
      <c r="B1390" s="1" t="s">
        <v>1039</v>
      </c>
      <c r="C1390" s="1" t="s">
        <v>1479</v>
      </c>
      <c r="D1390" s="1" t="s">
        <v>1487</v>
      </c>
      <c r="E1390" s="4" t="s">
        <v>1488</v>
      </c>
      <c r="F1390" s="0" t="s">
        <v>49</v>
      </c>
      <c r="G1390" s="0" t="s">
        <v>8440</v>
      </c>
      <c r="I1390" s="6" t="n">
        <v>0.736111111111111</v>
      </c>
      <c r="J1390" s="6" t="n">
        <v>0.747222222222222</v>
      </c>
      <c r="K1390" s="0" t="n">
        <v>9</v>
      </c>
      <c r="L1390" s="0" t="n">
        <v>29</v>
      </c>
      <c r="M1390" s="0" t="s">
        <v>8441</v>
      </c>
      <c r="N1390" s="0" t="s">
        <v>8442</v>
      </c>
      <c r="P1390" s="7" t="s">
        <v>8443</v>
      </c>
      <c r="Q1390" s="2" t="n">
        <v>43433</v>
      </c>
      <c r="S1390" s="0" t="n">
        <f aca="false">YEAR(Q1390)</f>
        <v>2018</v>
      </c>
      <c r="T1390" s="0" t="n">
        <f aca="false">MONTH(Q1390)</f>
        <v>11</v>
      </c>
    </row>
    <row r="1391" customFormat="false" ht="42.75" hidden="true" customHeight="false" outlineLevel="0" collapsed="false">
      <c r="A1391" s="0" t="n">
        <v>1395</v>
      </c>
      <c r="B1391" s="1" t="s">
        <v>1039</v>
      </c>
      <c r="C1391" s="1" t="s">
        <v>1479</v>
      </c>
      <c r="D1391" s="1" t="s">
        <v>1487</v>
      </c>
      <c r="E1391" s="0" t="s">
        <v>1488</v>
      </c>
      <c r="F1391" s="0" t="s">
        <v>49</v>
      </c>
      <c r="G1391" s="0" t="s">
        <v>8444</v>
      </c>
      <c r="I1391" s="6" t="n">
        <v>0.729166666666667</v>
      </c>
      <c r="L1391" s="0" t="n">
        <v>42</v>
      </c>
      <c r="M1391" s="0" t="s">
        <v>8445</v>
      </c>
      <c r="N1391" s="0" t="s">
        <v>8446</v>
      </c>
      <c r="P1391" s="7" t="s">
        <v>8447</v>
      </c>
      <c r="Q1391" s="2" t="n">
        <v>43433</v>
      </c>
      <c r="S1391" s="0" t="n">
        <f aca="false">YEAR(Q1391)</f>
        <v>2018</v>
      </c>
      <c r="T1391" s="0" t="n">
        <f aca="false">MONTH(Q1391)</f>
        <v>11</v>
      </c>
    </row>
    <row r="1392" customFormat="false" ht="86.25" hidden="true" customHeight="false" outlineLevel="0" collapsed="false">
      <c r="A1392" s="0" t="n">
        <v>1396</v>
      </c>
      <c r="B1392" s="1" t="s">
        <v>1039</v>
      </c>
      <c r="C1392" s="1" t="s">
        <v>1503</v>
      </c>
      <c r="D1392" s="1" t="s">
        <v>1504</v>
      </c>
      <c r="E1392" s="0" t="s">
        <v>45</v>
      </c>
      <c r="F1392" s="0" t="s">
        <v>49</v>
      </c>
      <c r="G1392" s="0" t="s">
        <v>8448</v>
      </c>
      <c r="I1392" s="6" t="n">
        <v>0.729166666666667</v>
      </c>
      <c r="J1392" s="6" t="n">
        <v>0.779861111111111</v>
      </c>
      <c r="L1392" s="0" t="n">
        <v>210</v>
      </c>
      <c r="M1392" s="0" t="s">
        <v>8449</v>
      </c>
      <c r="N1392" s="0" t="s">
        <v>8450</v>
      </c>
      <c r="P1392" s="7" t="s">
        <v>8451</v>
      </c>
      <c r="Q1392" s="2" t="n">
        <v>43433</v>
      </c>
      <c r="S1392" s="0" t="n">
        <f aca="false">YEAR(Q1392)</f>
        <v>2018</v>
      </c>
      <c r="T1392" s="0" t="n">
        <f aca="false">MONTH(Q1392)</f>
        <v>11</v>
      </c>
    </row>
    <row r="1393" customFormat="false" ht="14.25" hidden="true" customHeight="false" outlineLevel="0" collapsed="false">
      <c r="A1393" s="0" t="n">
        <v>1397</v>
      </c>
      <c r="B1393" s="1" t="s">
        <v>1039</v>
      </c>
      <c r="C1393" s="1" t="s">
        <v>1479</v>
      </c>
      <c r="D1393" s="1" t="s">
        <v>1535</v>
      </c>
      <c r="E1393" s="0" t="s">
        <v>39</v>
      </c>
      <c r="F1393" s="0" t="s">
        <v>50</v>
      </c>
      <c r="G1393" s="0" t="s">
        <v>8452</v>
      </c>
      <c r="I1393" s="6" t="n">
        <v>0.0208333333333333</v>
      </c>
      <c r="J1393" s="6" t="n">
        <v>0.0277777777777778</v>
      </c>
      <c r="K1393" s="0" t="n">
        <v>2</v>
      </c>
      <c r="L1393" s="0" t="n">
        <v>15</v>
      </c>
      <c r="M1393" s="0" t="s">
        <v>8453</v>
      </c>
      <c r="N1393" s="0" t="s">
        <v>8454</v>
      </c>
      <c r="P1393" s="0" t="s">
        <v>8455</v>
      </c>
      <c r="Q1393" s="2" t="n">
        <v>43433</v>
      </c>
      <c r="S1393" s="0" t="n">
        <f aca="false">YEAR(Q1393)</f>
        <v>2018</v>
      </c>
      <c r="T1393" s="0" t="n">
        <f aca="false">MONTH(Q1393)</f>
        <v>11</v>
      </c>
    </row>
    <row r="1394" customFormat="false" ht="14.25" hidden="true" customHeight="false" outlineLevel="0" collapsed="false">
      <c r="A1394" s="0" t="n">
        <v>1398</v>
      </c>
      <c r="B1394" s="1" t="s">
        <v>1039</v>
      </c>
      <c r="C1394" s="1" t="s">
        <v>1479</v>
      </c>
      <c r="D1394" s="1" t="s">
        <v>1496</v>
      </c>
      <c r="E1394" s="0" t="s">
        <v>38</v>
      </c>
      <c r="F1394" s="0" t="s">
        <v>50</v>
      </c>
      <c r="G1394" s="0" t="s">
        <v>8456</v>
      </c>
      <c r="I1394" s="6" t="n">
        <v>0.0416666666666667</v>
      </c>
      <c r="J1394" s="6" t="n">
        <v>0.0486111111111111</v>
      </c>
      <c r="K1394" s="0" t="n">
        <v>3</v>
      </c>
      <c r="L1394" s="0" t="n">
        <v>13</v>
      </c>
      <c r="M1394" s="0" t="s">
        <v>8457</v>
      </c>
      <c r="N1394" s="0" t="s">
        <v>8458</v>
      </c>
      <c r="P1394" s="0" t="s">
        <v>8459</v>
      </c>
      <c r="Q1394" s="2" t="n">
        <v>43433</v>
      </c>
      <c r="S1394" s="0" t="n">
        <f aca="false">YEAR(Q1394)</f>
        <v>2018</v>
      </c>
      <c r="T1394" s="0" t="n">
        <f aca="false">MONTH(Q1394)</f>
        <v>11</v>
      </c>
    </row>
    <row r="1395" customFormat="false" ht="28.5" hidden="true" customHeight="false" outlineLevel="0" collapsed="false">
      <c r="A1395" s="0" t="n">
        <v>1399</v>
      </c>
      <c r="B1395" s="1" t="s">
        <v>1041</v>
      </c>
      <c r="C1395" s="1" t="s">
        <v>1479</v>
      </c>
      <c r="D1395" s="1" t="s">
        <v>1487</v>
      </c>
      <c r="E1395" s="0" t="s">
        <v>1488</v>
      </c>
      <c r="F1395" s="0" t="s">
        <v>50</v>
      </c>
      <c r="G1395" s="0" t="s">
        <v>8460</v>
      </c>
      <c r="I1395" s="6" t="n">
        <v>0</v>
      </c>
      <c r="J1395" s="6" t="n">
        <v>0.143055555555556</v>
      </c>
      <c r="M1395" s="0" t="s">
        <v>8461</v>
      </c>
      <c r="N1395" s="0" t="s">
        <v>8462</v>
      </c>
      <c r="P1395" s="7" t="s">
        <v>8463</v>
      </c>
      <c r="Q1395" s="2" t="n">
        <v>43437</v>
      </c>
      <c r="S1395" s="0" t="n">
        <f aca="false">YEAR(Q1395)</f>
        <v>2018</v>
      </c>
      <c r="T1395" s="0" t="n">
        <f aca="false">MONTH(Q1395)</f>
        <v>12</v>
      </c>
    </row>
    <row r="1396" customFormat="false" ht="14.25" hidden="true" customHeight="false" outlineLevel="0" collapsed="false">
      <c r="A1396" s="0" t="n">
        <v>1400</v>
      </c>
      <c r="B1396" s="1" t="s">
        <v>1041</v>
      </c>
      <c r="C1396" s="1" t="s">
        <v>1479</v>
      </c>
      <c r="D1396" s="1" t="s">
        <v>1535</v>
      </c>
      <c r="E1396" s="0" t="s">
        <v>39</v>
      </c>
      <c r="F1396" s="0" t="s">
        <v>48</v>
      </c>
      <c r="G1396" s="0" t="s">
        <v>8464</v>
      </c>
      <c r="I1396" s="6" t="n">
        <v>0.208333333333333</v>
      </c>
      <c r="J1396" s="6" t="n">
        <v>0.225694444444444</v>
      </c>
      <c r="L1396" s="0" t="n">
        <v>25</v>
      </c>
      <c r="M1396" s="0" t="s">
        <v>8465</v>
      </c>
      <c r="N1396" s="0" t="s">
        <v>8466</v>
      </c>
      <c r="P1396" s="0" t="s">
        <v>8467</v>
      </c>
      <c r="Q1396" s="2" t="n">
        <v>43437</v>
      </c>
      <c r="S1396" s="0" t="n">
        <f aca="false">YEAR(Q1396)</f>
        <v>2018</v>
      </c>
      <c r="T1396" s="0" t="n">
        <f aca="false">MONTH(Q1396)</f>
        <v>12</v>
      </c>
    </row>
    <row r="1397" customFormat="false" ht="28.5" hidden="true" customHeight="false" outlineLevel="0" collapsed="false">
      <c r="A1397" s="0" t="n">
        <v>1401</v>
      </c>
      <c r="B1397" s="1" t="s">
        <v>1041</v>
      </c>
      <c r="C1397" s="1" t="s">
        <v>1479</v>
      </c>
      <c r="D1397" s="1" t="s">
        <v>1487</v>
      </c>
      <c r="E1397" s="0" t="s">
        <v>1488</v>
      </c>
      <c r="F1397" s="0" t="s">
        <v>48</v>
      </c>
      <c r="I1397" s="6" t="n">
        <v>0.315972222222222</v>
      </c>
      <c r="J1397" s="6" t="n">
        <v>0.322916666666667</v>
      </c>
      <c r="L1397" s="0" t="n">
        <v>20</v>
      </c>
      <c r="M1397" s="0" t="s">
        <v>8468</v>
      </c>
      <c r="N1397" s="0" t="s">
        <v>8469</v>
      </c>
      <c r="P1397" s="7" t="s">
        <v>8470</v>
      </c>
      <c r="Q1397" s="2" t="n">
        <v>43437</v>
      </c>
      <c r="S1397" s="0" t="n">
        <f aca="false">YEAR(Q1397)</f>
        <v>2018</v>
      </c>
      <c r="T1397" s="0" t="n">
        <f aca="false">MONTH(Q1397)</f>
        <v>12</v>
      </c>
    </row>
    <row r="1398" customFormat="false" ht="14.25" hidden="true" customHeight="false" outlineLevel="0" collapsed="false">
      <c r="A1398" s="0" t="n">
        <v>1402</v>
      </c>
      <c r="B1398" s="1" t="s">
        <v>1041</v>
      </c>
      <c r="C1398" s="1" t="s">
        <v>1479</v>
      </c>
      <c r="D1398" s="1" t="s">
        <v>1487</v>
      </c>
      <c r="E1398" s="4" t="s">
        <v>1488</v>
      </c>
      <c r="F1398" s="0" t="s">
        <v>49</v>
      </c>
      <c r="G1398" s="0" t="s">
        <v>8471</v>
      </c>
      <c r="I1398" s="6" t="n">
        <v>0.878472222222222</v>
      </c>
      <c r="J1398" s="6" t="n">
        <v>0.895833333333333</v>
      </c>
      <c r="K1398" s="0" t="n">
        <v>15</v>
      </c>
      <c r="M1398" s="0" t="s">
        <v>8472</v>
      </c>
      <c r="N1398" s="0" t="s">
        <v>8473</v>
      </c>
      <c r="P1398" s="0" t="s">
        <v>8474</v>
      </c>
      <c r="Q1398" s="2" t="n">
        <v>43437</v>
      </c>
      <c r="S1398" s="0" t="n">
        <f aca="false">YEAR(Q1398)</f>
        <v>2018</v>
      </c>
      <c r="T1398" s="0" t="n">
        <f aca="false">MONTH(Q1398)</f>
        <v>12</v>
      </c>
    </row>
    <row r="1399" customFormat="false" ht="14.25" hidden="true" customHeight="false" outlineLevel="0" collapsed="false">
      <c r="A1399" s="0" t="n">
        <v>1403</v>
      </c>
      <c r="B1399" s="1" t="s">
        <v>1042</v>
      </c>
      <c r="C1399" s="1" t="s">
        <v>1479</v>
      </c>
      <c r="D1399" s="1" t="s">
        <v>1535</v>
      </c>
      <c r="E1399" s="0" t="s">
        <v>39</v>
      </c>
      <c r="F1399" s="0" t="s">
        <v>48</v>
      </c>
      <c r="G1399" s="0" t="s">
        <v>8475</v>
      </c>
      <c r="I1399" s="6" t="n">
        <v>0.168055555555556</v>
      </c>
      <c r="J1399" s="6" t="n">
        <v>0.40625</v>
      </c>
      <c r="K1399" s="0" t="n">
        <v>27</v>
      </c>
      <c r="L1399" s="0" t="n">
        <v>27</v>
      </c>
      <c r="M1399" s="0" t="s">
        <v>4891</v>
      </c>
      <c r="N1399" s="0" t="s">
        <v>8476</v>
      </c>
      <c r="P1399" s="0" t="s">
        <v>8477</v>
      </c>
      <c r="Q1399" s="2" t="n">
        <v>43438</v>
      </c>
      <c r="S1399" s="0" t="n">
        <f aca="false">YEAR(Q1399)</f>
        <v>2018</v>
      </c>
      <c r="T1399" s="0" t="n">
        <f aca="false">MONTH(Q1399)</f>
        <v>12</v>
      </c>
    </row>
    <row r="1400" customFormat="false" ht="28.5" hidden="true" customHeight="false" outlineLevel="0" collapsed="false">
      <c r="A1400" s="0" t="n">
        <v>1404</v>
      </c>
      <c r="B1400" s="1" t="s">
        <v>1042</v>
      </c>
      <c r="C1400" s="1" t="s">
        <v>1479</v>
      </c>
      <c r="D1400" s="1" t="s">
        <v>1487</v>
      </c>
      <c r="E1400" s="0" t="s">
        <v>1488</v>
      </c>
      <c r="F1400" s="0" t="s">
        <v>48</v>
      </c>
      <c r="G1400" s="0" t="s">
        <v>8478</v>
      </c>
      <c r="I1400" s="6" t="n">
        <v>0.541666666666667</v>
      </c>
      <c r="J1400" s="6" t="n">
        <v>0.569444444444444</v>
      </c>
      <c r="K1400" s="0" t="n">
        <v>0</v>
      </c>
      <c r="L1400" s="0" t="n">
        <v>50</v>
      </c>
      <c r="M1400" s="7" t="s">
        <v>8479</v>
      </c>
      <c r="N1400" s="0" t="s">
        <v>8480</v>
      </c>
      <c r="P1400" s="7" t="s">
        <v>8481</v>
      </c>
      <c r="Q1400" s="2" t="n">
        <v>43438</v>
      </c>
      <c r="S1400" s="0" t="n">
        <f aca="false">YEAR(Q1400)</f>
        <v>2018</v>
      </c>
      <c r="T1400" s="0" t="n">
        <f aca="false">MONTH(Q1400)</f>
        <v>12</v>
      </c>
    </row>
    <row r="1401" customFormat="false" ht="42.75" hidden="true" customHeight="false" outlineLevel="0" collapsed="false">
      <c r="A1401" s="0" t="n">
        <v>1405</v>
      </c>
      <c r="B1401" s="1" t="s">
        <v>1043</v>
      </c>
      <c r="C1401" s="1" t="s">
        <v>1479</v>
      </c>
      <c r="D1401" s="1" t="s">
        <v>1487</v>
      </c>
      <c r="E1401" s="0" t="s">
        <v>1488</v>
      </c>
      <c r="F1401" s="0" t="s">
        <v>48</v>
      </c>
      <c r="G1401" s="0" t="s">
        <v>8482</v>
      </c>
      <c r="I1401" s="6" t="n">
        <v>0.333333333333333</v>
      </c>
      <c r="J1401" s="6" t="n">
        <v>0.340277777777778</v>
      </c>
      <c r="L1401" s="0" t="n">
        <v>15</v>
      </c>
      <c r="M1401" s="7" t="s">
        <v>8483</v>
      </c>
      <c r="N1401" s="0" t="s">
        <v>8484</v>
      </c>
      <c r="P1401" s="0" t="s">
        <v>8485</v>
      </c>
      <c r="Q1401" s="2" t="n">
        <v>43439</v>
      </c>
      <c r="S1401" s="0" t="n">
        <f aca="false">YEAR(Q1401)</f>
        <v>2018</v>
      </c>
      <c r="T1401" s="0" t="n">
        <f aca="false">MONTH(Q1401)</f>
        <v>12</v>
      </c>
    </row>
    <row r="1402" customFormat="false" ht="28.5" hidden="true" customHeight="false" outlineLevel="0" collapsed="false">
      <c r="A1402" s="0" t="n">
        <v>1406</v>
      </c>
      <c r="B1402" s="1" t="s">
        <v>1043</v>
      </c>
      <c r="C1402" s="1" t="s">
        <v>1503</v>
      </c>
      <c r="D1402" s="1" t="s">
        <v>1535</v>
      </c>
      <c r="E1402" s="0" t="s">
        <v>44</v>
      </c>
      <c r="F1402" s="0" t="s">
        <v>48</v>
      </c>
      <c r="G1402" s="0" t="s">
        <v>3495</v>
      </c>
      <c r="I1402" s="6" t="n">
        <v>0.25</v>
      </c>
      <c r="J1402" s="6" t="n">
        <v>0.285416666666667</v>
      </c>
      <c r="L1402" s="0" t="n">
        <v>70</v>
      </c>
      <c r="M1402" s="0" t="s">
        <v>8486</v>
      </c>
      <c r="N1402" s="0" t="s">
        <v>8487</v>
      </c>
      <c r="P1402" s="7" t="s">
        <v>8488</v>
      </c>
      <c r="Q1402" s="2" t="n">
        <v>43439</v>
      </c>
      <c r="S1402" s="0" t="n">
        <f aca="false">YEAR(Q1402)</f>
        <v>2018</v>
      </c>
      <c r="T1402" s="0" t="n">
        <f aca="false">MONTH(Q1402)</f>
        <v>12</v>
      </c>
    </row>
    <row r="1403" customFormat="false" ht="28.5" hidden="true" customHeight="false" outlineLevel="0" collapsed="false">
      <c r="A1403" s="0" t="n">
        <v>1407</v>
      </c>
      <c r="B1403" s="1" t="s">
        <v>1043</v>
      </c>
      <c r="C1403" s="1" t="s">
        <v>1503</v>
      </c>
      <c r="D1403" s="1" t="s">
        <v>1535</v>
      </c>
      <c r="E1403" s="0" t="s">
        <v>44</v>
      </c>
      <c r="F1403" s="0" t="s">
        <v>48</v>
      </c>
      <c r="G1403" s="0" t="s">
        <v>3114</v>
      </c>
      <c r="I1403" s="6" t="n">
        <v>0.302083333333333</v>
      </c>
      <c r="J1403" s="6" t="n">
        <v>0.3125</v>
      </c>
      <c r="K1403" s="0" t="n">
        <v>126</v>
      </c>
      <c r="L1403" s="0" t="n">
        <v>126</v>
      </c>
      <c r="M1403" s="7" t="s">
        <v>8489</v>
      </c>
      <c r="N1403" s="0" t="s">
        <v>8490</v>
      </c>
      <c r="P1403" s="0" t="s">
        <v>8491</v>
      </c>
      <c r="Q1403" s="2" t="n">
        <v>43439</v>
      </c>
      <c r="S1403" s="0" t="n">
        <f aca="false">YEAR(Q1403)</f>
        <v>2018</v>
      </c>
      <c r="T1403" s="0" t="n">
        <f aca="false">MONTH(Q1403)</f>
        <v>12</v>
      </c>
    </row>
    <row r="1404" customFormat="false" ht="14.25" hidden="true" customHeight="false" outlineLevel="0" collapsed="false">
      <c r="A1404" s="0" t="n">
        <v>1408</v>
      </c>
      <c r="B1404" s="1" t="s">
        <v>1043</v>
      </c>
      <c r="C1404" s="1" t="s">
        <v>1503</v>
      </c>
      <c r="D1404" s="1" t="s">
        <v>1535</v>
      </c>
      <c r="E1404" s="0" t="s">
        <v>44</v>
      </c>
      <c r="F1404" s="0" t="s">
        <v>48</v>
      </c>
      <c r="G1404" s="0" t="s">
        <v>5423</v>
      </c>
      <c r="J1404" s="6" t="n">
        <v>0.285416666666667</v>
      </c>
      <c r="M1404" s="0" t="s">
        <v>8492</v>
      </c>
      <c r="N1404" s="0" t="s">
        <v>8493</v>
      </c>
      <c r="P1404" s="0" t="s">
        <v>8494</v>
      </c>
      <c r="Q1404" s="2" t="n">
        <v>43439</v>
      </c>
      <c r="S1404" s="0" t="n">
        <f aca="false">YEAR(Q1404)</f>
        <v>2018</v>
      </c>
      <c r="T1404" s="0" t="n">
        <f aca="false">MONTH(Q1404)</f>
        <v>12</v>
      </c>
    </row>
    <row r="1405" customFormat="false" ht="14.25" hidden="true" customHeight="false" outlineLevel="0" collapsed="false">
      <c r="A1405" s="0" t="n">
        <v>1409</v>
      </c>
      <c r="B1405" s="1" t="s">
        <v>1043</v>
      </c>
      <c r="C1405" s="1" t="s">
        <v>1479</v>
      </c>
      <c r="D1405" s="1" t="s">
        <v>1480</v>
      </c>
      <c r="E1405" s="0" t="s">
        <v>43</v>
      </c>
      <c r="F1405" s="0" t="s">
        <v>49</v>
      </c>
      <c r="G1405" s="0" t="s">
        <v>8495</v>
      </c>
      <c r="I1405" s="6" t="n">
        <v>0.8125</v>
      </c>
      <c r="J1405" s="6" t="n">
        <v>0.861111111111111</v>
      </c>
      <c r="K1405" s="0" t="n">
        <v>15</v>
      </c>
      <c r="L1405" s="0" t="n">
        <v>65</v>
      </c>
      <c r="M1405" s="0" t="s">
        <v>8496</v>
      </c>
      <c r="N1405" s="0" t="s">
        <v>8497</v>
      </c>
      <c r="P1405" s="0" t="s">
        <v>8498</v>
      </c>
      <c r="Q1405" s="2" t="n">
        <v>43439</v>
      </c>
      <c r="S1405" s="0" t="n">
        <f aca="false">YEAR(Q1405)</f>
        <v>2018</v>
      </c>
      <c r="T1405" s="0" t="n">
        <f aca="false">MONTH(Q1405)</f>
        <v>12</v>
      </c>
    </row>
    <row r="1406" customFormat="false" ht="28.5" hidden="true" customHeight="false" outlineLevel="0" collapsed="false">
      <c r="A1406" s="0" t="n">
        <v>1410</v>
      </c>
      <c r="B1406" s="1" t="s">
        <v>1043</v>
      </c>
      <c r="C1406" s="1" t="s">
        <v>1479</v>
      </c>
      <c r="D1406" s="1" t="s">
        <v>1535</v>
      </c>
      <c r="E1406" s="0" t="s">
        <v>39</v>
      </c>
      <c r="F1406" s="0" t="s">
        <v>49</v>
      </c>
      <c r="G1406" s="0" t="s">
        <v>8499</v>
      </c>
      <c r="I1406" s="6" t="n">
        <v>0.854166666666667</v>
      </c>
      <c r="J1406" s="6" t="n">
        <v>0.861111111111111</v>
      </c>
      <c r="K1406" s="0" t="n">
        <v>10</v>
      </c>
      <c r="M1406" s="0" t="s">
        <v>8500</v>
      </c>
      <c r="N1406" s="0" t="s">
        <v>8501</v>
      </c>
      <c r="P1406" s="7" t="s">
        <v>8502</v>
      </c>
      <c r="Q1406" s="2" t="n">
        <v>43439</v>
      </c>
      <c r="S1406" s="0" t="n">
        <f aca="false">YEAR(Q1406)</f>
        <v>2018</v>
      </c>
      <c r="T1406" s="0" t="n">
        <f aca="false">MONTH(Q1406)</f>
        <v>12</v>
      </c>
    </row>
    <row r="1407" customFormat="false" ht="72" hidden="true" customHeight="false" outlineLevel="0" collapsed="false">
      <c r="A1407" s="0" t="n">
        <v>1411</v>
      </c>
      <c r="B1407" s="1" t="s">
        <v>1043</v>
      </c>
      <c r="C1407" s="1" t="s">
        <v>1479</v>
      </c>
      <c r="D1407" s="1" t="s">
        <v>1535</v>
      </c>
      <c r="E1407" s="0" t="s">
        <v>39</v>
      </c>
      <c r="F1407" s="0" t="s">
        <v>49</v>
      </c>
      <c r="G1407" s="0" t="s">
        <v>8503</v>
      </c>
      <c r="I1407" s="6" t="n">
        <v>0.666666666666667</v>
      </c>
      <c r="J1407" s="6" t="n">
        <v>0.677083333333333</v>
      </c>
      <c r="M1407" s="0" t="s">
        <v>8504</v>
      </c>
      <c r="N1407" s="0" t="s">
        <v>8505</v>
      </c>
      <c r="P1407" s="7" t="s">
        <v>8506</v>
      </c>
      <c r="Q1407" s="2" t="n">
        <v>43439</v>
      </c>
      <c r="S1407" s="0" t="n">
        <f aca="false">YEAR(Q1407)</f>
        <v>2018</v>
      </c>
      <c r="T1407" s="0" t="n">
        <f aca="false">MONTH(Q1407)</f>
        <v>12</v>
      </c>
    </row>
    <row r="1408" customFormat="false" ht="28.5" hidden="true" customHeight="false" outlineLevel="0" collapsed="false">
      <c r="A1408" s="0" t="n">
        <v>1412</v>
      </c>
      <c r="B1408" s="1" t="s">
        <v>1043</v>
      </c>
      <c r="C1408" s="1" t="s">
        <v>1479</v>
      </c>
      <c r="D1408" s="1" t="s">
        <v>1480</v>
      </c>
      <c r="E1408" s="0" t="s">
        <v>43</v>
      </c>
      <c r="F1408" s="0" t="s">
        <v>50</v>
      </c>
      <c r="G1408" s="0" t="s">
        <v>8507</v>
      </c>
      <c r="I1408" s="6" t="n">
        <v>0.972222222222222</v>
      </c>
      <c r="J1408" s="6" t="n">
        <v>0.0868055555555556</v>
      </c>
      <c r="L1408" s="0" t="n">
        <v>180</v>
      </c>
      <c r="M1408" s="0" t="s">
        <v>8508</v>
      </c>
      <c r="N1408" s="7" t="s">
        <v>8509</v>
      </c>
      <c r="O1408" s="7"/>
      <c r="P1408" s="0" t="s">
        <v>8510</v>
      </c>
      <c r="Q1408" s="2" t="n">
        <v>43439</v>
      </c>
      <c r="S1408" s="0" t="n">
        <f aca="false">YEAR(Q1408)</f>
        <v>2018</v>
      </c>
      <c r="T1408" s="0" t="n">
        <f aca="false">MONTH(Q1408)</f>
        <v>12</v>
      </c>
    </row>
    <row r="1409" customFormat="false" ht="14.25" hidden="true" customHeight="false" outlineLevel="0" collapsed="false">
      <c r="A1409" s="0" t="n">
        <v>1413</v>
      </c>
      <c r="B1409" s="1" t="s">
        <v>1044</v>
      </c>
      <c r="C1409" s="1" t="s">
        <v>1479</v>
      </c>
      <c r="D1409" s="1" t="s">
        <v>1535</v>
      </c>
      <c r="E1409" s="0" t="s">
        <v>39</v>
      </c>
      <c r="F1409" s="0" t="s">
        <v>48</v>
      </c>
      <c r="G1409" s="0" t="s">
        <v>8511</v>
      </c>
      <c r="M1409" s="0" t="s">
        <v>8512</v>
      </c>
      <c r="N1409" s="0" t="s">
        <v>8513</v>
      </c>
      <c r="P1409" s="0" t="s">
        <v>8514</v>
      </c>
      <c r="Q1409" s="2" t="n">
        <v>43440</v>
      </c>
      <c r="S1409" s="0" t="n">
        <f aca="false">YEAR(Q1409)</f>
        <v>2018</v>
      </c>
      <c r="T1409" s="0" t="n">
        <f aca="false">MONTH(Q1409)</f>
        <v>12</v>
      </c>
    </row>
    <row r="1410" customFormat="false" ht="72" hidden="true" customHeight="false" outlineLevel="0" collapsed="false">
      <c r="A1410" s="0" t="n">
        <v>1414</v>
      </c>
      <c r="B1410" s="1" t="s">
        <v>1044</v>
      </c>
      <c r="C1410" s="1" t="s">
        <v>1479</v>
      </c>
      <c r="D1410" s="1" t="s">
        <v>1487</v>
      </c>
      <c r="E1410" s="0" t="s">
        <v>1488</v>
      </c>
      <c r="F1410" s="0" t="s">
        <v>48</v>
      </c>
      <c r="G1410" s="0" t="s">
        <v>8515</v>
      </c>
      <c r="I1410" s="6" t="n">
        <v>0.502777777777778</v>
      </c>
      <c r="J1410" s="6" t="n">
        <v>0.516666666666667</v>
      </c>
      <c r="M1410" s="0" t="s">
        <v>8516</v>
      </c>
      <c r="N1410" s="7" t="s">
        <v>8517</v>
      </c>
      <c r="O1410" s="7"/>
      <c r="P1410" s="7" t="s">
        <v>8518</v>
      </c>
      <c r="Q1410" s="2" t="n">
        <v>43440</v>
      </c>
      <c r="S1410" s="0" t="n">
        <f aca="false">YEAR(Q1410)</f>
        <v>2018</v>
      </c>
      <c r="T1410" s="0" t="n">
        <f aca="false">MONTH(Q1410)</f>
        <v>12</v>
      </c>
    </row>
    <row r="1411" customFormat="false" ht="14.25" hidden="true" customHeight="false" outlineLevel="0" collapsed="false">
      <c r="A1411" s="0" t="n">
        <v>1415</v>
      </c>
      <c r="B1411" s="1" t="s">
        <v>1045</v>
      </c>
      <c r="C1411" s="1" t="s">
        <v>1479</v>
      </c>
      <c r="D1411" s="1" t="s">
        <v>1535</v>
      </c>
      <c r="E1411" s="0" t="s">
        <v>39</v>
      </c>
      <c r="F1411" s="0" t="s">
        <v>49</v>
      </c>
      <c r="G1411" s="0" t="s">
        <v>8519</v>
      </c>
      <c r="M1411" s="0" t="s">
        <v>8520</v>
      </c>
      <c r="N1411" s="0" t="s">
        <v>8521</v>
      </c>
      <c r="P1411" s="0" t="s">
        <v>8522</v>
      </c>
      <c r="Q1411" s="2" t="n">
        <v>43441</v>
      </c>
      <c r="S1411" s="0" t="n">
        <f aca="false">YEAR(Q1411)</f>
        <v>2018</v>
      </c>
      <c r="T1411" s="0" t="n">
        <f aca="false">MONTH(Q1411)</f>
        <v>12</v>
      </c>
    </row>
    <row r="1412" customFormat="false" ht="42.75" hidden="true" customHeight="false" outlineLevel="0" collapsed="false">
      <c r="A1412" s="0" t="n">
        <v>1416</v>
      </c>
      <c r="B1412" s="1" t="s">
        <v>1047</v>
      </c>
      <c r="C1412" s="1" t="s">
        <v>1479</v>
      </c>
      <c r="D1412" s="1" t="s">
        <v>1535</v>
      </c>
      <c r="E1412" s="0" t="s">
        <v>39</v>
      </c>
      <c r="F1412" s="0" t="s">
        <v>50</v>
      </c>
      <c r="G1412" s="0" t="s">
        <v>4643</v>
      </c>
      <c r="J1412" s="6" t="n">
        <v>0.131944444444444</v>
      </c>
      <c r="K1412" s="0" t="n">
        <v>0</v>
      </c>
      <c r="M1412" s="0" t="s">
        <v>8523</v>
      </c>
      <c r="N1412" s="0" t="s">
        <v>8524</v>
      </c>
      <c r="P1412" s="7" t="s">
        <v>8525</v>
      </c>
      <c r="Q1412" s="2" t="n">
        <v>43443</v>
      </c>
      <c r="S1412" s="0" t="n">
        <f aca="false">YEAR(Q1412)</f>
        <v>2018</v>
      </c>
      <c r="T1412" s="0" t="n">
        <f aca="false">MONTH(Q1412)</f>
        <v>12</v>
      </c>
    </row>
    <row r="1413" customFormat="false" ht="14.25" hidden="true" customHeight="false" outlineLevel="0" collapsed="false">
      <c r="A1413" s="0" t="n">
        <v>1417</v>
      </c>
      <c r="B1413" s="1" t="s">
        <v>1048</v>
      </c>
      <c r="C1413" s="1" t="s">
        <v>1479</v>
      </c>
      <c r="D1413" s="1" t="s">
        <v>1535</v>
      </c>
      <c r="E1413" s="0" t="s">
        <v>39</v>
      </c>
      <c r="F1413" s="0" t="s">
        <v>48</v>
      </c>
      <c r="G1413" s="0" t="s">
        <v>8526</v>
      </c>
      <c r="M1413" s="0" t="s">
        <v>8527</v>
      </c>
      <c r="N1413" s="0" t="s">
        <v>4784</v>
      </c>
      <c r="P1413" s="0" t="s">
        <v>8528</v>
      </c>
      <c r="Q1413" s="2" t="n">
        <v>43444</v>
      </c>
      <c r="S1413" s="0" t="n">
        <f aca="false">YEAR(Q1413)</f>
        <v>2018</v>
      </c>
      <c r="T1413" s="0" t="n">
        <f aca="false">MONTH(Q1413)</f>
        <v>12</v>
      </c>
    </row>
    <row r="1414" customFormat="false" ht="14.25" hidden="true" customHeight="false" outlineLevel="0" collapsed="false">
      <c r="A1414" s="0" t="n">
        <v>1418</v>
      </c>
      <c r="B1414" s="1" t="s">
        <v>1048</v>
      </c>
      <c r="C1414" s="1" t="s">
        <v>1503</v>
      </c>
      <c r="D1414" s="1" t="s">
        <v>1648</v>
      </c>
      <c r="E1414" s="0" t="s">
        <v>1648</v>
      </c>
      <c r="F1414" s="0" t="s">
        <v>50</v>
      </c>
      <c r="G1414" s="0" t="s">
        <v>8529</v>
      </c>
      <c r="J1414" s="6" t="n">
        <v>0.138888888888889</v>
      </c>
      <c r="M1414" s="0" t="s">
        <v>8530</v>
      </c>
      <c r="N1414" s="0" t="s">
        <v>8531</v>
      </c>
      <c r="P1414" s="0" t="s">
        <v>8532</v>
      </c>
      <c r="Q1414" s="2" t="n">
        <v>43444</v>
      </c>
      <c r="S1414" s="0" t="n">
        <f aca="false">YEAR(Q1414)</f>
        <v>2018</v>
      </c>
      <c r="T1414" s="0" t="n">
        <f aca="false">MONTH(Q1414)</f>
        <v>12</v>
      </c>
    </row>
    <row r="1415" customFormat="false" ht="72" hidden="true" customHeight="false" outlineLevel="0" collapsed="false">
      <c r="A1415" s="0" t="n">
        <v>1419</v>
      </c>
      <c r="B1415" s="1" t="s">
        <v>1049</v>
      </c>
      <c r="C1415" s="1" t="s">
        <v>1479</v>
      </c>
      <c r="D1415" s="1" t="s">
        <v>1487</v>
      </c>
      <c r="E1415" s="0" t="s">
        <v>1488</v>
      </c>
      <c r="F1415" s="0" t="s">
        <v>48</v>
      </c>
      <c r="G1415" s="0" t="s">
        <v>8533</v>
      </c>
      <c r="I1415" s="6" t="n">
        <v>0.3875</v>
      </c>
      <c r="J1415" s="6" t="n">
        <v>0.403472222222222</v>
      </c>
      <c r="M1415" s="0" t="s">
        <v>8534</v>
      </c>
      <c r="N1415" s="0" t="s">
        <v>8535</v>
      </c>
      <c r="P1415" s="7" t="s">
        <v>8536</v>
      </c>
      <c r="Q1415" s="2" t="n">
        <v>43445</v>
      </c>
      <c r="S1415" s="0" t="n">
        <f aca="false">YEAR(Q1415)</f>
        <v>2018</v>
      </c>
      <c r="T1415" s="0" t="n">
        <f aca="false">MONTH(Q1415)</f>
        <v>12</v>
      </c>
    </row>
    <row r="1416" customFormat="false" ht="14.25" hidden="true" customHeight="false" outlineLevel="0" collapsed="false">
      <c r="A1416" s="0" t="n">
        <v>1420</v>
      </c>
      <c r="B1416" s="1" t="s">
        <v>1049</v>
      </c>
      <c r="C1416" s="1" t="s">
        <v>1479</v>
      </c>
      <c r="D1416" s="1" t="s">
        <v>1535</v>
      </c>
      <c r="E1416" s="0" t="s">
        <v>39</v>
      </c>
      <c r="F1416" s="0" t="s">
        <v>48</v>
      </c>
      <c r="G1416" s="0" t="s">
        <v>8526</v>
      </c>
      <c r="M1416" s="0" t="s">
        <v>8527</v>
      </c>
      <c r="N1416" s="0" t="s">
        <v>8537</v>
      </c>
      <c r="P1416" s="0" t="s">
        <v>8538</v>
      </c>
      <c r="Q1416" s="2" t="n">
        <v>43445</v>
      </c>
      <c r="S1416" s="0" t="n">
        <f aca="false">YEAR(Q1416)</f>
        <v>2018</v>
      </c>
      <c r="T1416" s="0" t="n">
        <f aca="false">MONTH(Q1416)</f>
        <v>12</v>
      </c>
    </row>
    <row r="1417" customFormat="false" ht="14.25" hidden="true" customHeight="false" outlineLevel="0" collapsed="false">
      <c r="A1417" s="0" t="n">
        <v>1421</v>
      </c>
      <c r="B1417" s="1" t="s">
        <v>1049</v>
      </c>
      <c r="C1417" s="1" t="s">
        <v>1479</v>
      </c>
      <c r="D1417" s="1" t="s">
        <v>1487</v>
      </c>
      <c r="E1417" s="4" t="s">
        <v>1488</v>
      </c>
      <c r="F1417" s="0" t="s">
        <v>49</v>
      </c>
      <c r="G1417" s="0" t="s">
        <v>8539</v>
      </c>
      <c r="I1417" s="6" t="n">
        <v>0.76875</v>
      </c>
      <c r="J1417" s="6" t="n">
        <v>0.303472222222222</v>
      </c>
      <c r="K1417" s="0" t="n">
        <v>12</v>
      </c>
      <c r="L1417" s="0" t="n">
        <v>50</v>
      </c>
      <c r="M1417" s="0" t="s">
        <v>8540</v>
      </c>
      <c r="N1417" s="0" t="s">
        <v>8541</v>
      </c>
      <c r="P1417" s="0" t="s">
        <v>8542</v>
      </c>
      <c r="Q1417" s="2" t="n">
        <v>43445</v>
      </c>
      <c r="S1417" s="0" t="n">
        <f aca="false">YEAR(Q1417)</f>
        <v>2018</v>
      </c>
      <c r="T1417" s="0" t="n">
        <f aca="false">MONTH(Q1417)</f>
        <v>12</v>
      </c>
    </row>
    <row r="1418" customFormat="false" ht="28.5" hidden="true" customHeight="false" outlineLevel="0" collapsed="false">
      <c r="A1418" s="0" t="n">
        <v>1422</v>
      </c>
      <c r="B1418" s="1" t="s">
        <v>1049</v>
      </c>
      <c r="C1418" s="1" t="s">
        <v>1503</v>
      </c>
      <c r="D1418" s="1" t="s">
        <v>1535</v>
      </c>
      <c r="E1418" s="0" t="s">
        <v>1503</v>
      </c>
      <c r="F1418" s="0" t="s">
        <v>50</v>
      </c>
      <c r="G1418" s="0" t="s">
        <v>8543</v>
      </c>
      <c r="I1418" s="6" t="n">
        <v>0.833333333333333</v>
      </c>
      <c r="J1418" s="6" t="n">
        <v>0.978472222222222</v>
      </c>
      <c r="M1418" s="0" t="s">
        <v>8544</v>
      </c>
      <c r="N1418" s="0" t="s">
        <v>8545</v>
      </c>
      <c r="P1418" s="7" t="s">
        <v>8546</v>
      </c>
      <c r="Q1418" s="2" t="n">
        <v>43445</v>
      </c>
      <c r="S1418" s="0" t="n">
        <f aca="false">YEAR(Q1418)</f>
        <v>2018</v>
      </c>
      <c r="T1418" s="0" t="n">
        <f aca="false">MONTH(Q1418)</f>
        <v>12</v>
      </c>
    </row>
    <row r="1419" customFormat="false" ht="14.25" hidden="true" customHeight="false" outlineLevel="0" collapsed="false">
      <c r="A1419" s="0" t="n">
        <v>1423</v>
      </c>
      <c r="B1419" s="1" t="s">
        <v>1050</v>
      </c>
      <c r="C1419" s="1" t="s">
        <v>1503</v>
      </c>
      <c r="D1419" s="1" t="s">
        <v>1535</v>
      </c>
      <c r="E1419" s="0" t="s">
        <v>44</v>
      </c>
      <c r="F1419" s="0" t="s">
        <v>48</v>
      </c>
      <c r="G1419" s="0" t="s">
        <v>8547</v>
      </c>
      <c r="I1419" s="6" t="n">
        <v>0</v>
      </c>
      <c r="J1419" s="6" t="n">
        <v>0.282638888888889</v>
      </c>
      <c r="M1419" s="0" t="s">
        <v>8548</v>
      </c>
      <c r="N1419" s="0" t="s">
        <v>8549</v>
      </c>
      <c r="P1419" s="0" t="s">
        <v>8550</v>
      </c>
      <c r="Q1419" s="2" t="n">
        <v>43446</v>
      </c>
      <c r="S1419" s="0" t="n">
        <f aca="false">YEAR(Q1419)</f>
        <v>2018</v>
      </c>
      <c r="T1419" s="0" t="n">
        <f aca="false">MONTH(Q1419)</f>
        <v>12</v>
      </c>
    </row>
    <row r="1420" customFormat="false" ht="14.25" hidden="true" customHeight="false" outlineLevel="0" collapsed="false">
      <c r="A1420" s="0" t="n">
        <v>1424</v>
      </c>
      <c r="B1420" s="1" t="s">
        <v>1050</v>
      </c>
      <c r="C1420" s="1" t="s">
        <v>1503</v>
      </c>
      <c r="D1420" s="1" t="s">
        <v>1535</v>
      </c>
      <c r="E1420" s="0" t="s">
        <v>44</v>
      </c>
      <c r="F1420" s="0" t="s">
        <v>48</v>
      </c>
      <c r="G1420" s="0" t="s">
        <v>8551</v>
      </c>
      <c r="I1420" s="6" t="n">
        <v>0.645833333333333</v>
      </c>
      <c r="J1420" s="6" t="n">
        <v>0.650694444444444</v>
      </c>
      <c r="L1420" s="0" t="n">
        <v>20</v>
      </c>
      <c r="M1420" s="0" t="s">
        <v>8552</v>
      </c>
      <c r="N1420" s="0" t="s">
        <v>8553</v>
      </c>
      <c r="P1420" s="0" t="s">
        <v>8554</v>
      </c>
      <c r="Q1420" s="2" t="n">
        <v>43446</v>
      </c>
      <c r="S1420" s="0" t="n">
        <f aca="false">YEAR(Q1420)</f>
        <v>2018</v>
      </c>
      <c r="T1420" s="0" t="n">
        <f aca="false">MONTH(Q1420)</f>
        <v>12</v>
      </c>
    </row>
    <row r="1421" customFormat="false" ht="28.5" hidden="true" customHeight="false" outlineLevel="0" collapsed="false">
      <c r="A1421" s="0" t="n">
        <v>1425</v>
      </c>
      <c r="B1421" s="1" t="s">
        <v>1050</v>
      </c>
      <c r="C1421" s="1" t="s">
        <v>1503</v>
      </c>
      <c r="D1421" s="1" t="s">
        <v>1535</v>
      </c>
      <c r="E1421" s="0" t="s">
        <v>44</v>
      </c>
      <c r="F1421" s="0" t="s">
        <v>49</v>
      </c>
      <c r="G1421" s="0" t="s">
        <v>8555</v>
      </c>
      <c r="I1421" s="6" t="n">
        <v>0.645833333333333</v>
      </c>
      <c r="J1421" s="6" t="n">
        <v>0.650694444444444</v>
      </c>
      <c r="L1421" s="0" t="n">
        <v>20</v>
      </c>
      <c r="M1421" s="0" t="s">
        <v>8556</v>
      </c>
      <c r="N1421" s="0" t="s">
        <v>8557</v>
      </c>
      <c r="P1421" s="7" t="s">
        <v>8558</v>
      </c>
      <c r="Q1421" s="2" t="n">
        <v>43446</v>
      </c>
      <c r="S1421" s="0" t="n">
        <f aca="false">YEAR(Q1421)</f>
        <v>2018</v>
      </c>
      <c r="T1421" s="0" t="n">
        <f aca="false">MONTH(Q1421)</f>
        <v>12</v>
      </c>
    </row>
    <row r="1422" customFormat="false" ht="14.25" hidden="true" customHeight="false" outlineLevel="0" collapsed="false">
      <c r="A1422" s="0" t="n">
        <v>1426</v>
      </c>
      <c r="B1422" s="1" t="s">
        <v>1050</v>
      </c>
      <c r="C1422" s="1" t="s">
        <v>1479</v>
      </c>
      <c r="D1422" s="1" t="s">
        <v>1535</v>
      </c>
      <c r="E1422" s="0" t="s">
        <v>39</v>
      </c>
      <c r="F1422" s="0" t="s">
        <v>49</v>
      </c>
      <c r="G1422" s="0" t="s">
        <v>8559</v>
      </c>
      <c r="I1422" s="6" t="n">
        <v>0.680555555555555</v>
      </c>
      <c r="J1422" s="6" t="n">
        <v>0.680555555555555</v>
      </c>
      <c r="L1422" s="0" t="n">
        <v>0</v>
      </c>
      <c r="M1422" s="0" t="s">
        <v>8560</v>
      </c>
      <c r="N1422" s="0" t="s">
        <v>8561</v>
      </c>
      <c r="P1422" s="0" t="s">
        <v>8562</v>
      </c>
      <c r="Q1422" s="2" t="n">
        <v>43446</v>
      </c>
      <c r="S1422" s="0" t="n">
        <f aca="false">YEAR(Q1422)</f>
        <v>2018</v>
      </c>
      <c r="T1422" s="0" t="n">
        <f aca="false">MONTH(Q1422)</f>
        <v>12</v>
      </c>
    </row>
    <row r="1423" customFormat="false" ht="14.25" hidden="true" customHeight="false" outlineLevel="0" collapsed="false">
      <c r="A1423" s="0" t="n">
        <v>1427</v>
      </c>
      <c r="B1423" s="1" t="s">
        <v>1050</v>
      </c>
      <c r="C1423" s="1" t="s">
        <v>1503</v>
      </c>
      <c r="D1423" s="1" t="s">
        <v>1535</v>
      </c>
      <c r="E1423" s="0" t="s">
        <v>44</v>
      </c>
      <c r="F1423" s="0" t="s">
        <v>50</v>
      </c>
      <c r="G1423" s="0" t="s">
        <v>8555</v>
      </c>
      <c r="J1423" s="6" t="n">
        <v>0.0416666666666667</v>
      </c>
      <c r="M1423" s="0" t="s">
        <v>8563</v>
      </c>
      <c r="N1423" s="0" t="s">
        <v>8564</v>
      </c>
      <c r="P1423" s="0" t="s">
        <v>8565</v>
      </c>
      <c r="Q1423" s="2" t="n">
        <v>43446</v>
      </c>
      <c r="S1423" s="0" t="n">
        <f aca="false">YEAR(Q1423)</f>
        <v>2018</v>
      </c>
      <c r="T1423" s="0" t="n">
        <f aca="false">MONTH(Q1423)</f>
        <v>12</v>
      </c>
    </row>
    <row r="1424" customFormat="false" ht="14.25" hidden="true" customHeight="false" outlineLevel="0" collapsed="false">
      <c r="A1424" s="0" t="n">
        <v>1428</v>
      </c>
      <c r="B1424" s="1" t="s">
        <v>1051</v>
      </c>
      <c r="C1424" s="1" t="s">
        <v>1503</v>
      </c>
      <c r="D1424" s="1" t="s">
        <v>1535</v>
      </c>
      <c r="E1424" s="0" t="s">
        <v>44</v>
      </c>
      <c r="F1424" s="0" t="s">
        <v>48</v>
      </c>
      <c r="G1424" s="0" t="s">
        <v>8555</v>
      </c>
      <c r="I1424" s="6" t="n">
        <v>0.243055555555556</v>
      </c>
      <c r="J1424" s="6" t="n">
        <v>0.270833333333333</v>
      </c>
      <c r="L1424" s="0" t="n">
        <v>3</v>
      </c>
      <c r="M1424" s="0" t="s">
        <v>8563</v>
      </c>
      <c r="N1424" s="0" t="s">
        <v>8566</v>
      </c>
      <c r="P1424" s="0" t="s">
        <v>8567</v>
      </c>
      <c r="Q1424" s="2" t="n">
        <v>43447</v>
      </c>
      <c r="S1424" s="0" t="n">
        <f aca="false">YEAR(Q1424)</f>
        <v>2018</v>
      </c>
      <c r="T1424" s="0" t="n">
        <f aca="false">MONTH(Q1424)</f>
        <v>12</v>
      </c>
    </row>
    <row r="1425" customFormat="false" ht="28.5" hidden="true" customHeight="false" outlineLevel="0" collapsed="false">
      <c r="A1425" s="0" t="n">
        <v>1429</v>
      </c>
      <c r="B1425" s="1" t="s">
        <v>1053</v>
      </c>
      <c r="C1425" s="1" t="s">
        <v>1503</v>
      </c>
      <c r="D1425" s="1" t="s">
        <v>1535</v>
      </c>
      <c r="E1425" s="0" t="s">
        <v>44</v>
      </c>
      <c r="F1425" s="0" t="s">
        <v>48</v>
      </c>
      <c r="G1425" s="0" t="s">
        <v>8547</v>
      </c>
      <c r="I1425" s="6" t="n">
        <v>0.502083333333333</v>
      </c>
      <c r="J1425" s="6" t="n">
        <v>0.513888888888889</v>
      </c>
      <c r="K1425" s="0" t="n">
        <v>32</v>
      </c>
      <c r="L1425" s="0" t="n">
        <v>32</v>
      </c>
      <c r="M1425" s="0" t="s">
        <v>8568</v>
      </c>
      <c r="N1425" s="0" t="s">
        <v>8569</v>
      </c>
      <c r="P1425" s="7" t="s">
        <v>8570</v>
      </c>
      <c r="Q1425" s="2" t="n">
        <v>43448</v>
      </c>
      <c r="S1425" s="0" t="n">
        <f aca="false">YEAR(Q1425)</f>
        <v>2018</v>
      </c>
      <c r="T1425" s="0" t="n">
        <f aca="false">MONTH(Q1425)</f>
        <v>12</v>
      </c>
    </row>
    <row r="1426" customFormat="false" ht="14.25" hidden="true" customHeight="false" outlineLevel="0" collapsed="false">
      <c r="A1426" s="0" t="n">
        <v>1430</v>
      </c>
      <c r="B1426" s="1" t="s">
        <v>1053</v>
      </c>
      <c r="C1426" s="1" t="s">
        <v>1479</v>
      </c>
      <c r="D1426" s="1" t="s">
        <v>1487</v>
      </c>
      <c r="E1426" s="4" t="s">
        <v>1488</v>
      </c>
      <c r="F1426" s="0" t="s">
        <v>49</v>
      </c>
      <c r="G1426" s="0" t="s">
        <v>8571</v>
      </c>
      <c r="I1426" s="6" t="n">
        <v>0.6375</v>
      </c>
      <c r="J1426" s="6" t="n">
        <v>0.644444444444444</v>
      </c>
      <c r="K1426" s="0" t="n">
        <v>8</v>
      </c>
      <c r="L1426" s="0" t="n">
        <v>14</v>
      </c>
      <c r="M1426" s="0" t="s">
        <v>8572</v>
      </c>
      <c r="N1426" s="0" t="s">
        <v>8573</v>
      </c>
      <c r="P1426" s="0" t="s">
        <v>8574</v>
      </c>
      <c r="Q1426" s="2" t="n">
        <v>43448</v>
      </c>
      <c r="S1426" s="0" t="n">
        <f aca="false">YEAR(Q1426)</f>
        <v>2018</v>
      </c>
      <c r="T1426" s="0" t="n">
        <f aca="false">MONTH(Q1426)</f>
        <v>12</v>
      </c>
    </row>
    <row r="1427" customFormat="false" ht="14.25" hidden="true" customHeight="false" outlineLevel="0" collapsed="false">
      <c r="A1427" s="0" t="n">
        <v>1431</v>
      </c>
      <c r="B1427" s="1" t="s">
        <v>1053</v>
      </c>
      <c r="C1427" s="1" t="s">
        <v>1479</v>
      </c>
      <c r="D1427" s="1" t="s">
        <v>1496</v>
      </c>
      <c r="E1427" s="0" t="s">
        <v>38</v>
      </c>
      <c r="F1427" s="0" t="s">
        <v>49</v>
      </c>
      <c r="G1427" s="0" t="s">
        <v>8575</v>
      </c>
      <c r="I1427" s="6" t="n">
        <v>0.769444444444444</v>
      </c>
      <c r="J1427" s="6" t="n">
        <v>0.772916666666667</v>
      </c>
      <c r="K1427" s="0" t="n">
        <v>10</v>
      </c>
      <c r="L1427" s="0" t="n">
        <v>10</v>
      </c>
      <c r="M1427" s="0" t="s">
        <v>8576</v>
      </c>
      <c r="N1427" s="0" t="s">
        <v>8577</v>
      </c>
      <c r="P1427" s="0" t="s">
        <v>8578</v>
      </c>
      <c r="Q1427" s="2" t="n">
        <v>43448</v>
      </c>
      <c r="S1427" s="0" t="n">
        <f aca="false">YEAR(Q1427)</f>
        <v>2018</v>
      </c>
      <c r="T1427" s="0" t="n">
        <f aca="false">MONTH(Q1427)</f>
        <v>12</v>
      </c>
    </row>
    <row r="1428" customFormat="false" ht="72" hidden="true" customHeight="false" outlineLevel="0" collapsed="false">
      <c r="A1428" s="0" t="n">
        <v>1432</v>
      </c>
      <c r="B1428" s="1" t="s">
        <v>1055</v>
      </c>
      <c r="C1428" s="1" t="s">
        <v>1479</v>
      </c>
      <c r="D1428" s="1" t="s">
        <v>1496</v>
      </c>
      <c r="E1428" s="0" t="s">
        <v>38</v>
      </c>
      <c r="F1428" s="0" t="s">
        <v>48</v>
      </c>
      <c r="G1428" s="0" t="s">
        <v>8579</v>
      </c>
      <c r="I1428" s="6" t="n">
        <v>0.246527777777778</v>
      </c>
      <c r="J1428" s="6" t="n">
        <v>0.248611111111111</v>
      </c>
      <c r="K1428" s="0" t="n">
        <v>56</v>
      </c>
      <c r="L1428" s="0" t="n">
        <v>63</v>
      </c>
      <c r="M1428" s="0" t="s">
        <v>8580</v>
      </c>
      <c r="N1428" s="0" t="s">
        <v>8581</v>
      </c>
      <c r="P1428" s="7" t="s">
        <v>8582</v>
      </c>
      <c r="Q1428" s="2" t="n">
        <v>43451</v>
      </c>
      <c r="S1428" s="0" t="n">
        <f aca="false">YEAR(Q1428)</f>
        <v>2018</v>
      </c>
      <c r="T1428" s="0" t="n">
        <f aca="false">MONTH(Q1428)</f>
        <v>12</v>
      </c>
    </row>
    <row r="1429" customFormat="false" ht="28.5" hidden="true" customHeight="false" outlineLevel="0" collapsed="false">
      <c r="A1429" s="0" t="n">
        <v>1433</v>
      </c>
      <c r="B1429" s="1" t="s">
        <v>1055</v>
      </c>
      <c r="C1429" s="1" t="s">
        <v>1495</v>
      </c>
      <c r="D1429" s="1" t="s">
        <v>1496</v>
      </c>
      <c r="E1429" s="0" t="s">
        <v>41</v>
      </c>
      <c r="F1429" s="0" t="s">
        <v>48</v>
      </c>
      <c r="G1429" s="0" t="s">
        <v>8583</v>
      </c>
      <c r="M1429" s="0" t="s">
        <v>8584</v>
      </c>
      <c r="N1429" s="0" t="s">
        <v>8585</v>
      </c>
      <c r="P1429" s="7" t="s">
        <v>8586</v>
      </c>
      <c r="Q1429" s="2" t="n">
        <v>43451</v>
      </c>
      <c r="S1429" s="0" t="n">
        <f aca="false">YEAR(Q1429)</f>
        <v>2018</v>
      </c>
      <c r="T1429" s="0" t="n">
        <f aca="false">MONTH(Q1429)</f>
        <v>12</v>
      </c>
    </row>
    <row r="1430" customFormat="false" ht="28.5" hidden="true" customHeight="false" outlineLevel="0" collapsed="false">
      <c r="A1430" s="0" t="n">
        <v>1434</v>
      </c>
      <c r="B1430" s="1" t="s">
        <v>1055</v>
      </c>
      <c r="C1430" s="1" t="s">
        <v>1503</v>
      </c>
      <c r="D1430" s="1" t="s">
        <v>1648</v>
      </c>
      <c r="E1430" s="0" t="s">
        <v>1648</v>
      </c>
      <c r="F1430" s="0" t="s">
        <v>50</v>
      </c>
      <c r="G1430" s="0" t="s">
        <v>8587</v>
      </c>
      <c r="I1430" s="6" t="n">
        <v>0</v>
      </c>
      <c r="J1430" s="6" t="n">
        <v>0.972222222222222</v>
      </c>
      <c r="M1430" s="0" t="s">
        <v>8588</v>
      </c>
      <c r="N1430" s="0" t="s">
        <v>8589</v>
      </c>
      <c r="P1430" s="7" t="s">
        <v>8590</v>
      </c>
      <c r="Q1430" s="2" t="n">
        <v>43451</v>
      </c>
      <c r="S1430" s="0" t="n">
        <f aca="false">YEAR(Q1430)</f>
        <v>2018</v>
      </c>
      <c r="T1430" s="0" t="n">
        <f aca="false">MONTH(Q1430)</f>
        <v>12</v>
      </c>
    </row>
    <row r="1431" customFormat="false" ht="28.5" hidden="true" customHeight="false" outlineLevel="0" collapsed="false">
      <c r="A1431" s="0" t="n">
        <v>1435</v>
      </c>
      <c r="B1431" s="1" t="s">
        <v>1055</v>
      </c>
      <c r="C1431" s="1" t="s">
        <v>1479</v>
      </c>
      <c r="D1431" s="1" t="s">
        <v>1480</v>
      </c>
      <c r="E1431" s="0" t="s">
        <v>43</v>
      </c>
      <c r="F1431" s="0" t="s">
        <v>50</v>
      </c>
      <c r="G1431" s="0" t="s">
        <v>2192</v>
      </c>
      <c r="J1431" s="6" t="n">
        <v>0.0208333333333333</v>
      </c>
      <c r="M1431" s="0" t="s">
        <v>8591</v>
      </c>
      <c r="N1431" s="0" t="s">
        <v>8592</v>
      </c>
      <c r="P1431" s="7" t="s">
        <v>8593</v>
      </c>
      <c r="Q1431" s="2" t="n">
        <v>43451</v>
      </c>
      <c r="S1431" s="0" t="n">
        <f aca="false">YEAR(Q1431)</f>
        <v>2018</v>
      </c>
      <c r="T1431" s="0" t="n">
        <f aca="false">MONTH(Q1431)</f>
        <v>12</v>
      </c>
    </row>
    <row r="1432" customFormat="false" ht="14.25" hidden="true" customHeight="false" outlineLevel="0" collapsed="false">
      <c r="A1432" s="0" t="n">
        <v>1436</v>
      </c>
      <c r="B1432" s="1" t="s">
        <v>1057</v>
      </c>
      <c r="C1432" s="1" t="s">
        <v>1479</v>
      </c>
      <c r="D1432" s="1" t="s">
        <v>1535</v>
      </c>
      <c r="E1432" s="0" t="s">
        <v>39</v>
      </c>
      <c r="F1432" s="0" t="s">
        <v>48</v>
      </c>
      <c r="I1432" s="6" t="n">
        <v>0</v>
      </c>
      <c r="J1432" s="6" t="n">
        <v>0.340972222222222</v>
      </c>
      <c r="L1432" s="0" t="n">
        <v>60</v>
      </c>
      <c r="M1432" s="0" t="s">
        <v>8594</v>
      </c>
      <c r="N1432" s="0" t="s">
        <v>8595</v>
      </c>
      <c r="P1432" s="0" t="s">
        <v>8596</v>
      </c>
      <c r="Q1432" s="2" t="n">
        <v>43453</v>
      </c>
      <c r="S1432" s="0" t="n">
        <f aca="false">YEAR(Q1432)</f>
        <v>2018</v>
      </c>
      <c r="T1432" s="0" t="n">
        <f aca="false">MONTH(Q1432)</f>
        <v>12</v>
      </c>
    </row>
    <row r="1433" customFormat="false" ht="14.25" hidden="true" customHeight="false" outlineLevel="0" collapsed="false">
      <c r="A1433" s="0" t="n">
        <v>1437</v>
      </c>
      <c r="B1433" s="1" t="s">
        <v>1057</v>
      </c>
      <c r="C1433" s="1" t="s">
        <v>1479</v>
      </c>
      <c r="D1433" s="1" t="s">
        <v>1535</v>
      </c>
      <c r="E1433" s="0" t="s">
        <v>39</v>
      </c>
      <c r="F1433" s="0" t="s">
        <v>48</v>
      </c>
      <c r="G1433" s="0" t="s">
        <v>8597</v>
      </c>
      <c r="J1433" s="6" t="n">
        <v>0.416666666666667</v>
      </c>
      <c r="M1433" s="0" t="s">
        <v>8598</v>
      </c>
      <c r="N1433" s="0" t="s">
        <v>8599</v>
      </c>
      <c r="P1433" s="0" t="s">
        <v>8600</v>
      </c>
      <c r="Q1433" s="2" t="n">
        <v>43453</v>
      </c>
      <c r="S1433" s="0" t="n">
        <f aca="false">YEAR(Q1433)</f>
        <v>2018</v>
      </c>
      <c r="T1433" s="0" t="n">
        <f aca="false">MONTH(Q1433)</f>
        <v>12</v>
      </c>
    </row>
    <row r="1434" customFormat="false" ht="14.25" hidden="true" customHeight="false" outlineLevel="0" collapsed="false">
      <c r="A1434" s="0" t="n">
        <v>1438</v>
      </c>
      <c r="B1434" s="1" t="s">
        <v>1057</v>
      </c>
      <c r="C1434" s="1" t="s">
        <v>1479</v>
      </c>
      <c r="D1434" s="1" t="s">
        <v>1487</v>
      </c>
      <c r="E1434" s="0" t="s">
        <v>1488</v>
      </c>
      <c r="F1434" s="0" t="s">
        <v>49</v>
      </c>
      <c r="G1434" s="0" t="s">
        <v>8601</v>
      </c>
      <c r="I1434" s="6" t="n">
        <v>0.611111111111111</v>
      </c>
      <c r="J1434" s="6" t="n">
        <v>0.634027777777778</v>
      </c>
      <c r="K1434" s="0" t="n">
        <v>0</v>
      </c>
      <c r="L1434" s="0" t="n">
        <v>40</v>
      </c>
      <c r="M1434" s="0" t="s">
        <v>8602</v>
      </c>
      <c r="N1434" s="0" t="s">
        <v>8603</v>
      </c>
      <c r="P1434" s="0" t="s">
        <v>8604</v>
      </c>
      <c r="Q1434" s="2" t="n">
        <v>43453</v>
      </c>
      <c r="S1434" s="0" t="n">
        <f aca="false">YEAR(Q1434)</f>
        <v>2018</v>
      </c>
      <c r="T1434" s="0" t="n">
        <f aca="false">MONTH(Q1434)</f>
        <v>12</v>
      </c>
    </row>
    <row r="1435" customFormat="false" ht="14.25" hidden="true" customHeight="false" outlineLevel="0" collapsed="false">
      <c r="A1435" s="0" t="n">
        <v>1439</v>
      </c>
      <c r="B1435" s="1" t="s">
        <v>1058</v>
      </c>
      <c r="C1435" s="1" t="s">
        <v>1495</v>
      </c>
      <c r="D1435" s="1" t="s">
        <v>1487</v>
      </c>
      <c r="E1435" s="0" t="s">
        <v>1495</v>
      </c>
      <c r="F1435" s="0" t="s">
        <v>48</v>
      </c>
      <c r="G1435" s="0" t="s">
        <v>8605</v>
      </c>
      <c r="I1435" s="6" t="n">
        <v>0.268055555555556</v>
      </c>
      <c r="J1435" s="6" t="n">
        <v>0.281944444444444</v>
      </c>
      <c r="L1435" s="0" t="n">
        <v>55</v>
      </c>
      <c r="M1435" s="0" t="s">
        <v>8606</v>
      </c>
      <c r="N1435" s="0" t="s">
        <v>8607</v>
      </c>
      <c r="P1435" s="0" t="s">
        <v>8608</v>
      </c>
      <c r="Q1435" s="2" t="n">
        <v>43452</v>
      </c>
      <c r="S1435" s="0" t="n">
        <f aca="false">YEAR(Q1435)</f>
        <v>2018</v>
      </c>
      <c r="T1435" s="0" t="n">
        <f aca="false">MONTH(Q1435)</f>
        <v>12</v>
      </c>
    </row>
    <row r="1436" customFormat="false" ht="28.5" hidden="true" customHeight="false" outlineLevel="0" collapsed="false">
      <c r="A1436" s="0" t="n">
        <v>1440</v>
      </c>
      <c r="B1436" s="1" t="s">
        <v>1058</v>
      </c>
      <c r="C1436" s="1" t="s">
        <v>1479</v>
      </c>
      <c r="D1436" s="1" t="s">
        <v>1535</v>
      </c>
      <c r="E1436" s="0" t="s">
        <v>39</v>
      </c>
      <c r="F1436" s="0" t="s">
        <v>48</v>
      </c>
      <c r="G1436" s="0" t="s">
        <v>8609</v>
      </c>
      <c r="I1436" s="6" t="n">
        <v>0.402777777777778</v>
      </c>
      <c r="J1436" s="6" t="n">
        <v>0.415972222222222</v>
      </c>
      <c r="L1436" s="0" t="n">
        <v>140</v>
      </c>
      <c r="M1436" s="0" t="s">
        <v>8610</v>
      </c>
      <c r="N1436" s="7" t="s">
        <v>8611</v>
      </c>
      <c r="O1436" s="7"/>
      <c r="P1436" s="0" t="s">
        <v>8612</v>
      </c>
      <c r="Q1436" s="2" t="n">
        <v>43452</v>
      </c>
      <c r="S1436" s="0" t="n">
        <f aca="false">YEAR(Q1436)</f>
        <v>2018</v>
      </c>
      <c r="T1436" s="0" t="n">
        <f aca="false">MONTH(Q1436)</f>
        <v>12</v>
      </c>
    </row>
    <row r="1437" customFormat="false" ht="14.25" hidden="true" customHeight="false" outlineLevel="0" collapsed="false">
      <c r="A1437" s="0" t="n">
        <v>1441</v>
      </c>
      <c r="B1437" s="1" t="s">
        <v>1058</v>
      </c>
      <c r="C1437" s="1" t="s">
        <v>1479</v>
      </c>
      <c r="D1437" s="1" t="s">
        <v>1535</v>
      </c>
      <c r="E1437" s="0" t="s">
        <v>39</v>
      </c>
      <c r="F1437" s="0" t="s">
        <v>48</v>
      </c>
      <c r="G1437" s="0" t="s">
        <v>8613</v>
      </c>
      <c r="I1437" s="6" t="n">
        <v>0.494444444444444</v>
      </c>
      <c r="J1437" s="6" t="n">
        <v>0.496527777777778</v>
      </c>
      <c r="L1437" s="0" t="n">
        <v>13</v>
      </c>
      <c r="M1437" s="0" t="s">
        <v>8614</v>
      </c>
      <c r="N1437" s="0" t="s">
        <v>8615</v>
      </c>
      <c r="P1437" s="0" t="s">
        <v>8616</v>
      </c>
      <c r="Q1437" s="2" t="n">
        <v>43452</v>
      </c>
      <c r="S1437" s="0" t="n">
        <f aca="false">YEAR(Q1437)</f>
        <v>2018</v>
      </c>
      <c r="T1437" s="0" t="n">
        <f aca="false">MONTH(Q1437)</f>
        <v>12</v>
      </c>
    </row>
    <row r="1438" customFormat="false" ht="42.75" hidden="true" customHeight="false" outlineLevel="0" collapsed="false">
      <c r="A1438" s="0" t="n">
        <v>1442</v>
      </c>
      <c r="B1438" s="1" t="s">
        <v>1058</v>
      </c>
      <c r="C1438" s="1" t="s">
        <v>1479</v>
      </c>
      <c r="D1438" s="1" t="s">
        <v>1480</v>
      </c>
      <c r="E1438" s="0" t="s">
        <v>43</v>
      </c>
      <c r="F1438" s="0" t="s">
        <v>49</v>
      </c>
      <c r="G1438" s="0" t="s">
        <v>8495</v>
      </c>
      <c r="I1438" s="6" t="n">
        <v>0.854166666666667</v>
      </c>
      <c r="J1438" s="6" t="n">
        <v>0.872916666666667</v>
      </c>
      <c r="M1438" s="0" t="s">
        <v>8617</v>
      </c>
      <c r="N1438" s="0" t="s">
        <v>8618</v>
      </c>
      <c r="P1438" s="7" t="s">
        <v>8619</v>
      </c>
      <c r="Q1438" s="2" t="n">
        <v>43452</v>
      </c>
      <c r="S1438" s="0" t="n">
        <f aca="false">YEAR(Q1438)</f>
        <v>2018</v>
      </c>
      <c r="T1438" s="0" t="n">
        <f aca="false">MONTH(Q1438)</f>
        <v>12</v>
      </c>
    </row>
    <row r="1439" customFormat="false" ht="14.25" hidden="true" customHeight="false" outlineLevel="0" collapsed="false">
      <c r="A1439" s="0" t="n">
        <v>1443</v>
      </c>
      <c r="B1439" s="1" t="s">
        <v>1058</v>
      </c>
      <c r="C1439" s="1" t="s">
        <v>1479</v>
      </c>
      <c r="D1439" s="1" t="s">
        <v>1535</v>
      </c>
      <c r="E1439" s="0" t="s">
        <v>39</v>
      </c>
      <c r="F1439" s="0" t="s">
        <v>49</v>
      </c>
      <c r="G1439" s="0" t="s">
        <v>8613</v>
      </c>
      <c r="M1439" s="0" t="s">
        <v>8614</v>
      </c>
      <c r="N1439" s="0" t="s">
        <v>8615</v>
      </c>
      <c r="P1439" s="0" t="s">
        <v>8620</v>
      </c>
      <c r="Q1439" s="2" t="n">
        <v>43452</v>
      </c>
      <c r="S1439" s="0" t="n">
        <f aca="false">YEAR(Q1439)</f>
        <v>2018</v>
      </c>
      <c r="T1439" s="0" t="n">
        <f aca="false">MONTH(Q1439)</f>
        <v>12</v>
      </c>
    </row>
    <row r="1440" customFormat="false" ht="86.25" hidden="true" customHeight="false" outlineLevel="0" collapsed="false">
      <c r="A1440" s="0" t="n">
        <v>1444</v>
      </c>
      <c r="B1440" s="1" t="s">
        <v>1058</v>
      </c>
      <c r="C1440" s="1" t="s">
        <v>1479</v>
      </c>
      <c r="D1440" s="1" t="s">
        <v>1496</v>
      </c>
      <c r="E1440" s="0" t="s">
        <v>38</v>
      </c>
      <c r="F1440" s="0" t="s">
        <v>50</v>
      </c>
      <c r="G1440" s="0" t="s">
        <v>8621</v>
      </c>
      <c r="I1440" s="6" t="n">
        <v>0.928472222222222</v>
      </c>
      <c r="J1440" s="6" t="n">
        <v>0.934027777777778</v>
      </c>
      <c r="K1440" s="0" t="n">
        <v>36</v>
      </c>
      <c r="L1440" s="0" t="n">
        <v>57</v>
      </c>
      <c r="M1440" s="7" t="s">
        <v>8622</v>
      </c>
      <c r="N1440" s="0" t="s">
        <v>8623</v>
      </c>
      <c r="P1440" s="7" t="s">
        <v>8624</v>
      </c>
      <c r="Q1440" s="2" t="n">
        <v>43452</v>
      </c>
      <c r="S1440" s="0" t="n">
        <f aca="false">YEAR(Q1440)</f>
        <v>2018</v>
      </c>
      <c r="T1440" s="0" t="n">
        <f aca="false">MONTH(Q1440)</f>
        <v>12</v>
      </c>
    </row>
    <row r="1441" customFormat="false" ht="42.75" hidden="true" customHeight="false" outlineLevel="0" collapsed="false">
      <c r="A1441" s="0" t="n">
        <v>1445</v>
      </c>
      <c r="B1441" s="1" t="s">
        <v>1058</v>
      </c>
      <c r="C1441" s="1" t="s">
        <v>1479</v>
      </c>
      <c r="D1441" s="1" t="s">
        <v>1496</v>
      </c>
      <c r="E1441" s="0" t="s">
        <v>38</v>
      </c>
      <c r="F1441" s="0" t="s">
        <v>50</v>
      </c>
      <c r="G1441" s="0" t="s">
        <v>8625</v>
      </c>
      <c r="I1441" s="6" t="n">
        <v>0.927083333333333</v>
      </c>
      <c r="J1441" s="6" t="n">
        <v>0.934027777777778</v>
      </c>
      <c r="L1441" s="0" t="n">
        <v>57</v>
      </c>
      <c r="M1441" s="0" t="s">
        <v>8626</v>
      </c>
      <c r="N1441" s="0" t="s">
        <v>8623</v>
      </c>
      <c r="P1441" s="7" t="s">
        <v>8627</v>
      </c>
      <c r="Q1441" s="2" t="n">
        <v>43452</v>
      </c>
      <c r="S1441" s="0" t="n">
        <f aca="false">YEAR(Q1441)</f>
        <v>2018</v>
      </c>
      <c r="T1441" s="0" t="n">
        <f aca="false">MONTH(Q1441)</f>
        <v>12</v>
      </c>
    </row>
    <row r="1442" customFormat="false" ht="42.75" hidden="true" customHeight="false" outlineLevel="0" collapsed="false">
      <c r="A1442" s="0" t="n">
        <v>1446</v>
      </c>
      <c r="B1442" s="1" t="s">
        <v>1058</v>
      </c>
      <c r="C1442" s="1" t="s">
        <v>1479</v>
      </c>
      <c r="D1442" s="1" t="s">
        <v>1496</v>
      </c>
      <c r="E1442" s="0" t="s">
        <v>38</v>
      </c>
      <c r="F1442" s="0" t="s">
        <v>50</v>
      </c>
      <c r="G1442" s="0" t="s">
        <v>8628</v>
      </c>
      <c r="I1442" s="6" t="n">
        <v>0.928472222222222</v>
      </c>
      <c r="J1442" s="6" t="n">
        <v>0.934027777777778</v>
      </c>
      <c r="L1442" s="0" t="n">
        <v>65</v>
      </c>
      <c r="M1442" s="0" t="s">
        <v>8629</v>
      </c>
      <c r="N1442" s="0" t="s">
        <v>8630</v>
      </c>
      <c r="P1442" s="7" t="s">
        <v>8631</v>
      </c>
      <c r="Q1442" s="2" t="n">
        <v>43452</v>
      </c>
      <c r="S1442" s="0" t="n">
        <f aca="false">YEAR(Q1442)</f>
        <v>2018</v>
      </c>
      <c r="T1442" s="0" t="n">
        <f aca="false">MONTH(Q1442)</f>
        <v>12</v>
      </c>
    </row>
    <row r="1443" customFormat="false" ht="14.25" hidden="true" customHeight="false" outlineLevel="0" collapsed="false">
      <c r="A1443" s="0" t="n">
        <v>1447</v>
      </c>
      <c r="B1443" s="1" t="s">
        <v>1058</v>
      </c>
      <c r="C1443" s="1" t="s">
        <v>1479</v>
      </c>
      <c r="D1443" s="1" t="s">
        <v>1535</v>
      </c>
      <c r="E1443" s="0" t="s">
        <v>39</v>
      </c>
      <c r="F1443" s="0" t="s">
        <v>50</v>
      </c>
      <c r="G1443" s="0" t="s">
        <v>8632</v>
      </c>
      <c r="I1443" s="6" t="n">
        <v>0</v>
      </c>
      <c r="J1443" s="6" t="n">
        <v>0.0138888888888889</v>
      </c>
      <c r="L1443" s="0" t="n">
        <v>45</v>
      </c>
      <c r="M1443" s="0" t="s">
        <v>8633</v>
      </c>
      <c r="N1443" s="0" t="s">
        <v>8633</v>
      </c>
      <c r="P1443" s="0" t="s">
        <v>8633</v>
      </c>
      <c r="Q1443" s="2" t="n">
        <v>43452</v>
      </c>
      <c r="S1443" s="0" t="n">
        <f aca="false">YEAR(Q1443)</f>
        <v>2018</v>
      </c>
      <c r="T1443" s="0" t="n">
        <f aca="false">MONTH(Q1443)</f>
        <v>12</v>
      </c>
    </row>
    <row r="1444" customFormat="false" ht="28.5" hidden="true" customHeight="false" outlineLevel="0" collapsed="false">
      <c r="A1444" s="0" t="n">
        <v>1448</v>
      </c>
      <c r="B1444" s="1" t="s">
        <v>1058</v>
      </c>
      <c r="C1444" s="1" t="s">
        <v>1479</v>
      </c>
      <c r="D1444" s="1" t="s">
        <v>1535</v>
      </c>
      <c r="E1444" s="0" t="s">
        <v>39</v>
      </c>
      <c r="F1444" s="0" t="s">
        <v>50</v>
      </c>
      <c r="G1444" s="0" t="s">
        <v>8634</v>
      </c>
      <c r="I1444" s="6" t="n">
        <v>0</v>
      </c>
      <c r="J1444" s="6" t="n">
        <v>0.0138888888888889</v>
      </c>
      <c r="K1444" s="0" t="n">
        <v>12</v>
      </c>
      <c r="L1444" s="0" t="n">
        <v>12</v>
      </c>
      <c r="M1444" s="0" t="s">
        <v>8635</v>
      </c>
      <c r="N1444" s="7" t="s">
        <v>8636</v>
      </c>
      <c r="O1444" s="7"/>
      <c r="P1444" s="0" t="s">
        <v>8637</v>
      </c>
      <c r="Q1444" s="2" t="n">
        <v>43452</v>
      </c>
      <c r="S1444" s="0" t="n">
        <f aca="false">YEAR(Q1444)</f>
        <v>2018</v>
      </c>
      <c r="T1444" s="0" t="n">
        <f aca="false">MONTH(Q1444)</f>
        <v>12</v>
      </c>
    </row>
    <row r="1445" customFormat="false" ht="28.5" hidden="true" customHeight="false" outlineLevel="0" collapsed="false">
      <c r="A1445" s="0" t="n">
        <v>1449</v>
      </c>
      <c r="B1445" s="1" t="s">
        <v>1058</v>
      </c>
      <c r="C1445" s="1" t="s">
        <v>1479</v>
      </c>
      <c r="D1445" s="1" t="s">
        <v>1480</v>
      </c>
      <c r="E1445" s="0" t="s">
        <v>43</v>
      </c>
      <c r="F1445" s="0" t="s">
        <v>50</v>
      </c>
      <c r="G1445" s="0" t="s">
        <v>8638</v>
      </c>
      <c r="I1445" s="6" t="n">
        <v>0.928472222222222</v>
      </c>
      <c r="J1445" s="6" t="n">
        <v>0.0138888888888889</v>
      </c>
      <c r="K1445" s="0" t="n">
        <v>0</v>
      </c>
      <c r="L1445" s="0" t="n">
        <v>310</v>
      </c>
      <c r="M1445" s="0" t="s">
        <v>8639</v>
      </c>
      <c r="N1445" s="7" t="s">
        <v>8640</v>
      </c>
      <c r="O1445" s="7"/>
      <c r="P1445" s="0" t="s">
        <v>8641</v>
      </c>
      <c r="Q1445" s="2" t="n">
        <v>43452</v>
      </c>
      <c r="S1445" s="0" t="n">
        <f aca="false">YEAR(Q1445)</f>
        <v>2018</v>
      </c>
      <c r="T1445" s="0" t="n">
        <f aca="false">MONTH(Q1445)</f>
        <v>12</v>
      </c>
    </row>
    <row r="1446" customFormat="false" ht="28.5" hidden="true" customHeight="false" outlineLevel="0" collapsed="false">
      <c r="A1446" s="0" t="n">
        <v>1450</v>
      </c>
      <c r="B1446" s="1" t="s">
        <v>1059</v>
      </c>
      <c r="C1446" s="1" t="s">
        <v>1503</v>
      </c>
      <c r="D1446" s="1" t="s">
        <v>1535</v>
      </c>
      <c r="E1446" s="0" t="s">
        <v>44</v>
      </c>
      <c r="F1446" s="0" t="s">
        <v>48</v>
      </c>
      <c r="G1446" s="0" t="s">
        <v>8642</v>
      </c>
      <c r="I1446" s="6" t="n">
        <v>0.208333333333333</v>
      </c>
      <c r="J1446" s="6" t="n">
        <v>0.286805555555556</v>
      </c>
      <c r="L1446" s="0" t="n">
        <v>7</v>
      </c>
      <c r="M1446" s="0" t="s">
        <v>8643</v>
      </c>
      <c r="N1446" s="0" t="s">
        <v>8644</v>
      </c>
      <c r="P1446" s="7" t="s">
        <v>8645</v>
      </c>
      <c r="Q1446" s="2" t="n">
        <v>43454</v>
      </c>
      <c r="S1446" s="0" t="n">
        <f aca="false">YEAR(Q1446)</f>
        <v>2018</v>
      </c>
      <c r="T1446" s="0" t="n">
        <f aca="false">MONTH(Q1446)</f>
        <v>12</v>
      </c>
    </row>
    <row r="1447" customFormat="false" ht="28.5" hidden="true" customHeight="false" outlineLevel="0" collapsed="false">
      <c r="A1447" s="0" t="n">
        <v>1451</v>
      </c>
      <c r="B1447" s="1" t="s">
        <v>1059</v>
      </c>
      <c r="C1447" s="1" t="s">
        <v>1503</v>
      </c>
      <c r="D1447" s="1" t="s">
        <v>1535</v>
      </c>
      <c r="E1447" s="0" t="s">
        <v>44</v>
      </c>
      <c r="F1447" s="0" t="s">
        <v>48</v>
      </c>
      <c r="G1447" s="0" t="s">
        <v>3114</v>
      </c>
      <c r="I1447" s="6" t="n">
        <v>0.208333333333333</v>
      </c>
      <c r="J1447" s="6" t="n">
        <v>0.286805555555556</v>
      </c>
      <c r="M1447" s="0" t="s">
        <v>8643</v>
      </c>
      <c r="N1447" s="0" t="s">
        <v>8646</v>
      </c>
      <c r="P1447" s="7" t="s">
        <v>8645</v>
      </c>
      <c r="Q1447" s="2" t="n">
        <v>43454</v>
      </c>
      <c r="S1447" s="0" t="n">
        <f aca="false">YEAR(Q1447)</f>
        <v>2018</v>
      </c>
      <c r="T1447" s="0" t="n">
        <f aca="false">MONTH(Q1447)</f>
        <v>12</v>
      </c>
    </row>
    <row r="1448" customFormat="false" ht="86.25" hidden="true" customHeight="false" outlineLevel="0" collapsed="false">
      <c r="A1448" s="0" t="n">
        <v>1452</v>
      </c>
      <c r="B1448" s="1" t="s">
        <v>1059</v>
      </c>
      <c r="C1448" s="1" t="s">
        <v>1495</v>
      </c>
      <c r="D1448" s="1" t="s">
        <v>1487</v>
      </c>
      <c r="E1448" s="0" t="s">
        <v>1656</v>
      </c>
      <c r="F1448" s="0" t="s">
        <v>48</v>
      </c>
      <c r="G1448" s="0" t="s">
        <v>8647</v>
      </c>
      <c r="J1448" s="6" t="n">
        <v>0.506944444444444</v>
      </c>
      <c r="K1448" s="0" t="n">
        <v>3</v>
      </c>
      <c r="L1448" s="0" t="n">
        <v>40</v>
      </c>
      <c r="M1448" s="0" t="s">
        <v>8648</v>
      </c>
      <c r="N1448" s="0" t="s">
        <v>8649</v>
      </c>
      <c r="P1448" s="7" t="s">
        <v>8650</v>
      </c>
      <c r="Q1448" s="2" t="n">
        <v>43454</v>
      </c>
      <c r="S1448" s="0" t="n">
        <f aca="false">YEAR(Q1448)</f>
        <v>2018</v>
      </c>
      <c r="T1448" s="0" t="n">
        <f aca="false">MONTH(Q1448)</f>
        <v>12</v>
      </c>
    </row>
    <row r="1449" customFormat="false" ht="28.5" hidden="true" customHeight="false" outlineLevel="0" collapsed="false">
      <c r="A1449" s="0" t="n">
        <v>1453</v>
      </c>
      <c r="B1449" s="1" t="s">
        <v>1059</v>
      </c>
      <c r="C1449" s="1" t="s">
        <v>1479</v>
      </c>
      <c r="D1449" s="1" t="s">
        <v>1480</v>
      </c>
      <c r="E1449" s="0" t="s">
        <v>43</v>
      </c>
      <c r="F1449" s="0" t="s">
        <v>49</v>
      </c>
      <c r="G1449" s="0" t="s">
        <v>8651</v>
      </c>
      <c r="I1449" s="6" t="n">
        <v>0.645833333333333</v>
      </c>
      <c r="J1449" s="6" t="n">
        <v>0.698611111111111</v>
      </c>
      <c r="L1449" s="0" t="n">
        <v>165</v>
      </c>
      <c r="M1449" s="0" t="s">
        <v>8652</v>
      </c>
      <c r="N1449" s="7" t="s">
        <v>8653</v>
      </c>
      <c r="O1449" s="7"/>
      <c r="P1449" s="0" t="s">
        <v>8654</v>
      </c>
      <c r="Q1449" s="2" t="n">
        <v>43454</v>
      </c>
      <c r="S1449" s="0" t="n">
        <f aca="false">YEAR(Q1449)</f>
        <v>2018</v>
      </c>
      <c r="T1449" s="0" t="n">
        <f aca="false">MONTH(Q1449)</f>
        <v>12</v>
      </c>
    </row>
    <row r="1450" customFormat="false" ht="28.5" hidden="true" customHeight="false" outlineLevel="0" collapsed="false">
      <c r="A1450" s="0" t="n">
        <v>1454</v>
      </c>
      <c r="B1450" s="1" t="s">
        <v>1059</v>
      </c>
      <c r="C1450" s="1" t="s">
        <v>1503</v>
      </c>
      <c r="D1450" s="1" t="s">
        <v>1535</v>
      </c>
      <c r="E1450" s="0" t="s">
        <v>44</v>
      </c>
      <c r="F1450" s="0" t="s">
        <v>49</v>
      </c>
      <c r="G1450" s="0" t="s">
        <v>8655</v>
      </c>
      <c r="I1450" s="6" t="n">
        <v>0.815972222222222</v>
      </c>
      <c r="J1450" s="6" t="n">
        <v>0.819444444444444</v>
      </c>
      <c r="L1450" s="0" t="n">
        <v>50</v>
      </c>
      <c r="M1450" s="0" t="s">
        <v>8656</v>
      </c>
      <c r="N1450" s="0" t="s">
        <v>4484</v>
      </c>
      <c r="P1450" s="7" t="s">
        <v>8657</v>
      </c>
      <c r="Q1450" s="2" t="n">
        <v>43454</v>
      </c>
      <c r="S1450" s="0" t="n">
        <f aca="false">YEAR(Q1450)</f>
        <v>2018</v>
      </c>
      <c r="T1450" s="0" t="n">
        <f aca="false">MONTH(Q1450)</f>
        <v>12</v>
      </c>
    </row>
    <row r="1451" customFormat="false" ht="14.25" hidden="true" customHeight="false" outlineLevel="0" collapsed="false">
      <c r="A1451" s="0" t="n">
        <v>1455</v>
      </c>
      <c r="B1451" s="1" t="s">
        <v>1059</v>
      </c>
      <c r="C1451" s="1" t="s">
        <v>1503</v>
      </c>
      <c r="D1451" s="1" t="s">
        <v>1535</v>
      </c>
      <c r="E1451" s="0" t="s">
        <v>1503</v>
      </c>
      <c r="F1451" s="0" t="s">
        <v>50</v>
      </c>
      <c r="G1451" s="0" t="s">
        <v>8658</v>
      </c>
      <c r="J1451" s="6" t="n">
        <v>0.0715277777777778</v>
      </c>
      <c r="M1451" s="0" t="s">
        <v>8659</v>
      </c>
      <c r="N1451" s="0" t="s">
        <v>8660</v>
      </c>
      <c r="P1451" s="0" t="s">
        <v>8661</v>
      </c>
      <c r="Q1451" s="2" t="n">
        <v>43454</v>
      </c>
      <c r="S1451" s="0" t="n">
        <f aca="false">YEAR(Q1451)</f>
        <v>2018</v>
      </c>
      <c r="T1451" s="0" t="n">
        <f aca="false">MONTH(Q1451)</f>
        <v>12</v>
      </c>
    </row>
    <row r="1452" customFormat="false" ht="28.5" hidden="true" customHeight="false" outlineLevel="0" collapsed="false">
      <c r="A1452" s="0" t="n">
        <v>1456</v>
      </c>
      <c r="B1452" s="1" t="s">
        <v>1059</v>
      </c>
      <c r="C1452" s="1" t="s">
        <v>1503</v>
      </c>
      <c r="D1452" s="1" t="s">
        <v>1535</v>
      </c>
      <c r="E1452" s="0" t="s">
        <v>1503</v>
      </c>
      <c r="F1452" s="0" t="s">
        <v>50</v>
      </c>
      <c r="G1452" s="0" t="s">
        <v>8662</v>
      </c>
      <c r="M1452" s="0" t="s">
        <v>8663</v>
      </c>
      <c r="N1452" s="7" t="s">
        <v>8664</v>
      </c>
      <c r="O1452" s="7"/>
      <c r="P1452" s="0" t="s">
        <v>8665</v>
      </c>
      <c r="Q1452" s="2" t="n">
        <v>43454</v>
      </c>
      <c r="S1452" s="0" t="n">
        <f aca="false">YEAR(Q1452)</f>
        <v>2018</v>
      </c>
      <c r="T1452" s="0" t="n">
        <f aca="false">MONTH(Q1452)</f>
        <v>12</v>
      </c>
    </row>
    <row r="1453" customFormat="false" ht="14.25" hidden="true" customHeight="false" outlineLevel="0" collapsed="false">
      <c r="A1453" s="0" t="n">
        <v>1457</v>
      </c>
      <c r="B1453" s="1" t="s">
        <v>1061</v>
      </c>
      <c r="C1453" s="1" t="s">
        <v>1503</v>
      </c>
      <c r="D1453" s="1" t="s">
        <v>1535</v>
      </c>
      <c r="E1453" s="0" t="s">
        <v>44</v>
      </c>
      <c r="F1453" s="0" t="s">
        <v>48</v>
      </c>
      <c r="G1453" s="0" t="s">
        <v>8666</v>
      </c>
      <c r="M1453" s="0" t="s">
        <v>8667</v>
      </c>
      <c r="N1453" s="0" t="s">
        <v>8668</v>
      </c>
      <c r="P1453" s="0" t="s">
        <v>8669</v>
      </c>
      <c r="Q1453" s="2" t="n">
        <v>43787</v>
      </c>
      <c r="S1453" s="0" t="n">
        <f aca="false">YEAR(Q1453)</f>
        <v>2019</v>
      </c>
      <c r="T1453" s="0" t="n">
        <f aca="false">MONTH(Q1453)</f>
        <v>11</v>
      </c>
    </row>
    <row r="1454" customFormat="false" ht="14.25" hidden="true" customHeight="false" outlineLevel="0" collapsed="false">
      <c r="A1454" s="0" t="n">
        <v>1458</v>
      </c>
      <c r="B1454" s="1" t="s">
        <v>1061</v>
      </c>
      <c r="C1454" s="1" t="s">
        <v>1503</v>
      </c>
      <c r="D1454" s="1" t="s">
        <v>1535</v>
      </c>
      <c r="E1454" s="0" t="s">
        <v>44</v>
      </c>
      <c r="F1454" s="0" t="s">
        <v>48</v>
      </c>
      <c r="G1454" s="0" t="s">
        <v>8670</v>
      </c>
      <c r="M1454" s="0" t="s">
        <v>8671</v>
      </c>
      <c r="N1454" s="0" t="s">
        <v>8672</v>
      </c>
      <c r="P1454" s="0" t="s">
        <v>8673</v>
      </c>
      <c r="Q1454" s="2" t="n">
        <v>43787</v>
      </c>
      <c r="S1454" s="0" t="n">
        <f aca="false">YEAR(Q1454)</f>
        <v>2019</v>
      </c>
      <c r="T1454" s="0" t="n">
        <f aca="false">MONTH(Q1454)</f>
        <v>11</v>
      </c>
    </row>
    <row r="1455" customFormat="false" ht="14.25" hidden="true" customHeight="false" outlineLevel="0" collapsed="false">
      <c r="A1455" s="0" t="n">
        <v>1459</v>
      </c>
      <c r="B1455" s="1" t="s">
        <v>1061</v>
      </c>
      <c r="C1455" s="1" t="s">
        <v>1479</v>
      </c>
      <c r="D1455" s="1" t="s">
        <v>1496</v>
      </c>
      <c r="E1455" s="0" t="s">
        <v>38</v>
      </c>
      <c r="F1455" s="0" t="s">
        <v>48</v>
      </c>
      <c r="G1455" s="0" t="s">
        <v>8674</v>
      </c>
      <c r="M1455" s="0" t="s">
        <v>8675</v>
      </c>
      <c r="N1455" s="0" t="s">
        <v>8676</v>
      </c>
      <c r="P1455" s="0" t="s">
        <v>8677</v>
      </c>
      <c r="Q1455" s="2" t="n">
        <v>43787</v>
      </c>
      <c r="S1455" s="0" t="n">
        <f aca="false">YEAR(Q1455)</f>
        <v>2019</v>
      </c>
      <c r="T1455" s="0" t="n">
        <f aca="false">MONTH(Q1455)</f>
        <v>11</v>
      </c>
    </row>
    <row r="1456" customFormat="false" ht="14.25" hidden="true" customHeight="false" outlineLevel="0" collapsed="false">
      <c r="A1456" s="0" t="n">
        <v>1460</v>
      </c>
      <c r="B1456" s="1" t="s">
        <v>1061</v>
      </c>
      <c r="C1456" s="1" t="s">
        <v>1479</v>
      </c>
      <c r="D1456" s="1" t="s">
        <v>1535</v>
      </c>
      <c r="E1456" s="0" t="s">
        <v>39</v>
      </c>
      <c r="F1456" s="0" t="s">
        <v>49</v>
      </c>
      <c r="G1456" s="0" t="s">
        <v>8678</v>
      </c>
      <c r="I1456" s="6" t="n">
        <v>0.666666666666667</v>
      </c>
      <c r="J1456" s="6" t="n">
        <v>0.670138888888889</v>
      </c>
      <c r="K1456" s="0" t="n">
        <v>10</v>
      </c>
      <c r="L1456" s="0" t="n">
        <v>10</v>
      </c>
      <c r="M1456" s="0" t="s">
        <v>8679</v>
      </c>
      <c r="N1456" s="0" t="s">
        <v>8680</v>
      </c>
      <c r="P1456" s="0" t="s">
        <v>8681</v>
      </c>
      <c r="Q1456" s="2" t="n">
        <v>43787</v>
      </c>
      <c r="S1456" s="0" t="n">
        <f aca="false">YEAR(Q1456)</f>
        <v>2019</v>
      </c>
      <c r="T1456" s="0" t="n">
        <f aca="false">MONTH(Q1456)</f>
        <v>11</v>
      </c>
    </row>
    <row r="1457" customFormat="false" ht="14.25" hidden="true" customHeight="false" outlineLevel="0" collapsed="false">
      <c r="A1457" s="0" t="n">
        <v>1461</v>
      </c>
      <c r="B1457" s="1" t="s">
        <v>1061</v>
      </c>
      <c r="C1457" s="1" t="s">
        <v>1479</v>
      </c>
      <c r="D1457" s="1" t="s">
        <v>1496</v>
      </c>
      <c r="E1457" s="0" t="s">
        <v>38</v>
      </c>
      <c r="F1457" s="0" t="s">
        <v>49</v>
      </c>
      <c r="G1457" s="0" t="s">
        <v>8682</v>
      </c>
      <c r="I1457" s="6" t="n">
        <v>0.857638888888889</v>
      </c>
      <c r="J1457" s="6" t="n">
        <v>0.861111111111111</v>
      </c>
      <c r="L1457" s="0" t="n">
        <v>9</v>
      </c>
      <c r="M1457" s="0" t="s">
        <v>8683</v>
      </c>
      <c r="N1457" s="0" t="s">
        <v>8684</v>
      </c>
      <c r="P1457" s="0" t="s">
        <v>8685</v>
      </c>
      <c r="Q1457" s="2" t="n">
        <v>43787</v>
      </c>
      <c r="S1457" s="0" t="n">
        <f aca="false">YEAR(Q1457)</f>
        <v>2019</v>
      </c>
      <c r="T1457" s="0" t="n">
        <f aca="false">MONTH(Q1457)</f>
        <v>11</v>
      </c>
    </row>
    <row r="1458" customFormat="false" ht="14.25" hidden="true" customHeight="false" outlineLevel="0" collapsed="false">
      <c r="A1458" s="0" t="n">
        <v>1462</v>
      </c>
      <c r="B1458" s="1" t="s">
        <v>1061</v>
      </c>
      <c r="C1458" s="1" t="s">
        <v>1479</v>
      </c>
      <c r="D1458" s="1" t="s">
        <v>1487</v>
      </c>
      <c r="E1458" s="0" t="s">
        <v>1488</v>
      </c>
      <c r="F1458" s="0" t="s">
        <v>50</v>
      </c>
      <c r="G1458" s="0" t="s">
        <v>8686</v>
      </c>
      <c r="I1458" s="6" t="n">
        <v>0.951388888888889</v>
      </c>
      <c r="J1458" s="6" t="n">
        <v>0.979861111111111</v>
      </c>
      <c r="L1458" s="0" t="n">
        <v>40</v>
      </c>
      <c r="M1458" s="0" t="s">
        <v>8687</v>
      </c>
      <c r="N1458" s="0" t="s">
        <v>8688</v>
      </c>
      <c r="P1458" s="0" t="s">
        <v>8689</v>
      </c>
      <c r="Q1458" s="2" t="n">
        <v>43787</v>
      </c>
      <c r="S1458" s="0" t="n">
        <f aca="false">YEAR(Q1458)</f>
        <v>2019</v>
      </c>
      <c r="T1458" s="0" t="n">
        <f aca="false">MONTH(Q1458)</f>
        <v>11</v>
      </c>
    </row>
    <row r="1459" customFormat="false" ht="14.25" hidden="true" customHeight="false" outlineLevel="0" collapsed="false">
      <c r="A1459" s="0" t="n">
        <v>1463</v>
      </c>
      <c r="B1459" s="1" t="s">
        <v>1061</v>
      </c>
      <c r="C1459" s="1" t="s">
        <v>1503</v>
      </c>
      <c r="D1459" s="1" t="s">
        <v>1535</v>
      </c>
      <c r="E1459" s="0" t="s">
        <v>1503</v>
      </c>
      <c r="F1459" s="0" t="s">
        <v>50</v>
      </c>
      <c r="G1459" s="0" t="s">
        <v>8690</v>
      </c>
      <c r="I1459" s="6" t="n">
        <v>0.75</v>
      </c>
      <c r="J1459" s="6" t="n">
        <v>0.958333333333333</v>
      </c>
      <c r="L1459" s="0" t="n">
        <v>360</v>
      </c>
      <c r="M1459" s="0" t="s">
        <v>8691</v>
      </c>
      <c r="N1459" s="0" t="s">
        <v>8692</v>
      </c>
      <c r="P1459" s="0" t="s">
        <v>8693</v>
      </c>
      <c r="Q1459" s="2" t="n">
        <v>43787</v>
      </c>
      <c r="S1459" s="0" t="n">
        <f aca="false">YEAR(Q1459)</f>
        <v>2019</v>
      </c>
      <c r="T1459" s="0" t="n">
        <f aca="false">MONTH(Q1459)</f>
        <v>11</v>
      </c>
    </row>
    <row r="1460" customFormat="false" ht="14.25" hidden="true" customHeight="false" outlineLevel="0" collapsed="false">
      <c r="A1460" s="0" t="n">
        <v>1464</v>
      </c>
      <c r="B1460" s="1" t="s">
        <v>1061</v>
      </c>
      <c r="C1460" s="1" t="s">
        <v>1503</v>
      </c>
      <c r="D1460" s="1" t="s">
        <v>1535</v>
      </c>
      <c r="E1460" s="0" t="s">
        <v>1503</v>
      </c>
      <c r="F1460" s="0" t="s">
        <v>50</v>
      </c>
      <c r="G1460" s="0" t="s">
        <v>8694</v>
      </c>
      <c r="I1460" s="6" t="n">
        <v>0.965277777777778</v>
      </c>
      <c r="J1460" s="6" t="n">
        <v>0.96875</v>
      </c>
      <c r="L1460" s="0" t="n">
        <v>25</v>
      </c>
      <c r="M1460" s="0" t="s">
        <v>8695</v>
      </c>
      <c r="N1460" s="0" t="s">
        <v>8696</v>
      </c>
      <c r="P1460" s="0" t="s">
        <v>8697</v>
      </c>
      <c r="Q1460" s="2" t="n">
        <v>43787</v>
      </c>
      <c r="S1460" s="0" t="n">
        <f aca="false">YEAR(Q1460)</f>
        <v>2019</v>
      </c>
      <c r="T1460" s="0" t="n">
        <f aca="false">MONTH(Q1460)</f>
        <v>11</v>
      </c>
    </row>
    <row r="1461" customFormat="false" ht="14.25" hidden="true" customHeight="false" outlineLevel="0" collapsed="false">
      <c r="A1461" s="0" t="n">
        <v>1465</v>
      </c>
      <c r="B1461" s="1" t="s">
        <v>1061</v>
      </c>
      <c r="C1461" s="1" t="s">
        <v>1479</v>
      </c>
      <c r="D1461" s="1" t="s">
        <v>1487</v>
      </c>
      <c r="E1461" s="0" t="s">
        <v>1488</v>
      </c>
      <c r="F1461" s="0" t="s">
        <v>50</v>
      </c>
      <c r="G1461" s="0" t="s">
        <v>8698</v>
      </c>
      <c r="I1461" s="6" t="n">
        <v>0.0680555555555555</v>
      </c>
      <c r="J1461" s="6" t="n">
        <v>0.0763888888888889</v>
      </c>
      <c r="L1461" s="0" t="n">
        <v>31</v>
      </c>
      <c r="M1461" s="0" t="s">
        <v>8699</v>
      </c>
      <c r="N1461" s="0" t="s">
        <v>8700</v>
      </c>
      <c r="P1461" s="0" t="s">
        <v>8701</v>
      </c>
      <c r="Q1461" s="2" t="n">
        <v>43787</v>
      </c>
      <c r="S1461" s="0" t="n">
        <f aca="false">YEAR(Q1461)</f>
        <v>2019</v>
      </c>
      <c r="T1461" s="0" t="n">
        <f aca="false">MONTH(Q1461)</f>
        <v>11</v>
      </c>
    </row>
    <row r="1462" customFormat="false" ht="14.25" hidden="true" customHeight="false" outlineLevel="0" collapsed="false">
      <c r="A1462" s="0" t="n">
        <v>1466</v>
      </c>
      <c r="B1462" s="1" t="s">
        <v>1061</v>
      </c>
      <c r="C1462" s="1" t="s">
        <v>1503</v>
      </c>
      <c r="D1462" s="1" t="s">
        <v>1535</v>
      </c>
      <c r="E1462" s="0" t="s">
        <v>1503</v>
      </c>
      <c r="F1462" s="0" t="s">
        <v>50</v>
      </c>
      <c r="G1462" s="0" t="s">
        <v>8702</v>
      </c>
      <c r="I1462" s="6" t="n">
        <v>0.208333333333333</v>
      </c>
      <c r="J1462" s="6" t="n">
        <v>0.215277777777778</v>
      </c>
      <c r="L1462" s="0" t="n">
        <v>30</v>
      </c>
      <c r="M1462" s="0" t="s">
        <v>8703</v>
      </c>
      <c r="N1462" s="0" t="s">
        <v>8704</v>
      </c>
      <c r="P1462" s="0" t="s">
        <v>8705</v>
      </c>
      <c r="Q1462" s="2" t="n">
        <v>43787</v>
      </c>
      <c r="S1462" s="0" t="n">
        <f aca="false">YEAR(Q1462)</f>
        <v>2019</v>
      </c>
      <c r="T1462" s="0" t="n">
        <f aca="false">MONTH(Q1462)</f>
        <v>11</v>
      </c>
    </row>
    <row r="1463" customFormat="false" ht="14.25" hidden="true" customHeight="false" outlineLevel="0" collapsed="false">
      <c r="A1463" s="0" t="n">
        <v>1467</v>
      </c>
      <c r="B1463" s="1" t="s">
        <v>1062</v>
      </c>
      <c r="C1463" s="1" t="s">
        <v>1503</v>
      </c>
      <c r="D1463" s="1" t="s">
        <v>1535</v>
      </c>
      <c r="E1463" s="0" t="s">
        <v>44</v>
      </c>
      <c r="F1463" s="0" t="s">
        <v>48</v>
      </c>
      <c r="G1463" s="0" t="s">
        <v>8706</v>
      </c>
      <c r="I1463" s="6" t="n">
        <v>0</v>
      </c>
      <c r="J1463" s="6" t="n">
        <v>0</v>
      </c>
      <c r="M1463" s="0" t="s">
        <v>8707</v>
      </c>
      <c r="N1463" s="0" t="s">
        <v>8708</v>
      </c>
      <c r="P1463" s="0" t="s">
        <v>8709</v>
      </c>
      <c r="Q1463" s="2" t="n">
        <v>43483</v>
      </c>
      <c r="S1463" s="0" t="n">
        <f aca="false">YEAR(Q1463)</f>
        <v>2019</v>
      </c>
      <c r="T1463" s="0" t="n">
        <f aca="false">MONTH(Q1463)</f>
        <v>1</v>
      </c>
    </row>
    <row r="1464" customFormat="false" ht="28.5" hidden="true" customHeight="false" outlineLevel="0" collapsed="false">
      <c r="A1464" s="0" t="n">
        <v>1468</v>
      </c>
      <c r="B1464" s="1" t="s">
        <v>1062</v>
      </c>
      <c r="C1464" s="1" t="s">
        <v>1503</v>
      </c>
      <c r="D1464" s="1" t="s">
        <v>1535</v>
      </c>
      <c r="E1464" s="0" t="s">
        <v>44</v>
      </c>
      <c r="F1464" s="0" t="s">
        <v>48</v>
      </c>
      <c r="G1464" s="0" t="s">
        <v>8710</v>
      </c>
      <c r="M1464" s="0" t="s">
        <v>8711</v>
      </c>
      <c r="N1464" s="0" t="s">
        <v>8712</v>
      </c>
      <c r="P1464" s="7" t="s">
        <v>8713</v>
      </c>
      <c r="Q1464" s="2" t="n">
        <v>43483</v>
      </c>
      <c r="S1464" s="0" t="n">
        <f aca="false">YEAR(Q1464)</f>
        <v>2019</v>
      </c>
      <c r="T1464" s="0" t="n">
        <f aca="false">MONTH(Q1464)</f>
        <v>1</v>
      </c>
    </row>
    <row r="1465" customFormat="false" ht="14.25" hidden="true" customHeight="false" outlineLevel="0" collapsed="false">
      <c r="A1465" s="0" t="n">
        <v>1469</v>
      </c>
      <c r="B1465" s="1" t="s">
        <v>1062</v>
      </c>
      <c r="C1465" s="1" t="s">
        <v>1479</v>
      </c>
      <c r="D1465" s="1" t="s">
        <v>1496</v>
      </c>
      <c r="E1465" s="0" t="s">
        <v>38</v>
      </c>
      <c r="F1465" s="0" t="s">
        <v>48</v>
      </c>
      <c r="G1465" s="0" t="s">
        <v>8714</v>
      </c>
      <c r="I1465" s="6" t="n">
        <v>0.448611111111111</v>
      </c>
      <c r="J1465" s="6" t="n">
        <v>0.454861111111111</v>
      </c>
      <c r="K1465" s="0" t="n">
        <v>7</v>
      </c>
      <c r="L1465" s="0" t="n">
        <v>12</v>
      </c>
      <c r="M1465" s="0" t="s">
        <v>8715</v>
      </c>
      <c r="N1465" s="0" t="s">
        <v>8716</v>
      </c>
      <c r="P1465" s="0" t="s">
        <v>8717</v>
      </c>
      <c r="Q1465" s="2" t="n">
        <v>43483</v>
      </c>
      <c r="S1465" s="0" t="n">
        <f aca="false">YEAR(Q1465)</f>
        <v>2019</v>
      </c>
      <c r="T1465" s="0" t="n">
        <f aca="false">MONTH(Q1465)</f>
        <v>1</v>
      </c>
    </row>
    <row r="1466" customFormat="false" ht="72" hidden="true" customHeight="false" outlineLevel="0" collapsed="false">
      <c r="A1466" s="0" t="n">
        <v>1470</v>
      </c>
      <c r="B1466" s="1" t="s">
        <v>1062</v>
      </c>
      <c r="C1466" s="1" t="s">
        <v>1495</v>
      </c>
      <c r="D1466" s="1" t="s">
        <v>1535</v>
      </c>
      <c r="E1466" s="0" t="s">
        <v>42</v>
      </c>
      <c r="F1466" s="0" t="s">
        <v>48</v>
      </c>
      <c r="G1466" s="0" t="s">
        <v>8718</v>
      </c>
      <c r="M1466" s="0" t="s">
        <v>8719</v>
      </c>
      <c r="N1466" s="0" t="s">
        <v>8720</v>
      </c>
      <c r="P1466" s="7" t="s">
        <v>8721</v>
      </c>
      <c r="Q1466" s="2" t="n">
        <v>43483</v>
      </c>
      <c r="S1466" s="0" t="n">
        <f aca="false">YEAR(Q1466)</f>
        <v>2019</v>
      </c>
      <c r="T1466" s="0" t="n">
        <f aca="false">MONTH(Q1466)</f>
        <v>1</v>
      </c>
    </row>
    <row r="1467" customFormat="false" ht="28.5" hidden="true" customHeight="false" outlineLevel="0" collapsed="false">
      <c r="A1467" s="0" t="n">
        <v>1471</v>
      </c>
      <c r="B1467" s="1" t="s">
        <v>1062</v>
      </c>
      <c r="C1467" s="1" t="s">
        <v>1479</v>
      </c>
      <c r="D1467" s="1" t="s">
        <v>1487</v>
      </c>
      <c r="E1467" s="0" t="s">
        <v>1488</v>
      </c>
      <c r="F1467" s="0" t="s">
        <v>48</v>
      </c>
      <c r="G1467" s="0" t="s">
        <v>8722</v>
      </c>
      <c r="M1467" s="0" t="s">
        <v>8719</v>
      </c>
      <c r="N1467" s="7" t="s">
        <v>8723</v>
      </c>
      <c r="O1467" s="7"/>
      <c r="P1467" s="0" t="s">
        <v>8724</v>
      </c>
      <c r="Q1467" s="2" t="n">
        <v>43483</v>
      </c>
      <c r="S1467" s="0" t="n">
        <f aca="false">YEAR(Q1467)</f>
        <v>2019</v>
      </c>
      <c r="T1467" s="0" t="n">
        <f aca="false">MONTH(Q1467)</f>
        <v>1</v>
      </c>
    </row>
    <row r="1468" customFormat="false" ht="28.5" hidden="true" customHeight="false" outlineLevel="0" collapsed="false">
      <c r="A1468" s="0" t="n">
        <v>1472</v>
      </c>
      <c r="B1468" s="1" t="s">
        <v>1062</v>
      </c>
      <c r="C1468" s="1" t="s">
        <v>1479</v>
      </c>
      <c r="D1468" s="1" t="s">
        <v>1535</v>
      </c>
      <c r="E1468" s="0" t="s">
        <v>39</v>
      </c>
      <c r="F1468" s="0" t="s">
        <v>49</v>
      </c>
      <c r="G1468" s="0" t="s">
        <v>8725</v>
      </c>
      <c r="I1468" s="6" t="n">
        <v>0.666666666666667</v>
      </c>
      <c r="J1468" s="6" t="n">
        <v>0.670138888888889</v>
      </c>
      <c r="K1468" s="0" t="n">
        <v>10</v>
      </c>
      <c r="L1468" s="0" t="n">
        <v>10</v>
      </c>
      <c r="M1468" s="0" t="s">
        <v>8726</v>
      </c>
      <c r="N1468" s="0" t="s">
        <v>8727</v>
      </c>
      <c r="P1468" s="7" t="s">
        <v>8728</v>
      </c>
      <c r="Q1468" s="2" t="n">
        <v>43483</v>
      </c>
      <c r="S1468" s="0" t="n">
        <f aca="false">YEAR(Q1468)</f>
        <v>2019</v>
      </c>
      <c r="T1468" s="0" t="n">
        <f aca="false">MONTH(Q1468)</f>
        <v>1</v>
      </c>
    </row>
    <row r="1469" customFormat="false" ht="14.25" hidden="true" customHeight="false" outlineLevel="0" collapsed="false">
      <c r="A1469" s="0" t="n">
        <v>1473</v>
      </c>
      <c r="B1469" s="1" t="s">
        <v>1062</v>
      </c>
      <c r="C1469" s="1" t="s">
        <v>1479</v>
      </c>
      <c r="D1469" s="1" t="s">
        <v>1496</v>
      </c>
      <c r="E1469" s="0" t="s">
        <v>38</v>
      </c>
      <c r="F1469" s="0" t="s">
        <v>49</v>
      </c>
      <c r="I1469" s="6" t="n">
        <v>0.857638888888889</v>
      </c>
      <c r="J1469" s="6" t="n">
        <v>0.861111111111111</v>
      </c>
      <c r="L1469" s="0" t="n">
        <v>9</v>
      </c>
      <c r="M1469" s="0" t="s">
        <v>8729</v>
      </c>
      <c r="N1469" s="0" t="s">
        <v>8684</v>
      </c>
      <c r="P1469" s="0" t="s">
        <v>8730</v>
      </c>
      <c r="Q1469" s="2" t="n">
        <v>43483</v>
      </c>
      <c r="S1469" s="0" t="n">
        <f aca="false">YEAR(Q1469)</f>
        <v>2019</v>
      </c>
      <c r="T1469" s="0" t="n">
        <f aca="false">MONTH(Q1469)</f>
        <v>1</v>
      </c>
    </row>
    <row r="1470" customFormat="false" ht="86.25" hidden="true" customHeight="false" outlineLevel="0" collapsed="false">
      <c r="A1470" s="0" t="n">
        <v>1474</v>
      </c>
      <c r="B1470" s="1" t="s">
        <v>1062</v>
      </c>
      <c r="C1470" s="1" t="s">
        <v>1479</v>
      </c>
      <c r="D1470" s="1" t="s">
        <v>1487</v>
      </c>
      <c r="E1470" s="0" t="s">
        <v>1488</v>
      </c>
      <c r="F1470" s="0" t="s">
        <v>50</v>
      </c>
      <c r="G1470" s="0" t="s">
        <v>8731</v>
      </c>
      <c r="I1470" s="6" t="n">
        <v>0.993055555555555</v>
      </c>
      <c r="J1470" s="6" t="n">
        <v>0.979861111111111</v>
      </c>
      <c r="L1470" s="0" t="n">
        <v>40</v>
      </c>
      <c r="M1470" s="0" t="s">
        <v>8687</v>
      </c>
      <c r="N1470" s="0" t="s">
        <v>8688</v>
      </c>
      <c r="P1470" s="7" t="s">
        <v>8732</v>
      </c>
      <c r="Q1470" s="2" t="n">
        <v>43483</v>
      </c>
      <c r="S1470" s="0" t="n">
        <f aca="false">YEAR(Q1470)</f>
        <v>2019</v>
      </c>
      <c r="T1470" s="0" t="n">
        <f aca="false">MONTH(Q1470)</f>
        <v>1</v>
      </c>
    </row>
    <row r="1471" customFormat="false" ht="72" hidden="true" customHeight="false" outlineLevel="0" collapsed="false">
      <c r="A1471" s="0" t="n">
        <v>1475</v>
      </c>
      <c r="B1471" s="1" t="s">
        <v>1062</v>
      </c>
      <c r="C1471" s="1" t="s">
        <v>1503</v>
      </c>
      <c r="D1471" s="1" t="s">
        <v>1535</v>
      </c>
      <c r="E1471" s="0" t="s">
        <v>1503</v>
      </c>
      <c r="F1471" s="0" t="s">
        <v>50</v>
      </c>
      <c r="G1471" s="0" t="s">
        <v>8733</v>
      </c>
      <c r="I1471" s="6" t="n">
        <v>0.965277777777778</v>
      </c>
      <c r="J1471" s="6" t="n">
        <v>0.96875</v>
      </c>
      <c r="L1471" s="0" t="n">
        <v>25</v>
      </c>
      <c r="M1471" s="0" t="s">
        <v>8734</v>
      </c>
      <c r="N1471" s="0" t="s">
        <v>8696</v>
      </c>
      <c r="P1471" s="7" t="s">
        <v>8735</v>
      </c>
      <c r="Q1471" s="2" t="n">
        <v>43483</v>
      </c>
      <c r="S1471" s="0" t="n">
        <f aca="false">YEAR(Q1471)</f>
        <v>2019</v>
      </c>
      <c r="T1471" s="0" t="n">
        <f aca="false">MONTH(Q1471)</f>
        <v>1</v>
      </c>
    </row>
    <row r="1472" customFormat="false" ht="28.5" hidden="true" customHeight="false" outlineLevel="0" collapsed="false">
      <c r="A1472" s="0" t="n">
        <v>1476</v>
      </c>
      <c r="B1472" s="1" t="s">
        <v>1062</v>
      </c>
      <c r="C1472" s="1" t="s">
        <v>1503</v>
      </c>
      <c r="D1472" s="1" t="s">
        <v>1535</v>
      </c>
      <c r="E1472" s="0" t="s">
        <v>1503</v>
      </c>
      <c r="F1472" s="0" t="s">
        <v>50</v>
      </c>
      <c r="G1472" s="0" t="s">
        <v>8736</v>
      </c>
      <c r="I1472" s="6" t="n">
        <v>0.75</v>
      </c>
      <c r="J1472" s="6" t="n">
        <v>0.958333333333333</v>
      </c>
      <c r="L1472" s="0" t="n">
        <v>360</v>
      </c>
      <c r="M1472" s="0" t="s">
        <v>8737</v>
      </c>
      <c r="N1472" s="0" t="s">
        <v>8692</v>
      </c>
      <c r="P1472" s="7" t="s">
        <v>8738</v>
      </c>
      <c r="Q1472" s="2" t="n">
        <v>43483</v>
      </c>
      <c r="S1472" s="0" t="n">
        <f aca="false">YEAR(Q1472)</f>
        <v>2019</v>
      </c>
      <c r="T1472" s="0" t="n">
        <f aca="false">MONTH(Q1472)</f>
        <v>1</v>
      </c>
    </row>
    <row r="1473" customFormat="false" ht="14.25" hidden="true" customHeight="false" outlineLevel="0" collapsed="false">
      <c r="A1473" s="0" t="n">
        <v>1477</v>
      </c>
      <c r="B1473" s="1" t="s">
        <v>1062</v>
      </c>
      <c r="C1473" s="1" t="s">
        <v>1479</v>
      </c>
      <c r="D1473" s="1" t="s">
        <v>1487</v>
      </c>
      <c r="E1473" s="0" t="s">
        <v>1488</v>
      </c>
      <c r="F1473" s="0" t="s">
        <v>50</v>
      </c>
      <c r="G1473" s="0" t="s">
        <v>8739</v>
      </c>
      <c r="I1473" s="6" t="n">
        <v>0.0680555555555555</v>
      </c>
      <c r="J1473" s="6" t="n">
        <v>0.0763888888888889</v>
      </c>
      <c r="L1473" s="0" t="n">
        <v>31</v>
      </c>
      <c r="M1473" s="0" t="s">
        <v>8699</v>
      </c>
      <c r="N1473" s="0" t="s">
        <v>8700</v>
      </c>
      <c r="P1473" s="0" t="s">
        <v>8740</v>
      </c>
      <c r="Q1473" s="2" t="n">
        <v>43483</v>
      </c>
      <c r="S1473" s="0" t="n">
        <f aca="false">YEAR(Q1473)</f>
        <v>2019</v>
      </c>
      <c r="T1473" s="0" t="n">
        <f aca="false">MONTH(Q1473)</f>
        <v>1</v>
      </c>
    </row>
    <row r="1474" customFormat="false" ht="14.25" hidden="true" customHeight="false" outlineLevel="0" collapsed="false">
      <c r="A1474" s="0" t="n">
        <v>1478</v>
      </c>
      <c r="B1474" s="1" t="s">
        <v>1062</v>
      </c>
      <c r="C1474" s="1" t="s">
        <v>1503</v>
      </c>
      <c r="D1474" s="1" t="s">
        <v>1535</v>
      </c>
      <c r="E1474" s="0" t="s">
        <v>1503</v>
      </c>
      <c r="F1474" s="0" t="s">
        <v>50</v>
      </c>
      <c r="G1474" s="0" t="s">
        <v>8741</v>
      </c>
      <c r="I1474" s="6" t="n">
        <v>0.208333333333333</v>
      </c>
      <c r="J1474" s="6" t="n">
        <v>0.215277777777778</v>
      </c>
      <c r="L1474" s="0" t="n">
        <v>30</v>
      </c>
      <c r="M1474" s="0" t="s">
        <v>8742</v>
      </c>
      <c r="N1474" s="0" t="s">
        <v>8704</v>
      </c>
      <c r="P1474" s="0" t="s">
        <v>8705</v>
      </c>
      <c r="Q1474" s="2" t="n">
        <v>43483</v>
      </c>
      <c r="S1474" s="0" t="n">
        <f aca="false">YEAR(Q1474)</f>
        <v>2019</v>
      </c>
      <c r="T1474" s="0" t="n">
        <f aca="false">MONTH(Q1474)</f>
        <v>1</v>
      </c>
    </row>
    <row r="1475" customFormat="false" ht="14.25" hidden="true" customHeight="false" outlineLevel="0" collapsed="false">
      <c r="A1475" s="0" t="n">
        <v>1479</v>
      </c>
      <c r="B1475" s="1" t="s">
        <v>1063</v>
      </c>
      <c r="C1475" s="1" t="s">
        <v>1479</v>
      </c>
      <c r="D1475" s="1" t="s">
        <v>1496</v>
      </c>
      <c r="E1475" s="0" t="s">
        <v>38</v>
      </c>
      <c r="F1475" s="0" t="s">
        <v>50</v>
      </c>
      <c r="G1475" s="0" t="s">
        <v>8743</v>
      </c>
      <c r="I1475" s="6" t="n">
        <v>0.921527777777778</v>
      </c>
      <c r="J1475" s="6" t="n">
        <v>0.924305555555556</v>
      </c>
      <c r="L1475" s="0" t="n">
        <v>8</v>
      </c>
      <c r="M1475" s="0" t="s">
        <v>8744</v>
      </c>
      <c r="N1475" s="0" t="s">
        <v>8745</v>
      </c>
      <c r="P1475" s="0" t="s">
        <v>8746</v>
      </c>
      <c r="Q1475" s="2" t="n">
        <v>43485</v>
      </c>
      <c r="S1475" s="0" t="n">
        <f aca="false">YEAR(Q1475)</f>
        <v>2019</v>
      </c>
      <c r="T1475" s="0" t="n">
        <f aca="false">MONTH(Q1475)</f>
        <v>1</v>
      </c>
    </row>
    <row r="1476" customFormat="false" ht="14.25" hidden="true" customHeight="false" outlineLevel="0" collapsed="false">
      <c r="A1476" s="0" t="n">
        <v>1480</v>
      </c>
      <c r="B1476" s="1" t="s">
        <v>1063</v>
      </c>
      <c r="C1476" s="1" t="s">
        <v>1479</v>
      </c>
      <c r="D1476" s="1" t="s">
        <v>1487</v>
      </c>
      <c r="E1476" s="0" t="s">
        <v>1488</v>
      </c>
      <c r="F1476" s="0" t="s">
        <v>50</v>
      </c>
      <c r="G1476" s="0" t="s">
        <v>8747</v>
      </c>
      <c r="I1476" s="6" t="n">
        <v>0.934027777777778</v>
      </c>
      <c r="J1476" s="6" t="n">
        <v>0.938888888888889</v>
      </c>
      <c r="L1476" s="0" t="n">
        <v>12</v>
      </c>
      <c r="M1476" s="0" t="s">
        <v>8748</v>
      </c>
      <c r="N1476" s="0" t="s">
        <v>8749</v>
      </c>
      <c r="P1476" s="0" t="s">
        <v>8750</v>
      </c>
      <c r="Q1476" s="2" t="n">
        <v>43485</v>
      </c>
      <c r="S1476" s="0" t="n">
        <f aca="false">YEAR(Q1476)</f>
        <v>2019</v>
      </c>
      <c r="T1476" s="0" t="n">
        <f aca="false">MONTH(Q1476)</f>
        <v>1</v>
      </c>
    </row>
    <row r="1477" customFormat="false" ht="28.5" hidden="true" customHeight="false" outlineLevel="0" collapsed="false">
      <c r="A1477" s="0" t="n">
        <v>1481</v>
      </c>
      <c r="B1477" s="1" t="s">
        <v>1063</v>
      </c>
      <c r="C1477" s="1" t="s">
        <v>1479</v>
      </c>
      <c r="D1477" s="1" t="s">
        <v>1496</v>
      </c>
      <c r="E1477" s="0" t="s">
        <v>38</v>
      </c>
      <c r="F1477" s="0" t="s">
        <v>50</v>
      </c>
      <c r="G1477" s="0" t="s">
        <v>8751</v>
      </c>
      <c r="I1477" s="6" t="n">
        <v>0.9375</v>
      </c>
      <c r="J1477" s="6" t="n">
        <v>0.939583333333333</v>
      </c>
      <c r="L1477" s="0" t="n">
        <v>15</v>
      </c>
      <c r="M1477" s="0" t="s">
        <v>8752</v>
      </c>
      <c r="N1477" s="7" t="s">
        <v>8753</v>
      </c>
      <c r="O1477" s="7"/>
      <c r="P1477" s="0" t="s">
        <v>8754</v>
      </c>
      <c r="Q1477" s="2" t="n">
        <v>43485</v>
      </c>
      <c r="S1477" s="0" t="n">
        <f aca="false">YEAR(Q1477)</f>
        <v>2019</v>
      </c>
      <c r="T1477" s="0" t="n">
        <f aca="false">MONTH(Q1477)</f>
        <v>1</v>
      </c>
    </row>
    <row r="1478" customFormat="false" ht="14.25" hidden="true" customHeight="false" outlineLevel="0" collapsed="false">
      <c r="A1478" s="0" t="n">
        <v>1482</v>
      </c>
      <c r="B1478" s="1" t="s">
        <v>1063</v>
      </c>
      <c r="C1478" s="1" t="s">
        <v>1479</v>
      </c>
      <c r="D1478" s="1" t="s">
        <v>1535</v>
      </c>
      <c r="E1478" s="0" t="s">
        <v>39</v>
      </c>
      <c r="F1478" s="0" t="s">
        <v>50</v>
      </c>
      <c r="G1478" s="0" t="s">
        <v>8755</v>
      </c>
      <c r="I1478" s="6" t="n">
        <v>0.934722222222222</v>
      </c>
      <c r="J1478" s="6" t="n">
        <v>0.998611111111111</v>
      </c>
      <c r="K1478" s="0" t="n">
        <v>17</v>
      </c>
      <c r="L1478" s="0" t="n">
        <v>7</v>
      </c>
      <c r="M1478" s="0" t="s">
        <v>8756</v>
      </c>
      <c r="N1478" s="0" t="s">
        <v>8757</v>
      </c>
      <c r="P1478" s="0" t="s">
        <v>8758</v>
      </c>
      <c r="Q1478" s="2" t="n">
        <v>43485</v>
      </c>
      <c r="S1478" s="0" t="n">
        <f aca="false">YEAR(Q1478)</f>
        <v>2019</v>
      </c>
      <c r="T1478" s="0" t="n">
        <f aca="false">MONTH(Q1478)</f>
        <v>1</v>
      </c>
    </row>
    <row r="1479" customFormat="false" ht="14.25" hidden="true" customHeight="false" outlineLevel="0" collapsed="false">
      <c r="A1479" s="0" t="n">
        <v>1483</v>
      </c>
      <c r="B1479" s="1" t="s">
        <v>1063</v>
      </c>
      <c r="C1479" s="1" t="s">
        <v>1479</v>
      </c>
      <c r="D1479" s="1" t="s">
        <v>1535</v>
      </c>
      <c r="E1479" s="0" t="s">
        <v>39</v>
      </c>
      <c r="F1479" s="0" t="s">
        <v>50</v>
      </c>
      <c r="G1479" s="0" t="s">
        <v>8759</v>
      </c>
      <c r="I1479" s="6" t="n">
        <v>0.0555555555555556</v>
      </c>
      <c r="J1479" s="6" t="n">
        <v>0.0625</v>
      </c>
      <c r="K1479" s="0" t="n">
        <v>7</v>
      </c>
      <c r="L1479" s="0" t="n">
        <v>7</v>
      </c>
      <c r="M1479" s="0" t="s">
        <v>8760</v>
      </c>
      <c r="N1479" s="0" t="s">
        <v>8761</v>
      </c>
      <c r="P1479" s="0" t="s">
        <v>8762</v>
      </c>
      <c r="Q1479" s="2" t="n">
        <v>43485</v>
      </c>
      <c r="S1479" s="0" t="n">
        <f aca="false">YEAR(Q1479)</f>
        <v>2019</v>
      </c>
      <c r="T1479" s="0" t="n">
        <f aca="false">MONTH(Q1479)</f>
        <v>1</v>
      </c>
    </row>
    <row r="1480" customFormat="false" ht="14.25" hidden="true" customHeight="false" outlineLevel="0" collapsed="false">
      <c r="A1480" s="0" t="n">
        <v>1484</v>
      </c>
      <c r="B1480" s="1" t="s">
        <v>1063</v>
      </c>
      <c r="C1480" s="1" t="s">
        <v>1479</v>
      </c>
      <c r="D1480" s="1" t="s">
        <v>1535</v>
      </c>
      <c r="E1480" s="0" t="s">
        <v>39</v>
      </c>
      <c r="F1480" s="0" t="s">
        <v>50</v>
      </c>
      <c r="G1480" s="0" t="s">
        <v>8763</v>
      </c>
      <c r="I1480" s="6" t="n">
        <v>0.104166666666667</v>
      </c>
      <c r="J1480" s="6" t="n">
        <v>0.10625</v>
      </c>
      <c r="L1480" s="0" t="n">
        <v>15</v>
      </c>
      <c r="M1480" s="0" t="s">
        <v>8764</v>
      </c>
      <c r="N1480" s="0" t="s">
        <v>4784</v>
      </c>
      <c r="P1480" s="0" t="s">
        <v>8765</v>
      </c>
      <c r="Q1480" s="2" t="n">
        <v>43485</v>
      </c>
      <c r="S1480" s="0" t="n">
        <f aca="false">YEAR(Q1480)</f>
        <v>2019</v>
      </c>
      <c r="T1480" s="0" t="n">
        <f aca="false">MONTH(Q1480)</f>
        <v>1</v>
      </c>
    </row>
    <row r="1481" customFormat="false" ht="14.25" hidden="true" customHeight="false" outlineLevel="0" collapsed="false">
      <c r="A1481" s="0" t="n">
        <v>1485</v>
      </c>
      <c r="B1481" s="1" t="s">
        <v>1064</v>
      </c>
      <c r="C1481" s="1" t="s">
        <v>1503</v>
      </c>
      <c r="D1481" s="1" t="s">
        <v>1535</v>
      </c>
      <c r="E1481" s="0" t="s">
        <v>44</v>
      </c>
      <c r="F1481" s="0" t="s">
        <v>48</v>
      </c>
      <c r="G1481" s="0" t="s">
        <v>8766</v>
      </c>
      <c r="I1481" s="6" t="n">
        <v>0.375</v>
      </c>
      <c r="J1481" s="6" t="n">
        <v>0.381944444444444</v>
      </c>
      <c r="M1481" s="0" t="s">
        <v>8767</v>
      </c>
      <c r="N1481" s="0" t="s">
        <v>3545</v>
      </c>
      <c r="P1481" s="0" t="s">
        <v>8768</v>
      </c>
      <c r="Q1481" s="2" t="n">
        <v>43486</v>
      </c>
      <c r="S1481" s="0" t="n">
        <f aca="false">YEAR(Q1481)</f>
        <v>2019</v>
      </c>
      <c r="T1481" s="0" t="n">
        <f aca="false">MONTH(Q1481)</f>
        <v>1</v>
      </c>
    </row>
    <row r="1482" customFormat="false" ht="14.25" hidden="true" customHeight="false" outlineLevel="0" collapsed="false">
      <c r="A1482" s="0" t="n">
        <v>1486</v>
      </c>
      <c r="B1482" s="1" t="s">
        <v>1064</v>
      </c>
      <c r="C1482" s="1" t="s">
        <v>1503</v>
      </c>
      <c r="D1482" s="1" t="s">
        <v>1504</v>
      </c>
      <c r="E1482" s="0" t="s">
        <v>8769</v>
      </c>
      <c r="F1482" s="0" t="s">
        <v>48</v>
      </c>
      <c r="G1482" s="0" t="s">
        <v>8213</v>
      </c>
      <c r="I1482" s="6" t="n">
        <v>0.375</v>
      </c>
      <c r="J1482" s="6" t="n">
        <v>0.388888888888889</v>
      </c>
      <c r="M1482" s="0" t="s">
        <v>8770</v>
      </c>
      <c r="N1482" s="0" t="s">
        <v>8771</v>
      </c>
      <c r="P1482" s="0" t="s">
        <v>8772</v>
      </c>
      <c r="Q1482" s="2" t="n">
        <v>43486</v>
      </c>
      <c r="S1482" s="0" t="n">
        <f aca="false">YEAR(Q1482)</f>
        <v>2019</v>
      </c>
      <c r="T1482" s="0" t="n">
        <f aca="false">MONTH(Q1482)</f>
        <v>1</v>
      </c>
    </row>
    <row r="1483" customFormat="false" ht="14.25" hidden="true" customHeight="false" outlineLevel="0" collapsed="false">
      <c r="A1483" s="0" t="n">
        <v>1487</v>
      </c>
      <c r="B1483" s="1" t="s">
        <v>1064</v>
      </c>
      <c r="C1483" s="1" t="s">
        <v>1503</v>
      </c>
      <c r="D1483" s="1" t="s">
        <v>1504</v>
      </c>
      <c r="E1483" s="0" t="s">
        <v>8769</v>
      </c>
      <c r="F1483" s="0" t="s">
        <v>48</v>
      </c>
      <c r="G1483" s="0" t="s">
        <v>8773</v>
      </c>
      <c r="I1483" s="6" t="n">
        <v>0.25</v>
      </c>
      <c r="J1483" s="6" t="n">
        <v>0.416666666666667</v>
      </c>
      <c r="M1483" s="0" t="s">
        <v>8774</v>
      </c>
      <c r="N1483" s="0" t="s">
        <v>8775</v>
      </c>
      <c r="P1483" s="0" t="s">
        <v>8776</v>
      </c>
      <c r="Q1483" s="2" t="n">
        <v>43486</v>
      </c>
      <c r="S1483" s="0" t="n">
        <f aca="false">YEAR(Q1483)</f>
        <v>2019</v>
      </c>
      <c r="T1483" s="0" t="n">
        <f aca="false">MONTH(Q1483)</f>
        <v>1</v>
      </c>
    </row>
    <row r="1484" customFormat="false" ht="14.25" hidden="true" customHeight="false" outlineLevel="0" collapsed="false">
      <c r="A1484" s="0" t="n">
        <v>1488</v>
      </c>
      <c r="B1484" s="1" t="s">
        <v>1064</v>
      </c>
      <c r="C1484" s="1" t="s">
        <v>1479</v>
      </c>
      <c r="D1484" s="1" t="s">
        <v>1535</v>
      </c>
      <c r="E1484" s="0" t="s">
        <v>39</v>
      </c>
      <c r="F1484" s="0" t="s">
        <v>49</v>
      </c>
      <c r="G1484" s="0" t="s">
        <v>8777</v>
      </c>
      <c r="I1484" s="6" t="n">
        <v>0.895833333333333</v>
      </c>
      <c r="K1484" s="0" t="n">
        <v>5</v>
      </c>
      <c r="L1484" s="0" t="n">
        <v>12</v>
      </c>
      <c r="M1484" s="0" t="s">
        <v>8778</v>
      </c>
      <c r="N1484" s="0" t="s">
        <v>8779</v>
      </c>
      <c r="P1484" s="0" t="s">
        <v>8780</v>
      </c>
      <c r="Q1484" s="2" t="n">
        <v>43486</v>
      </c>
      <c r="S1484" s="0" t="n">
        <f aca="false">YEAR(Q1484)</f>
        <v>2019</v>
      </c>
      <c r="T1484" s="0" t="n">
        <f aca="false">MONTH(Q1484)</f>
        <v>1</v>
      </c>
    </row>
    <row r="1485" customFormat="false" ht="72" hidden="true" customHeight="false" outlineLevel="0" collapsed="false">
      <c r="A1485" s="0" t="n">
        <v>1489</v>
      </c>
      <c r="B1485" s="1" t="s">
        <v>1064</v>
      </c>
      <c r="C1485" s="1" t="s">
        <v>1503</v>
      </c>
      <c r="D1485" s="1" t="s">
        <v>1535</v>
      </c>
      <c r="E1485" s="0" t="s">
        <v>1503</v>
      </c>
      <c r="F1485" s="0" t="s">
        <v>50</v>
      </c>
      <c r="G1485" s="0" t="s">
        <v>8781</v>
      </c>
      <c r="I1485" s="6" t="n">
        <v>0</v>
      </c>
      <c r="J1485" s="6" t="n">
        <v>0.0416666666666667</v>
      </c>
      <c r="L1485" s="0" t="n">
        <v>270</v>
      </c>
      <c r="M1485" s="0" t="s">
        <v>8782</v>
      </c>
      <c r="N1485" s="7" t="s">
        <v>8783</v>
      </c>
      <c r="O1485" s="7"/>
      <c r="P1485" s="0" t="s">
        <v>8784</v>
      </c>
      <c r="Q1485" s="2" t="n">
        <v>43486</v>
      </c>
      <c r="S1485" s="0" t="n">
        <f aca="false">YEAR(Q1485)</f>
        <v>2019</v>
      </c>
      <c r="T1485" s="0" t="n">
        <f aca="false">MONTH(Q1485)</f>
        <v>1</v>
      </c>
    </row>
    <row r="1486" customFormat="false" ht="72" hidden="true" customHeight="false" outlineLevel="0" collapsed="false">
      <c r="A1486" s="0" t="n">
        <v>1490</v>
      </c>
      <c r="B1486" s="1" t="s">
        <v>1064</v>
      </c>
      <c r="C1486" s="1" t="s">
        <v>1503</v>
      </c>
      <c r="D1486" s="1" t="s">
        <v>1535</v>
      </c>
      <c r="E1486" s="0" t="s">
        <v>1503</v>
      </c>
      <c r="F1486" s="0" t="s">
        <v>50</v>
      </c>
      <c r="G1486" s="0" t="s">
        <v>8785</v>
      </c>
      <c r="J1486" s="6" t="n">
        <v>0.0833333333333333</v>
      </c>
      <c r="L1486" s="0" t="n">
        <v>80</v>
      </c>
      <c r="M1486" s="0" t="s">
        <v>8786</v>
      </c>
      <c r="N1486" s="0" t="s">
        <v>8787</v>
      </c>
      <c r="P1486" s="7" t="s">
        <v>8788</v>
      </c>
      <c r="Q1486" s="2" t="n">
        <v>43486</v>
      </c>
      <c r="S1486" s="0" t="n">
        <f aca="false">YEAR(Q1486)</f>
        <v>2019</v>
      </c>
      <c r="T1486" s="0" t="n">
        <f aca="false">MONTH(Q1486)</f>
        <v>1</v>
      </c>
    </row>
    <row r="1487" customFormat="false" ht="14.25" hidden="true" customHeight="false" outlineLevel="0" collapsed="false">
      <c r="A1487" s="0" t="n">
        <v>1491</v>
      </c>
      <c r="B1487" s="1" t="s">
        <v>1065</v>
      </c>
      <c r="C1487" s="1" t="s">
        <v>1503</v>
      </c>
      <c r="D1487" s="1" t="s">
        <v>1535</v>
      </c>
      <c r="E1487" s="0" t="s">
        <v>1503</v>
      </c>
      <c r="F1487" s="0" t="s">
        <v>48</v>
      </c>
      <c r="G1487" s="0" t="s">
        <v>8785</v>
      </c>
      <c r="I1487" s="6" t="n">
        <v>0.3125</v>
      </c>
      <c r="J1487" s="6" t="n">
        <v>0.326388888888889</v>
      </c>
      <c r="L1487" s="0" t="n">
        <v>115</v>
      </c>
      <c r="M1487" s="0" t="s">
        <v>8786</v>
      </c>
      <c r="N1487" s="0" t="s">
        <v>8789</v>
      </c>
      <c r="P1487" s="0" t="s">
        <v>8790</v>
      </c>
      <c r="Q1487" s="2" t="n">
        <v>43487</v>
      </c>
      <c r="S1487" s="0" t="n">
        <f aca="false">YEAR(Q1487)</f>
        <v>2019</v>
      </c>
      <c r="T1487" s="0" t="n">
        <f aca="false">MONTH(Q1487)</f>
        <v>1</v>
      </c>
    </row>
    <row r="1488" customFormat="false" ht="72" hidden="true" customHeight="false" outlineLevel="0" collapsed="false">
      <c r="A1488" s="0" t="n">
        <v>1492</v>
      </c>
      <c r="B1488" s="1" t="s">
        <v>1065</v>
      </c>
      <c r="C1488" s="1" t="s">
        <v>1503</v>
      </c>
      <c r="D1488" s="1" t="s">
        <v>1535</v>
      </c>
      <c r="E1488" s="0" t="s">
        <v>1503</v>
      </c>
      <c r="F1488" s="0" t="s">
        <v>48</v>
      </c>
      <c r="G1488" s="0" t="s">
        <v>8791</v>
      </c>
      <c r="J1488" s="6" t="n">
        <v>0.451388888888889</v>
      </c>
      <c r="L1488" s="0" t="n">
        <v>80</v>
      </c>
      <c r="M1488" s="0" t="s">
        <v>8792</v>
      </c>
      <c r="N1488" s="0" t="s">
        <v>8793</v>
      </c>
      <c r="P1488" s="7" t="s">
        <v>8794</v>
      </c>
      <c r="Q1488" s="2" t="n">
        <v>43487</v>
      </c>
      <c r="S1488" s="0" t="n">
        <f aca="false">YEAR(Q1488)</f>
        <v>2019</v>
      </c>
      <c r="T1488" s="0" t="n">
        <f aca="false">MONTH(Q1488)</f>
        <v>1</v>
      </c>
    </row>
    <row r="1489" customFormat="false" ht="14.25" hidden="true" customHeight="false" outlineLevel="0" collapsed="false">
      <c r="A1489" s="0" t="n">
        <v>1493</v>
      </c>
      <c r="B1489" s="1" t="s">
        <v>1065</v>
      </c>
      <c r="C1489" s="1" t="s">
        <v>1479</v>
      </c>
      <c r="D1489" s="1" t="s">
        <v>1480</v>
      </c>
      <c r="E1489" s="0" t="s">
        <v>43</v>
      </c>
      <c r="F1489" s="0" t="s">
        <v>48</v>
      </c>
      <c r="G1489" s="0" t="s">
        <v>8795</v>
      </c>
      <c r="J1489" s="6" t="n">
        <v>0.520833333333333</v>
      </c>
      <c r="M1489" s="0" t="s">
        <v>8796</v>
      </c>
      <c r="N1489" s="0" t="s">
        <v>8797</v>
      </c>
      <c r="P1489" s="0" t="s">
        <v>8798</v>
      </c>
      <c r="Q1489" s="2" t="n">
        <v>43487</v>
      </c>
      <c r="S1489" s="0" t="n">
        <f aca="false">YEAR(Q1489)</f>
        <v>2019</v>
      </c>
      <c r="T1489" s="0" t="n">
        <f aca="false">MONTH(Q1489)</f>
        <v>1</v>
      </c>
    </row>
    <row r="1490" customFormat="false" ht="14.25" hidden="true" customHeight="false" outlineLevel="0" collapsed="false">
      <c r="A1490" s="0" t="n">
        <v>1494</v>
      </c>
      <c r="B1490" s="1" t="s">
        <v>1065</v>
      </c>
      <c r="C1490" s="1" t="s">
        <v>1479</v>
      </c>
      <c r="D1490" s="1" t="s">
        <v>1535</v>
      </c>
      <c r="E1490" s="0" t="s">
        <v>39</v>
      </c>
      <c r="F1490" s="0" t="s">
        <v>49</v>
      </c>
      <c r="G1490" s="0" t="s">
        <v>8799</v>
      </c>
      <c r="I1490" s="6" t="n">
        <v>0.715277777777778</v>
      </c>
      <c r="J1490" s="6" t="n">
        <v>0.729166666666667</v>
      </c>
      <c r="K1490" s="0" t="n">
        <v>0</v>
      </c>
      <c r="M1490" s="0" t="s">
        <v>8800</v>
      </c>
      <c r="N1490" s="0" t="s">
        <v>8801</v>
      </c>
      <c r="P1490" s="0" t="s">
        <v>8802</v>
      </c>
      <c r="Q1490" s="2" t="n">
        <v>43487</v>
      </c>
      <c r="S1490" s="0" t="n">
        <f aca="false">YEAR(Q1490)</f>
        <v>2019</v>
      </c>
      <c r="T1490" s="0" t="n">
        <f aca="false">MONTH(Q1490)</f>
        <v>1</v>
      </c>
    </row>
    <row r="1491" customFormat="false" ht="14.25" hidden="true" customHeight="false" outlineLevel="0" collapsed="false">
      <c r="A1491" s="0" t="n">
        <v>1495</v>
      </c>
      <c r="B1491" s="1" t="s">
        <v>1065</v>
      </c>
      <c r="C1491" s="1" t="s">
        <v>1479</v>
      </c>
      <c r="D1491" s="1" t="s">
        <v>1496</v>
      </c>
      <c r="E1491" s="0" t="s">
        <v>38</v>
      </c>
      <c r="F1491" s="0" t="s">
        <v>50</v>
      </c>
      <c r="G1491" s="0" t="s">
        <v>8803</v>
      </c>
      <c r="I1491" s="6" t="n">
        <v>0.0833333333333333</v>
      </c>
      <c r="J1491" s="6" t="n">
        <v>0.0902777777777778</v>
      </c>
      <c r="L1491" s="0" t="n">
        <v>0</v>
      </c>
      <c r="M1491" s="0" t="s">
        <v>8804</v>
      </c>
      <c r="N1491" s="0" t="s">
        <v>3545</v>
      </c>
      <c r="P1491" s="0" t="s">
        <v>8805</v>
      </c>
      <c r="Q1491" s="2" t="n">
        <v>43487</v>
      </c>
      <c r="S1491" s="0" t="n">
        <f aca="false">YEAR(Q1491)</f>
        <v>2019</v>
      </c>
      <c r="T1491" s="0" t="n">
        <f aca="false">MONTH(Q1491)</f>
        <v>1</v>
      </c>
    </row>
    <row r="1492" customFormat="false" ht="14.25" hidden="true" customHeight="false" outlineLevel="0" collapsed="false">
      <c r="A1492" s="0" t="n">
        <v>1496</v>
      </c>
      <c r="B1492" s="1" t="s">
        <v>1065</v>
      </c>
      <c r="C1492" s="1" t="s">
        <v>1503</v>
      </c>
      <c r="D1492" s="1" t="s">
        <v>1535</v>
      </c>
      <c r="E1492" s="0" t="s">
        <v>44</v>
      </c>
      <c r="F1492" s="0" t="s">
        <v>50</v>
      </c>
      <c r="G1492" s="0" t="s">
        <v>8806</v>
      </c>
      <c r="I1492" s="6" t="n">
        <v>0.916666666666667</v>
      </c>
      <c r="J1492" s="6" t="n">
        <v>0.961805555555555</v>
      </c>
      <c r="M1492" s="0" t="s">
        <v>5632</v>
      </c>
      <c r="N1492" s="0" t="s">
        <v>8807</v>
      </c>
      <c r="P1492" s="0" t="s">
        <v>8808</v>
      </c>
      <c r="Q1492" s="2" t="n">
        <v>43487</v>
      </c>
      <c r="S1492" s="0" t="n">
        <f aca="false">YEAR(Q1492)</f>
        <v>2019</v>
      </c>
      <c r="T1492" s="0" t="n">
        <f aca="false">MONTH(Q1492)</f>
        <v>1</v>
      </c>
    </row>
    <row r="1493" customFormat="false" ht="28.5" hidden="true" customHeight="false" outlineLevel="0" collapsed="false">
      <c r="A1493" s="0" t="n">
        <v>1497</v>
      </c>
      <c r="B1493" s="1" t="s">
        <v>1065</v>
      </c>
      <c r="C1493" s="1" t="s">
        <v>1479</v>
      </c>
      <c r="D1493" s="1" t="s">
        <v>1535</v>
      </c>
      <c r="E1493" s="0" t="s">
        <v>39</v>
      </c>
      <c r="F1493" s="0" t="s">
        <v>50</v>
      </c>
      <c r="G1493" s="0" t="s">
        <v>8809</v>
      </c>
      <c r="I1493" s="6" t="n">
        <v>0.0138888888888889</v>
      </c>
      <c r="J1493" s="6" t="n">
        <v>0.0222222222222222</v>
      </c>
      <c r="K1493" s="0" t="n">
        <v>41</v>
      </c>
      <c r="L1493" s="0" t="n">
        <v>40</v>
      </c>
      <c r="M1493" s="0" t="s">
        <v>8810</v>
      </c>
      <c r="N1493" s="0" t="s">
        <v>8811</v>
      </c>
      <c r="P1493" s="7" t="s">
        <v>8812</v>
      </c>
      <c r="Q1493" s="2" t="n">
        <v>43487</v>
      </c>
      <c r="S1493" s="0" t="n">
        <f aca="false">YEAR(Q1493)</f>
        <v>2019</v>
      </c>
      <c r="T1493" s="0" t="n">
        <f aca="false">MONTH(Q1493)</f>
        <v>1</v>
      </c>
    </row>
    <row r="1494" customFormat="false" ht="28.5" hidden="true" customHeight="false" outlineLevel="0" collapsed="false">
      <c r="A1494" s="0" t="n">
        <v>1498</v>
      </c>
      <c r="B1494" s="1" t="s">
        <v>1065</v>
      </c>
      <c r="C1494" s="1" t="s">
        <v>1479</v>
      </c>
      <c r="D1494" s="1" t="s">
        <v>1535</v>
      </c>
      <c r="E1494" s="0" t="s">
        <v>39</v>
      </c>
      <c r="F1494" s="0" t="s">
        <v>50</v>
      </c>
      <c r="G1494" s="0" t="s">
        <v>8813</v>
      </c>
      <c r="I1494" s="6" t="n">
        <v>0.208333333333333</v>
      </c>
      <c r="J1494" s="6" t="n">
        <v>0.211805555555556</v>
      </c>
      <c r="M1494" s="0" t="s">
        <v>8814</v>
      </c>
      <c r="N1494" s="0" t="s">
        <v>8815</v>
      </c>
      <c r="P1494" s="7" t="s">
        <v>8816</v>
      </c>
      <c r="Q1494" s="2" t="n">
        <v>43487</v>
      </c>
      <c r="S1494" s="0" t="n">
        <f aca="false">YEAR(Q1494)</f>
        <v>2019</v>
      </c>
      <c r="T1494" s="0" t="n">
        <f aca="false">MONTH(Q1494)</f>
        <v>1</v>
      </c>
    </row>
    <row r="1495" customFormat="false" ht="14.25" hidden="true" customHeight="false" outlineLevel="0" collapsed="false">
      <c r="A1495" s="0" t="n">
        <v>1499</v>
      </c>
      <c r="B1495" s="1" t="s">
        <v>1066</v>
      </c>
      <c r="C1495" s="1" t="s">
        <v>1479</v>
      </c>
      <c r="D1495" s="1" t="s">
        <v>1487</v>
      </c>
      <c r="E1495" s="0" t="s">
        <v>1488</v>
      </c>
      <c r="F1495" s="0" t="s">
        <v>48</v>
      </c>
      <c r="G1495" s="0" t="s">
        <v>8817</v>
      </c>
      <c r="I1495" s="6" t="n">
        <v>0.236111111111111</v>
      </c>
      <c r="J1495" s="6" t="n">
        <v>0.25625</v>
      </c>
      <c r="L1495" s="0" t="n">
        <v>50</v>
      </c>
      <c r="M1495" s="0" t="s">
        <v>8818</v>
      </c>
      <c r="N1495" s="0" t="s">
        <v>8819</v>
      </c>
      <c r="P1495" s="0" t="s">
        <v>8820</v>
      </c>
      <c r="Q1495" s="2" t="n">
        <v>43488</v>
      </c>
      <c r="S1495" s="0" t="n">
        <f aca="false">YEAR(Q1495)</f>
        <v>2019</v>
      </c>
      <c r="T1495" s="0" t="n">
        <f aca="false">MONTH(Q1495)</f>
        <v>1</v>
      </c>
    </row>
    <row r="1496" customFormat="false" ht="14.25" hidden="true" customHeight="false" outlineLevel="0" collapsed="false">
      <c r="A1496" s="0" t="n">
        <v>1500</v>
      </c>
      <c r="B1496" s="1" t="s">
        <v>1066</v>
      </c>
      <c r="C1496" s="1" t="s">
        <v>1503</v>
      </c>
      <c r="D1496" s="1" t="s">
        <v>1535</v>
      </c>
      <c r="E1496" s="0" t="s">
        <v>1503</v>
      </c>
      <c r="F1496" s="0" t="s">
        <v>48</v>
      </c>
      <c r="G1496" s="0" t="s">
        <v>8821</v>
      </c>
      <c r="I1496" s="6" t="n">
        <v>0.333333333333333</v>
      </c>
      <c r="J1496" s="6" t="n">
        <v>0</v>
      </c>
      <c r="K1496" s="0" t="n">
        <v>0</v>
      </c>
      <c r="L1496" s="0" t="n">
        <v>60</v>
      </c>
      <c r="M1496" s="0" t="s">
        <v>8822</v>
      </c>
      <c r="N1496" s="0" t="s">
        <v>8823</v>
      </c>
      <c r="P1496" s="0" t="s">
        <v>8824</v>
      </c>
      <c r="Q1496" s="2" t="n">
        <v>43488</v>
      </c>
      <c r="S1496" s="0" t="n">
        <f aca="false">YEAR(Q1496)</f>
        <v>2019</v>
      </c>
      <c r="T1496" s="0" t="n">
        <f aca="false">MONTH(Q1496)</f>
        <v>1</v>
      </c>
    </row>
    <row r="1497" customFormat="false" ht="14.25" hidden="true" customHeight="false" outlineLevel="0" collapsed="false">
      <c r="A1497" s="0" t="n">
        <v>1501</v>
      </c>
      <c r="B1497" s="1" t="s">
        <v>1066</v>
      </c>
      <c r="C1497" s="1" t="s">
        <v>1503</v>
      </c>
      <c r="D1497" s="1" t="s">
        <v>1535</v>
      </c>
      <c r="E1497" s="0" t="s">
        <v>1503</v>
      </c>
      <c r="F1497" s="0" t="s">
        <v>48</v>
      </c>
      <c r="G1497" s="0" t="s">
        <v>8825</v>
      </c>
      <c r="J1497" s="6" t="n">
        <v>0.333333333333333</v>
      </c>
      <c r="K1497" s="0" t="n">
        <v>0</v>
      </c>
      <c r="M1497" s="0" t="s">
        <v>8826</v>
      </c>
      <c r="N1497" s="0" t="s">
        <v>8827</v>
      </c>
      <c r="P1497" s="0" t="s">
        <v>8828</v>
      </c>
      <c r="Q1497" s="2" t="n">
        <v>43488</v>
      </c>
      <c r="S1497" s="0" t="n">
        <f aca="false">YEAR(Q1497)</f>
        <v>2019</v>
      </c>
      <c r="T1497" s="0" t="n">
        <f aca="false">MONTH(Q1497)</f>
        <v>1</v>
      </c>
    </row>
    <row r="1498" customFormat="false" ht="28.5" hidden="true" customHeight="false" outlineLevel="0" collapsed="false">
      <c r="A1498" s="0" t="n">
        <v>1502</v>
      </c>
      <c r="B1498" s="1" t="s">
        <v>1066</v>
      </c>
      <c r="C1498" s="1" t="s">
        <v>1503</v>
      </c>
      <c r="D1498" s="1" t="s">
        <v>1535</v>
      </c>
      <c r="E1498" s="0" t="s">
        <v>1503</v>
      </c>
      <c r="F1498" s="0" t="s">
        <v>48</v>
      </c>
      <c r="G1498" s="0" t="s">
        <v>8829</v>
      </c>
      <c r="J1498" s="6" t="n">
        <v>0.319444444444444</v>
      </c>
      <c r="L1498" s="0" t="n">
        <v>900</v>
      </c>
      <c r="M1498" s="0" t="s">
        <v>8830</v>
      </c>
      <c r="N1498" s="0" t="s">
        <v>8831</v>
      </c>
      <c r="P1498" s="7" t="s">
        <v>8832</v>
      </c>
      <c r="Q1498" s="2" t="n">
        <v>43488</v>
      </c>
      <c r="S1498" s="0" t="n">
        <f aca="false">YEAR(Q1498)</f>
        <v>2019</v>
      </c>
      <c r="T1498" s="0" t="n">
        <f aca="false">MONTH(Q1498)</f>
        <v>1</v>
      </c>
    </row>
    <row r="1499" customFormat="false" ht="14.25" hidden="true" customHeight="false" outlineLevel="0" collapsed="false">
      <c r="A1499" s="0" t="n">
        <v>1503</v>
      </c>
      <c r="B1499" s="1" t="s">
        <v>1066</v>
      </c>
      <c r="C1499" s="1" t="s">
        <v>1503</v>
      </c>
      <c r="D1499" s="1" t="s">
        <v>1535</v>
      </c>
      <c r="E1499" s="0" t="s">
        <v>1503</v>
      </c>
      <c r="F1499" s="0" t="s">
        <v>48</v>
      </c>
      <c r="G1499" s="0" t="s">
        <v>8833</v>
      </c>
      <c r="I1499" s="6" t="n">
        <v>0.503472222222222</v>
      </c>
      <c r="J1499" s="6" t="n">
        <v>0.510416666666667</v>
      </c>
      <c r="M1499" s="0" t="s">
        <v>8834</v>
      </c>
      <c r="N1499" s="0" t="s">
        <v>8835</v>
      </c>
      <c r="P1499" s="0" t="s">
        <v>8836</v>
      </c>
      <c r="Q1499" s="2" t="n">
        <v>43488</v>
      </c>
      <c r="S1499" s="0" t="n">
        <f aca="false">YEAR(Q1499)</f>
        <v>2019</v>
      </c>
      <c r="T1499" s="0" t="n">
        <f aca="false">MONTH(Q1499)</f>
        <v>1</v>
      </c>
    </row>
    <row r="1500" customFormat="false" ht="28.5" hidden="true" customHeight="false" outlineLevel="0" collapsed="false">
      <c r="A1500" s="0" t="n">
        <v>1504</v>
      </c>
      <c r="B1500" s="1" t="s">
        <v>1066</v>
      </c>
      <c r="C1500" s="1" t="s">
        <v>1479</v>
      </c>
      <c r="D1500" s="1" t="s">
        <v>1480</v>
      </c>
      <c r="E1500" s="0" t="s">
        <v>43</v>
      </c>
      <c r="F1500" s="0" t="s">
        <v>48</v>
      </c>
      <c r="G1500" s="0" t="s">
        <v>8837</v>
      </c>
      <c r="I1500" s="6" t="n">
        <v>0.333333333333333</v>
      </c>
      <c r="J1500" s="6" t="n">
        <v>0.375</v>
      </c>
      <c r="K1500" s="0" t="n">
        <v>0</v>
      </c>
      <c r="L1500" s="0" t="n">
        <v>60</v>
      </c>
      <c r="M1500" s="0" t="s">
        <v>8838</v>
      </c>
      <c r="N1500" s="0" t="s">
        <v>8839</v>
      </c>
      <c r="P1500" s="7" t="s">
        <v>8840</v>
      </c>
      <c r="Q1500" s="2" t="n">
        <v>43488</v>
      </c>
      <c r="S1500" s="0" t="n">
        <f aca="false">YEAR(Q1500)</f>
        <v>2019</v>
      </c>
      <c r="T1500" s="0" t="n">
        <f aca="false">MONTH(Q1500)</f>
        <v>1</v>
      </c>
    </row>
    <row r="1501" customFormat="false" ht="14.25" hidden="true" customHeight="false" outlineLevel="0" collapsed="false">
      <c r="A1501" s="0" t="n">
        <v>1505</v>
      </c>
      <c r="B1501" s="1" t="s">
        <v>1066</v>
      </c>
      <c r="C1501" s="1" t="s">
        <v>1479</v>
      </c>
      <c r="D1501" s="1" t="s">
        <v>1480</v>
      </c>
      <c r="E1501" s="0" t="s">
        <v>43</v>
      </c>
      <c r="F1501" s="0" t="s">
        <v>48</v>
      </c>
      <c r="G1501" s="0" t="s">
        <v>8795</v>
      </c>
      <c r="J1501" s="6" t="n">
        <v>0.458333333333333</v>
      </c>
      <c r="K1501" s="0" t="n">
        <v>0</v>
      </c>
      <c r="L1501" s="0" t="n">
        <v>210</v>
      </c>
      <c r="M1501" s="0" t="s">
        <v>8841</v>
      </c>
      <c r="N1501" s="0" t="s">
        <v>8797</v>
      </c>
      <c r="P1501" s="0" t="s">
        <v>8842</v>
      </c>
      <c r="Q1501" s="2" t="n">
        <v>43488</v>
      </c>
      <c r="S1501" s="0" t="n">
        <f aca="false">YEAR(Q1501)</f>
        <v>2019</v>
      </c>
      <c r="T1501" s="0" t="n">
        <f aca="false">MONTH(Q1501)</f>
        <v>1</v>
      </c>
    </row>
    <row r="1502" customFormat="false" ht="42.75" hidden="true" customHeight="false" outlineLevel="0" collapsed="false">
      <c r="A1502" s="0" t="n">
        <v>1506</v>
      </c>
      <c r="B1502" s="1" t="s">
        <v>1066</v>
      </c>
      <c r="C1502" s="1" t="s">
        <v>1479</v>
      </c>
      <c r="D1502" s="1" t="s">
        <v>1535</v>
      </c>
      <c r="E1502" s="0" t="s">
        <v>39</v>
      </c>
      <c r="F1502" s="0" t="s">
        <v>50</v>
      </c>
      <c r="G1502" s="0" t="s">
        <v>8843</v>
      </c>
      <c r="I1502" s="6" t="n">
        <v>0.129166666666667</v>
      </c>
      <c r="J1502" s="6" t="n">
        <v>0.134722222222222</v>
      </c>
      <c r="K1502" s="0" t="n">
        <v>47</v>
      </c>
      <c r="L1502" s="0" t="n">
        <v>24</v>
      </c>
      <c r="M1502" s="0" t="s">
        <v>8844</v>
      </c>
      <c r="N1502" s="0" t="s">
        <v>8845</v>
      </c>
      <c r="P1502" s="7" t="s">
        <v>8846</v>
      </c>
      <c r="Q1502" s="2" t="n">
        <v>43488</v>
      </c>
      <c r="S1502" s="0" t="n">
        <f aca="false">YEAR(Q1502)</f>
        <v>2019</v>
      </c>
      <c r="T1502" s="0" t="n">
        <f aca="false">MONTH(Q1502)</f>
        <v>1</v>
      </c>
    </row>
    <row r="1503" customFormat="false" ht="14.25" hidden="true" customHeight="false" outlineLevel="0" collapsed="false">
      <c r="A1503" s="0" t="n">
        <v>1507</v>
      </c>
      <c r="B1503" s="1" t="s">
        <v>1066</v>
      </c>
      <c r="C1503" s="1" t="s">
        <v>1503</v>
      </c>
      <c r="D1503" s="1" t="s">
        <v>1535</v>
      </c>
      <c r="E1503" s="0" t="s">
        <v>1503</v>
      </c>
      <c r="F1503" s="0" t="s">
        <v>48</v>
      </c>
      <c r="G1503" s="0" t="s">
        <v>8847</v>
      </c>
      <c r="I1503" s="6" t="n">
        <v>0.333333333333333</v>
      </c>
      <c r="J1503" s="6" t="n">
        <v>0</v>
      </c>
      <c r="K1503" s="0" t="n">
        <v>0</v>
      </c>
      <c r="L1503" s="0" t="n">
        <v>90</v>
      </c>
      <c r="M1503" s="0" t="s">
        <v>8848</v>
      </c>
      <c r="N1503" s="0" t="s">
        <v>8823</v>
      </c>
      <c r="P1503" s="0" t="s">
        <v>8824</v>
      </c>
      <c r="Q1503" s="2" t="n">
        <v>43488</v>
      </c>
      <c r="S1503" s="0" t="n">
        <f aca="false">YEAR(Q1503)</f>
        <v>2019</v>
      </c>
      <c r="T1503" s="0" t="n">
        <f aca="false">MONTH(Q1503)</f>
        <v>1</v>
      </c>
    </row>
    <row r="1504" customFormat="false" ht="14.25" hidden="true" customHeight="false" outlineLevel="0" collapsed="false">
      <c r="A1504" s="0" t="n">
        <v>1508</v>
      </c>
      <c r="B1504" s="1" t="s">
        <v>1067</v>
      </c>
      <c r="C1504" s="1" t="s">
        <v>1503</v>
      </c>
      <c r="D1504" s="1" t="s">
        <v>1535</v>
      </c>
      <c r="E1504" s="0" t="s">
        <v>1503</v>
      </c>
      <c r="F1504" s="0" t="s">
        <v>48</v>
      </c>
      <c r="G1504" s="0" t="s">
        <v>3928</v>
      </c>
      <c r="I1504" s="6" t="n">
        <v>0.402777777777778</v>
      </c>
      <c r="J1504" s="6" t="n">
        <v>0.409722222222222</v>
      </c>
      <c r="L1504" s="0" t="n">
        <v>240</v>
      </c>
      <c r="M1504" s="0" t="s">
        <v>8849</v>
      </c>
      <c r="N1504" s="0" t="s">
        <v>8850</v>
      </c>
      <c r="P1504" s="0" t="s">
        <v>8851</v>
      </c>
      <c r="Q1504" s="2" t="n">
        <v>43489</v>
      </c>
      <c r="S1504" s="0" t="n">
        <f aca="false">YEAR(Q1504)</f>
        <v>2019</v>
      </c>
      <c r="T1504" s="0" t="n">
        <f aca="false">MONTH(Q1504)</f>
        <v>1</v>
      </c>
    </row>
    <row r="1505" customFormat="false" ht="14.25" hidden="true" customHeight="false" outlineLevel="0" collapsed="false">
      <c r="A1505" s="0" t="n">
        <v>1509</v>
      </c>
      <c r="B1505" s="1" t="s">
        <v>1067</v>
      </c>
      <c r="C1505" s="1" t="s">
        <v>1503</v>
      </c>
      <c r="D1505" s="1" t="s">
        <v>1535</v>
      </c>
      <c r="E1505" s="0" t="s">
        <v>1503</v>
      </c>
      <c r="F1505" s="0" t="s">
        <v>48</v>
      </c>
      <c r="G1505" s="0" t="s">
        <v>8852</v>
      </c>
      <c r="I1505" s="6" t="n">
        <v>0.538194444444444</v>
      </c>
      <c r="J1505" s="6" t="n">
        <v>0.565972222222222</v>
      </c>
      <c r="L1505" s="0" t="n">
        <v>50</v>
      </c>
      <c r="M1505" s="0" t="s">
        <v>8853</v>
      </c>
      <c r="N1505" s="0" t="s">
        <v>8854</v>
      </c>
      <c r="P1505" s="0" t="s">
        <v>8855</v>
      </c>
      <c r="Q1505" s="2" t="n">
        <v>43489</v>
      </c>
      <c r="S1505" s="0" t="n">
        <f aca="false">YEAR(Q1505)</f>
        <v>2019</v>
      </c>
      <c r="T1505" s="0" t="n">
        <f aca="false">MONTH(Q1505)</f>
        <v>1</v>
      </c>
    </row>
    <row r="1506" customFormat="false" ht="14.25" hidden="true" customHeight="false" outlineLevel="0" collapsed="false">
      <c r="A1506" s="0" t="n">
        <v>1510</v>
      </c>
      <c r="B1506" s="1" t="s">
        <v>1067</v>
      </c>
      <c r="C1506" s="1" t="s">
        <v>1479</v>
      </c>
      <c r="D1506" s="1" t="s">
        <v>1487</v>
      </c>
      <c r="E1506" s="4" t="s">
        <v>1488</v>
      </c>
      <c r="F1506" s="0" t="s">
        <v>49</v>
      </c>
      <c r="G1506" s="0" t="s">
        <v>8856</v>
      </c>
      <c r="I1506" s="6" t="n">
        <v>0.597222222222222</v>
      </c>
      <c r="J1506" s="6" t="n">
        <v>0.604166666666667</v>
      </c>
      <c r="K1506" s="0" t="n">
        <v>59</v>
      </c>
      <c r="L1506" s="0" t="n">
        <v>59</v>
      </c>
      <c r="M1506" s="0" t="s">
        <v>8857</v>
      </c>
      <c r="N1506" s="0" t="s">
        <v>8858</v>
      </c>
      <c r="P1506" s="0" t="s">
        <v>8859</v>
      </c>
      <c r="Q1506" s="2" t="n">
        <v>43489</v>
      </c>
      <c r="S1506" s="0" t="n">
        <f aca="false">YEAR(Q1506)</f>
        <v>2019</v>
      </c>
      <c r="T1506" s="0" t="n">
        <f aca="false">MONTH(Q1506)</f>
        <v>1</v>
      </c>
    </row>
    <row r="1507" customFormat="false" ht="14.25" hidden="true" customHeight="false" outlineLevel="0" collapsed="false">
      <c r="A1507" s="0" t="n">
        <v>1511</v>
      </c>
      <c r="B1507" s="1" t="s">
        <v>1067</v>
      </c>
      <c r="C1507" s="1" t="s">
        <v>1479</v>
      </c>
      <c r="D1507" s="1" t="s">
        <v>1487</v>
      </c>
      <c r="E1507" s="0" t="s">
        <v>1488</v>
      </c>
      <c r="F1507" s="0" t="s">
        <v>49</v>
      </c>
      <c r="G1507" s="0" t="s">
        <v>8860</v>
      </c>
      <c r="I1507" s="6" t="n">
        <v>0.915972222222222</v>
      </c>
      <c r="J1507" s="6" t="n">
        <v>0.920138888888889</v>
      </c>
      <c r="L1507" s="0" t="n">
        <v>480</v>
      </c>
      <c r="M1507" s="0" t="s">
        <v>8861</v>
      </c>
      <c r="N1507" s="0" t="s">
        <v>8862</v>
      </c>
      <c r="P1507" s="0" t="s">
        <v>8863</v>
      </c>
      <c r="Q1507" s="2" t="n">
        <v>43489</v>
      </c>
      <c r="S1507" s="0" t="n">
        <f aca="false">YEAR(Q1507)</f>
        <v>2019</v>
      </c>
      <c r="T1507" s="0" t="n">
        <f aca="false">MONTH(Q1507)</f>
        <v>1</v>
      </c>
    </row>
    <row r="1508" customFormat="false" ht="14.25" hidden="true" customHeight="false" outlineLevel="0" collapsed="false">
      <c r="A1508" s="0" t="n">
        <v>1512</v>
      </c>
      <c r="B1508" s="1" t="s">
        <v>1068</v>
      </c>
      <c r="C1508" s="1" t="s">
        <v>1479</v>
      </c>
      <c r="D1508" s="1" t="s">
        <v>1487</v>
      </c>
      <c r="E1508" s="0" t="s">
        <v>1488</v>
      </c>
      <c r="F1508" s="0" t="s">
        <v>48</v>
      </c>
      <c r="G1508" s="0" t="s">
        <v>8864</v>
      </c>
      <c r="I1508" s="6" t="n">
        <v>0.915972222222222</v>
      </c>
      <c r="J1508" s="6" t="n">
        <v>0.920138888888889</v>
      </c>
      <c r="K1508" s="0" t="n">
        <v>151</v>
      </c>
      <c r="L1508" s="0" t="n">
        <v>480</v>
      </c>
      <c r="M1508" s="0" t="s">
        <v>8861</v>
      </c>
      <c r="N1508" s="0" t="s">
        <v>8862</v>
      </c>
      <c r="P1508" s="0" t="s">
        <v>8863</v>
      </c>
      <c r="Q1508" s="2" t="n">
        <v>43490</v>
      </c>
      <c r="S1508" s="0" t="n">
        <f aca="false">YEAR(Q1508)</f>
        <v>2019</v>
      </c>
      <c r="T1508" s="0" t="n">
        <f aca="false">MONTH(Q1508)</f>
        <v>1</v>
      </c>
    </row>
    <row r="1509" customFormat="false" ht="28.5" hidden="true" customHeight="false" outlineLevel="0" collapsed="false">
      <c r="A1509" s="0" t="n">
        <v>1513</v>
      </c>
      <c r="B1509" s="1" t="s">
        <v>1068</v>
      </c>
      <c r="C1509" s="1" t="s">
        <v>1479</v>
      </c>
      <c r="D1509" s="1" t="s">
        <v>1487</v>
      </c>
      <c r="E1509" s="0" t="s">
        <v>1488</v>
      </c>
      <c r="F1509" s="0" t="s">
        <v>48</v>
      </c>
      <c r="G1509" s="0" t="s">
        <v>8865</v>
      </c>
      <c r="I1509" s="6" t="n">
        <v>0.25</v>
      </c>
      <c r="M1509" s="0" t="s">
        <v>8866</v>
      </c>
      <c r="N1509" s="0" t="s">
        <v>8867</v>
      </c>
      <c r="P1509" s="7" t="s">
        <v>8868</v>
      </c>
      <c r="Q1509" s="2" t="n">
        <v>43490</v>
      </c>
      <c r="S1509" s="0" t="n">
        <f aca="false">YEAR(Q1509)</f>
        <v>2019</v>
      </c>
      <c r="T1509" s="0" t="n">
        <f aca="false">MONTH(Q1509)</f>
        <v>1</v>
      </c>
    </row>
    <row r="1510" customFormat="false" ht="28.5" hidden="true" customHeight="false" outlineLevel="0" collapsed="false">
      <c r="A1510" s="0" t="n">
        <v>1514</v>
      </c>
      <c r="B1510" s="1" t="s">
        <v>1068</v>
      </c>
      <c r="C1510" s="1" t="s">
        <v>1479</v>
      </c>
      <c r="D1510" s="1" t="s">
        <v>1487</v>
      </c>
      <c r="E1510" s="4" t="s">
        <v>1488</v>
      </c>
      <c r="F1510" s="0" t="s">
        <v>48</v>
      </c>
      <c r="G1510" s="0" t="s">
        <v>8869</v>
      </c>
      <c r="I1510" s="6" t="n">
        <v>0.25</v>
      </c>
      <c r="K1510" s="0" t="n">
        <v>14</v>
      </c>
      <c r="L1510" s="0" t="n">
        <v>25</v>
      </c>
      <c r="M1510" s="0" t="s">
        <v>8870</v>
      </c>
      <c r="N1510" s="0" t="s">
        <v>8871</v>
      </c>
      <c r="P1510" s="7" t="s">
        <v>8868</v>
      </c>
      <c r="Q1510" s="2" t="n">
        <v>43490</v>
      </c>
      <c r="S1510" s="0" t="n">
        <f aca="false">YEAR(Q1510)</f>
        <v>2019</v>
      </c>
      <c r="T1510" s="0" t="n">
        <f aca="false">MONTH(Q1510)</f>
        <v>1</v>
      </c>
    </row>
    <row r="1511" customFormat="false" ht="14.25" hidden="true" customHeight="false" outlineLevel="0" collapsed="false">
      <c r="A1511" s="0" t="n">
        <v>1515</v>
      </c>
      <c r="B1511" s="1" t="s">
        <v>1068</v>
      </c>
      <c r="C1511" s="1" t="s">
        <v>1479</v>
      </c>
      <c r="D1511" s="1" t="s">
        <v>1487</v>
      </c>
      <c r="E1511" s="4" t="s">
        <v>1488</v>
      </c>
      <c r="F1511" s="0" t="s">
        <v>48</v>
      </c>
      <c r="G1511" s="0" t="s">
        <v>8872</v>
      </c>
      <c r="I1511" s="6" t="n">
        <v>0.458333333333333</v>
      </c>
      <c r="J1511" s="6" t="n">
        <v>0.920138888888889</v>
      </c>
      <c r="K1511" s="0" t="n">
        <v>38</v>
      </c>
      <c r="L1511" s="0" t="n">
        <v>480</v>
      </c>
      <c r="M1511" s="0" t="s">
        <v>8873</v>
      </c>
      <c r="N1511" s="0" t="s">
        <v>8874</v>
      </c>
      <c r="P1511" s="0" t="s">
        <v>8875</v>
      </c>
      <c r="Q1511" s="2" t="n">
        <v>43490</v>
      </c>
      <c r="S1511" s="0" t="n">
        <f aca="false">YEAR(Q1511)</f>
        <v>2019</v>
      </c>
      <c r="T1511" s="0" t="n">
        <f aca="false">MONTH(Q1511)</f>
        <v>1</v>
      </c>
    </row>
    <row r="1512" customFormat="false" ht="14.25" hidden="true" customHeight="false" outlineLevel="0" collapsed="false">
      <c r="A1512" s="0" t="n">
        <v>1516</v>
      </c>
      <c r="B1512" s="1" t="s">
        <v>1068</v>
      </c>
      <c r="C1512" s="1" t="s">
        <v>1479</v>
      </c>
      <c r="D1512" s="1" t="s">
        <v>1487</v>
      </c>
      <c r="E1512" s="0" t="s">
        <v>1488</v>
      </c>
      <c r="F1512" s="0" t="s">
        <v>48</v>
      </c>
      <c r="G1512" s="0" t="s">
        <v>8876</v>
      </c>
      <c r="I1512" s="6" t="n">
        <v>0.277777777777778</v>
      </c>
      <c r="J1512" s="6" t="n">
        <v>0.284722222222222</v>
      </c>
      <c r="L1512" s="0" t="n">
        <v>15</v>
      </c>
      <c r="M1512" s="0" t="s">
        <v>8877</v>
      </c>
      <c r="N1512" s="0" t="s">
        <v>8878</v>
      </c>
      <c r="P1512" s="0" t="s">
        <v>8879</v>
      </c>
      <c r="Q1512" s="2" t="n">
        <v>43490</v>
      </c>
      <c r="S1512" s="0" t="n">
        <f aca="false">YEAR(Q1512)</f>
        <v>2019</v>
      </c>
      <c r="T1512" s="0" t="n">
        <f aca="false">MONTH(Q1512)</f>
        <v>1</v>
      </c>
    </row>
    <row r="1513" customFormat="false" ht="14.25" hidden="true" customHeight="false" outlineLevel="0" collapsed="false">
      <c r="A1513" s="0" t="n">
        <v>1517</v>
      </c>
      <c r="B1513" s="1" t="s">
        <v>1068</v>
      </c>
      <c r="C1513" s="1" t="s">
        <v>1479</v>
      </c>
      <c r="D1513" s="1" t="s">
        <v>1487</v>
      </c>
      <c r="E1513" s="4" t="s">
        <v>1488</v>
      </c>
      <c r="F1513" s="0" t="s">
        <v>49</v>
      </c>
      <c r="G1513" s="0" t="s">
        <v>8880</v>
      </c>
      <c r="I1513" s="6" t="n">
        <v>0.3125</v>
      </c>
      <c r="J1513" s="6" t="n">
        <v>0.333333333333333</v>
      </c>
      <c r="K1513" s="0" t="n">
        <v>40</v>
      </c>
      <c r="L1513" s="0" t="n">
        <v>60</v>
      </c>
      <c r="M1513" s="0" t="s">
        <v>6061</v>
      </c>
      <c r="N1513" s="0" t="s">
        <v>8881</v>
      </c>
      <c r="P1513" s="0" t="s">
        <v>8882</v>
      </c>
      <c r="Q1513" s="2" t="n">
        <v>43490</v>
      </c>
      <c r="S1513" s="0" t="n">
        <f aca="false">YEAR(Q1513)</f>
        <v>2019</v>
      </c>
      <c r="T1513" s="0" t="n">
        <f aca="false">MONTH(Q1513)</f>
        <v>1</v>
      </c>
    </row>
    <row r="1514" customFormat="false" ht="42.75" hidden="true" customHeight="false" outlineLevel="0" collapsed="false">
      <c r="A1514" s="0" t="n">
        <v>1518</v>
      </c>
      <c r="B1514" s="1" t="s">
        <v>1068</v>
      </c>
      <c r="C1514" s="1" t="s">
        <v>1503</v>
      </c>
      <c r="D1514" s="1" t="s">
        <v>1535</v>
      </c>
      <c r="E1514" s="0" t="s">
        <v>1503</v>
      </c>
      <c r="F1514" s="0" t="s">
        <v>50</v>
      </c>
      <c r="G1514" s="0" t="s">
        <v>5423</v>
      </c>
      <c r="I1514" s="6" t="n">
        <v>0.965277777777778</v>
      </c>
      <c r="J1514" s="6" t="n">
        <v>0.96875</v>
      </c>
      <c r="K1514" s="0" t="n">
        <v>0</v>
      </c>
      <c r="M1514" s="7" t="s">
        <v>8883</v>
      </c>
      <c r="N1514" s="0" t="s">
        <v>8884</v>
      </c>
      <c r="P1514" s="7" t="s">
        <v>8885</v>
      </c>
      <c r="Q1514" s="2" t="n">
        <v>43490</v>
      </c>
      <c r="S1514" s="0" t="n">
        <f aca="false">YEAR(Q1514)</f>
        <v>2019</v>
      </c>
      <c r="T1514" s="0" t="n">
        <f aca="false">MONTH(Q1514)</f>
        <v>1</v>
      </c>
    </row>
    <row r="1515" customFormat="false" ht="42.75" hidden="true" customHeight="false" outlineLevel="0" collapsed="false">
      <c r="A1515" s="0" t="n">
        <v>1519</v>
      </c>
      <c r="B1515" s="1" t="s">
        <v>1068</v>
      </c>
      <c r="C1515" s="1" t="s">
        <v>1479</v>
      </c>
      <c r="D1515" s="1" t="s">
        <v>1535</v>
      </c>
      <c r="E1515" s="0" t="s">
        <v>39</v>
      </c>
      <c r="F1515" s="0" t="s">
        <v>50</v>
      </c>
      <c r="G1515" s="0" t="s">
        <v>8886</v>
      </c>
      <c r="I1515" s="6" t="n">
        <v>0.0833333333333333</v>
      </c>
      <c r="J1515" s="6" t="n">
        <v>0.0833333333333333</v>
      </c>
      <c r="K1515" s="0" t="n">
        <v>11</v>
      </c>
      <c r="M1515" s="0" t="s">
        <v>8887</v>
      </c>
      <c r="N1515" s="0" t="s">
        <v>3545</v>
      </c>
      <c r="P1515" s="7" t="s">
        <v>8888</v>
      </c>
      <c r="Q1515" s="2" t="n">
        <v>43490</v>
      </c>
      <c r="S1515" s="0" t="n">
        <f aca="false">YEAR(Q1515)</f>
        <v>2019</v>
      </c>
      <c r="T1515" s="0" t="n">
        <f aca="false">MONTH(Q1515)</f>
        <v>1</v>
      </c>
    </row>
    <row r="1516" customFormat="false" ht="14.25" hidden="true" customHeight="false" outlineLevel="0" collapsed="false">
      <c r="A1516" s="0" t="n">
        <v>1520</v>
      </c>
      <c r="B1516" s="1" t="s">
        <v>1069</v>
      </c>
      <c r="C1516" s="1" t="s">
        <v>1479</v>
      </c>
      <c r="D1516" s="1" t="s">
        <v>1487</v>
      </c>
      <c r="E1516" s="4" t="s">
        <v>1488</v>
      </c>
      <c r="F1516" s="0" t="s">
        <v>48</v>
      </c>
      <c r="G1516" s="0" t="s">
        <v>8889</v>
      </c>
      <c r="I1516" s="6" t="n">
        <v>0.309027777777778</v>
      </c>
      <c r="J1516" s="6" t="n">
        <v>0.319444444444444</v>
      </c>
      <c r="K1516" s="0" t="n">
        <v>13</v>
      </c>
      <c r="L1516" s="0" t="n">
        <v>38</v>
      </c>
      <c r="M1516" s="0" t="s">
        <v>8890</v>
      </c>
      <c r="N1516" s="0" t="s">
        <v>8891</v>
      </c>
      <c r="P1516" s="0" t="s">
        <v>8892</v>
      </c>
      <c r="Q1516" s="2" t="n">
        <v>43491</v>
      </c>
      <c r="S1516" s="0" t="n">
        <f aca="false">YEAR(Q1516)</f>
        <v>2019</v>
      </c>
      <c r="T1516" s="0" t="n">
        <f aca="false">MONTH(Q1516)</f>
        <v>1</v>
      </c>
    </row>
    <row r="1517" customFormat="false" ht="14.25" hidden="true" customHeight="false" outlineLevel="0" collapsed="false">
      <c r="A1517" s="0" t="n">
        <v>1521</v>
      </c>
      <c r="B1517" s="1" t="s">
        <v>1069</v>
      </c>
      <c r="C1517" s="1" t="s">
        <v>1503</v>
      </c>
      <c r="D1517" s="1" t="s">
        <v>1535</v>
      </c>
      <c r="E1517" s="0" t="s">
        <v>1503</v>
      </c>
      <c r="F1517" s="0" t="s">
        <v>48</v>
      </c>
      <c r="G1517" s="0" t="s">
        <v>3928</v>
      </c>
      <c r="I1517" s="6" t="n">
        <v>0.395833333333333</v>
      </c>
      <c r="J1517" s="6" t="n">
        <v>0.402777777777778</v>
      </c>
      <c r="L1517" s="0" t="n">
        <v>80</v>
      </c>
      <c r="M1517" s="0" t="s">
        <v>8849</v>
      </c>
      <c r="N1517" s="0" t="s">
        <v>4434</v>
      </c>
      <c r="P1517" s="0" t="s">
        <v>8893</v>
      </c>
      <c r="Q1517" s="2" t="n">
        <v>43491</v>
      </c>
      <c r="S1517" s="0" t="n">
        <f aca="false">YEAR(Q1517)</f>
        <v>2019</v>
      </c>
      <c r="T1517" s="0" t="n">
        <f aca="false">MONTH(Q1517)</f>
        <v>1</v>
      </c>
    </row>
    <row r="1518" customFormat="false" ht="14.25" hidden="true" customHeight="false" outlineLevel="0" collapsed="false">
      <c r="A1518" s="0" t="n">
        <v>1522</v>
      </c>
      <c r="B1518" s="1" t="s">
        <v>1070</v>
      </c>
      <c r="C1518" s="1" t="s">
        <v>1479</v>
      </c>
      <c r="D1518" s="1" t="s">
        <v>1487</v>
      </c>
      <c r="E1518" s="0" t="s">
        <v>1488</v>
      </c>
      <c r="F1518" s="0" t="s">
        <v>50</v>
      </c>
      <c r="G1518" s="0" t="s">
        <v>8894</v>
      </c>
      <c r="K1518" s="0" t="n">
        <v>0</v>
      </c>
      <c r="M1518" s="0" t="s">
        <v>8895</v>
      </c>
      <c r="N1518" s="0" t="s">
        <v>8896</v>
      </c>
      <c r="P1518" s="0" t="s">
        <v>8897</v>
      </c>
      <c r="Q1518" s="2" t="n">
        <v>43492</v>
      </c>
      <c r="S1518" s="0" t="n">
        <f aca="false">YEAR(Q1518)</f>
        <v>2019</v>
      </c>
      <c r="T1518" s="0" t="n">
        <f aca="false">MONTH(Q1518)</f>
        <v>1</v>
      </c>
    </row>
    <row r="1519" customFormat="false" ht="28.5" hidden="true" customHeight="false" outlineLevel="0" collapsed="false">
      <c r="A1519" s="0" t="n">
        <v>1523</v>
      </c>
      <c r="B1519" s="1" t="s">
        <v>1070</v>
      </c>
      <c r="C1519" s="1" t="s">
        <v>1479</v>
      </c>
      <c r="D1519" s="1" t="s">
        <v>1496</v>
      </c>
      <c r="E1519" s="0" t="s">
        <v>38</v>
      </c>
      <c r="F1519" s="0" t="s">
        <v>50</v>
      </c>
      <c r="G1519" s="0" t="s">
        <v>8898</v>
      </c>
      <c r="I1519" s="6" t="n">
        <v>0.921527777777778</v>
      </c>
      <c r="J1519" s="6" t="n">
        <v>0.925694444444444</v>
      </c>
      <c r="L1519" s="0" t="n">
        <v>10</v>
      </c>
      <c r="M1519" s="0" t="s">
        <v>8899</v>
      </c>
      <c r="N1519" s="0" t="s">
        <v>8900</v>
      </c>
      <c r="P1519" s="7" t="s">
        <v>8901</v>
      </c>
      <c r="Q1519" s="2" t="n">
        <v>43492</v>
      </c>
      <c r="S1519" s="0" t="n">
        <f aca="false">YEAR(Q1519)</f>
        <v>2019</v>
      </c>
      <c r="T1519" s="0" t="n">
        <f aca="false">MONTH(Q1519)</f>
        <v>1</v>
      </c>
    </row>
    <row r="1520" customFormat="false" ht="28.5" hidden="true" customHeight="false" outlineLevel="0" collapsed="false">
      <c r="A1520" s="0" t="n">
        <v>1524</v>
      </c>
      <c r="B1520" s="1" t="s">
        <v>1070</v>
      </c>
      <c r="C1520" s="1" t="s">
        <v>1479</v>
      </c>
      <c r="D1520" s="1" t="s">
        <v>1496</v>
      </c>
      <c r="E1520" s="0" t="s">
        <v>38</v>
      </c>
      <c r="F1520" s="0" t="s">
        <v>50</v>
      </c>
      <c r="G1520" s="0" t="s">
        <v>7872</v>
      </c>
      <c r="I1520" s="6" t="n">
        <v>0.916666666666667</v>
      </c>
      <c r="J1520" s="6" t="n">
        <v>0.927083333333333</v>
      </c>
      <c r="K1520" s="0" t="n">
        <v>0</v>
      </c>
      <c r="M1520" s="0" t="s">
        <v>8902</v>
      </c>
      <c r="N1520" s="0" t="s">
        <v>8903</v>
      </c>
      <c r="P1520" s="7" t="s">
        <v>8904</v>
      </c>
      <c r="Q1520" s="2" t="n">
        <v>43492</v>
      </c>
      <c r="S1520" s="0" t="n">
        <f aca="false">YEAR(Q1520)</f>
        <v>2019</v>
      </c>
      <c r="T1520" s="0" t="n">
        <f aca="false">MONTH(Q1520)</f>
        <v>1</v>
      </c>
    </row>
    <row r="1521" customFormat="false" ht="42.75" hidden="true" customHeight="false" outlineLevel="0" collapsed="false">
      <c r="A1521" s="0" t="n">
        <v>1525</v>
      </c>
      <c r="B1521" s="1" t="s">
        <v>1070</v>
      </c>
      <c r="C1521" s="1" t="s">
        <v>1503</v>
      </c>
      <c r="D1521" s="1" t="s">
        <v>1535</v>
      </c>
      <c r="E1521" s="0" t="s">
        <v>1503</v>
      </c>
      <c r="F1521" s="0" t="s">
        <v>50</v>
      </c>
      <c r="G1521" s="0" t="s">
        <v>5423</v>
      </c>
      <c r="I1521" s="6" t="n">
        <v>0.0833333333333333</v>
      </c>
      <c r="J1521" s="6" t="n">
        <v>0.0833333333333333</v>
      </c>
      <c r="K1521" s="0" t="n">
        <v>0</v>
      </c>
      <c r="M1521" s="7" t="s">
        <v>8905</v>
      </c>
      <c r="N1521" s="0" t="s">
        <v>8906</v>
      </c>
      <c r="P1521" s="0" t="s">
        <v>8907</v>
      </c>
      <c r="Q1521" s="2" t="n">
        <v>43492</v>
      </c>
      <c r="S1521" s="0" t="n">
        <f aca="false">YEAR(Q1521)</f>
        <v>2019</v>
      </c>
      <c r="T1521" s="0" t="n">
        <f aca="false">MONTH(Q1521)</f>
        <v>1</v>
      </c>
    </row>
    <row r="1522" customFormat="false" ht="14.25" hidden="true" customHeight="false" outlineLevel="0" collapsed="false">
      <c r="A1522" s="0" t="n">
        <v>1526</v>
      </c>
      <c r="B1522" s="1" t="s">
        <v>1071</v>
      </c>
      <c r="C1522" s="1" t="s">
        <v>1479</v>
      </c>
      <c r="D1522" s="1" t="s">
        <v>1487</v>
      </c>
      <c r="E1522" s="0" t="s">
        <v>1488</v>
      </c>
      <c r="F1522" s="0" t="s">
        <v>48</v>
      </c>
      <c r="G1522" s="0" t="s">
        <v>8908</v>
      </c>
      <c r="I1522" s="6" t="n">
        <v>0.243055555555556</v>
      </c>
      <c r="J1522" s="6" t="n">
        <v>0.340277777777778</v>
      </c>
      <c r="L1522" s="0" t="n">
        <v>230</v>
      </c>
      <c r="M1522" s="0" t="s">
        <v>8909</v>
      </c>
      <c r="N1522" s="0" t="s">
        <v>8910</v>
      </c>
      <c r="P1522" s="0" t="s">
        <v>8911</v>
      </c>
      <c r="Q1522" s="2" t="n">
        <v>43493</v>
      </c>
      <c r="S1522" s="0" t="n">
        <f aca="false">YEAR(Q1522)</f>
        <v>2019</v>
      </c>
      <c r="T1522" s="0" t="n">
        <f aca="false">MONTH(Q1522)</f>
        <v>1</v>
      </c>
    </row>
    <row r="1523" customFormat="false" ht="14.25" hidden="true" customHeight="false" outlineLevel="0" collapsed="false">
      <c r="A1523" s="0" t="n">
        <v>1527</v>
      </c>
      <c r="B1523" s="1" t="s">
        <v>1071</v>
      </c>
      <c r="C1523" s="1" t="s">
        <v>1479</v>
      </c>
      <c r="D1523" s="1" t="s">
        <v>1487</v>
      </c>
      <c r="E1523" s="4" t="s">
        <v>1488</v>
      </c>
      <c r="F1523" s="0" t="s">
        <v>49</v>
      </c>
      <c r="G1523" s="0" t="s">
        <v>8912</v>
      </c>
      <c r="I1523" s="6" t="n">
        <v>0.6625</v>
      </c>
      <c r="J1523" s="6" t="n">
        <v>0.667361111111111</v>
      </c>
      <c r="K1523" s="0" t="n">
        <v>34</v>
      </c>
      <c r="L1523" s="0" t="n">
        <v>34</v>
      </c>
      <c r="M1523" s="0" t="s">
        <v>8913</v>
      </c>
      <c r="N1523" s="0" t="s">
        <v>8914</v>
      </c>
      <c r="P1523" s="0" t="s">
        <v>8915</v>
      </c>
      <c r="Q1523" s="2" t="n">
        <v>43493</v>
      </c>
      <c r="S1523" s="0" t="n">
        <f aca="false">YEAR(Q1523)</f>
        <v>2019</v>
      </c>
      <c r="T1523" s="0" t="n">
        <f aca="false">MONTH(Q1523)</f>
        <v>1</v>
      </c>
    </row>
    <row r="1524" customFormat="false" ht="14.25" hidden="true" customHeight="false" outlineLevel="0" collapsed="false">
      <c r="A1524" s="0" t="n">
        <v>1528</v>
      </c>
      <c r="B1524" s="1" t="s">
        <v>1071</v>
      </c>
      <c r="C1524" s="1" t="s">
        <v>1503</v>
      </c>
      <c r="D1524" s="1" t="s">
        <v>1648</v>
      </c>
      <c r="E1524" s="0" t="s">
        <v>1648</v>
      </c>
      <c r="F1524" s="0" t="s">
        <v>50</v>
      </c>
      <c r="G1524" s="0" t="s">
        <v>8916</v>
      </c>
      <c r="J1524" s="6" t="n">
        <v>0.138888888888889</v>
      </c>
      <c r="K1524" s="0" t="n">
        <v>0</v>
      </c>
      <c r="M1524" s="0" t="s">
        <v>8917</v>
      </c>
      <c r="N1524" s="0" t="s">
        <v>8918</v>
      </c>
      <c r="P1524" s="0" t="s">
        <v>8919</v>
      </c>
      <c r="Q1524" s="2" t="n">
        <v>43493</v>
      </c>
      <c r="S1524" s="0" t="n">
        <f aca="false">YEAR(Q1524)</f>
        <v>2019</v>
      </c>
      <c r="T1524" s="0" t="n">
        <f aca="false">MONTH(Q1524)</f>
        <v>1</v>
      </c>
    </row>
    <row r="1525" customFormat="false" ht="14.25" hidden="true" customHeight="false" outlineLevel="0" collapsed="false">
      <c r="A1525" s="0" t="n">
        <v>1529</v>
      </c>
      <c r="B1525" s="1" t="s">
        <v>1071</v>
      </c>
      <c r="C1525" s="1" t="s">
        <v>1479</v>
      </c>
      <c r="D1525" s="1" t="s">
        <v>1487</v>
      </c>
      <c r="E1525" s="0" t="s">
        <v>1488</v>
      </c>
      <c r="F1525" s="0" t="s">
        <v>50</v>
      </c>
      <c r="G1525" s="0" t="s">
        <v>8920</v>
      </c>
      <c r="J1525" s="6" t="n">
        <v>0.171527777777778</v>
      </c>
      <c r="K1525" s="0" t="n">
        <v>0</v>
      </c>
      <c r="M1525" s="0" t="s">
        <v>8921</v>
      </c>
      <c r="N1525" s="0" t="s">
        <v>8922</v>
      </c>
      <c r="P1525" s="0" t="s">
        <v>8923</v>
      </c>
      <c r="Q1525" s="2" t="n">
        <v>43493</v>
      </c>
      <c r="S1525" s="0" t="n">
        <f aca="false">YEAR(Q1525)</f>
        <v>2019</v>
      </c>
      <c r="T1525" s="0" t="n">
        <f aca="false">MONTH(Q1525)</f>
        <v>1</v>
      </c>
    </row>
    <row r="1526" customFormat="false" ht="14.25" hidden="true" customHeight="false" outlineLevel="0" collapsed="false">
      <c r="A1526" s="0" t="n">
        <v>1530</v>
      </c>
      <c r="B1526" s="1" t="s">
        <v>1072</v>
      </c>
      <c r="C1526" s="1" t="s">
        <v>1479</v>
      </c>
      <c r="D1526" s="1" t="s">
        <v>1487</v>
      </c>
      <c r="E1526" s="0" t="s">
        <v>1488</v>
      </c>
      <c r="F1526" s="0" t="s">
        <v>48</v>
      </c>
      <c r="G1526" s="0" t="s">
        <v>8924</v>
      </c>
      <c r="I1526" s="6" t="n">
        <v>0.290277777777778</v>
      </c>
      <c r="J1526" s="6" t="n">
        <v>0.297222222222222</v>
      </c>
      <c r="L1526" s="0" t="n">
        <v>13</v>
      </c>
      <c r="M1526" s="0" t="s">
        <v>8925</v>
      </c>
      <c r="N1526" s="0" t="s">
        <v>8926</v>
      </c>
      <c r="P1526" s="0" t="s">
        <v>8927</v>
      </c>
      <c r="Q1526" s="2" t="n">
        <v>43494</v>
      </c>
      <c r="S1526" s="0" t="n">
        <f aca="false">YEAR(Q1526)</f>
        <v>2019</v>
      </c>
      <c r="T1526" s="0" t="n">
        <f aca="false">MONTH(Q1526)</f>
        <v>1</v>
      </c>
    </row>
    <row r="1527" customFormat="false" ht="42.75" hidden="true" customHeight="false" outlineLevel="0" collapsed="false">
      <c r="A1527" s="0" t="n">
        <v>1531</v>
      </c>
      <c r="B1527" s="1" t="s">
        <v>1072</v>
      </c>
      <c r="C1527" s="1" t="s">
        <v>1479</v>
      </c>
      <c r="D1527" s="1" t="s">
        <v>1487</v>
      </c>
      <c r="E1527" s="4" t="s">
        <v>1488</v>
      </c>
      <c r="F1527" s="0" t="s">
        <v>48</v>
      </c>
      <c r="G1527" s="0" t="s">
        <v>8928</v>
      </c>
      <c r="I1527" s="6" t="n">
        <v>0.529166666666667</v>
      </c>
      <c r="J1527" s="6" t="n">
        <v>0.548611111111111</v>
      </c>
      <c r="K1527" s="0" t="n">
        <v>16</v>
      </c>
      <c r="L1527" s="0" t="n">
        <v>15</v>
      </c>
      <c r="M1527" s="7" t="s">
        <v>8929</v>
      </c>
      <c r="N1527" s="0" t="s">
        <v>8930</v>
      </c>
      <c r="P1527" s="0" t="s">
        <v>8931</v>
      </c>
      <c r="Q1527" s="2" t="n">
        <v>43494</v>
      </c>
      <c r="S1527" s="0" t="n">
        <f aca="false">YEAR(Q1527)</f>
        <v>2019</v>
      </c>
      <c r="T1527" s="0" t="n">
        <f aca="false">MONTH(Q1527)</f>
        <v>1</v>
      </c>
    </row>
    <row r="1528" customFormat="false" ht="14.25" hidden="true" customHeight="false" outlineLevel="0" collapsed="false">
      <c r="A1528" s="0" t="n">
        <v>1532</v>
      </c>
      <c r="B1528" s="1" t="s">
        <v>1072</v>
      </c>
      <c r="C1528" s="1" t="s">
        <v>1479</v>
      </c>
      <c r="D1528" s="1" t="s">
        <v>1487</v>
      </c>
      <c r="E1528" s="4" t="s">
        <v>1488</v>
      </c>
      <c r="F1528" s="0" t="s">
        <v>48</v>
      </c>
      <c r="G1528" s="0" t="s">
        <v>8932</v>
      </c>
      <c r="I1528" s="6" t="n">
        <v>0.493055555555556</v>
      </c>
      <c r="J1528" s="6" t="n">
        <v>0.5</v>
      </c>
      <c r="K1528" s="0" t="n">
        <v>16</v>
      </c>
      <c r="L1528" s="0" t="n">
        <v>28</v>
      </c>
      <c r="M1528" s="0" t="s">
        <v>8933</v>
      </c>
      <c r="N1528" s="0" t="s">
        <v>8934</v>
      </c>
      <c r="P1528" s="0" t="s">
        <v>8935</v>
      </c>
      <c r="Q1528" s="2" t="n">
        <v>43494</v>
      </c>
      <c r="S1528" s="0" t="n">
        <f aca="false">YEAR(Q1528)</f>
        <v>2019</v>
      </c>
      <c r="T1528" s="0" t="n">
        <f aca="false">MONTH(Q1528)</f>
        <v>1</v>
      </c>
    </row>
    <row r="1529" customFormat="false" ht="14.25" hidden="true" customHeight="false" outlineLevel="0" collapsed="false">
      <c r="A1529" s="0" t="n">
        <v>1533</v>
      </c>
      <c r="B1529" s="1" t="s">
        <v>1072</v>
      </c>
      <c r="C1529" s="1" t="s">
        <v>1479</v>
      </c>
      <c r="D1529" s="1" t="s">
        <v>1487</v>
      </c>
      <c r="E1529" s="4" t="s">
        <v>1488</v>
      </c>
      <c r="F1529" s="0" t="s">
        <v>48</v>
      </c>
      <c r="G1529" s="0" t="s">
        <v>8338</v>
      </c>
      <c r="I1529" s="6" t="n">
        <v>0.479166666666667</v>
      </c>
      <c r="J1529" s="6" t="n">
        <v>0.489583333333333</v>
      </c>
      <c r="K1529" s="0" t="n">
        <v>5</v>
      </c>
      <c r="L1529" s="0" t="n">
        <v>25</v>
      </c>
      <c r="M1529" s="0" t="s">
        <v>8936</v>
      </c>
      <c r="N1529" s="0" t="s">
        <v>8937</v>
      </c>
      <c r="P1529" s="0" t="s">
        <v>8938</v>
      </c>
      <c r="Q1529" s="2" t="n">
        <v>43494</v>
      </c>
      <c r="S1529" s="0" t="n">
        <f aca="false">YEAR(Q1529)</f>
        <v>2019</v>
      </c>
      <c r="T1529" s="0" t="n">
        <f aca="false">MONTH(Q1529)</f>
        <v>1</v>
      </c>
    </row>
    <row r="1530" customFormat="false" ht="14.25" hidden="true" customHeight="false" outlineLevel="0" collapsed="false">
      <c r="A1530" s="0" t="n">
        <v>1534</v>
      </c>
      <c r="B1530" s="1" t="s">
        <v>1072</v>
      </c>
      <c r="C1530" s="1" t="s">
        <v>1479</v>
      </c>
      <c r="D1530" s="1" t="s">
        <v>1535</v>
      </c>
      <c r="E1530" s="0" t="s">
        <v>39</v>
      </c>
      <c r="F1530" s="0" t="s">
        <v>49</v>
      </c>
      <c r="G1530" s="0" t="s">
        <v>8939</v>
      </c>
      <c r="I1530" s="6" t="n">
        <v>0.680555555555555</v>
      </c>
      <c r="J1530" s="6" t="n">
        <v>0.684722222222222</v>
      </c>
      <c r="K1530" s="0" t="n">
        <v>3</v>
      </c>
      <c r="L1530" s="0" t="n">
        <v>3</v>
      </c>
      <c r="M1530" s="0" t="s">
        <v>8940</v>
      </c>
      <c r="N1530" s="0" t="s">
        <v>8941</v>
      </c>
      <c r="P1530" s="0" t="s">
        <v>8942</v>
      </c>
      <c r="Q1530" s="2" t="n">
        <v>43494</v>
      </c>
      <c r="S1530" s="0" t="n">
        <f aca="false">YEAR(Q1530)</f>
        <v>2019</v>
      </c>
      <c r="T1530" s="0" t="n">
        <f aca="false">MONTH(Q1530)</f>
        <v>1</v>
      </c>
    </row>
    <row r="1531" customFormat="false" ht="28.5" hidden="true" customHeight="false" outlineLevel="0" collapsed="false">
      <c r="A1531" s="0" t="n">
        <v>1535</v>
      </c>
      <c r="B1531" s="1" t="s">
        <v>1072</v>
      </c>
      <c r="C1531" s="1" t="s">
        <v>1503</v>
      </c>
      <c r="D1531" s="1" t="s">
        <v>1504</v>
      </c>
      <c r="E1531" s="0" t="s">
        <v>8943</v>
      </c>
      <c r="F1531" s="0" t="s">
        <v>49</v>
      </c>
      <c r="G1531" s="0" t="s">
        <v>8944</v>
      </c>
      <c r="I1531" s="6" t="n">
        <v>0.645833333333333</v>
      </c>
      <c r="J1531" s="6" t="n">
        <v>0.701388888888889</v>
      </c>
      <c r="M1531" s="0" t="s">
        <v>8945</v>
      </c>
      <c r="N1531" s="7" t="s">
        <v>8946</v>
      </c>
      <c r="O1531" s="7"/>
      <c r="P1531" s="0" t="s">
        <v>8947</v>
      </c>
      <c r="Q1531" s="2" t="n">
        <v>43494</v>
      </c>
      <c r="S1531" s="0" t="n">
        <f aca="false">YEAR(Q1531)</f>
        <v>2019</v>
      </c>
      <c r="T1531" s="0" t="n">
        <f aca="false">MONTH(Q1531)</f>
        <v>1</v>
      </c>
    </row>
    <row r="1532" customFormat="false" ht="14.25" hidden="true" customHeight="false" outlineLevel="0" collapsed="false">
      <c r="A1532" s="0" t="n">
        <v>1536</v>
      </c>
      <c r="B1532" s="1" t="s">
        <v>1072</v>
      </c>
      <c r="C1532" s="1" t="s">
        <v>1479</v>
      </c>
      <c r="D1532" s="1" t="s">
        <v>1496</v>
      </c>
      <c r="E1532" s="0" t="s">
        <v>38</v>
      </c>
      <c r="F1532" s="0" t="s">
        <v>50</v>
      </c>
      <c r="G1532" s="0" t="s">
        <v>8948</v>
      </c>
      <c r="J1532" s="6" t="n">
        <v>0.0416666666666667</v>
      </c>
      <c r="K1532" s="0" t="n">
        <v>0</v>
      </c>
      <c r="L1532" s="0" t="n">
        <v>15</v>
      </c>
      <c r="M1532" s="0" t="s">
        <v>8949</v>
      </c>
      <c r="N1532" s="0" t="s">
        <v>8950</v>
      </c>
      <c r="P1532" s="0" t="s">
        <v>8951</v>
      </c>
      <c r="Q1532" s="2" t="n">
        <v>43494</v>
      </c>
      <c r="S1532" s="0" t="n">
        <f aca="false">YEAR(Q1532)</f>
        <v>2019</v>
      </c>
      <c r="T1532" s="0" t="n">
        <f aca="false">MONTH(Q1532)</f>
        <v>1</v>
      </c>
    </row>
    <row r="1533" customFormat="false" ht="14.25" hidden="true" customHeight="false" outlineLevel="0" collapsed="false">
      <c r="A1533" s="0" t="n">
        <v>1537</v>
      </c>
      <c r="B1533" s="1" t="s">
        <v>1072</v>
      </c>
      <c r="C1533" s="1" t="s">
        <v>1479</v>
      </c>
      <c r="D1533" s="1" t="s">
        <v>1480</v>
      </c>
      <c r="E1533" s="0" t="s">
        <v>43</v>
      </c>
      <c r="F1533" s="0" t="s">
        <v>50</v>
      </c>
      <c r="G1533" s="0" t="s">
        <v>8952</v>
      </c>
      <c r="I1533" s="6" t="n">
        <v>0.0284722222222222</v>
      </c>
      <c r="J1533" s="6" t="n">
        <v>0.0625</v>
      </c>
      <c r="K1533" s="0" t="n">
        <v>0</v>
      </c>
      <c r="L1533" s="0" t="n">
        <v>69</v>
      </c>
      <c r="M1533" s="0" t="s">
        <v>8953</v>
      </c>
      <c r="N1533" s="0" t="s">
        <v>8954</v>
      </c>
      <c r="P1533" s="0" t="s">
        <v>8955</v>
      </c>
      <c r="Q1533" s="2" t="n">
        <v>43494</v>
      </c>
      <c r="S1533" s="0" t="n">
        <f aca="false">YEAR(Q1533)</f>
        <v>2019</v>
      </c>
      <c r="T1533" s="0" t="n">
        <f aca="false">MONTH(Q1533)</f>
        <v>1</v>
      </c>
    </row>
    <row r="1534" customFormat="false" ht="86.25" hidden="true" customHeight="false" outlineLevel="0" collapsed="false">
      <c r="A1534" s="0" t="n">
        <v>1538</v>
      </c>
      <c r="B1534" s="1" t="s">
        <v>1073</v>
      </c>
      <c r="C1534" s="1" t="s">
        <v>1479</v>
      </c>
      <c r="D1534" s="1" t="s">
        <v>1487</v>
      </c>
      <c r="E1534" s="0" t="s">
        <v>1488</v>
      </c>
      <c r="F1534" s="0" t="s">
        <v>49</v>
      </c>
      <c r="G1534" s="0" t="s">
        <v>8956</v>
      </c>
      <c r="I1534" s="6" t="n">
        <v>0.597222222222222</v>
      </c>
      <c r="J1534" s="6" t="n">
        <v>0.708333333333333</v>
      </c>
      <c r="M1534" s="0" t="s">
        <v>8957</v>
      </c>
      <c r="N1534" s="0" t="s">
        <v>8958</v>
      </c>
      <c r="P1534" s="7" t="s">
        <v>8959</v>
      </c>
      <c r="Q1534" s="2" t="n">
        <v>43495</v>
      </c>
      <c r="S1534" s="0" t="n">
        <f aca="false">YEAR(Q1534)</f>
        <v>2019</v>
      </c>
      <c r="T1534" s="0" t="n">
        <f aca="false">MONTH(Q1534)</f>
        <v>1</v>
      </c>
    </row>
    <row r="1535" customFormat="false" ht="14.25" hidden="true" customHeight="false" outlineLevel="0" collapsed="false">
      <c r="A1535" s="0" t="n">
        <v>1539</v>
      </c>
      <c r="B1535" s="1" t="s">
        <v>1073</v>
      </c>
      <c r="C1535" s="1" t="s">
        <v>1479</v>
      </c>
      <c r="D1535" s="1" t="s">
        <v>1480</v>
      </c>
      <c r="E1535" s="0" t="s">
        <v>43</v>
      </c>
      <c r="F1535" s="0" t="s">
        <v>49</v>
      </c>
      <c r="I1535" s="6" t="n">
        <v>0.583333333333333</v>
      </c>
      <c r="J1535" s="6" t="n">
        <v>0.583333333333333</v>
      </c>
      <c r="L1535" s="0" t="n">
        <v>300</v>
      </c>
      <c r="M1535" s="0" t="s">
        <v>8960</v>
      </c>
      <c r="N1535" s="0" t="s">
        <v>8961</v>
      </c>
      <c r="P1535" s="0" t="s">
        <v>8962</v>
      </c>
      <c r="Q1535" s="2" t="n">
        <v>43495</v>
      </c>
      <c r="S1535" s="0" t="n">
        <f aca="false">YEAR(Q1535)</f>
        <v>2019</v>
      </c>
      <c r="T1535" s="0" t="n">
        <f aca="false">MONTH(Q1535)</f>
        <v>1</v>
      </c>
    </row>
    <row r="1536" customFormat="false" ht="14.25" hidden="true" customHeight="false" outlineLevel="0" collapsed="false">
      <c r="A1536" s="0" t="n">
        <v>1540</v>
      </c>
      <c r="B1536" s="1" t="s">
        <v>1073</v>
      </c>
      <c r="C1536" s="1" t="s">
        <v>1479</v>
      </c>
      <c r="D1536" s="1" t="s">
        <v>1487</v>
      </c>
      <c r="E1536" s="0" t="s">
        <v>1488</v>
      </c>
      <c r="F1536" s="0" t="s">
        <v>49</v>
      </c>
      <c r="G1536" s="0" t="s">
        <v>8963</v>
      </c>
      <c r="I1536" s="6" t="n">
        <v>0.752777777777778</v>
      </c>
      <c r="J1536" s="6" t="n">
        <v>0.759027777777778</v>
      </c>
      <c r="K1536" s="0" t="n">
        <v>0</v>
      </c>
      <c r="L1536" s="0" t="n">
        <v>24</v>
      </c>
      <c r="M1536" s="0" t="s">
        <v>8964</v>
      </c>
      <c r="N1536" s="0" t="s">
        <v>8965</v>
      </c>
      <c r="P1536" s="0" t="s">
        <v>8966</v>
      </c>
      <c r="Q1536" s="2" t="n">
        <v>43495</v>
      </c>
      <c r="S1536" s="0" t="n">
        <f aca="false">YEAR(Q1536)</f>
        <v>2019</v>
      </c>
      <c r="T1536" s="0" t="n">
        <f aca="false">MONTH(Q1536)</f>
        <v>1</v>
      </c>
    </row>
    <row r="1537" customFormat="false" ht="14.25" hidden="true" customHeight="false" outlineLevel="0" collapsed="false">
      <c r="A1537" s="0" t="n">
        <v>1541</v>
      </c>
      <c r="B1537" s="1" t="s">
        <v>1073</v>
      </c>
      <c r="C1537" s="1" t="s">
        <v>1503</v>
      </c>
      <c r="D1537" s="1" t="s">
        <v>1504</v>
      </c>
      <c r="E1537" s="0" t="s">
        <v>8943</v>
      </c>
      <c r="F1537" s="0" t="s">
        <v>49</v>
      </c>
      <c r="G1537" s="0" t="s">
        <v>8967</v>
      </c>
      <c r="I1537" s="6" t="n">
        <v>0.791666666666667</v>
      </c>
      <c r="J1537" s="6" t="n">
        <v>0.847222222222222</v>
      </c>
      <c r="M1537" s="0" t="s">
        <v>8968</v>
      </c>
      <c r="N1537" s="0" t="s">
        <v>8969</v>
      </c>
      <c r="P1537" s="0" t="s">
        <v>8970</v>
      </c>
      <c r="Q1537" s="2" t="n">
        <v>43495</v>
      </c>
      <c r="S1537" s="0" t="n">
        <f aca="false">YEAR(Q1537)</f>
        <v>2019</v>
      </c>
      <c r="T1537" s="0" t="n">
        <f aca="false">MONTH(Q1537)</f>
        <v>1</v>
      </c>
    </row>
    <row r="1538" customFormat="false" ht="14.25" hidden="true" customHeight="false" outlineLevel="0" collapsed="false">
      <c r="A1538" s="0" t="n">
        <v>1542</v>
      </c>
      <c r="B1538" s="1" t="s">
        <v>1073</v>
      </c>
      <c r="C1538" s="1" t="s">
        <v>1503</v>
      </c>
      <c r="D1538" s="1" t="s">
        <v>1504</v>
      </c>
      <c r="E1538" s="0" t="s">
        <v>8943</v>
      </c>
      <c r="F1538" s="0" t="s">
        <v>50</v>
      </c>
      <c r="G1538" s="0" t="s">
        <v>8971</v>
      </c>
      <c r="I1538" s="6" t="n">
        <v>0.951388888888889</v>
      </c>
      <c r="J1538" s="6" t="n">
        <v>0.0111111111111111</v>
      </c>
      <c r="M1538" s="0" t="s">
        <v>8972</v>
      </c>
      <c r="N1538" s="0" t="s">
        <v>8973</v>
      </c>
      <c r="P1538" s="0" t="s">
        <v>8974</v>
      </c>
      <c r="Q1538" s="2" t="n">
        <v>43495</v>
      </c>
      <c r="S1538" s="0" t="n">
        <f aca="false">YEAR(Q1538)</f>
        <v>2019</v>
      </c>
      <c r="T1538" s="0" t="n">
        <f aca="false">MONTH(Q1538)</f>
        <v>1</v>
      </c>
    </row>
    <row r="1539" customFormat="false" ht="14.25" hidden="true" customHeight="false" outlineLevel="0" collapsed="false">
      <c r="A1539" s="0" t="n">
        <v>1543</v>
      </c>
      <c r="B1539" s="1" t="s">
        <v>1074</v>
      </c>
      <c r="C1539" s="1" t="s">
        <v>1479</v>
      </c>
      <c r="D1539" s="1" t="s">
        <v>1487</v>
      </c>
      <c r="E1539" s="0" t="s">
        <v>1488</v>
      </c>
      <c r="F1539" s="0" t="s">
        <v>49</v>
      </c>
      <c r="G1539" s="0" t="s">
        <v>8975</v>
      </c>
      <c r="I1539" s="6" t="n">
        <v>0.743055555555555</v>
      </c>
      <c r="J1539" s="6" t="n">
        <v>0.792361111111111</v>
      </c>
      <c r="K1539" s="0" t="n">
        <v>0</v>
      </c>
      <c r="L1539" s="0" t="n">
        <v>90</v>
      </c>
      <c r="M1539" s="0" t="s">
        <v>8976</v>
      </c>
      <c r="N1539" s="0" t="s">
        <v>8977</v>
      </c>
      <c r="P1539" s="0" t="s">
        <v>8978</v>
      </c>
      <c r="Q1539" s="2" t="n">
        <v>43496</v>
      </c>
      <c r="S1539" s="0" t="n">
        <f aca="false">YEAR(Q1539)</f>
        <v>2019</v>
      </c>
      <c r="T1539" s="0" t="n">
        <f aca="false">MONTH(Q1539)</f>
        <v>1</v>
      </c>
    </row>
    <row r="1540" customFormat="false" ht="14.25" hidden="true" customHeight="false" outlineLevel="0" collapsed="false">
      <c r="A1540" s="0" t="n">
        <v>1544</v>
      </c>
      <c r="B1540" s="1" t="s">
        <v>1074</v>
      </c>
      <c r="C1540" s="1" t="s">
        <v>1503</v>
      </c>
      <c r="D1540" s="1" t="s">
        <v>1535</v>
      </c>
      <c r="E1540" s="0" t="s">
        <v>8979</v>
      </c>
      <c r="F1540" s="0" t="s">
        <v>49</v>
      </c>
      <c r="G1540" s="0" t="s">
        <v>8547</v>
      </c>
      <c r="J1540" s="6" t="n">
        <v>0.872916666666667</v>
      </c>
      <c r="K1540" s="0" t="n">
        <v>0</v>
      </c>
      <c r="L1540" s="0" t="n">
        <v>0</v>
      </c>
      <c r="M1540" s="0" t="s">
        <v>8980</v>
      </c>
      <c r="N1540" s="0" t="s">
        <v>8981</v>
      </c>
      <c r="P1540" s="0" t="s">
        <v>8982</v>
      </c>
      <c r="Q1540" s="2" t="n">
        <v>43496</v>
      </c>
      <c r="S1540" s="0" t="n">
        <f aca="false">YEAR(Q1540)</f>
        <v>2019</v>
      </c>
      <c r="T1540" s="0" t="n">
        <f aca="false">MONTH(Q1540)</f>
        <v>1</v>
      </c>
    </row>
    <row r="1541" customFormat="false" ht="28.5" hidden="true" customHeight="false" outlineLevel="0" collapsed="false">
      <c r="A1541" s="0" t="n">
        <v>1545</v>
      </c>
      <c r="B1541" s="1" t="s">
        <v>1074</v>
      </c>
      <c r="C1541" s="1" t="s">
        <v>1479</v>
      </c>
      <c r="D1541" s="1" t="s">
        <v>1487</v>
      </c>
      <c r="E1541" s="0" t="s">
        <v>1488</v>
      </c>
      <c r="F1541" s="0" t="s">
        <v>49</v>
      </c>
      <c r="G1541" s="0" t="s">
        <v>7914</v>
      </c>
      <c r="J1541" s="6" t="n">
        <v>0.91875</v>
      </c>
      <c r="M1541" s="0" t="s">
        <v>8983</v>
      </c>
      <c r="N1541" s="0" t="s">
        <v>8984</v>
      </c>
      <c r="P1541" s="7" t="s">
        <v>8985</v>
      </c>
      <c r="Q1541" s="2" t="n">
        <v>43496</v>
      </c>
      <c r="S1541" s="0" t="n">
        <f aca="false">YEAR(Q1541)</f>
        <v>2019</v>
      </c>
      <c r="T1541" s="0" t="n">
        <f aca="false">MONTH(Q1541)</f>
        <v>1</v>
      </c>
    </row>
    <row r="1542" customFormat="false" ht="42.75" hidden="true" customHeight="false" outlineLevel="0" collapsed="false">
      <c r="A1542" s="0" t="n">
        <v>1546</v>
      </c>
      <c r="B1542" s="1" t="s">
        <v>1074</v>
      </c>
      <c r="C1542" s="1" t="s">
        <v>1479</v>
      </c>
      <c r="D1542" s="1" t="s">
        <v>1535</v>
      </c>
      <c r="E1542" s="0" t="s">
        <v>39</v>
      </c>
      <c r="F1542" s="0" t="s">
        <v>50</v>
      </c>
      <c r="G1542" s="0" t="s">
        <v>8986</v>
      </c>
      <c r="I1542" s="6" t="n">
        <v>0.145833333333333</v>
      </c>
      <c r="J1542" s="6" t="n">
        <v>0.152777777777778</v>
      </c>
      <c r="L1542" s="0" t="n">
        <v>15</v>
      </c>
      <c r="M1542" s="0" t="s">
        <v>8987</v>
      </c>
      <c r="N1542" s="0" t="s">
        <v>8988</v>
      </c>
      <c r="P1542" s="7" t="s">
        <v>8989</v>
      </c>
      <c r="Q1542" s="2" t="n">
        <v>43496</v>
      </c>
      <c r="S1542" s="0" t="n">
        <f aca="false">YEAR(Q1542)</f>
        <v>2019</v>
      </c>
      <c r="T1542" s="0" t="n">
        <f aca="false">MONTH(Q1542)</f>
        <v>1</v>
      </c>
    </row>
    <row r="1543" customFormat="false" ht="42.75" hidden="true" customHeight="false" outlineLevel="0" collapsed="false">
      <c r="A1543" s="0" t="n">
        <v>1547</v>
      </c>
      <c r="B1543" s="1" t="s">
        <v>1074</v>
      </c>
      <c r="C1543" s="1" t="s">
        <v>1479</v>
      </c>
      <c r="D1543" s="1" t="s">
        <v>1487</v>
      </c>
      <c r="E1543" s="0" t="s">
        <v>1488</v>
      </c>
      <c r="F1543" s="0" t="s">
        <v>50</v>
      </c>
      <c r="G1543" s="0" t="s">
        <v>8990</v>
      </c>
      <c r="I1543" s="6" t="n">
        <v>0.180555555555556</v>
      </c>
      <c r="J1543" s="6" t="n">
        <v>0.201388888888889</v>
      </c>
      <c r="L1543" s="0" t="n">
        <v>80</v>
      </c>
      <c r="M1543" s="7" t="s">
        <v>8991</v>
      </c>
      <c r="N1543" s="0" t="s">
        <v>8992</v>
      </c>
      <c r="P1543" s="0" t="s">
        <v>8993</v>
      </c>
      <c r="Q1543" s="2" t="n">
        <v>43496</v>
      </c>
      <c r="S1543" s="0" t="n">
        <f aca="false">YEAR(Q1543)</f>
        <v>2019</v>
      </c>
      <c r="T1543" s="0" t="n">
        <f aca="false">MONTH(Q1543)</f>
        <v>1</v>
      </c>
    </row>
    <row r="1544" customFormat="false" ht="28.5" hidden="true" customHeight="false" outlineLevel="0" collapsed="false">
      <c r="A1544" s="0" t="n">
        <v>1548</v>
      </c>
      <c r="B1544" s="1" t="s">
        <v>1075</v>
      </c>
      <c r="C1544" s="1" t="s">
        <v>1479</v>
      </c>
      <c r="D1544" s="1" t="s">
        <v>1535</v>
      </c>
      <c r="E1544" s="0" t="s">
        <v>39</v>
      </c>
      <c r="F1544" s="0" t="s">
        <v>48</v>
      </c>
      <c r="G1544" s="0" t="s">
        <v>8986</v>
      </c>
      <c r="I1544" s="6" t="n">
        <v>0.465277777777778</v>
      </c>
      <c r="J1544" s="6" t="n">
        <v>0.479166666666667</v>
      </c>
      <c r="L1544" s="0" t="n">
        <v>360</v>
      </c>
      <c r="M1544" s="0" t="s">
        <v>8994</v>
      </c>
      <c r="N1544" s="0" t="s">
        <v>8995</v>
      </c>
      <c r="P1544" s="7" t="s">
        <v>8996</v>
      </c>
      <c r="Q1544" s="2" t="n">
        <v>43497</v>
      </c>
      <c r="S1544" s="0" t="n">
        <f aca="false">YEAR(Q1544)</f>
        <v>2019</v>
      </c>
      <c r="T1544" s="0" t="n">
        <f aca="false">MONTH(Q1544)</f>
        <v>2</v>
      </c>
    </row>
    <row r="1545" customFormat="false" ht="28.5" hidden="true" customHeight="false" outlineLevel="0" collapsed="false">
      <c r="A1545" s="0" t="n">
        <v>1549</v>
      </c>
      <c r="B1545" s="1" t="s">
        <v>1075</v>
      </c>
      <c r="C1545" s="1" t="s">
        <v>1479</v>
      </c>
      <c r="D1545" s="1" t="s">
        <v>1535</v>
      </c>
      <c r="E1545" s="0" t="s">
        <v>39</v>
      </c>
      <c r="F1545" s="0" t="s">
        <v>49</v>
      </c>
      <c r="G1545" s="0" t="s">
        <v>8997</v>
      </c>
      <c r="I1545" s="6" t="n">
        <v>0.909722222222222</v>
      </c>
      <c r="J1545" s="6" t="n">
        <v>0.910416666666667</v>
      </c>
      <c r="L1545" s="0" t="n">
        <v>70</v>
      </c>
      <c r="M1545" s="0" t="s">
        <v>8998</v>
      </c>
      <c r="N1545" s="0" t="s">
        <v>8999</v>
      </c>
      <c r="P1545" s="7" t="s">
        <v>9000</v>
      </c>
      <c r="Q1545" s="2" t="n">
        <v>43497</v>
      </c>
      <c r="S1545" s="0" t="n">
        <f aca="false">YEAR(Q1545)</f>
        <v>2019</v>
      </c>
      <c r="T1545" s="0" t="n">
        <f aca="false">MONTH(Q1545)</f>
        <v>2</v>
      </c>
    </row>
    <row r="1546" customFormat="false" ht="14.25" hidden="true" customHeight="false" outlineLevel="0" collapsed="false">
      <c r="A1546" s="0" t="n">
        <v>1550</v>
      </c>
      <c r="B1546" s="1" t="s">
        <v>1075</v>
      </c>
      <c r="C1546" s="1" t="s">
        <v>1479</v>
      </c>
      <c r="D1546" s="1" t="s">
        <v>1487</v>
      </c>
      <c r="E1546" s="0" t="s">
        <v>1488</v>
      </c>
      <c r="F1546" s="0" t="s">
        <v>50</v>
      </c>
      <c r="G1546" s="0" t="s">
        <v>9001</v>
      </c>
      <c r="I1546" s="6" t="n">
        <v>0.109722222222222</v>
      </c>
      <c r="J1546" s="6" t="n">
        <v>0.125</v>
      </c>
      <c r="L1546" s="0" t="n">
        <v>57</v>
      </c>
      <c r="M1546" s="0" t="s">
        <v>9002</v>
      </c>
      <c r="N1546" s="0" t="s">
        <v>9003</v>
      </c>
      <c r="P1546" s="0" t="s">
        <v>9004</v>
      </c>
      <c r="Q1546" s="2" t="n">
        <v>43497</v>
      </c>
      <c r="S1546" s="0" t="n">
        <f aca="false">YEAR(Q1546)</f>
        <v>2019</v>
      </c>
      <c r="T1546" s="0" t="n">
        <f aca="false">MONTH(Q1546)</f>
        <v>2</v>
      </c>
    </row>
    <row r="1547" customFormat="false" ht="14.25" hidden="true" customHeight="false" outlineLevel="0" collapsed="false">
      <c r="A1547" s="0" t="n">
        <v>1551</v>
      </c>
      <c r="B1547" s="1" t="s">
        <v>1075</v>
      </c>
      <c r="C1547" s="1" t="s">
        <v>1479</v>
      </c>
      <c r="D1547" s="1" t="s">
        <v>1487</v>
      </c>
      <c r="E1547" s="0" t="s">
        <v>1488</v>
      </c>
      <c r="F1547" s="0" t="s">
        <v>50</v>
      </c>
      <c r="G1547" s="0" t="s">
        <v>9005</v>
      </c>
      <c r="I1547" s="6" t="n">
        <v>0.151388888888889</v>
      </c>
      <c r="J1547" s="6" t="n">
        <v>0.166666666666667</v>
      </c>
      <c r="L1547" s="0" t="n">
        <v>150</v>
      </c>
      <c r="M1547" s="0" t="s">
        <v>9006</v>
      </c>
      <c r="N1547" s="0" t="s">
        <v>9007</v>
      </c>
      <c r="P1547" s="0" t="s">
        <v>9008</v>
      </c>
      <c r="Q1547" s="2" t="n">
        <v>43497</v>
      </c>
      <c r="S1547" s="0" t="n">
        <f aca="false">YEAR(Q1547)</f>
        <v>2019</v>
      </c>
      <c r="T1547" s="0" t="n">
        <f aca="false">MONTH(Q1547)</f>
        <v>2</v>
      </c>
    </row>
    <row r="1548" customFormat="false" ht="14.25" hidden="true" customHeight="false" outlineLevel="0" collapsed="false">
      <c r="A1548" s="0" t="n">
        <v>1552</v>
      </c>
      <c r="B1548" s="1" t="s">
        <v>1076</v>
      </c>
      <c r="C1548" s="1" t="s">
        <v>1479</v>
      </c>
      <c r="D1548" s="1" t="s">
        <v>1496</v>
      </c>
      <c r="E1548" s="0" t="s">
        <v>38</v>
      </c>
      <c r="F1548" s="0" t="s">
        <v>50</v>
      </c>
      <c r="G1548" s="0" t="s">
        <v>9009</v>
      </c>
      <c r="I1548" s="6" t="n">
        <v>0.875</v>
      </c>
      <c r="J1548" s="6" t="n">
        <v>0.88125</v>
      </c>
      <c r="K1548" s="0" t="n">
        <v>0</v>
      </c>
      <c r="L1548" s="0" t="n">
        <v>57</v>
      </c>
      <c r="M1548" s="0" t="s">
        <v>9010</v>
      </c>
      <c r="N1548" s="0" t="s">
        <v>9011</v>
      </c>
      <c r="P1548" s="0" t="s">
        <v>9012</v>
      </c>
      <c r="Q1548" s="2" t="n">
        <v>43468</v>
      </c>
      <c r="S1548" s="0" t="n">
        <f aca="false">YEAR(Q1548)</f>
        <v>2019</v>
      </c>
      <c r="T1548" s="0" t="n">
        <f aca="false">MONTH(Q1548)</f>
        <v>1</v>
      </c>
    </row>
    <row r="1549" customFormat="false" ht="14.25" hidden="true" customHeight="false" outlineLevel="0" collapsed="false">
      <c r="A1549" s="0" t="n">
        <v>1553</v>
      </c>
      <c r="B1549" s="1" t="s">
        <v>1077</v>
      </c>
      <c r="C1549" s="1" t="s">
        <v>1479</v>
      </c>
      <c r="D1549" s="1" t="s">
        <v>1496</v>
      </c>
      <c r="E1549" s="0" t="s">
        <v>38</v>
      </c>
      <c r="F1549" s="0" t="s">
        <v>50</v>
      </c>
      <c r="G1549" s="0" t="s">
        <v>9009</v>
      </c>
      <c r="I1549" s="6" t="n">
        <v>0.875</v>
      </c>
      <c r="J1549" s="6" t="n">
        <v>0.88125</v>
      </c>
      <c r="K1549" s="0" t="n">
        <v>0</v>
      </c>
      <c r="L1549" s="0" t="n">
        <v>57</v>
      </c>
      <c r="M1549" s="0" t="s">
        <v>9010</v>
      </c>
      <c r="N1549" s="0" t="s">
        <v>9011</v>
      </c>
      <c r="P1549" s="0" t="s">
        <v>9012</v>
      </c>
      <c r="Q1549" s="2" t="n">
        <v>43499</v>
      </c>
      <c r="S1549" s="0" t="n">
        <f aca="false">YEAR(Q1549)</f>
        <v>2019</v>
      </c>
      <c r="T1549" s="0" t="n">
        <f aca="false">MONTH(Q1549)</f>
        <v>2</v>
      </c>
    </row>
    <row r="1550" customFormat="false" ht="14.25" hidden="true" customHeight="false" outlineLevel="0" collapsed="false">
      <c r="A1550" s="0" t="n">
        <v>1554</v>
      </c>
      <c r="B1550" s="1" t="s">
        <v>1078</v>
      </c>
      <c r="C1550" s="1" t="s">
        <v>1479</v>
      </c>
      <c r="D1550" s="1" t="s">
        <v>1496</v>
      </c>
      <c r="E1550" s="0" t="s">
        <v>38</v>
      </c>
      <c r="F1550" s="0" t="s">
        <v>50</v>
      </c>
      <c r="G1550" s="0" t="s">
        <v>9013</v>
      </c>
      <c r="I1550" s="6" t="n">
        <v>0.944444444444444</v>
      </c>
      <c r="J1550" s="6" t="n">
        <v>0.951388888888889</v>
      </c>
      <c r="L1550" s="0" t="n">
        <v>16</v>
      </c>
      <c r="M1550" s="0" t="s">
        <v>9014</v>
      </c>
      <c r="N1550" s="0" t="s">
        <v>4784</v>
      </c>
      <c r="P1550" s="0" t="s">
        <v>9015</v>
      </c>
      <c r="Q1550" s="2" t="n">
        <v>43498</v>
      </c>
      <c r="S1550" s="0" t="n">
        <f aca="false">YEAR(Q1550)</f>
        <v>2019</v>
      </c>
      <c r="T1550" s="0" t="n">
        <f aca="false">MONTH(Q1550)</f>
        <v>2</v>
      </c>
    </row>
    <row r="1551" customFormat="false" ht="14.25" hidden="true" customHeight="false" outlineLevel="0" collapsed="false">
      <c r="A1551" s="0" t="n">
        <v>1555</v>
      </c>
      <c r="B1551" s="1" t="s">
        <v>1078</v>
      </c>
      <c r="C1551" s="1" t="s">
        <v>1479</v>
      </c>
      <c r="D1551" s="1" t="s">
        <v>1487</v>
      </c>
      <c r="E1551" s="0" t="s">
        <v>1488</v>
      </c>
      <c r="F1551" s="0" t="s">
        <v>50</v>
      </c>
      <c r="G1551" s="0" t="s">
        <v>9016</v>
      </c>
      <c r="J1551" s="6" t="n">
        <v>0.966666666666667</v>
      </c>
      <c r="M1551" s="0" t="s">
        <v>9017</v>
      </c>
      <c r="N1551" s="0" t="s">
        <v>9018</v>
      </c>
      <c r="P1551" s="0" t="s">
        <v>9019</v>
      </c>
      <c r="Q1551" s="2" t="n">
        <v>43498</v>
      </c>
      <c r="S1551" s="0" t="n">
        <f aca="false">YEAR(Q1551)</f>
        <v>2019</v>
      </c>
      <c r="T1551" s="0" t="n">
        <f aca="false">MONTH(Q1551)</f>
        <v>2</v>
      </c>
    </row>
    <row r="1552" customFormat="false" ht="14.25" hidden="true" customHeight="false" outlineLevel="0" collapsed="false">
      <c r="A1552" s="0" t="n">
        <v>1556</v>
      </c>
      <c r="B1552" s="1" t="s">
        <v>1078</v>
      </c>
      <c r="C1552" s="1" t="s">
        <v>1479</v>
      </c>
      <c r="D1552" s="1" t="s">
        <v>1487</v>
      </c>
      <c r="E1552" s="0" t="s">
        <v>1488</v>
      </c>
      <c r="F1552" s="0" t="s">
        <v>50</v>
      </c>
      <c r="G1552" s="0" t="s">
        <v>9020</v>
      </c>
      <c r="J1552" s="6" t="n">
        <v>0.118055555555556</v>
      </c>
      <c r="L1552" s="0" t="n">
        <v>57</v>
      </c>
      <c r="M1552" s="0" t="s">
        <v>9021</v>
      </c>
      <c r="N1552" s="0" t="s">
        <v>9022</v>
      </c>
      <c r="P1552" s="0" t="s">
        <v>9023</v>
      </c>
      <c r="Q1552" s="2" t="n">
        <v>43498</v>
      </c>
      <c r="S1552" s="0" t="n">
        <f aca="false">YEAR(Q1552)</f>
        <v>2019</v>
      </c>
      <c r="T1552" s="0" t="n">
        <f aca="false">MONTH(Q1552)</f>
        <v>2</v>
      </c>
    </row>
    <row r="1553" customFormat="false" ht="14.25" hidden="true" customHeight="false" outlineLevel="0" collapsed="false">
      <c r="A1553" s="0" t="n">
        <v>1557</v>
      </c>
      <c r="B1553" s="1" t="s">
        <v>1078</v>
      </c>
      <c r="C1553" s="1" t="s">
        <v>1479</v>
      </c>
      <c r="D1553" s="1" t="s">
        <v>1487</v>
      </c>
      <c r="E1553" s="0" t="s">
        <v>1488</v>
      </c>
      <c r="F1553" s="0" t="s">
        <v>50</v>
      </c>
      <c r="G1553" s="0" t="s">
        <v>9020</v>
      </c>
      <c r="J1553" s="6" t="n">
        <v>0.118055555555556</v>
      </c>
      <c r="L1553" s="0" t="n">
        <v>57</v>
      </c>
      <c r="M1553" s="0" t="s">
        <v>9021</v>
      </c>
      <c r="N1553" s="0" t="s">
        <v>9022</v>
      </c>
      <c r="P1553" s="0" t="s">
        <v>9023</v>
      </c>
      <c r="Q1553" s="2" t="n">
        <v>43498</v>
      </c>
      <c r="S1553" s="0" t="n">
        <f aca="false">YEAR(Q1553)</f>
        <v>2019</v>
      </c>
      <c r="T1553" s="0" t="n">
        <f aca="false">MONTH(Q1553)</f>
        <v>2</v>
      </c>
    </row>
    <row r="1554" customFormat="false" ht="14.25" hidden="true" customHeight="false" outlineLevel="0" collapsed="false">
      <c r="A1554" s="0" t="n">
        <v>1558</v>
      </c>
      <c r="B1554" s="1" t="s">
        <v>1078</v>
      </c>
      <c r="C1554" s="1" t="s">
        <v>1479</v>
      </c>
      <c r="D1554" s="1" t="s">
        <v>1487</v>
      </c>
      <c r="E1554" s="0" t="s">
        <v>1488</v>
      </c>
      <c r="F1554" s="0" t="s">
        <v>50</v>
      </c>
      <c r="G1554" s="0" t="s">
        <v>9024</v>
      </c>
      <c r="I1554" s="6" t="n">
        <v>0.157638888888889</v>
      </c>
      <c r="J1554" s="6" t="n">
        <v>0.170138888888889</v>
      </c>
      <c r="L1554" s="0" t="n">
        <v>110</v>
      </c>
      <c r="M1554" s="0" t="s">
        <v>9025</v>
      </c>
      <c r="N1554" s="0" t="s">
        <v>9026</v>
      </c>
      <c r="P1554" s="0" t="s">
        <v>9027</v>
      </c>
      <c r="Q1554" s="2" t="n">
        <v>43498</v>
      </c>
      <c r="S1554" s="0" t="n">
        <f aca="false">YEAR(Q1554)</f>
        <v>2019</v>
      </c>
      <c r="T1554" s="0" t="n">
        <f aca="false">MONTH(Q1554)</f>
        <v>2</v>
      </c>
    </row>
    <row r="1555" customFormat="false" ht="14.25" hidden="true" customHeight="false" outlineLevel="0" collapsed="false">
      <c r="A1555" s="0" t="n">
        <v>1559</v>
      </c>
      <c r="B1555" s="1" t="s">
        <v>1079</v>
      </c>
      <c r="C1555" s="1" t="s">
        <v>1479</v>
      </c>
      <c r="D1555" s="1" t="s">
        <v>1535</v>
      </c>
      <c r="E1555" s="0" t="s">
        <v>39</v>
      </c>
      <c r="F1555" s="0" t="s">
        <v>48</v>
      </c>
      <c r="G1555" s="0" t="s">
        <v>9028</v>
      </c>
      <c r="I1555" s="6" t="n">
        <v>0.333333333333333</v>
      </c>
      <c r="J1555" s="6" t="n">
        <v>0.375</v>
      </c>
      <c r="K1555" s="0" t="n">
        <v>0</v>
      </c>
      <c r="M1555" s="0" t="s">
        <v>9029</v>
      </c>
      <c r="N1555" s="0" t="s">
        <v>9030</v>
      </c>
      <c r="P1555" s="0" t="s">
        <v>9031</v>
      </c>
      <c r="Q1555" s="2" t="n">
        <v>43500</v>
      </c>
      <c r="S1555" s="0" t="n">
        <f aca="false">YEAR(Q1555)</f>
        <v>2019</v>
      </c>
      <c r="T1555" s="0" t="n">
        <f aca="false">MONTH(Q1555)</f>
        <v>2</v>
      </c>
    </row>
    <row r="1556" customFormat="false" ht="14.25" hidden="true" customHeight="false" outlineLevel="0" collapsed="false">
      <c r="A1556" s="0" t="n">
        <v>1560</v>
      </c>
      <c r="B1556" s="1" t="s">
        <v>1079</v>
      </c>
      <c r="C1556" s="1" t="s">
        <v>1503</v>
      </c>
      <c r="D1556" s="1" t="s">
        <v>1504</v>
      </c>
      <c r="E1556" s="0" t="s">
        <v>45</v>
      </c>
      <c r="F1556" s="0" t="s">
        <v>49</v>
      </c>
      <c r="G1556" s="0" t="s">
        <v>8213</v>
      </c>
      <c r="I1556" s="6" t="n">
        <v>0.777777777777778</v>
      </c>
      <c r="J1556" s="6" t="n">
        <v>0.80625</v>
      </c>
      <c r="L1556" s="0" t="n">
        <v>60</v>
      </c>
      <c r="M1556" s="0" t="s">
        <v>9032</v>
      </c>
      <c r="N1556" s="0" t="s">
        <v>9033</v>
      </c>
      <c r="P1556" s="0" t="s">
        <v>9034</v>
      </c>
      <c r="Q1556" s="2" t="n">
        <v>43500</v>
      </c>
      <c r="S1556" s="0" t="n">
        <f aca="false">YEAR(Q1556)</f>
        <v>2019</v>
      </c>
      <c r="T1556" s="0" t="n">
        <f aca="false">MONTH(Q1556)</f>
        <v>2</v>
      </c>
    </row>
    <row r="1557" customFormat="false" ht="14.25" hidden="true" customHeight="false" outlineLevel="0" collapsed="false">
      <c r="A1557" s="0" t="n">
        <v>1561</v>
      </c>
      <c r="B1557" s="1" t="s">
        <v>1079</v>
      </c>
      <c r="C1557" s="1" t="s">
        <v>1479</v>
      </c>
      <c r="D1557" s="1" t="s">
        <v>1487</v>
      </c>
      <c r="E1557" s="0" t="s">
        <v>1488</v>
      </c>
      <c r="F1557" s="0" t="s">
        <v>49</v>
      </c>
      <c r="G1557" s="0" t="s">
        <v>8379</v>
      </c>
      <c r="I1557" s="6" t="n">
        <v>0.883333333333333</v>
      </c>
      <c r="J1557" s="6" t="n">
        <v>0.902777777777778</v>
      </c>
      <c r="K1557" s="0" t="n">
        <v>0</v>
      </c>
      <c r="L1557" s="0" t="n">
        <v>66</v>
      </c>
      <c r="M1557" s="0" t="s">
        <v>9035</v>
      </c>
      <c r="N1557" s="0" t="s">
        <v>9036</v>
      </c>
      <c r="P1557" s="0" t="s">
        <v>9037</v>
      </c>
      <c r="Q1557" s="2" t="n">
        <v>43500</v>
      </c>
      <c r="S1557" s="0" t="n">
        <f aca="false">YEAR(Q1557)</f>
        <v>2019</v>
      </c>
      <c r="T1557" s="0" t="n">
        <f aca="false">MONTH(Q1557)</f>
        <v>2</v>
      </c>
    </row>
    <row r="1558" customFormat="false" ht="14.25" hidden="true" customHeight="false" outlineLevel="0" collapsed="false">
      <c r="A1558" s="0" t="n">
        <v>1562</v>
      </c>
      <c r="B1558" s="1" t="s">
        <v>1080</v>
      </c>
      <c r="C1558" s="1" t="s">
        <v>1479</v>
      </c>
      <c r="D1558" s="1" t="s">
        <v>1487</v>
      </c>
      <c r="E1558" s="0" t="s">
        <v>1488</v>
      </c>
      <c r="F1558" s="0" t="s">
        <v>48</v>
      </c>
      <c r="G1558" s="0" t="s">
        <v>9038</v>
      </c>
      <c r="I1558" s="6" t="n">
        <v>0.266666666666667</v>
      </c>
      <c r="J1558" s="6" t="n">
        <v>0.277083333333333</v>
      </c>
      <c r="L1558" s="0" t="n">
        <v>60</v>
      </c>
      <c r="M1558" s="0" t="s">
        <v>9039</v>
      </c>
      <c r="N1558" s="0" t="s">
        <v>9040</v>
      </c>
      <c r="P1558" s="0" t="s">
        <v>9041</v>
      </c>
      <c r="Q1558" s="2" t="n">
        <v>43501</v>
      </c>
      <c r="S1558" s="0" t="n">
        <f aca="false">YEAR(Q1558)</f>
        <v>2019</v>
      </c>
      <c r="T1558" s="0" t="n">
        <f aca="false">MONTH(Q1558)</f>
        <v>2</v>
      </c>
    </row>
    <row r="1559" customFormat="false" ht="28.5" hidden="true" customHeight="false" outlineLevel="0" collapsed="false">
      <c r="A1559" s="0" t="n">
        <v>1563</v>
      </c>
      <c r="B1559" s="1" t="s">
        <v>1081</v>
      </c>
      <c r="C1559" s="1" t="s">
        <v>1479</v>
      </c>
      <c r="D1559" s="1" t="s">
        <v>1487</v>
      </c>
      <c r="E1559" s="0" t="s">
        <v>1488</v>
      </c>
      <c r="F1559" s="0" t="s">
        <v>48</v>
      </c>
      <c r="G1559" s="0" t="s">
        <v>9042</v>
      </c>
      <c r="I1559" s="6" t="n">
        <v>0.319444444444444</v>
      </c>
      <c r="J1559" s="6" t="n">
        <v>0.322916666666667</v>
      </c>
      <c r="K1559" s="0" t="n">
        <v>0</v>
      </c>
      <c r="L1559" s="0" t="n">
        <v>13</v>
      </c>
      <c r="M1559" s="0" t="s">
        <v>9043</v>
      </c>
      <c r="N1559" s="0" t="s">
        <v>9044</v>
      </c>
      <c r="P1559" s="7" t="s">
        <v>9045</v>
      </c>
      <c r="Q1559" s="2" t="n">
        <v>43502</v>
      </c>
      <c r="S1559" s="0" t="n">
        <f aca="false">YEAR(Q1559)</f>
        <v>2019</v>
      </c>
      <c r="T1559" s="0" t="n">
        <f aca="false">MONTH(Q1559)</f>
        <v>2</v>
      </c>
    </row>
    <row r="1560" customFormat="false" ht="14.25" hidden="true" customHeight="false" outlineLevel="0" collapsed="false">
      <c r="A1560" s="0" t="n">
        <v>1564</v>
      </c>
      <c r="B1560" s="1" t="s">
        <v>1081</v>
      </c>
      <c r="C1560" s="1" t="s">
        <v>1503</v>
      </c>
      <c r="D1560" s="1" t="s">
        <v>1535</v>
      </c>
      <c r="E1560" s="0" t="s">
        <v>44</v>
      </c>
      <c r="F1560" s="0" t="s">
        <v>49</v>
      </c>
      <c r="G1560" s="0" t="s">
        <v>9046</v>
      </c>
      <c r="I1560" s="6" t="n">
        <v>0.6875</v>
      </c>
      <c r="J1560" s="6" t="n">
        <v>0.693055555555556</v>
      </c>
      <c r="K1560" s="0" t="n">
        <v>41</v>
      </c>
      <c r="L1560" s="0" t="n">
        <v>58</v>
      </c>
      <c r="M1560" s="0" t="s">
        <v>9047</v>
      </c>
      <c r="N1560" s="0" t="s">
        <v>9048</v>
      </c>
      <c r="P1560" s="0" t="s">
        <v>9049</v>
      </c>
      <c r="Q1560" s="2" t="n">
        <v>43502</v>
      </c>
      <c r="S1560" s="0" t="n">
        <f aca="false">YEAR(Q1560)</f>
        <v>2019</v>
      </c>
      <c r="T1560" s="0" t="n">
        <f aca="false">MONTH(Q1560)</f>
        <v>2</v>
      </c>
    </row>
    <row r="1561" customFormat="false" ht="28.5" hidden="true" customHeight="false" outlineLevel="0" collapsed="false">
      <c r="A1561" s="0" t="n">
        <v>1565</v>
      </c>
      <c r="B1561" s="1" t="s">
        <v>1081</v>
      </c>
      <c r="C1561" s="1" t="s">
        <v>1479</v>
      </c>
      <c r="D1561" s="1" t="s">
        <v>1496</v>
      </c>
      <c r="E1561" s="0" t="s">
        <v>38</v>
      </c>
      <c r="F1561" s="0" t="s">
        <v>49</v>
      </c>
      <c r="G1561" s="0" t="s">
        <v>9050</v>
      </c>
      <c r="I1561" s="6" t="n">
        <v>0.815972222222222</v>
      </c>
      <c r="J1561" s="6" t="n">
        <v>0.84375</v>
      </c>
      <c r="K1561" s="0" t="n">
        <v>25</v>
      </c>
      <c r="L1561" s="0" t="n">
        <v>26</v>
      </c>
      <c r="M1561" s="0" t="s">
        <v>9051</v>
      </c>
      <c r="N1561" s="0" t="s">
        <v>9052</v>
      </c>
      <c r="P1561" s="7" t="s">
        <v>9053</v>
      </c>
      <c r="Q1561" s="2" t="n">
        <v>43502</v>
      </c>
      <c r="S1561" s="0" t="n">
        <f aca="false">YEAR(Q1561)</f>
        <v>2019</v>
      </c>
      <c r="T1561" s="0" t="n">
        <f aca="false">MONTH(Q1561)</f>
        <v>2</v>
      </c>
    </row>
    <row r="1562" customFormat="false" ht="14.25" hidden="true" customHeight="false" outlineLevel="0" collapsed="false">
      <c r="A1562" s="0" t="n">
        <v>1566</v>
      </c>
      <c r="B1562" s="1" t="s">
        <v>1081</v>
      </c>
      <c r="C1562" s="1" t="s">
        <v>1479</v>
      </c>
      <c r="D1562" s="1" t="s">
        <v>1496</v>
      </c>
      <c r="E1562" s="0" t="s">
        <v>38</v>
      </c>
      <c r="F1562" s="0" t="s">
        <v>50</v>
      </c>
      <c r="G1562" s="0" t="s">
        <v>9054</v>
      </c>
      <c r="I1562" s="6" t="n">
        <v>0.0833333333333333</v>
      </c>
      <c r="J1562" s="6" t="n">
        <v>0.0902777777777778</v>
      </c>
      <c r="Q1562" s="2" t="n">
        <v>43502</v>
      </c>
      <c r="S1562" s="0" t="n">
        <f aca="false">YEAR(Q1562)</f>
        <v>2019</v>
      </c>
      <c r="T1562" s="0" t="n">
        <f aca="false">MONTH(Q1562)</f>
        <v>2</v>
      </c>
    </row>
    <row r="1563" customFormat="false" ht="14.25" hidden="true" customHeight="false" outlineLevel="0" collapsed="false">
      <c r="A1563" s="0" t="n">
        <v>1567</v>
      </c>
      <c r="B1563" s="1" t="s">
        <v>1080</v>
      </c>
      <c r="C1563" s="1" t="s">
        <v>1503</v>
      </c>
      <c r="D1563" s="1" t="s">
        <v>1535</v>
      </c>
      <c r="E1563" s="0" t="s">
        <v>44</v>
      </c>
      <c r="F1563" s="0" t="s">
        <v>48</v>
      </c>
      <c r="G1563" s="0" t="s">
        <v>9055</v>
      </c>
      <c r="I1563" s="6" t="n">
        <v>0.520833333333333</v>
      </c>
      <c r="J1563" s="6" t="n">
        <v>0.540277777777778</v>
      </c>
      <c r="L1563" s="0" t="n">
        <v>64</v>
      </c>
      <c r="M1563" s="0" t="s">
        <v>9056</v>
      </c>
      <c r="N1563" s="0" t="s">
        <v>9057</v>
      </c>
      <c r="P1563" s="0" t="s">
        <v>9058</v>
      </c>
      <c r="Q1563" s="2" t="n">
        <v>43501</v>
      </c>
      <c r="S1563" s="0" t="n">
        <f aca="false">YEAR(Q1563)</f>
        <v>2019</v>
      </c>
      <c r="T1563" s="0" t="n">
        <f aca="false">MONTH(Q1563)</f>
        <v>2</v>
      </c>
    </row>
    <row r="1564" customFormat="false" ht="28.5" hidden="true" customHeight="false" outlineLevel="0" collapsed="false">
      <c r="A1564" s="0" t="n">
        <v>1568</v>
      </c>
      <c r="B1564" s="1" t="s">
        <v>1080</v>
      </c>
      <c r="C1564" s="1" t="s">
        <v>1503</v>
      </c>
      <c r="D1564" s="1" t="s">
        <v>1648</v>
      </c>
      <c r="E1564" s="0" t="s">
        <v>1648</v>
      </c>
      <c r="F1564" s="0" t="s">
        <v>50</v>
      </c>
      <c r="G1564" s="0" t="s">
        <v>9059</v>
      </c>
      <c r="I1564" s="6" t="n">
        <v>0.916666666666667</v>
      </c>
      <c r="J1564" s="6" t="n">
        <v>0.986111111111111</v>
      </c>
      <c r="K1564" s="0" t="n">
        <v>0</v>
      </c>
      <c r="L1564" s="0" t="n">
        <v>230</v>
      </c>
      <c r="M1564" s="0" t="s">
        <v>9060</v>
      </c>
      <c r="N1564" s="7" t="s">
        <v>9061</v>
      </c>
      <c r="O1564" s="7"/>
      <c r="P1564" s="0" t="s">
        <v>9062</v>
      </c>
      <c r="Q1564" s="2" t="n">
        <v>43501</v>
      </c>
      <c r="S1564" s="0" t="n">
        <f aca="false">YEAR(Q1564)</f>
        <v>2019</v>
      </c>
      <c r="T1564" s="0" t="n">
        <f aca="false">MONTH(Q1564)</f>
        <v>2</v>
      </c>
    </row>
    <row r="1565" customFormat="false" ht="14.25" hidden="true" customHeight="false" outlineLevel="0" collapsed="false">
      <c r="A1565" s="0" t="n">
        <v>1569</v>
      </c>
      <c r="B1565" s="1" t="s">
        <v>1082</v>
      </c>
      <c r="C1565" s="1" t="s">
        <v>1479</v>
      </c>
      <c r="D1565" s="1" t="s">
        <v>1496</v>
      </c>
      <c r="E1565" s="0" t="s">
        <v>38</v>
      </c>
      <c r="F1565" s="0" t="s">
        <v>48</v>
      </c>
      <c r="G1565" s="0" t="s">
        <v>9054</v>
      </c>
      <c r="I1565" s="6" t="n">
        <v>0.0833333333333333</v>
      </c>
      <c r="J1565" s="6" t="n">
        <v>0.0902777777777778</v>
      </c>
      <c r="M1565" s="0" t="s">
        <v>9063</v>
      </c>
      <c r="N1565" s="0" t="s">
        <v>9064</v>
      </c>
      <c r="P1565" s="0" t="s">
        <v>9065</v>
      </c>
      <c r="Q1565" s="2" t="n">
        <v>43503</v>
      </c>
      <c r="S1565" s="0" t="n">
        <f aca="false">YEAR(Q1565)</f>
        <v>2019</v>
      </c>
      <c r="T1565" s="0" t="n">
        <f aca="false">MONTH(Q1565)</f>
        <v>2</v>
      </c>
    </row>
    <row r="1566" customFormat="false" ht="14.25" hidden="true" customHeight="false" outlineLevel="0" collapsed="false">
      <c r="A1566" s="0" t="n">
        <v>1570</v>
      </c>
      <c r="B1566" s="1" t="s">
        <v>1082</v>
      </c>
      <c r="C1566" s="1" t="s">
        <v>1479</v>
      </c>
      <c r="D1566" s="1" t="s">
        <v>1496</v>
      </c>
      <c r="E1566" s="0" t="s">
        <v>38</v>
      </c>
      <c r="F1566" s="0" t="s">
        <v>49</v>
      </c>
      <c r="G1566" s="0" t="s">
        <v>9066</v>
      </c>
      <c r="I1566" s="6" t="n">
        <v>0.854166666666667</v>
      </c>
      <c r="J1566" s="6" t="n">
        <v>0.861111111111111</v>
      </c>
      <c r="M1566" s="0" t="s">
        <v>9067</v>
      </c>
      <c r="N1566" s="0" t="s">
        <v>9068</v>
      </c>
      <c r="P1566" s="0" t="s">
        <v>9069</v>
      </c>
      <c r="Q1566" s="2" t="n">
        <v>43503</v>
      </c>
      <c r="S1566" s="0" t="n">
        <f aca="false">YEAR(Q1566)</f>
        <v>2019</v>
      </c>
      <c r="T1566" s="0" t="n">
        <f aca="false">MONTH(Q1566)</f>
        <v>2</v>
      </c>
    </row>
    <row r="1567" customFormat="false" ht="72" hidden="true" customHeight="false" outlineLevel="0" collapsed="false">
      <c r="A1567" s="0" t="n">
        <v>1571</v>
      </c>
      <c r="B1567" s="1" t="s">
        <v>1082</v>
      </c>
      <c r="C1567" s="1" t="s">
        <v>1479</v>
      </c>
      <c r="D1567" s="1" t="s">
        <v>1487</v>
      </c>
      <c r="E1567" s="4" t="s">
        <v>1488</v>
      </c>
      <c r="F1567" s="0" t="s">
        <v>50</v>
      </c>
      <c r="G1567" s="0" t="s">
        <v>9070</v>
      </c>
      <c r="I1567" s="6" t="n">
        <v>0.979166666666667</v>
      </c>
      <c r="J1567" s="6" t="n">
        <v>0.989583333333333</v>
      </c>
      <c r="K1567" s="0" t="n">
        <v>20</v>
      </c>
      <c r="L1567" s="0" t="n">
        <v>58</v>
      </c>
      <c r="M1567" s="0" t="s">
        <v>9071</v>
      </c>
      <c r="N1567" s="0" t="s">
        <v>9072</v>
      </c>
      <c r="P1567" s="7" t="s">
        <v>9073</v>
      </c>
      <c r="Q1567" s="2" t="n">
        <v>43503</v>
      </c>
      <c r="S1567" s="0" t="n">
        <f aca="false">YEAR(Q1567)</f>
        <v>2019</v>
      </c>
      <c r="T1567" s="0" t="n">
        <f aca="false">MONTH(Q1567)</f>
        <v>2</v>
      </c>
    </row>
    <row r="1568" customFormat="false" ht="14.25" hidden="true" customHeight="false" outlineLevel="0" collapsed="false">
      <c r="A1568" s="0" t="n">
        <v>1572</v>
      </c>
      <c r="B1568" s="1" t="s">
        <v>1082</v>
      </c>
      <c r="C1568" s="1" t="s">
        <v>1503</v>
      </c>
      <c r="D1568" s="1" t="s">
        <v>1535</v>
      </c>
      <c r="E1568" s="0" t="s">
        <v>1503</v>
      </c>
      <c r="F1568" s="0" t="s">
        <v>50</v>
      </c>
      <c r="G1568" s="0" t="s">
        <v>9074</v>
      </c>
      <c r="I1568" s="6" t="n">
        <v>0.03125</v>
      </c>
      <c r="J1568" s="6" t="n">
        <v>0.0416666666666667</v>
      </c>
      <c r="L1568" s="0" t="n">
        <v>60</v>
      </c>
      <c r="M1568" s="0" t="s">
        <v>9075</v>
      </c>
      <c r="N1568" s="0" t="s">
        <v>9076</v>
      </c>
      <c r="P1568" s="0" t="s">
        <v>9077</v>
      </c>
      <c r="Q1568" s="2" t="n">
        <v>43503</v>
      </c>
      <c r="S1568" s="0" t="n">
        <f aca="false">YEAR(Q1568)</f>
        <v>2019</v>
      </c>
      <c r="T1568" s="0" t="n">
        <f aca="false">MONTH(Q1568)</f>
        <v>2</v>
      </c>
    </row>
    <row r="1569" customFormat="false" ht="28.5" hidden="true" customHeight="false" outlineLevel="0" collapsed="false">
      <c r="A1569" s="0" t="n">
        <v>1573</v>
      </c>
      <c r="B1569" s="1" t="s">
        <v>1084</v>
      </c>
      <c r="C1569" s="1" t="s">
        <v>1479</v>
      </c>
      <c r="D1569" s="1" t="s">
        <v>1487</v>
      </c>
      <c r="E1569" s="0" t="s">
        <v>1488</v>
      </c>
      <c r="F1569" s="0" t="s">
        <v>48</v>
      </c>
      <c r="G1569" s="0" t="s">
        <v>8367</v>
      </c>
      <c r="I1569" s="6" t="n">
        <v>0.270833333333333</v>
      </c>
      <c r="J1569" s="6" t="n">
        <v>0.275</v>
      </c>
      <c r="K1569" s="0" t="n">
        <v>0</v>
      </c>
      <c r="M1569" s="0" t="s">
        <v>9078</v>
      </c>
      <c r="N1569" s="0" t="s">
        <v>9079</v>
      </c>
      <c r="P1569" s="7" t="s">
        <v>9080</v>
      </c>
      <c r="Q1569" s="2" t="n">
        <v>43504</v>
      </c>
      <c r="S1569" s="0" t="n">
        <f aca="false">YEAR(Q1569)</f>
        <v>2019</v>
      </c>
      <c r="T1569" s="0" t="n">
        <f aca="false">MONTH(Q1569)</f>
        <v>2</v>
      </c>
    </row>
    <row r="1570" customFormat="false" ht="14.25" hidden="true" customHeight="false" outlineLevel="0" collapsed="false">
      <c r="A1570" s="0" t="n">
        <v>1574</v>
      </c>
      <c r="B1570" s="1" t="s">
        <v>1084</v>
      </c>
      <c r="C1570" s="1" t="s">
        <v>1479</v>
      </c>
      <c r="D1570" s="1" t="s">
        <v>1487</v>
      </c>
      <c r="E1570" s="0" t="s">
        <v>1488</v>
      </c>
      <c r="F1570" s="0" t="s">
        <v>48</v>
      </c>
      <c r="G1570" s="0" t="s">
        <v>9081</v>
      </c>
      <c r="I1570" s="6" t="n">
        <v>0.510416666666667</v>
      </c>
      <c r="J1570" s="6" t="n">
        <v>0.521527777777778</v>
      </c>
      <c r="K1570" s="0" t="n">
        <v>0</v>
      </c>
      <c r="L1570" s="0" t="n">
        <v>28</v>
      </c>
      <c r="M1570" s="0" t="s">
        <v>9082</v>
      </c>
      <c r="N1570" s="0" t="s">
        <v>9083</v>
      </c>
      <c r="P1570" s="0" t="s">
        <v>9084</v>
      </c>
      <c r="Q1570" s="2" t="n">
        <v>43504</v>
      </c>
      <c r="S1570" s="0" t="n">
        <f aca="false">YEAR(Q1570)</f>
        <v>2019</v>
      </c>
      <c r="T1570" s="0" t="n">
        <f aca="false">MONTH(Q1570)</f>
        <v>2</v>
      </c>
    </row>
    <row r="1571" customFormat="false" ht="86.25" hidden="true" customHeight="false" outlineLevel="0" collapsed="false">
      <c r="A1571" s="0" t="n">
        <v>1575</v>
      </c>
      <c r="B1571" s="1" t="s">
        <v>1084</v>
      </c>
      <c r="C1571" s="1" t="s">
        <v>1479</v>
      </c>
      <c r="D1571" s="1" t="s">
        <v>1496</v>
      </c>
      <c r="E1571" s="0" t="s">
        <v>38</v>
      </c>
      <c r="F1571" s="0" t="s">
        <v>49</v>
      </c>
      <c r="G1571" s="0" t="s">
        <v>9085</v>
      </c>
      <c r="I1571" s="6" t="n">
        <v>0.901388888888889</v>
      </c>
      <c r="J1571" s="6" t="n">
        <v>0.904861111111111</v>
      </c>
      <c r="K1571" s="0" t="n">
        <v>10</v>
      </c>
      <c r="L1571" s="0" t="n">
        <v>10</v>
      </c>
      <c r="M1571" s="0" t="s">
        <v>9086</v>
      </c>
      <c r="N1571" s="0" t="s">
        <v>9087</v>
      </c>
      <c r="P1571" s="7" t="s">
        <v>9088</v>
      </c>
      <c r="Q1571" s="2" t="n">
        <v>43504</v>
      </c>
      <c r="S1571" s="0" t="n">
        <f aca="false">YEAR(Q1571)</f>
        <v>2019</v>
      </c>
      <c r="T1571" s="0" t="n">
        <f aca="false">MONTH(Q1571)</f>
        <v>2</v>
      </c>
    </row>
    <row r="1572" customFormat="false" ht="14.25" hidden="true" customHeight="false" outlineLevel="0" collapsed="false">
      <c r="A1572" s="0" t="n">
        <v>1576</v>
      </c>
      <c r="B1572" s="1" t="s">
        <v>1077</v>
      </c>
      <c r="C1572" s="1" t="s">
        <v>1479</v>
      </c>
      <c r="D1572" s="1" t="s">
        <v>1496</v>
      </c>
      <c r="E1572" s="0" t="s">
        <v>38</v>
      </c>
      <c r="F1572" s="0" t="s">
        <v>50</v>
      </c>
      <c r="G1572" s="0" t="s">
        <v>9089</v>
      </c>
      <c r="J1572" s="6" t="n">
        <v>0.895833333333333</v>
      </c>
      <c r="L1572" s="0" t="n">
        <v>10</v>
      </c>
      <c r="M1572" s="0" t="s">
        <v>9090</v>
      </c>
      <c r="N1572" s="0" t="s">
        <v>9091</v>
      </c>
      <c r="P1572" s="0" t="s">
        <v>9092</v>
      </c>
      <c r="Q1572" s="2" t="n">
        <v>43499</v>
      </c>
      <c r="S1572" s="0" t="n">
        <f aca="false">YEAR(Q1572)</f>
        <v>2019</v>
      </c>
      <c r="T1572" s="0" t="n">
        <f aca="false">MONTH(Q1572)</f>
        <v>2</v>
      </c>
    </row>
    <row r="1573" customFormat="false" ht="14.25" hidden="true" customHeight="false" outlineLevel="0" collapsed="false">
      <c r="A1573" s="0" t="n">
        <v>1577</v>
      </c>
      <c r="B1573" s="1" t="s">
        <v>1077</v>
      </c>
      <c r="C1573" s="1" t="s">
        <v>1479</v>
      </c>
      <c r="D1573" s="1" t="s">
        <v>1487</v>
      </c>
      <c r="E1573" s="0" t="s">
        <v>1488</v>
      </c>
      <c r="F1573" s="0" t="s">
        <v>50</v>
      </c>
      <c r="G1573" s="0" t="s">
        <v>9093</v>
      </c>
      <c r="I1573" s="6" t="n">
        <v>0.916666666666667</v>
      </c>
      <c r="J1573" s="6" t="n">
        <v>0.944444444444444</v>
      </c>
      <c r="L1573" s="0" t="n">
        <v>16</v>
      </c>
      <c r="M1573" s="0" t="s">
        <v>9094</v>
      </c>
      <c r="N1573" s="0" t="s">
        <v>9095</v>
      </c>
      <c r="P1573" s="0" t="s">
        <v>9096</v>
      </c>
      <c r="Q1573" s="2" t="n">
        <v>43499</v>
      </c>
      <c r="S1573" s="0" t="n">
        <f aca="false">YEAR(Q1573)</f>
        <v>2019</v>
      </c>
      <c r="T1573" s="0" t="n">
        <f aca="false">MONTH(Q1573)</f>
        <v>2</v>
      </c>
    </row>
    <row r="1574" customFormat="false" ht="14.25" hidden="true" customHeight="false" outlineLevel="0" collapsed="false">
      <c r="A1574" s="0" t="n">
        <v>1578</v>
      </c>
      <c r="B1574" s="1" t="s">
        <v>1077</v>
      </c>
      <c r="C1574" s="1" t="s">
        <v>1479</v>
      </c>
      <c r="D1574" s="1" t="s">
        <v>1496</v>
      </c>
      <c r="E1574" s="0" t="s">
        <v>38</v>
      </c>
      <c r="F1574" s="0" t="s">
        <v>50</v>
      </c>
      <c r="G1574" s="0" t="s">
        <v>9097</v>
      </c>
      <c r="I1574" s="6" t="n">
        <v>0.177083333333333</v>
      </c>
      <c r="J1574" s="6" t="n">
        <v>0.184722222222222</v>
      </c>
      <c r="L1574" s="0" t="n">
        <v>20</v>
      </c>
      <c r="M1574" s="0" t="s">
        <v>9098</v>
      </c>
      <c r="N1574" s="0" t="s">
        <v>9099</v>
      </c>
      <c r="P1574" s="0" t="s">
        <v>9100</v>
      </c>
      <c r="Q1574" s="2" t="n">
        <v>43499</v>
      </c>
      <c r="S1574" s="0" t="n">
        <f aca="false">YEAR(Q1574)</f>
        <v>2019</v>
      </c>
      <c r="T1574" s="0" t="n">
        <f aca="false">MONTH(Q1574)</f>
        <v>2</v>
      </c>
    </row>
    <row r="1575" customFormat="false" ht="14.25" hidden="true" customHeight="false" outlineLevel="0" collapsed="false">
      <c r="A1575" s="0" t="n">
        <v>1579</v>
      </c>
      <c r="B1575" s="1" t="s">
        <v>1075</v>
      </c>
      <c r="C1575" s="1" t="s">
        <v>1479</v>
      </c>
      <c r="D1575" s="1" t="s">
        <v>1535</v>
      </c>
      <c r="E1575" s="0" t="s">
        <v>39</v>
      </c>
      <c r="F1575" s="0" t="s">
        <v>48</v>
      </c>
      <c r="G1575" s="0" t="s">
        <v>9101</v>
      </c>
      <c r="M1575" s="0" t="s">
        <v>9102</v>
      </c>
      <c r="N1575" s="0" t="s">
        <v>9103</v>
      </c>
      <c r="P1575" s="0" t="s">
        <v>9104</v>
      </c>
      <c r="Q1575" s="2" t="n">
        <v>43497</v>
      </c>
      <c r="S1575" s="0" t="n">
        <f aca="false">YEAR(Q1575)</f>
        <v>2019</v>
      </c>
      <c r="T1575" s="0" t="n">
        <f aca="false">MONTH(Q1575)</f>
        <v>2</v>
      </c>
    </row>
    <row r="1576" customFormat="false" ht="14.25" hidden="true" customHeight="false" outlineLevel="0" collapsed="false">
      <c r="A1576" s="0" t="n">
        <v>1580</v>
      </c>
      <c r="B1576" s="1" t="s">
        <v>1075</v>
      </c>
      <c r="C1576" s="1" t="s">
        <v>1479</v>
      </c>
      <c r="D1576" s="1" t="s">
        <v>1496</v>
      </c>
      <c r="E1576" s="0" t="s">
        <v>38</v>
      </c>
      <c r="F1576" s="0" t="s">
        <v>50</v>
      </c>
      <c r="G1576" s="0" t="s">
        <v>9013</v>
      </c>
      <c r="I1576" s="6" t="n">
        <v>0.944444444444444</v>
      </c>
      <c r="J1576" s="6" t="n">
        <v>0.951388888888889</v>
      </c>
      <c r="L1576" s="0" t="n">
        <v>16</v>
      </c>
      <c r="M1576" s="0" t="s">
        <v>9014</v>
      </c>
      <c r="N1576" s="0" t="s">
        <v>4784</v>
      </c>
      <c r="P1576" s="0" t="s">
        <v>9015</v>
      </c>
      <c r="Q1576" s="2" t="n">
        <v>43497</v>
      </c>
      <c r="S1576" s="0" t="n">
        <f aca="false">YEAR(Q1576)</f>
        <v>2019</v>
      </c>
      <c r="T1576" s="0" t="n">
        <f aca="false">MONTH(Q1576)</f>
        <v>2</v>
      </c>
    </row>
    <row r="1577" customFormat="false" ht="14.25" hidden="true" customHeight="false" outlineLevel="0" collapsed="false">
      <c r="A1577" s="0" t="n">
        <v>1581</v>
      </c>
      <c r="B1577" s="1" t="s">
        <v>1075</v>
      </c>
      <c r="C1577" s="1" t="s">
        <v>1479</v>
      </c>
      <c r="D1577" s="1" t="s">
        <v>1487</v>
      </c>
      <c r="E1577" s="0" t="s">
        <v>1488</v>
      </c>
      <c r="F1577" s="0" t="s">
        <v>50</v>
      </c>
      <c r="G1577" s="0" t="s">
        <v>9016</v>
      </c>
      <c r="J1577" s="6" t="n">
        <v>0.966666666666667</v>
      </c>
      <c r="M1577" s="0" t="s">
        <v>9017</v>
      </c>
      <c r="N1577" s="0" t="s">
        <v>9018</v>
      </c>
      <c r="P1577" s="0" t="s">
        <v>9019</v>
      </c>
      <c r="Q1577" s="2" t="n">
        <v>43497</v>
      </c>
      <c r="S1577" s="0" t="n">
        <f aca="false">YEAR(Q1577)</f>
        <v>2019</v>
      </c>
      <c r="T1577" s="0" t="n">
        <f aca="false">MONTH(Q1577)</f>
        <v>2</v>
      </c>
    </row>
    <row r="1578" customFormat="false" ht="57" hidden="true" customHeight="false" outlineLevel="0" collapsed="false">
      <c r="A1578" s="0" t="n">
        <v>1582</v>
      </c>
      <c r="B1578" s="1" t="s">
        <v>1075</v>
      </c>
      <c r="C1578" s="1" t="s">
        <v>1479</v>
      </c>
      <c r="D1578" s="1" t="s">
        <v>1487</v>
      </c>
      <c r="E1578" s="0" t="s">
        <v>1488</v>
      </c>
      <c r="F1578" s="0" t="s">
        <v>50</v>
      </c>
      <c r="G1578" s="0" t="s">
        <v>9024</v>
      </c>
      <c r="I1578" s="6" t="n">
        <v>0.157638888888889</v>
      </c>
      <c r="J1578" s="6" t="n">
        <v>0.170138888888889</v>
      </c>
      <c r="L1578" s="0" t="n">
        <v>110</v>
      </c>
      <c r="M1578" s="7" t="s">
        <v>9105</v>
      </c>
      <c r="N1578" s="0" t="s">
        <v>9106</v>
      </c>
      <c r="P1578" s="0" t="s">
        <v>9027</v>
      </c>
      <c r="Q1578" s="2" t="n">
        <v>43497</v>
      </c>
      <c r="S1578" s="0" t="n">
        <f aca="false">YEAR(Q1578)</f>
        <v>2019</v>
      </c>
      <c r="T1578" s="0" t="n">
        <f aca="false">MONTH(Q1578)</f>
        <v>2</v>
      </c>
    </row>
    <row r="1579" customFormat="false" ht="14.25" hidden="true" customHeight="false" outlineLevel="0" collapsed="false">
      <c r="A1579" s="0" t="n">
        <v>1583</v>
      </c>
      <c r="B1579" s="1" t="s">
        <v>1075</v>
      </c>
      <c r="C1579" s="1" t="s">
        <v>1479</v>
      </c>
      <c r="D1579" s="1" t="s">
        <v>1487</v>
      </c>
      <c r="E1579" s="0" t="s">
        <v>1488</v>
      </c>
      <c r="F1579" s="0" t="s">
        <v>50</v>
      </c>
      <c r="G1579" s="0" t="s">
        <v>9020</v>
      </c>
      <c r="J1579" s="6" t="n">
        <v>0.118055555555556</v>
      </c>
      <c r="L1579" s="0" t="n">
        <v>57</v>
      </c>
      <c r="M1579" s="0" t="s">
        <v>9107</v>
      </c>
      <c r="N1579" s="0" t="s">
        <v>9108</v>
      </c>
      <c r="P1579" s="0" t="s">
        <v>9023</v>
      </c>
      <c r="Q1579" s="2" t="n">
        <v>43497</v>
      </c>
      <c r="S1579" s="0" t="n">
        <f aca="false">YEAR(Q1579)</f>
        <v>2019</v>
      </c>
      <c r="T1579" s="0" t="n">
        <f aca="false">MONTH(Q1579)</f>
        <v>2</v>
      </c>
    </row>
    <row r="1580" customFormat="false" ht="14.25" hidden="true" customHeight="false" outlineLevel="0" collapsed="false">
      <c r="A1580" s="0" t="n">
        <v>1584</v>
      </c>
      <c r="B1580" s="1" t="s">
        <v>1075</v>
      </c>
      <c r="C1580" s="1" t="s">
        <v>1479</v>
      </c>
      <c r="D1580" s="1" t="s">
        <v>1487</v>
      </c>
      <c r="E1580" s="0" t="s">
        <v>1488</v>
      </c>
      <c r="F1580" s="0" t="s">
        <v>50</v>
      </c>
      <c r="G1580" s="0" t="s">
        <v>9020</v>
      </c>
      <c r="I1580" s="6" t="n">
        <v>0.109722222222222</v>
      </c>
      <c r="J1580" s="6" t="n">
        <v>0.118055555555556</v>
      </c>
      <c r="L1580" s="0" t="n">
        <v>57</v>
      </c>
      <c r="M1580" s="0" t="s">
        <v>9107</v>
      </c>
      <c r="N1580" s="0" t="s">
        <v>9108</v>
      </c>
      <c r="P1580" s="0" t="s">
        <v>9109</v>
      </c>
      <c r="Q1580" s="2" t="n">
        <v>43497</v>
      </c>
      <c r="S1580" s="0" t="n">
        <f aca="false">YEAR(Q1580)</f>
        <v>2019</v>
      </c>
      <c r="T1580" s="0" t="n">
        <f aca="false">MONTH(Q1580)</f>
        <v>2</v>
      </c>
    </row>
    <row r="1581" customFormat="false" ht="14.25" hidden="true" customHeight="false" outlineLevel="0" collapsed="false">
      <c r="A1581" s="0" t="n">
        <v>1585</v>
      </c>
      <c r="B1581" s="1" t="s">
        <v>1085</v>
      </c>
      <c r="C1581" s="1" t="s">
        <v>1479</v>
      </c>
      <c r="D1581" s="1" t="s">
        <v>1535</v>
      </c>
      <c r="E1581" s="0" t="s">
        <v>39</v>
      </c>
      <c r="F1581" s="0" t="s">
        <v>48</v>
      </c>
      <c r="G1581" s="0" t="s">
        <v>9110</v>
      </c>
      <c r="I1581" s="6" t="n">
        <v>0.538194444444444</v>
      </c>
      <c r="L1581" s="0" t="n">
        <v>10</v>
      </c>
      <c r="M1581" s="0" t="s">
        <v>9111</v>
      </c>
      <c r="N1581" s="0" t="s">
        <v>9112</v>
      </c>
      <c r="P1581" s="0" t="s">
        <v>9113</v>
      </c>
      <c r="Q1581" s="2" t="n">
        <v>43507</v>
      </c>
      <c r="S1581" s="0" t="n">
        <f aca="false">YEAR(Q1581)</f>
        <v>2019</v>
      </c>
      <c r="T1581" s="0" t="n">
        <f aca="false">MONTH(Q1581)</f>
        <v>2</v>
      </c>
    </row>
    <row r="1582" customFormat="false" ht="14.25" hidden="true" customHeight="false" outlineLevel="0" collapsed="false">
      <c r="A1582" s="0" t="n">
        <v>1586</v>
      </c>
      <c r="B1582" s="1" t="s">
        <v>1087</v>
      </c>
      <c r="C1582" s="1" t="s">
        <v>1503</v>
      </c>
      <c r="D1582" s="1" t="s">
        <v>1535</v>
      </c>
      <c r="E1582" s="0" t="s">
        <v>1503</v>
      </c>
      <c r="F1582" s="0" t="s">
        <v>48</v>
      </c>
      <c r="G1582" s="0" t="s">
        <v>9114</v>
      </c>
      <c r="I1582" s="6" t="n">
        <v>0.541666666666667</v>
      </c>
      <c r="J1582" s="6" t="n">
        <v>0.552083333333333</v>
      </c>
      <c r="M1582" s="0" t="s">
        <v>9115</v>
      </c>
      <c r="N1582" s="0" t="s">
        <v>9116</v>
      </c>
      <c r="P1582" s="0" t="s">
        <v>9117</v>
      </c>
      <c r="Q1582" s="2" t="n">
        <v>43508</v>
      </c>
      <c r="S1582" s="0" t="n">
        <f aca="false">YEAR(Q1582)</f>
        <v>2019</v>
      </c>
      <c r="T1582" s="0" t="n">
        <f aca="false">MONTH(Q1582)</f>
        <v>2</v>
      </c>
    </row>
    <row r="1583" customFormat="false" ht="14.25" hidden="true" customHeight="false" outlineLevel="0" collapsed="false">
      <c r="A1583" s="0" t="n">
        <v>1587</v>
      </c>
      <c r="B1583" s="1" t="s">
        <v>1087</v>
      </c>
      <c r="C1583" s="1" t="s">
        <v>1479</v>
      </c>
      <c r="D1583" s="1" t="s">
        <v>1535</v>
      </c>
      <c r="E1583" s="0" t="s">
        <v>39</v>
      </c>
      <c r="F1583" s="0" t="s">
        <v>50</v>
      </c>
      <c r="G1583" s="0" t="s">
        <v>9118</v>
      </c>
      <c r="I1583" s="6" t="n">
        <v>0.991666666666667</v>
      </c>
      <c r="J1583" s="6" t="n">
        <v>0.00138888888888889</v>
      </c>
      <c r="K1583" s="0" t="n">
        <v>14</v>
      </c>
      <c r="L1583" s="0" t="n">
        <v>16</v>
      </c>
      <c r="M1583" s="0" t="s">
        <v>9119</v>
      </c>
      <c r="N1583" s="0" t="s">
        <v>7941</v>
      </c>
      <c r="P1583" s="0" t="s">
        <v>9120</v>
      </c>
      <c r="Q1583" s="2" t="n">
        <v>43508</v>
      </c>
      <c r="S1583" s="0" t="n">
        <f aca="false">YEAR(Q1583)</f>
        <v>2019</v>
      </c>
      <c r="T1583" s="0" t="n">
        <f aca="false">MONTH(Q1583)</f>
        <v>2</v>
      </c>
    </row>
    <row r="1584" customFormat="false" ht="14.25" hidden="true" customHeight="false" outlineLevel="0" collapsed="false">
      <c r="A1584" s="0" t="n">
        <v>1588</v>
      </c>
      <c r="B1584" s="1" t="s">
        <v>1088</v>
      </c>
      <c r="C1584" s="1" t="s">
        <v>1503</v>
      </c>
      <c r="D1584" s="1" t="s">
        <v>1535</v>
      </c>
      <c r="E1584" s="0" t="s">
        <v>1503</v>
      </c>
      <c r="F1584" s="0" t="s">
        <v>48</v>
      </c>
      <c r="G1584" s="0" t="s">
        <v>9121</v>
      </c>
      <c r="I1584" s="6" t="n">
        <v>0.53125</v>
      </c>
      <c r="J1584" s="6" t="n">
        <v>0.541666666666667</v>
      </c>
      <c r="L1584" s="0" t="n">
        <v>25</v>
      </c>
      <c r="M1584" s="0" t="s">
        <v>9122</v>
      </c>
      <c r="N1584" s="0" t="s">
        <v>9123</v>
      </c>
      <c r="P1584" s="0" t="s">
        <v>9124</v>
      </c>
      <c r="Q1584" s="2" t="n">
        <v>43509</v>
      </c>
      <c r="S1584" s="0" t="n">
        <f aca="false">YEAR(Q1584)</f>
        <v>2019</v>
      </c>
      <c r="T1584" s="0" t="n">
        <f aca="false">MONTH(Q1584)</f>
        <v>2</v>
      </c>
    </row>
    <row r="1585" customFormat="false" ht="14.25" hidden="true" customHeight="false" outlineLevel="0" collapsed="false">
      <c r="A1585" s="0" t="n">
        <v>1589</v>
      </c>
      <c r="B1585" s="1" t="s">
        <v>1088</v>
      </c>
      <c r="C1585" s="1" t="s">
        <v>1503</v>
      </c>
      <c r="D1585" s="1" t="s">
        <v>1648</v>
      </c>
      <c r="E1585" s="0" t="s">
        <v>1648</v>
      </c>
      <c r="F1585" s="0" t="s">
        <v>50</v>
      </c>
      <c r="G1585" s="0" t="s">
        <v>9125</v>
      </c>
      <c r="J1585" s="6" t="n">
        <v>0.9875</v>
      </c>
      <c r="M1585" s="0" t="s">
        <v>9126</v>
      </c>
      <c r="N1585" s="0" t="s">
        <v>9127</v>
      </c>
      <c r="P1585" s="0" t="s">
        <v>9128</v>
      </c>
      <c r="Q1585" s="2" t="n">
        <v>43509</v>
      </c>
      <c r="S1585" s="0" t="n">
        <f aca="false">YEAR(Q1585)</f>
        <v>2019</v>
      </c>
      <c r="T1585" s="0" t="n">
        <f aca="false">MONTH(Q1585)</f>
        <v>2</v>
      </c>
    </row>
    <row r="1586" customFormat="false" ht="14.25" hidden="true" customHeight="false" outlineLevel="0" collapsed="false">
      <c r="A1586" s="0" t="n">
        <v>1590</v>
      </c>
      <c r="B1586" s="1" t="s">
        <v>1089</v>
      </c>
      <c r="C1586" s="1" t="s">
        <v>1503</v>
      </c>
      <c r="D1586" s="1" t="s">
        <v>1535</v>
      </c>
      <c r="E1586" s="0" t="s">
        <v>44</v>
      </c>
      <c r="F1586" s="0" t="s">
        <v>48</v>
      </c>
      <c r="G1586" s="0" t="s">
        <v>8322</v>
      </c>
      <c r="I1586" s="6" t="n">
        <v>0.340277777777778</v>
      </c>
      <c r="K1586" s="0" t="n">
        <v>0</v>
      </c>
      <c r="L1586" s="0" t="n">
        <v>6</v>
      </c>
      <c r="M1586" s="0" t="s">
        <v>9129</v>
      </c>
      <c r="N1586" s="0" t="s">
        <v>9130</v>
      </c>
      <c r="P1586" s="0" t="s">
        <v>9131</v>
      </c>
      <c r="Q1586" s="2" t="n">
        <v>43511</v>
      </c>
      <c r="S1586" s="0" t="n">
        <f aca="false">YEAR(Q1586)</f>
        <v>2019</v>
      </c>
      <c r="T1586" s="0" t="n">
        <f aca="false">MONTH(Q1586)</f>
        <v>2</v>
      </c>
    </row>
    <row r="1587" customFormat="false" ht="14.25" hidden="true" customHeight="false" outlineLevel="0" collapsed="false">
      <c r="A1587" s="0" t="n">
        <v>1591</v>
      </c>
      <c r="B1587" s="1" t="s">
        <v>1089</v>
      </c>
      <c r="C1587" s="1" t="s">
        <v>1479</v>
      </c>
      <c r="D1587" s="1" t="s">
        <v>1535</v>
      </c>
      <c r="E1587" s="0" t="s">
        <v>39</v>
      </c>
      <c r="F1587" s="0" t="s">
        <v>48</v>
      </c>
      <c r="G1587" s="0" t="s">
        <v>9132</v>
      </c>
      <c r="J1587" s="6" t="n">
        <v>0.342361111111111</v>
      </c>
      <c r="Q1587" s="2" t="n">
        <v>43511</v>
      </c>
      <c r="S1587" s="0" t="n">
        <f aca="false">YEAR(Q1587)</f>
        <v>2019</v>
      </c>
      <c r="T1587" s="0" t="n">
        <f aca="false">MONTH(Q1587)</f>
        <v>2</v>
      </c>
    </row>
    <row r="1588" customFormat="false" ht="14.25" hidden="true" customHeight="false" outlineLevel="0" collapsed="false">
      <c r="A1588" s="0" t="n">
        <v>1592</v>
      </c>
      <c r="B1588" s="1" t="s">
        <v>1089</v>
      </c>
      <c r="C1588" s="1" t="s">
        <v>1479</v>
      </c>
      <c r="D1588" s="1" t="s">
        <v>1487</v>
      </c>
      <c r="E1588" s="0" t="s">
        <v>1488</v>
      </c>
      <c r="F1588" s="0" t="s">
        <v>48</v>
      </c>
      <c r="G1588" s="0" t="s">
        <v>8213</v>
      </c>
      <c r="J1588" s="6" t="n">
        <v>0.340972222222222</v>
      </c>
      <c r="Q1588" s="2" t="n">
        <v>43511</v>
      </c>
      <c r="S1588" s="0" t="n">
        <f aca="false">YEAR(Q1588)</f>
        <v>2019</v>
      </c>
      <c r="T1588" s="0" t="n">
        <f aca="false">MONTH(Q1588)</f>
        <v>2</v>
      </c>
    </row>
    <row r="1589" customFormat="false" ht="14.25" hidden="true" customHeight="false" outlineLevel="0" collapsed="false">
      <c r="A1589" s="0" t="n">
        <v>1593</v>
      </c>
      <c r="B1589" s="1" t="s">
        <v>1089</v>
      </c>
      <c r="C1589" s="1" t="s">
        <v>1479</v>
      </c>
      <c r="D1589" s="1" t="s">
        <v>1480</v>
      </c>
      <c r="E1589" s="0" t="s">
        <v>43</v>
      </c>
      <c r="F1589" s="0" t="s">
        <v>49</v>
      </c>
      <c r="G1589" s="0" t="s">
        <v>8795</v>
      </c>
      <c r="I1589" s="6" t="n">
        <v>0.75</v>
      </c>
      <c r="J1589" s="6" t="n">
        <v>0.791666666666667</v>
      </c>
      <c r="L1589" s="0" t="n">
        <v>105</v>
      </c>
      <c r="M1589" s="0" t="s">
        <v>9133</v>
      </c>
      <c r="N1589" s="0" t="s">
        <v>9134</v>
      </c>
      <c r="P1589" s="0" t="s">
        <v>9135</v>
      </c>
      <c r="Q1589" s="2" t="n">
        <v>43511</v>
      </c>
      <c r="S1589" s="0" t="n">
        <f aca="false">YEAR(Q1589)</f>
        <v>2019</v>
      </c>
      <c r="T1589" s="0" t="n">
        <f aca="false">MONTH(Q1589)</f>
        <v>2</v>
      </c>
    </row>
    <row r="1590" customFormat="false" ht="72" hidden="true" customHeight="false" outlineLevel="0" collapsed="false">
      <c r="A1590" s="0" t="n">
        <v>1594</v>
      </c>
      <c r="B1590" s="1" t="s">
        <v>1089</v>
      </c>
      <c r="C1590" s="1" t="s">
        <v>1479</v>
      </c>
      <c r="D1590" s="1" t="s">
        <v>1487</v>
      </c>
      <c r="E1590" s="0" t="s">
        <v>1488</v>
      </c>
      <c r="F1590" s="0" t="s">
        <v>49</v>
      </c>
      <c r="G1590" s="0" t="s">
        <v>9136</v>
      </c>
      <c r="I1590" s="6" t="n">
        <v>0.822916666666667</v>
      </c>
      <c r="J1590" s="6" t="n">
        <v>0.85</v>
      </c>
      <c r="L1590" s="0" t="n">
        <v>75</v>
      </c>
      <c r="M1590" s="0" t="s">
        <v>9137</v>
      </c>
      <c r="N1590" s="0" t="s">
        <v>9138</v>
      </c>
      <c r="P1590" s="7" t="s">
        <v>9139</v>
      </c>
      <c r="Q1590" s="2" t="n">
        <v>43511</v>
      </c>
      <c r="S1590" s="0" t="n">
        <f aca="false">YEAR(Q1590)</f>
        <v>2019</v>
      </c>
      <c r="T1590" s="0" t="n">
        <f aca="false">MONTH(Q1590)</f>
        <v>2</v>
      </c>
    </row>
    <row r="1591" customFormat="false" ht="14.25" hidden="true" customHeight="false" outlineLevel="0" collapsed="false">
      <c r="A1591" s="0" t="n">
        <v>1595</v>
      </c>
      <c r="B1591" s="1" t="s">
        <v>1091</v>
      </c>
      <c r="C1591" s="1" t="s">
        <v>1503</v>
      </c>
      <c r="D1591" s="1" t="s">
        <v>1535</v>
      </c>
      <c r="E1591" s="0" t="s">
        <v>1503</v>
      </c>
      <c r="F1591" s="0" t="s">
        <v>48</v>
      </c>
      <c r="G1591" s="0" t="s">
        <v>9140</v>
      </c>
      <c r="I1591" s="6" t="n">
        <v>0.454861111111111</v>
      </c>
      <c r="J1591" s="6" t="n">
        <v>0.461805555555556</v>
      </c>
      <c r="L1591" s="0" t="n">
        <v>30</v>
      </c>
      <c r="M1591" s="0" t="s">
        <v>9141</v>
      </c>
      <c r="N1591" s="0" t="s">
        <v>9142</v>
      </c>
      <c r="P1591" s="0" t="s">
        <v>9143</v>
      </c>
      <c r="Q1591" s="2" t="n">
        <v>43510</v>
      </c>
      <c r="S1591" s="0" t="n">
        <f aca="false">YEAR(Q1591)</f>
        <v>2019</v>
      </c>
      <c r="T1591" s="0" t="n">
        <f aca="false">MONTH(Q1591)</f>
        <v>2</v>
      </c>
    </row>
    <row r="1592" customFormat="false" ht="72" hidden="true" customHeight="false" outlineLevel="0" collapsed="false">
      <c r="A1592" s="0" t="n">
        <v>1596</v>
      </c>
      <c r="B1592" s="1" t="s">
        <v>1091</v>
      </c>
      <c r="C1592" s="1" t="s">
        <v>1503</v>
      </c>
      <c r="D1592" s="1" t="s">
        <v>1535</v>
      </c>
      <c r="E1592" s="0" t="s">
        <v>1503</v>
      </c>
      <c r="F1592" s="0" t="s">
        <v>48</v>
      </c>
      <c r="G1592" s="0" t="s">
        <v>4197</v>
      </c>
      <c r="I1592" s="6" t="n">
        <v>0.513888888888889</v>
      </c>
      <c r="M1592" s="0" t="s">
        <v>9144</v>
      </c>
      <c r="N1592" s="0" t="s">
        <v>9145</v>
      </c>
      <c r="P1592" s="7" t="s">
        <v>9146</v>
      </c>
      <c r="Q1592" s="2" t="n">
        <v>43510</v>
      </c>
      <c r="S1592" s="0" t="n">
        <f aca="false">YEAR(Q1592)</f>
        <v>2019</v>
      </c>
      <c r="T1592" s="0" t="n">
        <f aca="false">MONTH(Q1592)</f>
        <v>2</v>
      </c>
    </row>
    <row r="1593" customFormat="false" ht="14.25" hidden="true" customHeight="false" outlineLevel="0" collapsed="false">
      <c r="A1593" s="0" t="n">
        <v>1597</v>
      </c>
      <c r="B1593" s="1" t="s">
        <v>1095</v>
      </c>
      <c r="C1593" s="1" t="s">
        <v>1479</v>
      </c>
      <c r="D1593" s="1" t="s">
        <v>1496</v>
      </c>
      <c r="E1593" s="0" t="s">
        <v>38</v>
      </c>
      <c r="F1593" s="0" t="s">
        <v>48</v>
      </c>
      <c r="G1593" s="0" t="s">
        <v>8236</v>
      </c>
      <c r="I1593" s="6" t="n">
        <v>0.377777777777778</v>
      </c>
      <c r="J1593" s="6" t="n">
        <v>0.385416666666667</v>
      </c>
      <c r="K1593" s="0" t="n">
        <v>0</v>
      </c>
      <c r="L1593" s="0" t="n">
        <v>10</v>
      </c>
      <c r="M1593" s="0" t="s">
        <v>9147</v>
      </c>
      <c r="N1593" s="0" t="s">
        <v>9148</v>
      </c>
      <c r="P1593" s="0" t="s">
        <v>9149</v>
      </c>
      <c r="Q1593" s="2" t="n">
        <v>43514</v>
      </c>
      <c r="S1593" s="0" t="n">
        <f aca="false">YEAR(Q1593)</f>
        <v>2019</v>
      </c>
      <c r="T1593" s="0" t="n">
        <f aca="false">MONTH(Q1593)</f>
        <v>2</v>
      </c>
    </row>
    <row r="1594" customFormat="false" ht="14.25" hidden="true" customHeight="false" outlineLevel="0" collapsed="false">
      <c r="A1594" s="0" t="n">
        <v>1598</v>
      </c>
      <c r="B1594" s="1" t="s">
        <v>1095</v>
      </c>
      <c r="C1594" s="1" t="s">
        <v>1479</v>
      </c>
      <c r="D1594" s="1" t="s">
        <v>1480</v>
      </c>
      <c r="E1594" s="0" t="s">
        <v>43</v>
      </c>
      <c r="F1594" s="0" t="s">
        <v>48</v>
      </c>
      <c r="G1594" s="0" t="s">
        <v>9150</v>
      </c>
      <c r="I1594" s="6" t="n">
        <v>0.503472222222222</v>
      </c>
      <c r="J1594" s="6" t="n">
        <v>0.546527777777778</v>
      </c>
      <c r="L1594" s="0" t="n">
        <v>80</v>
      </c>
      <c r="M1594" s="0" t="s">
        <v>9151</v>
      </c>
      <c r="N1594" s="0" t="s">
        <v>9152</v>
      </c>
      <c r="P1594" s="0" t="s">
        <v>9153</v>
      </c>
      <c r="Q1594" s="2" t="n">
        <v>43514</v>
      </c>
      <c r="S1594" s="0" t="n">
        <f aca="false">YEAR(Q1594)</f>
        <v>2019</v>
      </c>
      <c r="T1594" s="0" t="n">
        <f aca="false">MONTH(Q1594)</f>
        <v>2</v>
      </c>
    </row>
    <row r="1595" customFormat="false" ht="14.25" hidden="true" customHeight="false" outlineLevel="0" collapsed="false">
      <c r="A1595" s="0" t="n">
        <v>1599</v>
      </c>
      <c r="B1595" s="1" t="s">
        <v>1095</v>
      </c>
      <c r="C1595" s="1" t="s">
        <v>1495</v>
      </c>
      <c r="D1595" s="1" t="s">
        <v>1535</v>
      </c>
      <c r="E1595" s="0" t="s">
        <v>42</v>
      </c>
      <c r="F1595" s="0" t="s">
        <v>48</v>
      </c>
      <c r="G1595" s="0" t="s">
        <v>8718</v>
      </c>
      <c r="J1595" s="6" t="n">
        <v>0.395833333333333</v>
      </c>
      <c r="L1595" s="0" t="n">
        <v>0</v>
      </c>
      <c r="M1595" s="0" t="s">
        <v>9154</v>
      </c>
      <c r="N1595" s="0" t="s">
        <v>9155</v>
      </c>
      <c r="P1595" s="0" t="s">
        <v>9156</v>
      </c>
      <c r="Q1595" s="2" t="n">
        <v>43514</v>
      </c>
      <c r="S1595" s="0" t="n">
        <f aca="false">YEAR(Q1595)</f>
        <v>2019</v>
      </c>
      <c r="T1595" s="0" t="n">
        <f aca="false">MONTH(Q1595)</f>
        <v>2</v>
      </c>
    </row>
    <row r="1596" customFormat="false" ht="14.25" hidden="true" customHeight="false" outlineLevel="0" collapsed="false">
      <c r="A1596" s="0" t="n">
        <v>1600</v>
      </c>
      <c r="B1596" s="1" t="s">
        <v>1095</v>
      </c>
      <c r="C1596" s="1" t="s">
        <v>1479</v>
      </c>
      <c r="D1596" s="1" t="s">
        <v>1535</v>
      </c>
      <c r="E1596" s="0" t="s">
        <v>9157</v>
      </c>
      <c r="F1596" s="0" t="s">
        <v>49</v>
      </c>
      <c r="G1596" s="0" t="s">
        <v>9158</v>
      </c>
      <c r="I1596" s="6" t="n">
        <v>0.743055555555555</v>
      </c>
      <c r="J1596" s="6" t="n">
        <v>0.747916666666667</v>
      </c>
      <c r="K1596" s="0" t="n">
        <v>0</v>
      </c>
      <c r="L1596" s="0" t="n">
        <v>220</v>
      </c>
      <c r="M1596" s="0" t="s">
        <v>9159</v>
      </c>
      <c r="N1596" s="0" t="s">
        <v>9160</v>
      </c>
      <c r="P1596" s="0" t="s">
        <v>9161</v>
      </c>
      <c r="Q1596" s="2" t="n">
        <v>43514</v>
      </c>
      <c r="S1596" s="0" t="n">
        <f aca="false">YEAR(Q1596)</f>
        <v>2019</v>
      </c>
      <c r="T1596" s="0" t="n">
        <f aca="false">MONTH(Q1596)</f>
        <v>2</v>
      </c>
    </row>
    <row r="1597" customFormat="false" ht="72" hidden="true" customHeight="false" outlineLevel="0" collapsed="false">
      <c r="A1597" s="0" t="n">
        <v>1601</v>
      </c>
      <c r="B1597" s="1" t="s">
        <v>1096</v>
      </c>
      <c r="C1597" s="1" t="s">
        <v>1479</v>
      </c>
      <c r="D1597" s="1" t="s">
        <v>1487</v>
      </c>
      <c r="E1597" s="4" t="s">
        <v>1488</v>
      </c>
      <c r="F1597" s="0" t="s">
        <v>48</v>
      </c>
      <c r="G1597" s="0" t="s">
        <v>9162</v>
      </c>
      <c r="I1597" s="6" t="n">
        <v>0.38125</v>
      </c>
      <c r="J1597" s="6" t="n">
        <v>0.399305555555556</v>
      </c>
      <c r="K1597" s="0" t="n">
        <v>3</v>
      </c>
      <c r="L1597" s="0" t="n">
        <v>51</v>
      </c>
      <c r="M1597" s="0" t="s">
        <v>9163</v>
      </c>
      <c r="N1597" s="0" t="s">
        <v>9164</v>
      </c>
      <c r="P1597" s="7" t="s">
        <v>9165</v>
      </c>
      <c r="Q1597" s="2" t="n">
        <v>43515</v>
      </c>
      <c r="S1597" s="0" t="n">
        <f aca="false">YEAR(Q1597)</f>
        <v>2019</v>
      </c>
      <c r="T1597" s="0" t="n">
        <f aca="false">MONTH(Q1597)</f>
        <v>2</v>
      </c>
    </row>
    <row r="1598" customFormat="false" ht="14.25" hidden="true" customHeight="false" outlineLevel="0" collapsed="false">
      <c r="A1598" s="0" t="n">
        <v>1602</v>
      </c>
      <c r="B1598" s="1" t="s">
        <v>1096</v>
      </c>
      <c r="C1598" s="1" t="s">
        <v>1479</v>
      </c>
      <c r="D1598" s="1" t="s">
        <v>1480</v>
      </c>
      <c r="E1598" s="0" t="s">
        <v>43</v>
      </c>
      <c r="F1598" s="0" t="s">
        <v>48</v>
      </c>
      <c r="G1598" s="0" t="s">
        <v>9166</v>
      </c>
      <c r="M1598" s="0" t="s">
        <v>9167</v>
      </c>
      <c r="N1598" s="0" t="s">
        <v>9168</v>
      </c>
      <c r="P1598" s="0" t="s">
        <v>9169</v>
      </c>
      <c r="Q1598" s="2" t="n">
        <v>43515</v>
      </c>
      <c r="S1598" s="0" t="n">
        <f aca="false">YEAR(Q1598)</f>
        <v>2019</v>
      </c>
      <c r="T1598" s="0" t="n">
        <f aca="false">MONTH(Q1598)</f>
        <v>2</v>
      </c>
    </row>
    <row r="1599" customFormat="false" ht="28.5" hidden="true" customHeight="false" outlineLevel="0" collapsed="false">
      <c r="A1599" s="0" t="n">
        <v>1603</v>
      </c>
      <c r="B1599" s="1" t="s">
        <v>1096</v>
      </c>
      <c r="C1599" s="1" t="s">
        <v>1503</v>
      </c>
      <c r="D1599" s="1" t="s">
        <v>1535</v>
      </c>
      <c r="E1599" s="0" t="s">
        <v>44</v>
      </c>
      <c r="F1599" s="0" t="s">
        <v>49</v>
      </c>
      <c r="G1599" s="0" t="s">
        <v>9170</v>
      </c>
      <c r="I1599" s="6" t="n">
        <v>0.878472222222222</v>
      </c>
      <c r="J1599" s="6" t="n">
        <v>0.888888888888889</v>
      </c>
      <c r="K1599" s="0" t="n">
        <v>35</v>
      </c>
      <c r="L1599" s="0" t="n">
        <v>50</v>
      </c>
      <c r="M1599" s="0" t="s">
        <v>9171</v>
      </c>
      <c r="N1599" s="0" t="s">
        <v>9172</v>
      </c>
      <c r="P1599" s="7" t="s">
        <v>9173</v>
      </c>
      <c r="Q1599" s="2" t="n">
        <v>43515</v>
      </c>
      <c r="S1599" s="0" t="n">
        <f aca="false">YEAR(Q1599)</f>
        <v>2019</v>
      </c>
      <c r="T1599" s="0" t="n">
        <f aca="false">MONTH(Q1599)</f>
        <v>2</v>
      </c>
    </row>
    <row r="1600" customFormat="false" ht="14.25" hidden="true" customHeight="false" outlineLevel="0" collapsed="false">
      <c r="A1600" s="0" t="n">
        <v>1604</v>
      </c>
      <c r="B1600" s="1" t="s">
        <v>1097</v>
      </c>
      <c r="C1600" s="1" t="s">
        <v>1495</v>
      </c>
      <c r="D1600" s="1" t="s">
        <v>1535</v>
      </c>
      <c r="E1600" s="0" t="s">
        <v>42</v>
      </c>
      <c r="F1600" s="0" t="s">
        <v>48</v>
      </c>
      <c r="G1600" s="0" t="s">
        <v>8718</v>
      </c>
      <c r="I1600" s="6" t="n">
        <v>0.333333333333333</v>
      </c>
      <c r="K1600" s="0" t="n">
        <v>0</v>
      </c>
      <c r="M1600" s="0" t="s">
        <v>9174</v>
      </c>
      <c r="N1600" s="0" t="s">
        <v>9155</v>
      </c>
      <c r="P1600" s="0" t="s">
        <v>9175</v>
      </c>
      <c r="Q1600" s="2" t="n">
        <v>43516</v>
      </c>
      <c r="S1600" s="0" t="n">
        <f aca="false">YEAR(Q1600)</f>
        <v>2019</v>
      </c>
      <c r="T1600" s="0" t="n">
        <f aca="false">MONTH(Q1600)</f>
        <v>2</v>
      </c>
    </row>
    <row r="1601" customFormat="false" ht="14.25" hidden="true" customHeight="false" outlineLevel="0" collapsed="false">
      <c r="A1601" s="0" t="n">
        <v>1605</v>
      </c>
      <c r="B1601" s="1" t="s">
        <v>1097</v>
      </c>
      <c r="C1601" s="1" t="s">
        <v>1503</v>
      </c>
      <c r="D1601" s="1" t="s">
        <v>1535</v>
      </c>
      <c r="E1601" s="0" t="s">
        <v>44</v>
      </c>
      <c r="F1601" s="0" t="s">
        <v>48</v>
      </c>
      <c r="G1601" s="0" t="s">
        <v>5423</v>
      </c>
      <c r="I1601" s="6" t="n">
        <v>0.305555555555555</v>
      </c>
      <c r="J1601" s="6" t="n">
        <v>0.402777777777778</v>
      </c>
      <c r="L1601" s="0" t="n">
        <v>0</v>
      </c>
      <c r="M1601" s="0" t="s">
        <v>9176</v>
      </c>
      <c r="N1601" s="0" t="s">
        <v>9177</v>
      </c>
      <c r="P1601" s="0" t="s">
        <v>9178</v>
      </c>
      <c r="Q1601" s="2" t="n">
        <v>43516</v>
      </c>
      <c r="S1601" s="0" t="n">
        <f aca="false">YEAR(Q1601)</f>
        <v>2019</v>
      </c>
      <c r="T1601" s="0" t="n">
        <f aca="false">MONTH(Q1601)</f>
        <v>2</v>
      </c>
    </row>
    <row r="1602" customFormat="false" ht="14.25" hidden="true" customHeight="false" outlineLevel="0" collapsed="false">
      <c r="A1602" s="0" t="n">
        <v>1606</v>
      </c>
      <c r="B1602" s="1" t="s">
        <v>1097</v>
      </c>
      <c r="C1602" s="1" t="s">
        <v>1479</v>
      </c>
      <c r="D1602" s="1" t="s">
        <v>1487</v>
      </c>
      <c r="E1602" s="0" t="s">
        <v>1488</v>
      </c>
      <c r="F1602" s="0" t="s">
        <v>48</v>
      </c>
      <c r="G1602" s="0" t="s">
        <v>9179</v>
      </c>
      <c r="I1602" s="6" t="n">
        <v>0.350694444444444</v>
      </c>
      <c r="J1602" s="6" t="n">
        <v>0.353472222222222</v>
      </c>
      <c r="L1602" s="0" t="n">
        <v>15</v>
      </c>
      <c r="M1602" s="0" t="s">
        <v>9180</v>
      </c>
      <c r="N1602" s="0" t="s">
        <v>9181</v>
      </c>
      <c r="P1602" s="0" t="s">
        <v>9182</v>
      </c>
      <c r="Q1602" s="2" t="n">
        <v>43516</v>
      </c>
      <c r="S1602" s="0" t="n">
        <f aca="false">YEAR(Q1602)</f>
        <v>2019</v>
      </c>
      <c r="T1602" s="0" t="n">
        <f aca="false">MONTH(Q1602)</f>
        <v>2</v>
      </c>
    </row>
    <row r="1603" customFormat="false" ht="14.25" hidden="true" customHeight="false" outlineLevel="0" collapsed="false">
      <c r="A1603" s="0" t="n">
        <v>1607</v>
      </c>
      <c r="B1603" s="1" t="s">
        <v>1097</v>
      </c>
      <c r="C1603" s="1" t="s">
        <v>1503</v>
      </c>
      <c r="D1603" s="1" t="s">
        <v>1535</v>
      </c>
      <c r="E1603" s="0" t="s">
        <v>44</v>
      </c>
      <c r="F1603" s="0" t="s">
        <v>49</v>
      </c>
      <c r="G1603" s="0" t="s">
        <v>9183</v>
      </c>
      <c r="I1603" s="6" t="n">
        <v>0.636805555555555</v>
      </c>
      <c r="J1603" s="6" t="n">
        <v>0.636805555555555</v>
      </c>
      <c r="K1603" s="0" t="n">
        <v>0</v>
      </c>
      <c r="L1603" s="0" t="n">
        <v>30</v>
      </c>
      <c r="M1603" s="0" t="s">
        <v>9184</v>
      </c>
      <c r="N1603" s="0" t="s">
        <v>9185</v>
      </c>
      <c r="P1603" s="0" t="s">
        <v>9186</v>
      </c>
      <c r="Q1603" s="2" t="n">
        <v>43516</v>
      </c>
      <c r="S1603" s="0" t="n">
        <f aca="false">YEAR(Q1603)</f>
        <v>2019</v>
      </c>
      <c r="T1603" s="0" t="n">
        <f aca="false">MONTH(Q1603)</f>
        <v>2</v>
      </c>
    </row>
    <row r="1604" customFormat="false" ht="14.25" hidden="true" customHeight="false" outlineLevel="0" collapsed="false">
      <c r="A1604" s="0" t="n">
        <v>1608</v>
      </c>
      <c r="B1604" s="1" t="s">
        <v>1097</v>
      </c>
      <c r="C1604" s="1" t="s">
        <v>1503</v>
      </c>
      <c r="D1604" s="1" t="s">
        <v>1535</v>
      </c>
      <c r="E1604" s="0" t="s">
        <v>9187</v>
      </c>
      <c r="F1604" s="0" t="s">
        <v>50</v>
      </c>
      <c r="G1604" s="0" t="s">
        <v>9188</v>
      </c>
      <c r="J1604" s="6" t="n">
        <v>0.0416666666666667</v>
      </c>
      <c r="K1604" s="0" t="n">
        <v>0</v>
      </c>
      <c r="M1604" s="0" t="s">
        <v>9189</v>
      </c>
      <c r="N1604" s="0" t="s">
        <v>9190</v>
      </c>
      <c r="P1604" s="0" t="s">
        <v>9191</v>
      </c>
      <c r="Q1604" s="2" t="n">
        <v>43516</v>
      </c>
      <c r="S1604" s="0" t="n">
        <f aca="false">YEAR(Q1604)</f>
        <v>2019</v>
      </c>
      <c r="T1604" s="0" t="n">
        <f aca="false">MONTH(Q1604)</f>
        <v>2</v>
      </c>
    </row>
    <row r="1605" customFormat="false" ht="28.5" hidden="true" customHeight="false" outlineLevel="0" collapsed="false">
      <c r="A1605" s="0" t="n">
        <v>1609</v>
      </c>
      <c r="B1605" s="1" t="s">
        <v>1099</v>
      </c>
      <c r="C1605" s="1" t="s">
        <v>1479</v>
      </c>
      <c r="D1605" s="1" t="s">
        <v>1496</v>
      </c>
      <c r="E1605" s="0" t="s">
        <v>38</v>
      </c>
      <c r="F1605" s="0" t="s">
        <v>49</v>
      </c>
      <c r="G1605" s="0" t="s">
        <v>9192</v>
      </c>
      <c r="I1605" s="6" t="n">
        <v>0.597222222222222</v>
      </c>
      <c r="J1605" s="6" t="n">
        <v>0.607638888888889</v>
      </c>
      <c r="K1605" s="0" t="n">
        <v>22</v>
      </c>
      <c r="L1605" s="0" t="n">
        <v>23</v>
      </c>
      <c r="M1605" s="0" t="s">
        <v>9193</v>
      </c>
      <c r="N1605" s="7" t="s">
        <v>9194</v>
      </c>
      <c r="O1605" s="7"/>
      <c r="P1605" s="7" t="s">
        <v>9195</v>
      </c>
      <c r="Q1605" s="2" t="n">
        <v>43517</v>
      </c>
      <c r="S1605" s="0" t="n">
        <f aca="false">YEAR(Q1605)</f>
        <v>2019</v>
      </c>
      <c r="T1605" s="0" t="n">
        <f aca="false">MONTH(Q1605)</f>
        <v>2</v>
      </c>
    </row>
    <row r="1606" customFormat="false" ht="14.25" hidden="true" customHeight="false" outlineLevel="0" collapsed="false">
      <c r="A1606" s="0" t="n">
        <v>1610</v>
      </c>
      <c r="B1606" s="1" t="s">
        <v>1099</v>
      </c>
      <c r="C1606" s="1" t="s">
        <v>1503</v>
      </c>
      <c r="D1606" s="1" t="s">
        <v>1504</v>
      </c>
      <c r="E1606" s="0" t="s">
        <v>45</v>
      </c>
      <c r="F1606" s="0" t="s">
        <v>49</v>
      </c>
      <c r="G1606" s="0" t="s">
        <v>8448</v>
      </c>
      <c r="I1606" s="6" t="n">
        <v>0.416666666666667</v>
      </c>
      <c r="J1606" s="6" t="n">
        <v>0.708333333333333</v>
      </c>
      <c r="L1606" s="0" t="n">
        <v>480</v>
      </c>
      <c r="M1606" s="0" t="s">
        <v>9196</v>
      </c>
      <c r="N1606" s="0" t="s">
        <v>9197</v>
      </c>
      <c r="P1606" s="0" t="s">
        <v>9198</v>
      </c>
      <c r="Q1606" s="2" t="n">
        <v>43517</v>
      </c>
      <c r="S1606" s="0" t="n">
        <f aca="false">YEAR(Q1606)</f>
        <v>2019</v>
      </c>
      <c r="T1606" s="0" t="n">
        <f aca="false">MONTH(Q1606)</f>
        <v>2</v>
      </c>
    </row>
    <row r="1607" customFormat="false" ht="14.25" hidden="true" customHeight="false" outlineLevel="0" collapsed="false">
      <c r="A1607" s="0" t="n">
        <v>1611</v>
      </c>
      <c r="B1607" s="1" t="s">
        <v>1099</v>
      </c>
      <c r="C1607" s="1" t="s">
        <v>1479</v>
      </c>
      <c r="D1607" s="1" t="s">
        <v>1863</v>
      </c>
      <c r="E1607" s="0" t="s">
        <v>1864</v>
      </c>
      <c r="F1607" s="0" t="s">
        <v>49</v>
      </c>
      <c r="G1607" s="0" t="s">
        <v>9199</v>
      </c>
      <c r="I1607" s="6" t="n">
        <v>0.708333333333333</v>
      </c>
      <c r="J1607" s="6" t="n">
        <v>0.75</v>
      </c>
      <c r="L1607" s="0" t="n">
        <v>210</v>
      </c>
      <c r="M1607" s="0" t="s">
        <v>9200</v>
      </c>
      <c r="N1607" s="0" t="s">
        <v>9201</v>
      </c>
      <c r="P1607" s="0" t="s">
        <v>9202</v>
      </c>
      <c r="Q1607" s="2" t="n">
        <v>43517</v>
      </c>
      <c r="S1607" s="0" t="n">
        <f aca="false">YEAR(Q1607)</f>
        <v>2019</v>
      </c>
      <c r="T1607" s="0" t="n">
        <f aca="false">MONTH(Q1607)</f>
        <v>2</v>
      </c>
    </row>
    <row r="1608" customFormat="false" ht="14.25" hidden="true" customHeight="false" outlineLevel="0" collapsed="false">
      <c r="A1608" s="0" t="n">
        <v>1612</v>
      </c>
      <c r="B1608" s="1" t="s">
        <v>1100</v>
      </c>
      <c r="C1608" s="1" t="s">
        <v>1479</v>
      </c>
      <c r="D1608" s="1" t="s">
        <v>1535</v>
      </c>
      <c r="E1608" s="0" t="s">
        <v>39</v>
      </c>
      <c r="F1608" s="0" t="s">
        <v>48</v>
      </c>
      <c r="G1608" s="0" t="s">
        <v>9203</v>
      </c>
      <c r="I1608" s="6" t="n">
        <v>0.288888888888889</v>
      </c>
      <c r="J1608" s="6" t="n">
        <v>0.292361111111111</v>
      </c>
      <c r="K1608" s="0" t="n">
        <v>13</v>
      </c>
      <c r="L1608" s="0" t="n">
        <v>15</v>
      </c>
      <c r="M1608" s="0" t="s">
        <v>9204</v>
      </c>
      <c r="N1608" s="0" t="s">
        <v>9205</v>
      </c>
      <c r="P1608" s="0" t="s">
        <v>9206</v>
      </c>
      <c r="Q1608" s="2" t="n">
        <v>43518</v>
      </c>
      <c r="S1608" s="0" t="n">
        <f aca="false">YEAR(Q1608)</f>
        <v>2019</v>
      </c>
      <c r="T1608" s="0" t="n">
        <f aca="false">MONTH(Q1608)</f>
        <v>2</v>
      </c>
    </row>
    <row r="1609" customFormat="false" ht="14.25" hidden="true" customHeight="false" outlineLevel="0" collapsed="false">
      <c r="A1609" s="0" t="n">
        <v>1613</v>
      </c>
      <c r="B1609" s="1" t="s">
        <v>1100</v>
      </c>
      <c r="C1609" s="1" t="s">
        <v>1503</v>
      </c>
      <c r="D1609" s="1" t="s">
        <v>1504</v>
      </c>
      <c r="E1609" s="0" t="s">
        <v>45</v>
      </c>
      <c r="F1609" s="0" t="s">
        <v>48</v>
      </c>
      <c r="G1609" s="0" t="s">
        <v>9207</v>
      </c>
      <c r="I1609" s="6" t="n">
        <v>0.469444444444444</v>
      </c>
      <c r="J1609" s="6" t="n">
        <v>0.469444444444444</v>
      </c>
      <c r="K1609" s="0" t="n">
        <v>0</v>
      </c>
      <c r="L1609" s="0" t="n">
        <v>20</v>
      </c>
      <c r="M1609" s="0" t="s">
        <v>9208</v>
      </c>
      <c r="N1609" s="0" t="s">
        <v>9209</v>
      </c>
      <c r="P1609" s="0" t="s">
        <v>9210</v>
      </c>
      <c r="Q1609" s="2" t="n">
        <v>43518</v>
      </c>
      <c r="S1609" s="0" t="n">
        <f aca="false">YEAR(Q1609)</f>
        <v>2019</v>
      </c>
      <c r="T1609" s="0" t="n">
        <f aca="false">MONTH(Q1609)</f>
        <v>2</v>
      </c>
    </row>
    <row r="1610" customFormat="false" ht="14.25" hidden="true" customHeight="false" outlineLevel="0" collapsed="false">
      <c r="A1610" s="0" t="n">
        <v>1614</v>
      </c>
      <c r="B1610" s="1" t="s">
        <v>1100</v>
      </c>
      <c r="C1610" s="1" t="s">
        <v>1503</v>
      </c>
      <c r="D1610" s="1" t="s">
        <v>1648</v>
      </c>
      <c r="E1610" s="0" t="s">
        <v>1648</v>
      </c>
      <c r="F1610" s="0" t="s">
        <v>50</v>
      </c>
      <c r="G1610" s="0" t="s">
        <v>9170</v>
      </c>
      <c r="I1610" s="6" t="n">
        <v>0.0694444444444444</v>
      </c>
      <c r="J1610" s="6" t="n">
        <v>0.0708333333333333</v>
      </c>
      <c r="K1610" s="0" t="n">
        <v>0</v>
      </c>
      <c r="L1610" s="0" t="n">
        <v>30</v>
      </c>
      <c r="M1610" s="0" t="s">
        <v>9211</v>
      </c>
      <c r="N1610" s="0" t="s">
        <v>9212</v>
      </c>
      <c r="P1610" s="0" t="s">
        <v>9213</v>
      </c>
      <c r="Q1610" s="2" t="n">
        <v>43518</v>
      </c>
      <c r="S1610" s="0" t="n">
        <f aca="false">YEAR(Q1610)</f>
        <v>2019</v>
      </c>
      <c r="T1610" s="0" t="n">
        <f aca="false">MONTH(Q1610)</f>
        <v>2</v>
      </c>
    </row>
    <row r="1611" customFormat="false" ht="19.5" hidden="true" customHeight="true" outlineLevel="0" collapsed="false">
      <c r="A1611" s="0" t="n">
        <v>1615</v>
      </c>
      <c r="B1611" s="1" t="s">
        <v>1101</v>
      </c>
      <c r="C1611" s="1" t="s">
        <v>1479</v>
      </c>
      <c r="D1611" s="1" t="s">
        <v>1535</v>
      </c>
      <c r="E1611" s="0" t="s">
        <v>39</v>
      </c>
      <c r="F1611" s="0" t="s">
        <v>48</v>
      </c>
      <c r="G1611" s="0" t="s">
        <v>9214</v>
      </c>
      <c r="I1611" s="6" t="n">
        <v>0.40625</v>
      </c>
      <c r="J1611" s="6" t="n">
        <v>0.40625</v>
      </c>
      <c r="K1611" s="0" t="n">
        <v>17</v>
      </c>
      <c r="L1611" s="0" t="n">
        <v>108</v>
      </c>
      <c r="M1611" s="0" t="s">
        <v>9215</v>
      </c>
      <c r="N1611" s="0" t="s">
        <v>9216</v>
      </c>
      <c r="P1611" s="0" t="s">
        <v>9217</v>
      </c>
      <c r="Q1611" s="2" t="n">
        <v>43519</v>
      </c>
      <c r="S1611" s="0" t="n">
        <f aca="false">YEAR(Q1611)</f>
        <v>2019</v>
      </c>
      <c r="T1611" s="0" t="n">
        <f aca="false">MONTH(Q1611)</f>
        <v>2</v>
      </c>
    </row>
    <row r="1612" customFormat="false" ht="14.25" hidden="true" customHeight="false" outlineLevel="0" collapsed="false">
      <c r="A1612" s="0" t="n">
        <v>1616</v>
      </c>
      <c r="B1612" s="1" t="s">
        <v>1102</v>
      </c>
      <c r="C1612" s="1" t="s">
        <v>1479</v>
      </c>
      <c r="D1612" s="1" t="s">
        <v>1487</v>
      </c>
      <c r="E1612" s="0" t="s">
        <v>1488</v>
      </c>
      <c r="F1612" s="0" t="s">
        <v>48</v>
      </c>
      <c r="G1612" s="0" t="s">
        <v>9218</v>
      </c>
      <c r="J1612" s="6" t="n">
        <v>0.222222222222222</v>
      </c>
      <c r="L1612" s="0" t="n">
        <v>40</v>
      </c>
      <c r="M1612" s="0" t="s">
        <v>9219</v>
      </c>
      <c r="N1612" s="0" t="s">
        <v>9220</v>
      </c>
      <c r="P1612" s="0" t="s">
        <v>9221</v>
      </c>
      <c r="Q1612" s="2" t="n">
        <v>43521</v>
      </c>
      <c r="S1612" s="0" t="n">
        <f aca="false">YEAR(Q1612)</f>
        <v>2019</v>
      </c>
      <c r="T1612" s="0" t="n">
        <f aca="false">MONTH(Q1612)</f>
        <v>2</v>
      </c>
    </row>
    <row r="1613" customFormat="false" ht="14.25" hidden="true" customHeight="false" outlineLevel="0" collapsed="false">
      <c r="A1613" s="0" t="n">
        <v>1617</v>
      </c>
      <c r="B1613" s="1" t="s">
        <v>1102</v>
      </c>
      <c r="C1613" s="1" t="s">
        <v>1503</v>
      </c>
      <c r="D1613" s="1" t="s">
        <v>1535</v>
      </c>
      <c r="E1613" s="0" t="s">
        <v>44</v>
      </c>
      <c r="F1613" s="0" t="s">
        <v>50</v>
      </c>
      <c r="G1613" s="0" t="s">
        <v>9222</v>
      </c>
      <c r="I1613" s="6"/>
      <c r="J1613" s="6" t="n">
        <v>0</v>
      </c>
      <c r="K1613" s="0" t="n">
        <v>0</v>
      </c>
      <c r="M1613" s="0" t="s">
        <v>9223</v>
      </c>
      <c r="N1613" s="0" t="s">
        <v>9224</v>
      </c>
      <c r="P1613" s="0" t="s">
        <v>9225</v>
      </c>
      <c r="Q1613" s="2" t="n">
        <v>43521</v>
      </c>
      <c r="S1613" s="0" t="n">
        <f aca="false">YEAR(Q1613)</f>
        <v>2019</v>
      </c>
      <c r="T1613" s="0" t="n">
        <f aca="false">MONTH(Q1613)</f>
        <v>2</v>
      </c>
    </row>
    <row r="1614" customFormat="false" ht="42.75" hidden="true" customHeight="false" outlineLevel="0" collapsed="false">
      <c r="A1614" s="0" t="n">
        <v>1618</v>
      </c>
      <c r="B1614" s="1" t="s">
        <v>1102</v>
      </c>
      <c r="C1614" s="1" t="s">
        <v>1495</v>
      </c>
      <c r="D1614" s="1" t="s">
        <v>1535</v>
      </c>
      <c r="E1614" s="0" t="s">
        <v>42</v>
      </c>
      <c r="F1614" s="0" t="s">
        <v>48</v>
      </c>
      <c r="G1614" s="0" t="s">
        <v>8722</v>
      </c>
      <c r="I1614" s="6" t="n">
        <v>0.243055555555556</v>
      </c>
      <c r="J1614" s="6" t="n">
        <v>0.259027777777778</v>
      </c>
      <c r="K1614" s="0" t="n">
        <v>0</v>
      </c>
      <c r="M1614" s="7" t="s">
        <v>9226</v>
      </c>
      <c r="N1614" s="7" t="s">
        <v>9227</v>
      </c>
      <c r="O1614" s="7"/>
      <c r="P1614" s="0" t="s">
        <v>9228</v>
      </c>
      <c r="Q1614" s="2" t="n">
        <v>43521</v>
      </c>
      <c r="S1614" s="0" t="n">
        <f aca="false">YEAR(Q1614)</f>
        <v>2019</v>
      </c>
      <c r="T1614" s="0" t="n">
        <f aca="false">MONTH(Q1614)</f>
        <v>2</v>
      </c>
    </row>
    <row r="1615" customFormat="false" ht="28.5" hidden="true" customHeight="false" outlineLevel="0" collapsed="false">
      <c r="A1615" s="0" t="n">
        <v>1619</v>
      </c>
      <c r="B1615" s="1" t="s">
        <v>1102</v>
      </c>
      <c r="C1615" s="1" t="s">
        <v>1479</v>
      </c>
      <c r="D1615" s="1" t="s">
        <v>1487</v>
      </c>
      <c r="E1615" s="0" t="s">
        <v>1488</v>
      </c>
      <c r="F1615" s="0" t="s">
        <v>48</v>
      </c>
      <c r="G1615" s="0" t="s">
        <v>8860</v>
      </c>
      <c r="I1615" s="6" t="n">
        <v>0.488194444444444</v>
      </c>
      <c r="J1615" s="6" t="n">
        <v>0.498611111111111</v>
      </c>
      <c r="K1615" s="0" t="n">
        <v>62</v>
      </c>
      <c r="L1615" s="0" t="n">
        <v>60</v>
      </c>
      <c r="M1615" s="0" t="s">
        <v>9229</v>
      </c>
      <c r="N1615" s="7" t="s">
        <v>9230</v>
      </c>
      <c r="O1615" s="7"/>
      <c r="P1615" s="0" t="s">
        <v>9231</v>
      </c>
      <c r="Q1615" s="2" t="n">
        <v>43521</v>
      </c>
      <c r="S1615" s="0" t="n">
        <f aca="false">YEAR(Q1615)</f>
        <v>2019</v>
      </c>
      <c r="T1615" s="0" t="n">
        <f aca="false">MONTH(Q1615)</f>
        <v>2</v>
      </c>
    </row>
    <row r="1616" customFormat="false" ht="42.75" hidden="true" customHeight="false" outlineLevel="0" collapsed="false">
      <c r="A1616" s="0" t="n">
        <v>1620</v>
      </c>
      <c r="B1616" s="1" t="s">
        <v>1102</v>
      </c>
      <c r="C1616" s="1" t="s">
        <v>1479</v>
      </c>
      <c r="D1616" s="1" t="s">
        <v>1535</v>
      </c>
      <c r="E1616" s="0" t="s">
        <v>39</v>
      </c>
      <c r="F1616" s="0" t="s">
        <v>49</v>
      </c>
      <c r="G1616" s="0" t="s">
        <v>9232</v>
      </c>
      <c r="I1616" s="6" t="n">
        <v>0.659722222222222</v>
      </c>
      <c r="J1616" s="6" t="n">
        <v>0.670138888888889</v>
      </c>
      <c r="M1616" s="7" t="s">
        <v>9233</v>
      </c>
      <c r="N1616" s="0" t="s">
        <v>9234</v>
      </c>
      <c r="P1616" s="0" t="s">
        <v>9235</v>
      </c>
      <c r="Q1616" s="2" t="n">
        <v>43521</v>
      </c>
      <c r="S1616" s="0" t="n">
        <f aca="false">YEAR(Q1616)</f>
        <v>2019</v>
      </c>
      <c r="T1616" s="0" t="n">
        <f aca="false">MONTH(Q1616)</f>
        <v>2</v>
      </c>
    </row>
    <row r="1617" customFormat="false" ht="14.25" hidden="true" customHeight="false" outlineLevel="0" collapsed="false">
      <c r="A1617" s="0" t="n">
        <v>1621</v>
      </c>
      <c r="B1617" s="1" t="s">
        <v>1102</v>
      </c>
      <c r="C1617" s="1" t="s">
        <v>1479</v>
      </c>
      <c r="D1617" s="1" t="s">
        <v>1496</v>
      </c>
      <c r="E1617" s="0" t="s">
        <v>38</v>
      </c>
      <c r="F1617" s="0" t="s">
        <v>50</v>
      </c>
      <c r="G1617" s="0" t="s">
        <v>9236</v>
      </c>
      <c r="J1617" s="6" t="n">
        <v>0.1375</v>
      </c>
      <c r="M1617" s="0" t="s">
        <v>9237</v>
      </c>
      <c r="N1617" s="0" t="s">
        <v>9238</v>
      </c>
      <c r="P1617" s="0" t="s">
        <v>9239</v>
      </c>
      <c r="Q1617" s="2" t="n">
        <v>43521</v>
      </c>
      <c r="S1617" s="0" t="n">
        <f aca="false">YEAR(Q1617)</f>
        <v>2019</v>
      </c>
      <c r="T1617" s="0" t="n">
        <f aca="false">MONTH(Q1617)</f>
        <v>2</v>
      </c>
    </row>
    <row r="1618" customFormat="false" ht="14.25" hidden="true" customHeight="false" outlineLevel="0" collapsed="false">
      <c r="A1618" s="0" t="n">
        <v>1622</v>
      </c>
      <c r="B1618" s="1" t="s">
        <v>1103</v>
      </c>
      <c r="C1618" s="1" t="s">
        <v>1479</v>
      </c>
      <c r="D1618" s="1" t="s">
        <v>1487</v>
      </c>
      <c r="E1618" s="4" t="s">
        <v>1488</v>
      </c>
      <c r="F1618" s="0" t="s">
        <v>48</v>
      </c>
      <c r="G1618" s="0" t="s">
        <v>9240</v>
      </c>
      <c r="I1618" s="6" t="n">
        <v>0.534722222222222</v>
      </c>
      <c r="J1618" s="6" t="n">
        <v>0.417361111111111</v>
      </c>
      <c r="K1618" s="0" t="n">
        <v>2</v>
      </c>
      <c r="L1618" s="0" t="n">
        <v>8</v>
      </c>
      <c r="M1618" s="0" t="s">
        <v>9241</v>
      </c>
      <c r="N1618" s="0" t="s">
        <v>9242</v>
      </c>
      <c r="P1618" s="0" t="s">
        <v>9242</v>
      </c>
      <c r="Q1618" s="2" t="n">
        <v>43522</v>
      </c>
      <c r="S1618" s="0" t="n">
        <f aca="false">YEAR(Q1618)</f>
        <v>2019</v>
      </c>
      <c r="T1618" s="0" t="n">
        <f aca="false">MONTH(Q1618)</f>
        <v>2</v>
      </c>
    </row>
    <row r="1619" customFormat="false" ht="14.25" hidden="true" customHeight="false" outlineLevel="0" collapsed="false">
      <c r="A1619" s="0" t="n">
        <v>1623</v>
      </c>
      <c r="B1619" s="1" t="s">
        <v>1104</v>
      </c>
      <c r="C1619" s="1" t="s">
        <v>1503</v>
      </c>
      <c r="D1619" s="1" t="s">
        <v>1535</v>
      </c>
      <c r="E1619" s="0" t="s">
        <v>44</v>
      </c>
      <c r="F1619" s="0" t="s">
        <v>48</v>
      </c>
      <c r="G1619" s="0" t="s">
        <v>9243</v>
      </c>
      <c r="I1619" s="6" t="n">
        <v>0.409722222222222</v>
      </c>
      <c r="J1619" s="6" t="n">
        <v>0.417361111111111</v>
      </c>
      <c r="L1619" s="0" t="n">
        <v>80</v>
      </c>
      <c r="M1619" s="0" t="s">
        <v>9244</v>
      </c>
      <c r="N1619" s="0" t="s">
        <v>9245</v>
      </c>
      <c r="P1619" s="0" t="s">
        <v>9246</v>
      </c>
      <c r="Q1619" s="2" t="n">
        <v>43523</v>
      </c>
      <c r="S1619" s="0" t="n">
        <f aca="false">YEAR(Q1619)</f>
        <v>2019</v>
      </c>
      <c r="T1619" s="0" t="n">
        <f aca="false">MONTH(Q1619)</f>
        <v>2</v>
      </c>
    </row>
    <row r="1620" customFormat="false" ht="42.75" hidden="true" customHeight="false" outlineLevel="0" collapsed="false">
      <c r="A1620" s="0" t="n">
        <v>1624</v>
      </c>
      <c r="B1620" s="1" t="s">
        <v>1105</v>
      </c>
      <c r="C1620" s="1" t="s">
        <v>1479</v>
      </c>
      <c r="D1620" s="1" t="s">
        <v>1496</v>
      </c>
      <c r="E1620" s="0" t="s">
        <v>38</v>
      </c>
      <c r="F1620" s="0" t="s">
        <v>48</v>
      </c>
      <c r="G1620" s="0" t="s">
        <v>9247</v>
      </c>
      <c r="J1620" s="6" t="n">
        <v>0.272222222222222</v>
      </c>
      <c r="L1620" s="0" t="n">
        <v>18</v>
      </c>
      <c r="M1620" s="7" t="s">
        <v>9248</v>
      </c>
      <c r="N1620" s="7" t="s">
        <v>9249</v>
      </c>
      <c r="O1620" s="7"/>
      <c r="P1620" s="7" t="s">
        <v>9250</v>
      </c>
      <c r="Q1620" s="2" t="n">
        <v>43524</v>
      </c>
      <c r="S1620" s="0" t="n">
        <f aca="false">YEAR(Q1620)</f>
        <v>2019</v>
      </c>
      <c r="T1620" s="0" t="n">
        <f aca="false">MONTH(Q1620)</f>
        <v>2</v>
      </c>
    </row>
    <row r="1621" customFormat="false" ht="28.5" hidden="true" customHeight="false" outlineLevel="0" collapsed="false">
      <c r="A1621" s="0" t="n">
        <v>1625</v>
      </c>
      <c r="B1621" s="1" t="s">
        <v>1105</v>
      </c>
      <c r="C1621" s="1" t="s">
        <v>1479</v>
      </c>
      <c r="D1621" s="1" t="s">
        <v>1487</v>
      </c>
      <c r="E1621" s="4" t="s">
        <v>1488</v>
      </c>
      <c r="F1621" s="0" t="s">
        <v>48</v>
      </c>
      <c r="G1621" s="0" t="s">
        <v>9251</v>
      </c>
      <c r="I1621" s="6" t="n">
        <v>0.320138888888889</v>
      </c>
      <c r="J1621" s="6" t="n">
        <v>0.325</v>
      </c>
      <c r="K1621" s="0" t="n">
        <v>21</v>
      </c>
      <c r="L1621" s="0" t="n">
        <v>22</v>
      </c>
      <c r="M1621" s="0" t="s">
        <v>8614</v>
      </c>
      <c r="N1621" s="7" t="s">
        <v>9252</v>
      </c>
      <c r="O1621" s="7"/>
      <c r="P1621" s="0" t="s">
        <v>9253</v>
      </c>
      <c r="Q1621" s="2" t="n">
        <v>43524</v>
      </c>
      <c r="S1621" s="0" t="n">
        <f aca="false">YEAR(Q1621)</f>
        <v>2019</v>
      </c>
      <c r="T1621" s="0" t="n">
        <f aca="false">MONTH(Q1621)</f>
        <v>2</v>
      </c>
    </row>
    <row r="1622" customFormat="false" ht="14.25" hidden="true" customHeight="false" outlineLevel="0" collapsed="false">
      <c r="A1622" s="0" t="n">
        <v>1626</v>
      </c>
      <c r="B1622" s="1" t="s">
        <v>1105</v>
      </c>
      <c r="C1622" s="1" t="s">
        <v>1479</v>
      </c>
      <c r="D1622" s="1" t="s">
        <v>1487</v>
      </c>
      <c r="E1622" s="0" t="s">
        <v>1488</v>
      </c>
      <c r="F1622" s="0" t="s">
        <v>49</v>
      </c>
      <c r="G1622" s="0" t="s">
        <v>9254</v>
      </c>
      <c r="J1622" s="6" t="n">
        <v>0.645138888888889</v>
      </c>
      <c r="M1622" s="0" t="s">
        <v>9255</v>
      </c>
      <c r="P1622" s="0" t="s">
        <v>9256</v>
      </c>
      <c r="Q1622" s="2" t="n">
        <v>43524</v>
      </c>
      <c r="S1622" s="0" t="n">
        <f aca="false">YEAR(Q1622)</f>
        <v>2019</v>
      </c>
      <c r="T1622" s="0" t="n">
        <f aca="false">MONTH(Q1622)</f>
        <v>2</v>
      </c>
    </row>
    <row r="1623" customFormat="false" ht="14.25" hidden="true" customHeight="false" outlineLevel="0" collapsed="false">
      <c r="A1623" s="0" t="n">
        <v>1627</v>
      </c>
      <c r="B1623" s="1" t="s">
        <v>1106</v>
      </c>
      <c r="C1623" s="1" t="s">
        <v>1503</v>
      </c>
      <c r="D1623" s="1" t="s">
        <v>1504</v>
      </c>
      <c r="E1623" s="0" t="s">
        <v>45</v>
      </c>
      <c r="F1623" s="0" t="s">
        <v>48</v>
      </c>
      <c r="G1623" s="0" t="s">
        <v>9257</v>
      </c>
      <c r="I1623" s="6" t="n">
        <v>0.243055555555556</v>
      </c>
      <c r="J1623" s="6" t="n">
        <v>0.274305555555555</v>
      </c>
      <c r="L1623" s="0" t="n">
        <v>130</v>
      </c>
      <c r="M1623" s="0" t="s">
        <v>9258</v>
      </c>
      <c r="N1623" s="0" t="s">
        <v>9259</v>
      </c>
      <c r="P1623" s="0" t="s">
        <v>3278</v>
      </c>
      <c r="Q1623" s="2" t="n">
        <v>43525</v>
      </c>
      <c r="S1623" s="0" t="n">
        <f aca="false">YEAR(Q1623)</f>
        <v>2019</v>
      </c>
      <c r="T1623" s="0" t="n">
        <f aca="false">MONTH(Q1623)</f>
        <v>3</v>
      </c>
    </row>
    <row r="1624" customFormat="false" ht="14.25" hidden="true" customHeight="false" outlineLevel="0" collapsed="false">
      <c r="A1624" s="0" t="n">
        <v>1628</v>
      </c>
      <c r="B1624" s="1" t="s">
        <v>1106</v>
      </c>
      <c r="C1624" s="1" t="s">
        <v>1479</v>
      </c>
      <c r="D1624" s="1" t="s">
        <v>1535</v>
      </c>
      <c r="E1624" s="0" t="s">
        <v>39</v>
      </c>
      <c r="F1624" s="0" t="s">
        <v>49</v>
      </c>
      <c r="G1624" s="0" t="s">
        <v>9260</v>
      </c>
      <c r="I1624" s="6" t="n">
        <v>0.625</v>
      </c>
      <c r="J1624" s="6" t="n">
        <v>0.628472222222222</v>
      </c>
      <c r="M1624" s="0" t="s">
        <v>9261</v>
      </c>
      <c r="N1624" s="0" t="s">
        <v>9262</v>
      </c>
      <c r="P1624" s="0" t="s">
        <v>9263</v>
      </c>
      <c r="Q1624" s="2" t="n">
        <v>43525</v>
      </c>
      <c r="S1624" s="0" t="n">
        <f aca="false">YEAR(Q1624)</f>
        <v>2019</v>
      </c>
      <c r="T1624" s="0" t="n">
        <f aca="false">MONTH(Q1624)</f>
        <v>3</v>
      </c>
    </row>
    <row r="1625" customFormat="false" ht="14.25" hidden="true" customHeight="false" outlineLevel="0" collapsed="false">
      <c r="A1625" s="0" t="n">
        <v>1629</v>
      </c>
      <c r="B1625" s="1" t="s">
        <v>1107</v>
      </c>
      <c r="C1625" s="1" t="s">
        <v>1503</v>
      </c>
      <c r="D1625" s="1" t="s">
        <v>1535</v>
      </c>
      <c r="E1625" s="0" t="s">
        <v>44</v>
      </c>
      <c r="F1625" s="0" t="s">
        <v>50</v>
      </c>
      <c r="G1625" s="0" t="s">
        <v>9264</v>
      </c>
      <c r="I1625" s="6" t="n">
        <v>0</v>
      </c>
      <c r="J1625" s="6" t="n">
        <v>0.951388888888889</v>
      </c>
      <c r="K1625" s="0" t="n">
        <v>0</v>
      </c>
      <c r="M1625" s="0" t="s">
        <v>9265</v>
      </c>
      <c r="N1625" s="0" t="s">
        <v>9266</v>
      </c>
      <c r="P1625" s="0" t="s">
        <v>9267</v>
      </c>
      <c r="Q1625" s="2" t="n">
        <v>43529</v>
      </c>
      <c r="S1625" s="0" t="n">
        <f aca="false">YEAR(Q1625)</f>
        <v>2019</v>
      </c>
      <c r="T1625" s="0" t="n">
        <f aca="false">MONTH(Q1625)</f>
        <v>3</v>
      </c>
    </row>
    <row r="1626" customFormat="false" ht="28.5" hidden="true" customHeight="false" outlineLevel="0" collapsed="false">
      <c r="A1626" s="0" t="n">
        <v>1630</v>
      </c>
      <c r="B1626" s="1" t="s">
        <v>1107</v>
      </c>
      <c r="C1626" s="1" t="s">
        <v>1479</v>
      </c>
      <c r="D1626" s="1" t="s">
        <v>1535</v>
      </c>
      <c r="E1626" s="0" t="s">
        <v>39</v>
      </c>
      <c r="F1626" s="0" t="s">
        <v>50</v>
      </c>
      <c r="G1626" s="0" t="s">
        <v>9268</v>
      </c>
      <c r="I1626" s="6" t="n">
        <v>0.958333333333333</v>
      </c>
      <c r="J1626" s="6" t="n">
        <v>0.979166666666667</v>
      </c>
      <c r="K1626" s="0" t="n">
        <v>0</v>
      </c>
      <c r="L1626" s="0" t="n">
        <v>20</v>
      </c>
      <c r="M1626" s="7" t="s">
        <v>9269</v>
      </c>
      <c r="N1626" s="0" t="s">
        <v>9270</v>
      </c>
      <c r="P1626" s="0" t="s">
        <v>9271</v>
      </c>
      <c r="Q1626" s="2" t="n">
        <v>43529</v>
      </c>
      <c r="S1626" s="0" t="n">
        <f aca="false">YEAR(Q1626)</f>
        <v>2019</v>
      </c>
      <c r="T1626" s="0" t="n">
        <f aca="false">MONTH(Q1626)</f>
        <v>3</v>
      </c>
    </row>
    <row r="1627" customFormat="false" ht="14.25" hidden="true" customHeight="false" outlineLevel="0" collapsed="false">
      <c r="A1627" s="0" t="n">
        <v>1631</v>
      </c>
      <c r="B1627" s="1" t="s">
        <v>1107</v>
      </c>
      <c r="C1627" s="1" t="s">
        <v>1479</v>
      </c>
      <c r="D1627" s="1" t="s">
        <v>1496</v>
      </c>
      <c r="E1627" s="0" t="s">
        <v>38</v>
      </c>
      <c r="F1627" s="0" t="s">
        <v>50</v>
      </c>
      <c r="G1627" s="0" t="s">
        <v>9272</v>
      </c>
      <c r="I1627" s="6" t="n">
        <v>0</v>
      </c>
      <c r="J1627" s="6" t="n">
        <v>0.00486111111111111</v>
      </c>
      <c r="K1627" s="0" t="n">
        <v>15</v>
      </c>
      <c r="L1627" s="0" t="n">
        <v>20</v>
      </c>
      <c r="M1627" s="0" t="s">
        <v>9273</v>
      </c>
      <c r="N1627" s="0" t="s">
        <v>9274</v>
      </c>
      <c r="P1627" s="0" t="s">
        <v>9275</v>
      </c>
      <c r="Q1627" s="2" t="n">
        <v>43529</v>
      </c>
      <c r="S1627" s="0" t="n">
        <f aca="false">YEAR(Q1627)</f>
        <v>2019</v>
      </c>
      <c r="T1627" s="0" t="n">
        <f aca="false">MONTH(Q1627)</f>
        <v>3</v>
      </c>
    </row>
    <row r="1628" customFormat="false" ht="28.5" hidden="true" customHeight="false" outlineLevel="0" collapsed="false">
      <c r="A1628" s="0" t="n">
        <v>1632</v>
      </c>
      <c r="B1628" s="1" t="s">
        <v>1107</v>
      </c>
      <c r="C1628" s="1" t="s">
        <v>1503</v>
      </c>
      <c r="D1628" s="1" t="s">
        <v>1535</v>
      </c>
      <c r="E1628" s="0" t="s">
        <v>1503</v>
      </c>
      <c r="F1628" s="0" t="s">
        <v>50</v>
      </c>
      <c r="G1628" s="0" t="s">
        <v>9276</v>
      </c>
      <c r="J1628" s="6" t="n">
        <v>0.109722222222222</v>
      </c>
      <c r="M1628" s="7" t="s">
        <v>9277</v>
      </c>
      <c r="N1628" s="0" t="s">
        <v>9278</v>
      </c>
      <c r="P1628" s="7" t="s">
        <v>9279</v>
      </c>
      <c r="Q1628" s="2" t="n">
        <v>43529</v>
      </c>
      <c r="S1628" s="0" t="n">
        <f aca="false">YEAR(Q1628)</f>
        <v>2019</v>
      </c>
      <c r="T1628" s="0" t="n">
        <f aca="false">MONTH(Q1628)</f>
        <v>3</v>
      </c>
    </row>
    <row r="1629" customFormat="false" ht="14.25" hidden="true" customHeight="false" outlineLevel="0" collapsed="false">
      <c r="A1629" s="0" t="n">
        <v>1633</v>
      </c>
      <c r="B1629" s="1" t="s">
        <v>1107</v>
      </c>
      <c r="C1629" s="1" t="s">
        <v>1479</v>
      </c>
      <c r="D1629" s="1" t="s">
        <v>1496</v>
      </c>
      <c r="E1629" s="0" t="s">
        <v>38</v>
      </c>
      <c r="F1629" s="0" t="s">
        <v>50</v>
      </c>
      <c r="G1629" s="0" t="s">
        <v>9280</v>
      </c>
      <c r="I1629" s="6" t="n">
        <v>0.145833333333333</v>
      </c>
      <c r="J1629" s="6" t="n">
        <v>0.159722222222222</v>
      </c>
      <c r="L1629" s="0" t="n">
        <v>0</v>
      </c>
      <c r="M1629" s="0" t="s">
        <v>9281</v>
      </c>
      <c r="N1629" s="0" t="s">
        <v>9282</v>
      </c>
      <c r="P1629" s="0" t="s">
        <v>9283</v>
      </c>
      <c r="Q1629" s="2" t="n">
        <v>43529</v>
      </c>
      <c r="S1629" s="0" t="n">
        <f aca="false">YEAR(Q1629)</f>
        <v>2019</v>
      </c>
      <c r="T1629" s="0" t="n">
        <f aca="false">MONTH(Q1629)</f>
        <v>3</v>
      </c>
    </row>
    <row r="1630" customFormat="false" ht="72" hidden="true" customHeight="false" outlineLevel="0" collapsed="false">
      <c r="A1630" s="0" t="n">
        <v>1634</v>
      </c>
      <c r="B1630" s="1" t="s">
        <v>1108</v>
      </c>
      <c r="C1630" s="1" t="s">
        <v>1479</v>
      </c>
      <c r="D1630" s="1" t="s">
        <v>1535</v>
      </c>
      <c r="E1630" s="0" t="s">
        <v>39</v>
      </c>
      <c r="F1630" s="0" t="s">
        <v>48</v>
      </c>
      <c r="G1630" s="0" t="s">
        <v>7966</v>
      </c>
      <c r="J1630" s="6" t="n">
        <v>0.447916666666667</v>
      </c>
      <c r="L1630" s="0" t="n">
        <v>270</v>
      </c>
      <c r="M1630" s="7" t="s">
        <v>9284</v>
      </c>
      <c r="N1630" s="0" t="s">
        <v>9285</v>
      </c>
      <c r="P1630" s="7" t="s">
        <v>9286</v>
      </c>
      <c r="Q1630" s="2" t="n">
        <v>43530</v>
      </c>
      <c r="S1630" s="0" t="n">
        <f aca="false">YEAR(Q1630)</f>
        <v>2019</v>
      </c>
      <c r="T1630" s="0" t="n">
        <f aca="false">MONTH(Q1630)</f>
        <v>3</v>
      </c>
    </row>
    <row r="1631" customFormat="false" ht="14.25" hidden="true" customHeight="false" outlineLevel="0" collapsed="false">
      <c r="A1631" s="0" t="n">
        <v>1635</v>
      </c>
      <c r="B1631" s="1" t="s">
        <v>1108</v>
      </c>
      <c r="C1631" s="1" t="s">
        <v>1479</v>
      </c>
      <c r="D1631" s="1" t="s">
        <v>1487</v>
      </c>
      <c r="E1631" s="0" t="s">
        <v>1488</v>
      </c>
      <c r="F1631" s="0" t="s">
        <v>50</v>
      </c>
      <c r="G1631" s="0" t="s">
        <v>9287</v>
      </c>
      <c r="I1631" s="6" t="n">
        <v>0.176388888888889</v>
      </c>
      <c r="J1631" s="6" t="n">
        <v>0.186805555555556</v>
      </c>
      <c r="L1631" s="0" t="n">
        <v>22</v>
      </c>
      <c r="M1631" s="0" t="s">
        <v>9288</v>
      </c>
      <c r="N1631" s="0" t="s">
        <v>9289</v>
      </c>
      <c r="P1631" s="0" t="s">
        <v>9290</v>
      </c>
      <c r="Q1631" s="2" t="n">
        <v>43530</v>
      </c>
      <c r="S1631" s="0" t="n">
        <f aca="false">YEAR(Q1631)</f>
        <v>2019</v>
      </c>
      <c r="T1631" s="0" t="n">
        <f aca="false">MONTH(Q1631)</f>
        <v>3</v>
      </c>
    </row>
    <row r="1632" customFormat="false" ht="28.5" hidden="true" customHeight="false" outlineLevel="0" collapsed="false">
      <c r="A1632" s="0" t="n">
        <v>1636</v>
      </c>
      <c r="B1632" s="1" t="s">
        <v>1109</v>
      </c>
      <c r="C1632" s="1" t="s">
        <v>1479</v>
      </c>
      <c r="D1632" s="1" t="s">
        <v>1487</v>
      </c>
      <c r="E1632" s="4" t="s">
        <v>1488</v>
      </c>
      <c r="F1632" s="0" t="s">
        <v>48</v>
      </c>
      <c r="G1632" s="0" t="s">
        <v>9291</v>
      </c>
      <c r="I1632" s="6" t="n">
        <v>0.3625</v>
      </c>
      <c r="J1632" s="6" t="n">
        <v>0.36875</v>
      </c>
      <c r="K1632" s="0" t="n">
        <v>10</v>
      </c>
      <c r="L1632" s="0" t="n">
        <v>15</v>
      </c>
      <c r="M1632" s="7" t="s">
        <v>9292</v>
      </c>
      <c r="N1632" s="0" t="s">
        <v>3317</v>
      </c>
      <c r="P1632" s="0" t="s">
        <v>9293</v>
      </c>
      <c r="Q1632" s="2" t="n">
        <v>43531</v>
      </c>
      <c r="S1632" s="0" t="n">
        <f aca="false">YEAR(Q1632)</f>
        <v>2019</v>
      </c>
      <c r="T1632" s="0" t="n">
        <f aca="false">MONTH(Q1632)</f>
        <v>3</v>
      </c>
    </row>
    <row r="1633" customFormat="false" ht="28.5" hidden="true" customHeight="false" outlineLevel="0" collapsed="false">
      <c r="A1633" s="0" t="n">
        <v>1637</v>
      </c>
      <c r="B1633" s="1" t="s">
        <v>1109</v>
      </c>
      <c r="C1633" s="1" t="s">
        <v>1479</v>
      </c>
      <c r="D1633" s="1" t="s">
        <v>1496</v>
      </c>
      <c r="E1633" s="0" t="s">
        <v>38</v>
      </c>
      <c r="F1633" s="0" t="s">
        <v>48</v>
      </c>
      <c r="G1633" s="0" t="s">
        <v>9294</v>
      </c>
      <c r="I1633" s="6" t="n">
        <v>0.388888888888889</v>
      </c>
      <c r="J1633" s="6" t="n">
        <v>0.390972222222222</v>
      </c>
      <c r="K1633" s="0" t="n">
        <v>4</v>
      </c>
      <c r="L1633" s="0" t="n">
        <v>4</v>
      </c>
      <c r="M1633" s="7" t="s">
        <v>9295</v>
      </c>
      <c r="N1633" s="0" t="s">
        <v>9296</v>
      </c>
      <c r="P1633" s="7" t="s">
        <v>9297</v>
      </c>
      <c r="Q1633" s="2" t="n">
        <v>43531</v>
      </c>
      <c r="S1633" s="0" t="n">
        <f aca="false">YEAR(Q1633)</f>
        <v>2019</v>
      </c>
      <c r="T1633" s="0" t="n">
        <f aca="false">MONTH(Q1633)</f>
        <v>3</v>
      </c>
    </row>
    <row r="1634" customFormat="false" ht="28.5" hidden="true" customHeight="false" outlineLevel="0" collapsed="false">
      <c r="A1634" s="0" t="n">
        <v>1638</v>
      </c>
      <c r="B1634" s="1" t="s">
        <v>1109</v>
      </c>
      <c r="C1634" s="1" t="s">
        <v>1479</v>
      </c>
      <c r="D1634" s="1" t="s">
        <v>1535</v>
      </c>
      <c r="E1634" s="0" t="s">
        <v>39</v>
      </c>
      <c r="F1634" s="0" t="s">
        <v>49</v>
      </c>
      <c r="G1634" s="0" t="s">
        <v>9298</v>
      </c>
      <c r="I1634" s="6" t="n">
        <v>0.645833333333333</v>
      </c>
      <c r="J1634" s="6" t="n">
        <v>0.655555555555556</v>
      </c>
      <c r="K1634" s="0" t="n">
        <v>0</v>
      </c>
      <c r="M1634" s="0" t="s">
        <v>9299</v>
      </c>
      <c r="N1634" s="0" t="s">
        <v>9300</v>
      </c>
      <c r="P1634" s="7" t="s">
        <v>9301</v>
      </c>
      <c r="Q1634" s="2" t="n">
        <v>43531</v>
      </c>
      <c r="S1634" s="0" t="n">
        <f aca="false">YEAR(Q1634)</f>
        <v>2019</v>
      </c>
      <c r="T1634" s="0" t="n">
        <f aca="false">MONTH(Q1634)</f>
        <v>3</v>
      </c>
    </row>
    <row r="1635" customFormat="false" ht="14.25" hidden="true" customHeight="false" outlineLevel="0" collapsed="false">
      <c r="A1635" s="0" t="n">
        <v>1639</v>
      </c>
      <c r="B1635" s="1" t="s">
        <v>1109</v>
      </c>
      <c r="C1635" s="1" t="s">
        <v>1479</v>
      </c>
      <c r="D1635" s="1" t="s">
        <v>1487</v>
      </c>
      <c r="E1635" s="0" t="s">
        <v>1488</v>
      </c>
      <c r="F1635" s="0" t="s">
        <v>49</v>
      </c>
      <c r="G1635" s="0" t="s">
        <v>9302</v>
      </c>
      <c r="I1635" s="6" t="n">
        <v>0.583333333333333</v>
      </c>
      <c r="J1635" s="6" t="n">
        <v>0.663888888888889</v>
      </c>
      <c r="K1635" s="0" t="n">
        <v>0</v>
      </c>
      <c r="L1635" s="0" t="n">
        <v>0</v>
      </c>
      <c r="M1635" s="0" t="s">
        <v>9303</v>
      </c>
      <c r="N1635" s="0" t="s">
        <v>9304</v>
      </c>
      <c r="P1635" s="0" t="s">
        <v>9305</v>
      </c>
      <c r="Q1635" s="2" t="n">
        <v>43531</v>
      </c>
      <c r="S1635" s="0" t="n">
        <f aca="false">YEAR(Q1635)</f>
        <v>2019</v>
      </c>
      <c r="T1635" s="0" t="n">
        <f aca="false">MONTH(Q1635)</f>
        <v>3</v>
      </c>
    </row>
    <row r="1636" customFormat="false" ht="42.75" hidden="true" customHeight="false" outlineLevel="0" collapsed="false">
      <c r="A1636" s="0" t="n">
        <v>1640</v>
      </c>
      <c r="B1636" s="1" t="s">
        <v>1109</v>
      </c>
      <c r="C1636" s="1" t="s">
        <v>1479</v>
      </c>
      <c r="D1636" s="1" t="s">
        <v>1480</v>
      </c>
      <c r="E1636" s="0" t="s">
        <v>43</v>
      </c>
      <c r="F1636" s="0" t="s">
        <v>49</v>
      </c>
      <c r="G1636" s="0" t="s">
        <v>9306</v>
      </c>
      <c r="I1636" s="6" t="n">
        <v>0.770833333333333</v>
      </c>
      <c r="J1636" s="6" t="n">
        <v>0.8</v>
      </c>
      <c r="M1636" s="7" t="s">
        <v>9307</v>
      </c>
      <c r="N1636" s="0" t="s">
        <v>9308</v>
      </c>
      <c r="P1636" s="7" t="s">
        <v>9309</v>
      </c>
      <c r="Q1636" s="2" t="n">
        <v>43531</v>
      </c>
      <c r="S1636" s="0" t="n">
        <f aca="false">YEAR(Q1636)</f>
        <v>2019</v>
      </c>
      <c r="T1636" s="0" t="n">
        <f aca="false">MONTH(Q1636)</f>
        <v>3</v>
      </c>
    </row>
    <row r="1637" customFormat="false" ht="28.5" hidden="true" customHeight="false" outlineLevel="0" collapsed="false">
      <c r="A1637" s="0" t="n">
        <v>1641</v>
      </c>
      <c r="B1637" s="1" t="s">
        <v>1109</v>
      </c>
      <c r="C1637" s="1" t="s">
        <v>1479</v>
      </c>
      <c r="D1637" s="1" t="s">
        <v>1496</v>
      </c>
      <c r="E1637" s="0" t="s">
        <v>38</v>
      </c>
      <c r="F1637" s="0" t="s">
        <v>49</v>
      </c>
      <c r="G1637" s="0" t="s">
        <v>9310</v>
      </c>
      <c r="M1637" s="0" t="s">
        <v>9311</v>
      </c>
      <c r="N1637" s="0" t="s">
        <v>9312</v>
      </c>
      <c r="P1637" s="7" t="s">
        <v>9313</v>
      </c>
      <c r="Q1637" s="2" t="n">
        <v>43531</v>
      </c>
      <c r="S1637" s="0" t="n">
        <f aca="false">YEAR(Q1637)</f>
        <v>2019</v>
      </c>
      <c r="T1637" s="0" t="n">
        <f aca="false">MONTH(Q1637)</f>
        <v>3</v>
      </c>
    </row>
    <row r="1638" customFormat="false" ht="14.25" hidden="true" customHeight="false" outlineLevel="0" collapsed="false">
      <c r="A1638" s="0" t="n">
        <v>1642</v>
      </c>
      <c r="B1638" s="1" t="s">
        <v>1109</v>
      </c>
      <c r="C1638" s="1" t="s">
        <v>1503</v>
      </c>
      <c r="D1638" s="1" t="s">
        <v>1535</v>
      </c>
      <c r="E1638" s="0" t="s">
        <v>1503</v>
      </c>
      <c r="F1638" s="0" t="s">
        <v>50</v>
      </c>
      <c r="G1638" s="0" t="s">
        <v>9314</v>
      </c>
      <c r="I1638" s="6" t="n">
        <v>0.189583333333333</v>
      </c>
      <c r="J1638" s="6" t="n">
        <v>0.194444444444444</v>
      </c>
      <c r="K1638" s="0" t="n">
        <v>0</v>
      </c>
      <c r="L1638" s="0" t="n">
        <v>30</v>
      </c>
      <c r="M1638" s="0" t="s">
        <v>9315</v>
      </c>
      <c r="N1638" s="0" t="s">
        <v>9316</v>
      </c>
      <c r="P1638" s="0" t="s">
        <v>9317</v>
      </c>
      <c r="Q1638" s="2" t="n">
        <v>43531</v>
      </c>
      <c r="S1638" s="0" t="n">
        <f aca="false">YEAR(Q1638)</f>
        <v>2019</v>
      </c>
      <c r="T1638" s="0" t="n">
        <f aca="false">MONTH(Q1638)</f>
        <v>3</v>
      </c>
    </row>
    <row r="1639" customFormat="false" ht="72" hidden="true" customHeight="false" outlineLevel="0" collapsed="false">
      <c r="A1639" s="0" t="n">
        <v>1643</v>
      </c>
      <c r="B1639" s="1" t="s">
        <v>1110</v>
      </c>
      <c r="C1639" s="1" t="s">
        <v>1503</v>
      </c>
      <c r="D1639" s="1" t="s">
        <v>1648</v>
      </c>
      <c r="E1639" s="0" t="s">
        <v>1648</v>
      </c>
      <c r="F1639" s="0" t="s">
        <v>50</v>
      </c>
      <c r="G1639" s="0" t="s">
        <v>9318</v>
      </c>
      <c r="I1639" s="6" t="n">
        <v>0.958333333333333</v>
      </c>
      <c r="J1639" s="6" t="n">
        <v>0.997916666666667</v>
      </c>
      <c r="K1639" s="0" t="n">
        <v>0</v>
      </c>
      <c r="M1639" s="7" t="s">
        <v>9319</v>
      </c>
      <c r="N1639" s="7" t="s">
        <v>9320</v>
      </c>
      <c r="O1639" s="7"/>
      <c r="P1639" s="7" t="s">
        <v>9321</v>
      </c>
      <c r="Q1639" s="2" t="n">
        <v>43532</v>
      </c>
      <c r="S1639" s="0" t="n">
        <f aca="false">YEAR(Q1639)</f>
        <v>2019</v>
      </c>
      <c r="T1639" s="0" t="n">
        <f aca="false">MONTH(Q1639)</f>
        <v>3</v>
      </c>
    </row>
    <row r="1640" customFormat="false" ht="72" hidden="true" customHeight="false" outlineLevel="0" collapsed="false">
      <c r="A1640" s="0" t="n">
        <v>1644</v>
      </c>
      <c r="B1640" s="1" t="s">
        <v>1110</v>
      </c>
      <c r="C1640" s="1" t="s">
        <v>1479</v>
      </c>
      <c r="D1640" s="1" t="s">
        <v>1487</v>
      </c>
      <c r="E1640" s="4" t="s">
        <v>1488</v>
      </c>
      <c r="F1640" s="0" t="s">
        <v>48</v>
      </c>
      <c r="G1640" s="0" t="s">
        <v>9322</v>
      </c>
      <c r="I1640" s="6" t="n">
        <v>0.280555555555556</v>
      </c>
      <c r="J1640" s="6" t="n">
        <v>0.284722222222222</v>
      </c>
      <c r="K1640" s="0" t="n">
        <v>45</v>
      </c>
      <c r="L1640" s="0" t="n">
        <v>50</v>
      </c>
      <c r="M1640" s="0" t="s">
        <v>9323</v>
      </c>
      <c r="N1640" s="0" t="s">
        <v>9324</v>
      </c>
      <c r="P1640" s="7" t="s">
        <v>9325</v>
      </c>
      <c r="Q1640" s="2" t="n">
        <v>43532</v>
      </c>
      <c r="S1640" s="0" t="n">
        <f aca="false">YEAR(Q1640)</f>
        <v>2019</v>
      </c>
      <c r="T1640" s="0" t="n">
        <f aca="false">MONTH(Q1640)</f>
        <v>3</v>
      </c>
    </row>
    <row r="1641" customFormat="false" ht="28.5" hidden="true" customHeight="false" outlineLevel="0" collapsed="false">
      <c r="A1641" s="0" t="n">
        <v>1645</v>
      </c>
      <c r="B1641" s="1" t="s">
        <v>1110</v>
      </c>
      <c r="C1641" s="1" t="s">
        <v>1479</v>
      </c>
      <c r="D1641" s="1" t="s">
        <v>1487</v>
      </c>
      <c r="E1641" s="0" t="s">
        <v>1488</v>
      </c>
      <c r="F1641" s="0" t="s">
        <v>48</v>
      </c>
      <c r="G1641" s="0" t="s">
        <v>9326</v>
      </c>
      <c r="I1641" s="6" t="n">
        <v>0.2875</v>
      </c>
      <c r="J1641" s="6" t="n">
        <v>0.284722222222222</v>
      </c>
      <c r="L1641" s="0" t="n">
        <v>40</v>
      </c>
      <c r="M1641" s="0" t="s">
        <v>9327</v>
      </c>
      <c r="N1641" s="0" t="s">
        <v>9328</v>
      </c>
      <c r="P1641" s="7" t="s">
        <v>9329</v>
      </c>
      <c r="Q1641" s="2" t="n">
        <v>43532</v>
      </c>
      <c r="S1641" s="0" t="n">
        <f aca="false">YEAR(Q1641)</f>
        <v>2019</v>
      </c>
      <c r="T1641" s="0" t="n">
        <f aca="false">MONTH(Q1641)</f>
        <v>3</v>
      </c>
    </row>
    <row r="1642" customFormat="false" ht="72" hidden="true" customHeight="false" outlineLevel="0" collapsed="false">
      <c r="A1642" s="0" t="n">
        <v>1646</v>
      </c>
      <c r="B1642" s="1" t="s">
        <v>1110</v>
      </c>
      <c r="C1642" s="1" t="s">
        <v>1503</v>
      </c>
      <c r="D1642" s="1" t="s">
        <v>1504</v>
      </c>
      <c r="E1642" s="0" t="s">
        <v>45</v>
      </c>
      <c r="F1642" s="0" t="s">
        <v>48</v>
      </c>
      <c r="G1642" s="0" t="s">
        <v>9330</v>
      </c>
      <c r="I1642" s="6" t="n">
        <v>0.260416666666667</v>
      </c>
      <c r="J1642" s="6" t="n">
        <v>0.520833333333333</v>
      </c>
      <c r="L1642" s="0" t="n">
        <v>40</v>
      </c>
      <c r="M1642" s="0" t="s">
        <v>9331</v>
      </c>
      <c r="N1642" s="7" t="s">
        <v>9332</v>
      </c>
      <c r="O1642" s="7"/>
      <c r="P1642" s="7" t="s">
        <v>9333</v>
      </c>
      <c r="Q1642" s="2" t="n">
        <v>43532</v>
      </c>
      <c r="S1642" s="0" t="n">
        <f aca="false">YEAR(Q1642)</f>
        <v>2019</v>
      </c>
      <c r="T1642" s="0" t="n">
        <f aca="false">MONTH(Q1642)</f>
        <v>3</v>
      </c>
    </row>
    <row r="1643" customFormat="false" ht="28.5" hidden="true" customHeight="false" outlineLevel="0" collapsed="false">
      <c r="A1643" s="0" t="n">
        <v>1647</v>
      </c>
      <c r="B1643" s="1" t="s">
        <v>1110</v>
      </c>
      <c r="C1643" s="1" t="s">
        <v>1479</v>
      </c>
      <c r="D1643" s="1" t="s">
        <v>1535</v>
      </c>
      <c r="E1643" s="0" t="s">
        <v>39</v>
      </c>
      <c r="F1643" s="0" t="s">
        <v>49</v>
      </c>
      <c r="G1643" s="0" t="s">
        <v>9334</v>
      </c>
      <c r="I1643" s="6" t="n">
        <v>0.704861111111111</v>
      </c>
      <c r="J1643" s="6" t="n">
        <v>0.708333333333333</v>
      </c>
      <c r="K1643" s="0" t="n">
        <v>0</v>
      </c>
      <c r="L1643" s="0" t="n">
        <v>60</v>
      </c>
      <c r="M1643" s="7" t="s">
        <v>9335</v>
      </c>
      <c r="N1643" s="7" t="s">
        <v>9336</v>
      </c>
      <c r="O1643" s="7"/>
      <c r="P1643" s="0" t="s">
        <v>9337</v>
      </c>
      <c r="Q1643" s="2" t="n">
        <v>43532</v>
      </c>
      <c r="S1643" s="0" t="n">
        <f aca="false">YEAR(Q1643)</f>
        <v>2019</v>
      </c>
      <c r="T1643" s="0" t="n">
        <f aca="false">MONTH(Q1643)</f>
        <v>3</v>
      </c>
    </row>
    <row r="1644" customFormat="false" ht="28.5" hidden="true" customHeight="false" outlineLevel="0" collapsed="false">
      <c r="A1644" s="0" t="n">
        <v>1648</v>
      </c>
      <c r="B1644" s="1" t="s">
        <v>1110</v>
      </c>
      <c r="C1644" s="1" t="s">
        <v>1479</v>
      </c>
      <c r="D1644" s="1" t="s">
        <v>1487</v>
      </c>
      <c r="E1644" s="0" t="s">
        <v>1488</v>
      </c>
      <c r="F1644" s="0" t="s">
        <v>49</v>
      </c>
      <c r="G1644" s="0" t="s">
        <v>9338</v>
      </c>
      <c r="I1644" s="6" t="n">
        <v>0.753472222222222</v>
      </c>
      <c r="J1644" s="6" t="n">
        <v>0.777777777777778</v>
      </c>
      <c r="M1644" s="0" t="s">
        <v>9339</v>
      </c>
      <c r="N1644" s="0" t="s">
        <v>9340</v>
      </c>
      <c r="P1644" s="7" t="s">
        <v>9341</v>
      </c>
      <c r="Q1644" s="2" t="n">
        <v>43532</v>
      </c>
      <c r="S1644" s="0" t="n">
        <f aca="false">YEAR(Q1644)</f>
        <v>2019</v>
      </c>
      <c r="T1644" s="0" t="n">
        <f aca="false">MONTH(Q1644)</f>
        <v>3</v>
      </c>
    </row>
    <row r="1645" customFormat="false" ht="14.25" hidden="true" customHeight="false" outlineLevel="0" collapsed="false">
      <c r="A1645" s="0" t="n">
        <v>1649</v>
      </c>
      <c r="B1645" s="1" t="s">
        <v>1110</v>
      </c>
      <c r="C1645" s="1" t="s">
        <v>1479</v>
      </c>
      <c r="D1645" s="1" t="s">
        <v>1496</v>
      </c>
      <c r="E1645" s="0" t="s">
        <v>38</v>
      </c>
      <c r="F1645" s="0" t="s">
        <v>49</v>
      </c>
      <c r="G1645" s="0" t="s">
        <v>9342</v>
      </c>
      <c r="I1645" s="6" t="n">
        <v>0.836805555555555</v>
      </c>
      <c r="J1645" s="6" t="n">
        <v>0.840972222222222</v>
      </c>
      <c r="K1645" s="0" t="n">
        <v>0</v>
      </c>
      <c r="L1645" s="0" t="n">
        <v>13</v>
      </c>
      <c r="M1645" s="0" t="s">
        <v>9343</v>
      </c>
      <c r="N1645" s="0" t="s">
        <v>9344</v>
      </c>
      <c r="P1645" s="0" t="s">
        <v>9345</v>
      </c>
      <c r="Q1645" s="2" t="n">
        <v>43532</v>
      </c>
      <c r="S1645" s="0" t="n">
        <f aca="false">YEAR(Q1645)</f>
        <v>2019</v>
      </c>
      <c r="T1645" s="0" t="n">
        <f aca="false">MONTH(Q1645)</f>
        <v>3</v>
      </c>
    </row>
    <row r="1646" customFormat="false" ht="57" hidden="true" customHeight="false" outlineLevel="0" collapsed="false">
      <c r="A1646" s="0" t="n">
        <v>1650</v>
      </c>
      <c r="B1646" s="1" t="s">
        <v>1111</v>
      </c>
      <c r="C1646" s="1" t="s">
        <v>1479</v>
      </c>
      <c r="D1646" s="1" t="s">
        <v>1487</v>
      </c>
      <c r="E1646" s="4" t="s">
        <v>1488</v>
      </c>
      <c r="F1646" s="0" t="s">
        <v>50</v>
      </c>
      <c r="G1646" s="0" t="s">
        <v>9346</v>
      </c>
      <c r="I1646" s="6" t="n">
        <v>0.0451388888888889</v>
      </c>
      <c r="J1646" s="6" t="n">
        <v>0.0527777777777778</v>
      </c>
      <c r="K1646" s="0" t="n">
        <v>10</v>
      </c>
      <c r="L1646" s="0" t="n">
        <v>20</v>
      </c>
      <c r="M1646" s="0" t="s">
        <v>9347</v>
      </c>
      <c r="N1646" s="0" t="s">
        <v>9348</v>
      </c>
      <c r="P1646" s="7" t="s">
        <v>9349</v>
      </c>
      <c r="Q1646" s="2" t="n">
        <v>43534</v>
      </c>
      <c r="S1646" s="0" t="n">
        <f aca="false">YEAR(Q1646)</f>
        <v>2019</v>
      </c>
      <c r="T1646" s="0" t="n">
        <f aca="false">MONTH(Q1646)</f>
        <v>3</v>
      </c>
    </row>
    <row r="1647" customFormat="false" ht="42.75" hidden="true" customHeight="false" outlineLevel="0" collapsed="false">
      <c r="A1647" s="0" t="n">
        <v>1651</v>
      </c>
      <c r="B1647" s="1" t="s">
        <v>1112</v>
      </c>
      <c r="C1647" s="1" t="s">
        <v>1503</v>
      </c>
      <c r="D1647" s="1" t="s">
        <v>1535</v>
      </c>
      <c r="E1647" s="0" t="s">
        <v>44</v>
      </c>
      <c r="F1647" s="0" t="s">
        <v>48</v>
      </c>
      <c r="G1647" s="0" t="s">
        <v>9350</v>
      </c>
      <c r="J1647" s="6" t="n">
        <v>0.219444444444444</v>
      </c>
      <c r="K1647" s="0" t="n">
        <v>50</v>
      </c>
      <c r="L1647" s="0" t="n">
        <v>60</v>
      </c>
      <c r="M1647" s="7" t="s">
        <v>9351</v>
      </c>
      <c r="N1647" s="7" t="s">
        <v>9352</v>
      </c>
      <c r="O1647" s="7"/>
      <c r="P1647" s="0" t="s">
        <v>9353</v>
      </c>
      <c r="Q1647" s="2" t="n">
        <v>43535</v>
      </c>
      <c r="S1647" s="0" t="n">
        <f aca="false">YEAR(Q1647)</f>
        <v>2019</v>
      </c>
      <c r="T1647" s="0" t="n">
        <f aca="false">MONTH(Q1647)</f>
        <v>3</v>
      </c>
    </row>
    <row r="1648" customFormat="false" ht="14.25" hidden="true" customHeight="false" outlineLevel="0" collapsed="false">
      <c r="A1648" s="0" t="n">
        <v>1652</v>
      </c>
      <c r="B1648" s="1" t="s">
        <v>1112</v>
      </c>
      <c r="C1648" s="1" t="s">
        <v>1503</v>
      </c>
      <c r="D1648" s="1" t="s">
        <v>1535</v>
      </c>
      <c r="E1648" s="0" t="s">
        <v>44</v>
      </c>
      <c r="F1648" s="0" t="s">
        <v>48</v>
      </c>
      <c r="G1648" s="0" t="s">
        <v>9354</v>
      </c>
      <c r="I1648" s="6" t="n">
        <v>0.381944444444444</v>
      </c>
      <c r="J1648" s="6" t="n">
        <v>0.390277777777778</v>
      </c>
      <c r="K1648" s="0" t="n">
        <v>9</v>
      </c>
      <c r="L1648" s="0" t="n">
        <v>30</v>
      </c>
      <c r="M1648" s="0" t="s">
        <v>9355</v>
      </c>
      <c r="N1648" s="0" t="s">
        <v>9356</v>
      </c>
      <c r="P1648" s="0" t="s">
        <v>9357</v>
      </c>
      <c r="Q1648" s="2" t="n">
        <v>43535</v>
      </c>
      <c r="S1648" s="0" t="n">
        <f aca="false">YEAR(Q1648)</f>
        <v>2019</v>
      </c>
      <c r="T1648" s="0" t="n">
        <f aca="false">MONTH(Q1648)</f>
        <v>3</v>
      </c>
    </row>
    <row r="1649" customFormat="false" ht="28.5" hidden="true" customHeight="false" outlineLevel="0" collapsed="false">
      <c r="A1649" s="0" t="n">
        <v>1653</v>
      </c>
      <c r="B1649" s="1" t="s">
        <v>1112</v>
      </c>
      <c r="C1649" s="1" t="s">
        <v>1495</v>
      </c>
      <c r="D1649" s="1" t="s">
        <v>1496</v>
      </c>
      <c r="E1649" s="0" t="s">
        <v>41</v>
      </c>
      <c r="F1649" s="0" t="s">
        <v>48</v>
      </c>
      <c r="G1649" s="0" t="s">
        <v>9358</v>
      </c>
      <c r="I1649" s="6" t="n">
        <v>0.541666666666667</v>
      </c>
      <c r="J1649" s="6" t="n">
        <v>0.558333333333333</v>
      </c>
      <c r="K1649" s="0" t="n">
        <v>0</v>
      </c>
      <c r="L1649" s="0" t="n">
        <v>150</v>
      </c>
      <c r="M1649" s="7" t="s">
        <v>9359</v>
      </c>
      <c r="N1649" s="0" t="s">
        <v>9360</v>
      </c>
      <c r="P1649" s="0" t="s">
        <v>9361</v>
      </c>
      <c r="Q1649" s="2" t="n">
        <v>43535</v>
      </c>
      <c r="S1649" s="0" t="n">
        <f aca="false">YEAR(Q1649)</f>
        <v>2019</v>
      </c>
      <c r="T1649" s="0" t="n">
        <f aca="false">MONTH(Q1649)</f>
        <v>3</v>
      </c>
    </row>
    <row r="1650" customFormat="false" ht="42.75" hidden="true" customHeight="false" outlineLevel="0" collapsed="false">
      <c r="A1650" s="0" t="n">
        <v>1654</v>
      </c>
      <c r="B1650" s="1" t="s">
        <v>1112</v>
      </c>
      <c r="C1650" s="1" t="s">
        <v>1479</v>
      </c>
      <c r="D1650" s="1" t="s">
        <v>1487</v>
      </c>
      <c r="E1650" s="0" t="s">
        <v>1488</v>
      </c>
      <c r="F1650" s="0" t="s">
        <v>48</v>
      </c>
      <c r="G1650" s="0" t="s">
        <v>9362</v>
      </c>
      <c r="I1650" s="6" t="n">
        <v>0.419444444444444</v>
      </c>
      <c r="J1650" s="6" t="n">
        <v>0.423611111111111</v>
      </c>
      <c r="M1650" s="0" t="s">
        <v>9363</v>
      </c>
      <c r="N1650" s="7" t="s">
        <v>9364</v>
      </c>
      <c r="O1650" s="7"/>
      <c r="P1650" s="0" t="s">
        <v>9365</v>
      </c>
      <c r="Q1650" s="2" t="n">
        <v>43535</v>
      </c>
      <c r="S1650" s="0" t="n">
        <f aca="false">YEAR(Q1650)</f>
        <v>2019</v>
      </c>
      <c r="T1650" s="0" t="n">
        <f aca="false">MONTH(Q1650)</f>
        <v>3</v>
      </c>
    </row>
    <row r="1651" customFormat="false" ht="14.25" hidden="true" customHeight="false" outlineLevel="0" collapsed="false">
      <c r="A1651" s="0" t="n">
        <v>1655</v>
      </c>
      <c r="B1651" s="1" t="s">
        <v>1112</v>
      </c>
      <c r="C1651" s="1" t="s">
        <v>1503</v>
      </c>
      <c r="D1651" s="1" t="s">
        <v>1504</v>
      </c>
      <c r="E1651" s="0" t="s">
        <v>45</v>
      </c>
      <c r="F1651" s="0" t="s">
        <v>49</v>
      </c>
      <c r="G1651" s="0" t="s">
        <v>9366</v>
      </c>
      <c r="I1651" s="6" t="n">
        <v>0.604166666666667</v>
      </c>
      <c r="J1651" s="6" t="n">
        <v>0.684027777777778</v>
      </c>
      <c r="M1651" s="0" t="s">
        <v>9367</v>
      </c>
      <c r="N1651" s="0" t="s">
        <v>9368</v>
      </c>
      <c r="P1651" s="0" t="s">
        <v>9369</v>
      </c>
      <c r="Q1651" s="2" t="n">
        <v>43535</v>
      </c>
      <c r="S1651" s="0" t="n">
        <f aca="false">YEAR(Q1651)</f>
        <v>2019</v>
      </c>
      <c r="T1651" s="0" t="n">
        <f aca="false">MONTH(Q1651)</f>
        <v>3</v>
      </c>
    </row>
    <row r="1652" customFormat="false" ht="28.5" hidden="true" customHeight="false" outlineLevel="0" collapsed="false">
      <c r="A1652" s="0" t="n">
        <v>1656</v>
      </c>
      <c r="B1652" s="1" t="s">
        <v>1113</v>
      </c>
      <c r="C1652" s="1" t="s">
        <v>1479</v>
      </c>
      <c r="D1652" s="1" t="s">
        <v>1487</v>
      </c>
      <c r="E1652" s="4" t="s">
        <v>1488</v>
      </c>
      <c r="F1652" s="0" t="s">
        <v>48</v>
      </c>
      <c r="G1652" s="0" t="s">
        <v>9370</v>
      </c>
      <c r="I1652" s="6" t="n">
        <v>0.213194444444444</v>
      </c>
      <c r="J1652" s="6" t="n">
        <v>0.233333333333333</v>
      </c>
      <c r="K1652" s="0" t="n">
        <v>25</v>
      </c>
      <c r="L1652" s="0" t="n">
        <v>45</v>
      </c>
      <c r="M1652" s="0" t="s">
        <v>9371</v>
      </c>
      <c r="N1652" s="0" t="s">
        <v>9372</v>
      </c>
      <c r="P1652" s="7" t="s">
        <v>9373</v>
      </c>
      <c r="Q1652" s="2" t="n">
        <v>43536</v>
      </c>
      <c r="S1652" s="0" t="n">
        <f aca="false">YEAR(Q1652)</f>
        <v>2019</v>
      </c>
      <c r="T1652" s="0" t="n">
        <f aca="false">MONTH(Q1652)</f>
        <v>3</v>
      </c>
    </row>
    <row r="1653" customFormat="false" ht="14.25" hidden="true" customHeight="false" outlineLevel="0" collapsed="false">
      <c r="A1653" s="0" t="n">
        <v>1657</v>
      </c>
      <c r="B1653" s="1" t="s">
        <v>1113</v>
      </c>
      <c r="C1653" s="1" t="s">
        <v>1479</v>
      </c>
      <c r="D1653" s="1" t="s">
        <v>1487</v>
      </c>
      <c r="E1653" s="4" t="s">
        <v>1488</v>
      </c>
      <c r="F1653" s="0" t="s">
        <v>48</v>
      </c>
      <c r="G1653" s="0" t="s">
        <v>9374</v>
      </c>
      <c r="I1653" s="6" t="n">
        <v>0.213194444444444</v>
      </c>
      <c r="J1653" s="6" t="n">
        <v>0.265972222222222</v>
      </c>
      <c r="K1653" s="0" t="n">
        <v>3</v>
      </c>
      <c r="M1653" s="0" t="s">
        <v>9375</v>
      </c>
      <c r="N1653" s="0" t="s">
        <v>9376</v>
      </c>
      <c r="P1653" s="0" t="s">
        <v>9377</v>
      </c>
      <c r="Q1653" s="2" t="n">
        <v>43536</v>
      </c>
      <c r="S1653" s="0" t="n">
        <f aca="false">YEAR(Q1653)</f>
        <v>2019</v>
      </c>
      <c r="T1653" s="0" t="n">
        <f aca="false">MONTH(Q1653)</f>
        <v>3</v>
      </c>
    </row>
    <row r="1654" customFormat="false" ht="14.25" hidden="true" customHeight="false" outlineLevel="0" collapsed="false">
      <c r="A1654" s="0" t="n">
        <v>1658</v>
      </c>
      <c r="B1654" s="1" t="s">
        <v>1113</v>
      </c>
      <c r="C1654" s="1" t="s">
        <v>1503</v>
      </c>
      <c r="D1654" s="1" t="s">
        <v>1535</v>
      </c>
      <c r="E1654" s="0" t="s">
        <v>44</v>
      </c>
      <c r="F1654" s="0" t="s">
        <v>48</v>
      </c>
      <c r="G1654" s="0" t="s">
        <v>9378</v>
      </c>
      <c r="I1654" s="6" t="n">
        <v>0.243055555555556</v>
      </c>
      <c r="J1654" s="6" t="n">
        <v>0.272222222222222</v>
      </c>
      <c r="K1654" s="0" t="n">
        <v>0</v>
      </c>
      <c r="L1654" s="0" t="n">
        <v>17</v>
      </c>
      <c r="M1654" s="0" t="s">
        <v>9379</v>
      </c>
      <c r="N1654" s="0" t="s">
        <v>9380</v>
      </c>
      <c r="P1654" s="0" t="s">
        <v>9381</v>
      </c>
      <c r="Q1654" s="2" t="n">
        <v>43536</v>
      </c>
      <c r="S1654" s="0" t="n">
        <f aca="false">YEAR(Q1654)</f>
        <v>2019</v>
      </c>
      <c r="T1654" s="0" t="n">
        <f aca="false">MONTH(Q1654)</f>
        <v>3</v>
      </c>
    </row>
    <row r="1655" customFormat="false" ht="28.5" hidden="true" customHeight="false" outlineLevel="0" collapsed="false">
      <c r="A1655" s="0" t="n">
        <v>1659</v>
      </c>
      <c r="B1655" s="1" t="s">
        <v>1113</v>
      </c>
      <c r="C1655" s="1" t="s">
        <v>1479</v>
      </c>
      <c r="D1655" s="1" t="s">
        <v>1496</v>
      </c>
      <c r="E1655" s="0" t="s">
        <v>38</v>
      </c>
      <c r="F1655" s="0" t="s">
        <v>48</v>
      </c>
      <c r="G1655" s="0" t="s">
        <v>8986</v>
      </c>
      <c r="I1655" s="6" t="n">
        <v>0.409027777777778</v>
      </c>
      <c r="J1655" s="6" t="n">
        <v>0.417361111111111</v>
      </c>
      <c r="K1655" s="0" t="n">
        <v>0</v>
      </c>
      <c r="L1655" s="0" t="n">
        <v>20</v>
      </c>
      <c r="M1655" s="0" t="s">
        <v>9382</v>
      </c>
      <c r="N1655" s="7" t="s">
        <v>9383</v>
      </c>
      <c r="O1655" s="7"/>
      <c r="P1655" s="7" t="s">
        <v>9384</v>
      </c>
      <c r="Q1655" s="2" t="n">
        <v>43536</v>
      </c>
      <c r="S1655" s="0" t="n">
        <f aca="false">YEAR(Q1655)</f>
        <v>2019</v>
      </c>
      <c r="T1655" s="0" t="n">
        <f aca="false">MONTH(Q1655)</f>
        <v>3</v>
      </c>
    </row>
    <row r="1656" customFormat="false" ht="14.25" hidden="true" customHeight="false" outlineLevel="0" collapsed="false">
      <c r="A1656" s="0" t="n">
        <v>1660</v>
      </c>
      <c r="B1656" s="1" t="s">
        <v>1113</v>
      </c>
      <c r="C1656" s="1" t="s">
        <v>1479</v>
      </c>
      <c r="D1656" s="1" t="s">
        <v>1487</v>
      </c>
      <c r="E1656" s="0" t="s">
        <v>1488</v>
      </c>
      <c r="F1656" s="0" t="s">
        <v>48</v>
      </c>
      <c r="G1656" s="0" t="s">
        <v>9370</v>
      </c>
      <c r="I1656" s="6" t="n">
        <v>0.442361111111111</v>
      </c>
      <c r="J1656" s="6" t="n">
        <v>0.447222222222222</v>
      </c>
      <c r="K1656" s="0" t="n">
        <v>0</v>
      </c>
      <c r="L1656" s="0" t="n">
        <v>16</v>
      </c>
      <c r="M1656" s="0" t="s">
        <v>9385</v>
      </c>
      <c r="N1656" s="0" t="s">
        <v>9386</v>
      </c>
      <c r="P1656" s="0" t="s">
        <v>9387</v>
      </c>
      <c r="Q1656" s="2" t="n">
        <v>43536</v>
      </c>
      <c r="S1656" s="0" t="n">
        <f aca="false">YEAR(Q1656)</f>
        <v>2019</v>
      </c>
      <c r="T1656" s="0" t="n">
        <f aca="false">MONTH(Q1656)</f>
        <v>3</v>
      </c>
    </row>
    <row r="1657" customFormat="false" ht="42.75" hidden="true" customHeight="false" outlineLevel="0" collapsed="false">
      <c r="A1657" s="0" t="n">
        <v>1661</v>
      </c>
      <c r="B1657" s="1" t="s">
        <v>1113</v>
      </c>
      <c r="C1657" s="1" t="s">
        <v>1479</v>
      </c>
      <c r="D1657" s="1" t="s">
        <v>1487</v>
      </c>
      <c r="E1657" s="0" t="s">
        <v>1488</v>
      </c>
      <c r="F1657" s="0" t="s">
        <v>48</v>
      </c>
      <c r="G1657" s="0" t="s">
        <v>9370</v>
      </c>
      <c r="I1657" s="6" t="n">
        <v>0.493055555555556</v>
      </c>
      <c r="J1657" s="6" t="n">
        <v>0.496527777777778</v>
      </c>
      <c r="K1657" s="0" t="n">
        <v>0</v>
      </c>
      <c r="L1657" s="0" t="n">
        <v>14</v>
      </c>
      <c r="M1657" s="0" t="s">
        <v>9388</v>
      </c>
      <c r="N1657" s="0" t="s">
        <v>9389</v>
      </c>
      <c r="P1657" s="7" t="s">
        <v>9390</v>
      </c>
      <c r="Q1657" s="2" t="n">
        <v>43536</v>
      </c>
      <c r="S1657" s="0" t="n">
        <f aca="false">YEAR(Q1657)</f>
        <v>2019</v>
      </c>
      <c r="T1657" s="0" t="n">
        <f aca="false">MONTH(Q1657)</f>
        <v>3</v>
      </c>
    </row>
    <row r="1658" customFormat="false" ht="72" hidden="true" customHeight="false" outlineLevel="0" collapsed="false">
      <c r="A1658" s="0" t="n">
        <v>1662</v>
      </c>
      <c r="B1658" s="1" t="s">
        <v>1113</v>
      </c>
      <c r="C1658" s="1" t="s">
        <v>1479</v>
      </c>
      <c r="D1658" s="1" t="s">
        <v>1487</v>
      </c>
      <c r="E1658" s="4" t="s">
        <v>1488</v>
      </c>
      <c r="F1658" s="0" t="s">
        <v>48</v>
      </c>
      <c r="G1658" s="0" t="s">
        <v>9391</v>
      </c>
      <c r="I1658" s="6" t="n">
        <v>0.503472222222222</v>
      </c>
      <c r="J1658" s="6" t="n">
        <v>0.53125</v>
      </c>
      <c r="K1658" s="0" t="n">
        <v>17</v>
      </c>
      <c r="L1658" s="0" t="n">
        <v>35</v>
      </c>
      <c r="M1658" s="7" t="s">
        <v>9392</v>
      </c>
      <c r="N1658" s="0" t="s">
        <v>9393</v>
      </c>
      <c r="P1658" s="7" t="s">
        <v>9394</v>
      </c>
      <c r="Q1658" s="2" t="n">
        <v>43536</v>
      </c>
      <c r="S1658" s="0" t="n">
        <f aca="false">YEAR(Q1658)</f>
        <v>2019</v>
      </c>
      <c r="T1658" s="0" t="n">
        <f aca="false">MONTH(Q1658)</f>
        <v>3</v>
      </c>
    </row>
    <row r="1659" customFormat="false" ht="14.25" hidden="true" customHeight="false" outlineLevel="0" collapsed="false">
      <c r="A1659" s="0" t="n">
        <v>1663</v>
      </c>
      <c r="B1659" s="1" t="s">
        <v>1113</v>
      </c>
      <c r="C1659" s="1" t="s">
        <v>1479</v>
      </c>
      <c r="D1659" s="1" t="s">
        <v>1535</v>
      </c>
      <c r="E1659" s="0" t="s">
        <v>39</v>
      </c>
      <c r="F1659" s="0" t="s">
        <v>49</v>
      </c>
      <c r="G1659" s="0" t="s">
        <v>9395</v>
      </c>
      <c r="I1659" s="6" t="n">
        <v>0.4375</v>
      </c>
      <c r="J1659" s="6" t="n">
        <v>0.445833333333333</v>
      </c>
      <c r="K1659" s="0" t="n">
        <v>189</v>
      </c>
      <c r="L1659" s="0" t="n">
        <v>220</v>
      </c>
      <c r="M1659" s="0" t="s">
        <v>9396</v>
      </c>
      <c r="N1659" s="0" t="s">
        <v>2801</v>
      </c>
      <c r="P1659" s="0" t="s">
        <v>9397</v>
      </c>
      <c r="Q1659" s="2" t="n">
        <v>43536</v>
      </c>
      <c r="S1659" s="0" t="n">
        <f aca="false">YEAR(Q1659)</f>
        <v>2019</v>
      </c>
      <c r="T1659" s="0" t="n">
        <f aca="false">MONTH(Q1659)</f>
        <v>3</v>
      </c>
    </row>
    <row r="1660" customFormat="false" ht="28.5" hidden="true" customHeight="false" outlineLevel="0" collapsed="false">
      <c r="A1660" s="0" t="n">
        <v>1664</v>
      </c>
      <c r="B1660" s="1" t="s">
        <v>1116</v>
      </c>
      <c r="C1660" s="1" t="s">
        <v>1479</v>
      </c>
      <c r="D1660" s="1" t="s">
        <v>1535</v>
      </c>
      <c r="E1660" s="0" t="s">
        <v>39</v>
      </c>
      <c r="F1660" s="0" t="s">
        <v>48</v>
      </c>
      <c r="G1660" s="0" t="s">
        <v>9398</v>
      </c>
      <c r="I1660" s="6" t="n">
        <v>0.246527777777778</v>
      </c>
      <c r="J1660" s="6" t="n">
        <v>0.25</v>
      </c>
      <c r="K1660" s="0" t="n">
        <v>2</v>
      </c>
      <c r="M1660" s="0" t="s">
        <v>9399</v>
      </c>
      <c r="N1660" s="7" t="s">
        <v>9400</v>
      </c>
      <c r="O1660" s="7"/>
      <c r="P1660" s="0" t="s">
        <v>9401</v>
      </c>
      <c r="Q1660" s="2" t="n">
        <v>43537</v>
      </c>
      <c r="S1660" s="0" t="n">
        <f aca="false">YEAR(Q1660)</f>
        <v>2019</v>
      </c>
      <c r="T1660" s="0" t="n">
        <f aca="false">MONTH(Q1660)</f>
        <v>3</v>
      </c>
    </row>
    <row r="1661" customFormat="false" ht="42.75" hidden="true" customHeight="false" outlineLevel="0" collapsed="false">
      <c r="A1661" s="0" t="n">
        <v>1665</v>
      </c>
      <c r="B1661" s="1" t="s">
        <v>1116</v>
      </c>
      <c r="C1661" s="1" t="s">
        <v>1479</v>
      </c>
      <c r="D1661" s="1" t="s">
        <v>1535</v>
      </c>
      <c r="E1661" s="0" t="s">
        <v>39</v>
      </c>
      <c r="F1661" s="0" t="s">
        <v>49</v>
      </c>
      <c r="G1661" s="0" t="s">
        <v>9402</v>
      </c>
      <c r="I1661" s="6" t="n">
        <v>0.638888888888889</v>
      </c>
      <c r="J1661" s="6" t="n">
        <v>0.647916666666667</v>
      </c>
      <c r="K1661" s="0" t="n">
        <v>0</v>
      </c>
      <c r="L1661" s="0" t="n">
        <v>43</v>
      </c>
      <c r="M1661" s="7" t="s">
        <v>9403</v>
      </c>
      <c r="N1661" s="7" t="s">
        <v>9404</v>
      </c>
      <c r="O1661" s="7"/>
      <c r="P1661" s="0" t="s">
        <v>9405</v>
      </c>
      <c r="Q1661" s="2" t="n">
        <v>43537</v>
      </c>
      <c r="S1661" s="0" t="n">
        <f aca="false">YEAR(Q1661)</f>
        <v>2019</v>
      </c>
      <c r="T1661" s="0" t="n">
        <f aca="false">MONTH(Q1661)</f>
        <v>3</v>
      </c>
    </row>
    <row r="1662" customFormat="false" ht="14.25" hidden="true" customHeight="false" outlineLevel="0" collapsed="false">
      <c r="A1662" s="0" t="n">
        <v>1666</v>
      </c>
      <c r="B1662" s="1" t="s">
        <v>1116</v>
      </c>
      <c r="C1662" s="1" t="s">
        <v>1479</v>
      </c>
      <c r="D1662" s="1" t="s">
        <v>1535</v>
      </c>
      <c r="E1662" s="0" t="s">
        <v>39</v>
      </c>
      <c r="F1662" s="0" t="s">
        <v>49</v>
      </c>
      <c r="G1662" s="0" t="s">
        <v>9406</v>
      </c>
      <c r="I1662" s="6" t="n">
        <v>0.78125</v>
      </c>
      <c r="J1662" s="6" t="n">
        <v>0.78125</v>
      </c>
      <c r="K1662" s="0" t="n">
        <v>0</v>
      </c>
      <c r="L1662" s="0" t="n">
        <v>0</v>
      </c>
      <c r="M1662" s="0" t="s">
        <v>9407</v>
      </c>
      <c r="N1662" s="0" t="s">
        <v>9408</v>
      </c>
      <c r="P1662" s="0" t="s">
        <v>9409</v>
      </c>
      <c r="Q1662" s="2" t="n">
        <v>43537</v>
      </c>
      <c r="S1662" s="0" t="n">
        <f aca="false">YEAR(Q1662)</f>
        <v>2019</v>
      </c>
      <c r="T1662" s="0" t="n">
        <f aca="false">MONTH(Q1662)</f>
        <v>3</v>
      </c>
    </row>
    <row r="1663" customFormat="false" ht="42.75" hidden="true" customHeight="false" outlineLevel="0" collapsed="false">
      <c r="A1663" s="0" t="n">
        <v>1667</v>
      </c>
      <c r="B1663" s="1" t="s">
        <v>1116</v>
      </c>
      <c r="C1663" s="1" t="s">
        <v>1479</v>
      </c>
      <c r="D1663" s="1" t="s">
        <v>1487</v>
      </c>
      <c r="E1663" s="4" t="s">
        <v>1488</v>
      </c>
      <c r="F1663" s="0" t="s">
        <v>49</v>
      </c>
      <c r="G1663" s="0" t="s">
        <v>9251</v>
      </c>
      <c r="I1663" s="6" t="n">
        <v>0.805555555555555</v>
      </c>
      <c r="J1663" s="6" t="n">
        <v>0.819444444444444</v>
      </c>
      <c r="K1663" s="0" t="n">
        <v>5</v>
      </c>
      <c r="L1663" s="0" t="n">
        <v>31</v>
      </c>
      <c r="M1663" s="7" t="s">
        <v>9410</v>
      </c>
      <c r="N1663" s="0" t="s">
        <v>9411</v>
      </c>
      <c r="P1663" s="7" t="s">
        <v>9412</v>
      </c>
      <c r="Q1663" s="2" t="n">
        <v>43537</v>
      </c>
      <c r="S1663" s="0" t="n">
        <f aca="false">YEAR(Q1663)</f>
        <v>2019</v>
      </c>
      <c r="T1663" s="0" t="n">
        <f aca="false">MONTH(Q1663)</f>
        <v>3</v>
      </c>
    </row>
    <row r="1664" customFormat="false" ht="28.5" hidden="true" customHeight="false" outlineLevel="0" collapsed="false">
      <c r="A1664" s="0" t="n">
        <v>1668</v>
      </c>
      <c r="B1664" s="1" t="s">
        <v>1117</v>
      </c>
      <c r="C1664" s="1" t="s">
        <v>1479</v>
      </c>
      <c r="D1664" s="1" t="s">
        <v>1487</v>
      </c>
      <c r="E1664" s="0" t="s">
        <v>1488</v>
      </c>
      <c r="F1664" s="0" t="s">
        <v>48</v>
      </c>
      <c r="G1664" s="0" t="s">
        <v>9413</v>
      </c>
      <c r="I1664" s="6" t="n">
        <v>0.289583333333333</v>
      </c>
      <c r="J1664" s="6" t="n">
        <v>0.299305555555556</v>
      </c>
      <c r="L1664" s="0" t="n">
        <v>20</v>
      </c>
      <c r="M1664" s="0" t="s">
        <v>9414</v>
      </c>
      <c r="N1664" s="7" t="s">
        <v>9415</v>
      </c>
      <c r="O1664" s="7"/>
      <c r="P1664" s="0" t="s">
        <v>9416</v>
      </c>
      <c r="Q1664" s="2" t="n">
        <v>43538</v>
      </c>
      <c r="S1664" s="0" t="n">
        <f aca="false">YEAR(Q1664)</f>
        <v>2019</v>
      </c>
      <c r="T1664" s="0" t="n">
        <f aca="false">MONTH(Q1664)</f>
        <v>3</v>
      </c>
    </row>
    <row r="1665" customFormat="false" ht="14.25" hidden="true" customHeight="false" outlineLevel="0" collapsed="false">
      <c r="A1665" s="0" t="n">
        <v>1669</v>
      </c>
      <c r="B1665" s="1" t="s">
        <v>1117</v>
      </c>
      <c r="C1665" s="1" t="s">
        <v>1479</v>
      </c>
      <c r="D1665" s="1" t="s">
        <v>1535</v>
      </c>
      <c r="E1665" s="0" t="s">
        <v>39</v>
      </c>
      <c r="F1665" s="0" t="s">
        <v>48</v>
      </c>
      <c r="G1665" s="0" t="s">
        <v>9417</v>
      </c>
      <c r="I1665" s="6" t="n">
        <v>0.458333333333333</v>
      </c>
      <c r="J1665" s="6" t="n">
        <v>0.472222222222222</v>
      </c>
      <c r="L1665" s="0" t="n">
        <v>20</v>
      </c>
      <c r="M1665" s="0" t="s">
        <v>9418</v>
      </c>
      <c r="N1665" s="0" t="s">
        <v>9419</v>
      </c>
      <c r="P1665" s="0" t="s">
        <v>9420</v>
      </c>
      <c r="Q1665" s="2" t="n">
        <v>43538</v>
      </c>
      <c r="S1665" s="0" t="n">
        <f aca="false">YEAR(Q1665)</f>
        <v>2019</v>
      </c>
      <c r="T1665" s="0" t="n">
        <f aca="false">MONTH(Q1665)</f>
        <v>3</v>
      </c>
    </row>
    <row r="1666" customFormat="false" ht="14.25" hidden="true" customHeight="false" outlineLevel="0" collapsed="false">
      <c r="A1666" s="0" t="n">
        <v>1670</v>
      </c>
      <c r="B1666" s="1" t="s">
        <v>1117</v>
      </c>
      <c r="C1666" s="1" t="s">
        <v>1479</v>
      </c>
      <c r="D1666" s="1" t="s">
        <v>1535</v>
      </c>
      <c r="E1666" s="0" t="s">
        <v>39</v>
      </c>
      <c r="F1666" s="0" t="s">
        <v>48</v>
      </c>
      <c r="G1666" s="0" t="s">
        <v>8322</v>
      </c>
      <c r="I1666" s="6" t="n">
        <v>0.534722222222222</v>
      </c>
      <c r="J1666" s="6" t="n">
        <v>0.540277777777778</v>
      </c>
      <c r="K1666" s="0" t="n">
        <v>0</v>
      </c>
      <c r="L1666" s="0" t="n">
        <v>13</v>
      </c>
      <c r="M1666" s="0" t="s">
        <v>9421</v>
      </c>
      <c r="N1666" s="0" t="s">
        <v>9422</v>
      </c>
      <c r="P1666" s="0" t="s">
        <v>9423</v>
      </c>
      <c r="Q1666" s="2" t="n">
        <v>43538</v>
      </c>
      <c r="S1666" s="0" t="n">
        <f aca="false">YEAR(Q1666)</f>
        <v>2019</v>
      </c>
      <c r="T1666" s="0" t="n">
        <f aca="false">MONTH(Q1666)</f>
        <v>3</v>
      </c>
    </row>
    <row r="1667" customFormat="false" ht="14.25" hidden="true" customHeight="false" outlineLevel="0" collapsed="false">
      <c r="A1667" s="0" t="n">
        <v>1671</v>
      </c>
      <c r="B1667" s="1" t="s">
        <v>1117</v>
      </c>
      <c r="C1667" s="1" t="s">
        <v>1503</v>
      </c>
      <c r="D1667" s="1" t="s">
        <v>1648</v>
      </c>
      <c r="E1667" s="0" t="s">
        <v>1648</v>
      </c>
      <c r="F1667" s="0" t="s">
        <v>49</v>
      </c>
      <c r="I1667" s="6" t="n">
        <v>0.25</v>
      </c>
      <c r="J1667" s="6" t="n">
        <v>0.611111111111111</v>
      </c>
      <c r="L1667" s="0" t="n">
        <v>900</v>
      </c>
      <c r="M1667" s="0" t="s">
        <v>9424</v>
      </c>
      <c r="N1667" s="0" t="s">
        <v>9425</v>
      </c>
      <c r="P1667" s="0" t="s">
        <v>9426</v>
      </c>
      <c r="Q1667" s="2" t="n">
        <v>43538</v>
      </c>
      <c r="S1667" s="0" t="n">
        <f aca="false">YEAR(Q1667)</f>
        <v>2019</v>
      </c>
      <c r="T1667" s="0" t="n">
        <f aca="false">MONTH(Q1667)</f>
        <v>3</v>
      </c>
    </row>
    <row r="1668" customFormat="false" ht="14.25" hidden="true" customHeight="false" outlineLevel="0" collapsed="false">
      <c r="A1668" s="0" t="n">
        <v>1672</v>
      </c>
      <c r="B1668" s="1" t="s">
        <v>1117</v>
      </c>
      <c r="C1668" s="1" t="s">
        <v>1479</v>
      </c>
      <c r="D1668" s="1" t="s">
        <v>1535</v>
      </c>
      <c r="E1668" s="0" t="s">
        <v>39</v>
      </c>
      <c r="F1668" s="0" t="s">
        <v>50</v>
      </c>
      <c r="G1668" s="0" t="s">
        <v>9427</v>
      </c>
      <c r="J1668" s="6" t="n">
        <v>0.0486111111111111</v>
      </c>
      <c r="K1668" s="0" t="n">
        <v>0</v>
      </c>
      <c r="M1668" s="0" t="s">
        <v>9428</v>
      </c>
      <c r="N1668" s="0" t="s">
        <v>9429</v>
      </c>
      <c r="P1668" s="0" t="s">
        <v>9430</v>
      </c>
      <c r="Q1668" s="2" t="n">
        <v>43538</v>
      </c>
      <c r="S1668" s="0" t="n">
        <f aca="false">YEAR(Q1668)</f>
        <v>2019</v>
      </c>
      <c r="T1668" s="0" t="n">
        <f aca="false">MONTH(Q1668)</f>
        <v>3</v>
      </c>
    </row>
    <row r="1669" customFormat="false" ht="14.25" hidden="true" customHeight="false" outlineLevel="0" collapsed="false">
      <c r="A1669" s="0" t="n">
        <v>1673</v>
      </c>
      <c r="B1669" s="1" t="s">
        <v>1117</v>
      </c>
      <c r="C1669" s="1" t="s">
        <v>1503</v>
      </c>
      <c r="D1669" s="1" t="s">
        <v>1648</v>
      </c>
      <c r="E1669" s="0" t="s">
        <v>1648</v>
      </c>
      <c r="F1669" s="0" t="s">
        <v>50</v>
      </c>
      <c r="G1669" s="0" t="s">
        <v>9431</v>
      </c>
      <c r="I1669" s="6" t="n">
        <v>0.0694444444444444</v>
      </c>
      <c r="J1669" s="6" t="n">
        <v>0.0486111111111111</v>
      </c>
      <c r="K1669" s="0" t="n">
        <v>0</v>
      </c>
      <c r="L1669" s="0" t="n">
        <v>45</v>
      </c>
      <c r="M1669" s="0" t="s">
        <v>9432</v>
      </c>
      <c r="N1669" s="0" t="s">
        <v>9433</v>
      </c>
      <c r="P1669" s="0" t="s">
        <v>9434</v>
      </c>
      <c r="Q1669" s="2" t="n">
        <v>43538</v>
      </c>
      <c r="S1669" s="0" t="n">
        <f aca="false">YEAR(Q1669)</f>
        <v>2019</v>
      </c>
      <c r="T1669" s="0" t="n">
        <f aca="false">MONTH(Q1669)</f>
        <v>3</v>
      </c>
    </row>
    <row r="1670" customFormat="false" ht="28.5" hidden="true" customHeight="false" outlineLevel="0" collapsed="false">
      <c r="A1670" s="0" t="n">
        <v>1674</v>
      </c>
      <c r="B1670" s="1" t="s">
        <v>1118</v>
      </c>
      <c r="C1670" s="1" t="s">
        <v>1479</v>
      </c>
      <c r="D1670" s="1" t="s">
        <v>1535</v>
      </c>
      <c r="E1670" s="0" t="s">
        <v>39</v>
      </c>
      <c r="F1670" s="0" t="s">
        <v>48</v>
      </c>
      <c r="G1670" s="0" t="s">
        <v>9435</v>
      </c>
      <c r="I1670" s="6" t="n">
        <v>0.36875</v>
      </c>
      <c r="K1670" s="0" t="n">
        <v>2</v>
      </c>
      <c r="L1670" s="0" t="n">
        <v>3</v>
      </c>
      <c r="M1670" s="0" t="s">
        <v>9436</v>
      </c>
      <c r="N1670" s="7" t="s">
        <v>9437</v>
      </c>
      <c r="O1670" s="7"/>
      <c r="P1670" s="0" t="s">
        <v>9438</v>
      </c>
      <c r="Q1670" s="2" t="n">
        <v>43539</v>
      </c>
      <c r="S1670" s="0" t="n">
        <f aca="false">YEAR(Q1670)</f>
        <v>2019</v>
      </c>
      <c r="T1670" s="0" t="n">
        <f aca="false">MONTH(Q1670)</f>
        <v>3</v>
      </c>
    </row>
    <row r="1671" customFormat="false" ht="28.5" hidden="true" customHeight="false" outlineLevel="0" collapsed="false">
      <c r="A1671" s="0" t="n">
        <v>1675</v>
      </c>
      <c r="B1671" s="1" t="s">
        <v>1118</v>
      </c>
      <c r="C1671" s="1" t="s">
        <v>1479</v>
      </c>
      <c r="D1671" s="1" t="s">
        <v>1535</v>
      </c>
      <c r="E1671" s="0" t="s">
        <v>39</v>
      </c>
      <c r="F1671" s="0" t="s">
        <v>49</v>
      </c>
      <c r="G1671" s="0" t="s">
        <v>9439</v>
      </c>
      <c r="I1671" s="6" t="n">
        <v>0.746527777777778</v>
      </c>
      <c r="J1671" s="6" t="n">
        <v>0.75</v>
      </c>
      <c r="K1671" s="0" t="n">
        <v>0</v>
      </c>
      <c r="L1671" s="0" t="n">
        <v>5</v>
      </c>
      <c r="M1671" s="0" t="s">
        <v>9440</v>
      </c>
      <c r="N1671" s="7" t="s">
        <v>9441</v>
      </c>
      <c r="O1671" s="7"/>
      <c r="P1671" s="0" t="s">
        <v>9442</v>
      </c>
      <c r="Q1671" s="2" t="n">
        <v>43539</v>
      </c>
      <c r="S1671" s="0" t="n">
        <f aca="false">YEAR(Q1671)</f>
        <v>2019</v>
      </c>
      <c r="T1671" s="0" t="n">
        <f aca="false">MONTH(Q1671)</f>
        <v>3</v>
      </c>
    </row>
    <row r="1672" customFormat="false" ht="28.5" hidden="true" customHeight="false" outlineLevel="0" collapsed="false">
      <c r="A1672" s="0" t="n">
        <v>1676</v>
      </c>
      <c r="B1672" s="1" t="s">
        <v>1118</v>
      </c>
      <c r="C1672" s="1" t="s">
        <v>1479</v>
      </c>
      <c r="D1672" s="1" t="s">
        <v>1535</v>
      </c>
      <c r="E1672" s="0" t="s">
        <v>39</v>
      </c>
      <c r="F1672" s="0" t="s">
        <v>50</v>
      </c>
      <c r="G1672" s="0" t="s">
        <v>9443</v>
      </c>
      <c r="I1672" s="6" t="n">
        <v>0.972222222222222</v>
      </c>
      <c r="J1672" s="6" t="n">
        <v>0.977083333333333</v>
      </c>
      <c r="L1672" s="0" t="n">
        <v>25</v>
      </c>
      <c r="M1672" s="0" t="s">
        <v>9444</v>
      </c>
      <c r="N1672" s="7" t="s">
        <v>9445</v>
      </c>
      <c r="O1672" s="7"/>
      <c r="P1672" s="0" t="s">
        <v>9446</v>
      </c>
      <c r="Q1672" s="2" t="n">
        <v>43539</v>
      </c>
      <c r="S1672" s="0" t="n">
        <f aca="false">YEAR(Q1672)</f>
        <v>2019</v>
      </c>
      <c r="T1672" s="0" t="n">
        <f aca="false">MONTH(Q1672)</f>
        <v>3</v>
      </c>
    </row>
    <row r="1673" customFormat="false" ht="42.75" hidden="true" customHeight="false" outlineLevel="0" collapsed="false">
      <c r="A1673" s="0" t="n">
        <v>1677</v>
      </c>
      <c r="B1673" s="1" t="s">
        <v>1118</v>
      </c>
      <c r="C1673" s="1" t="s">
        <v>1479</v>
      </c>
      <c r="D1673" s="1" t="s">
        <v>1496</v>
      </c>
      <c r="E1673" s="0" t="s">
        <v>38</v>
      </c>
      <c r="F1673" s="0" t="s">
        <v>50</v>
      </c>
      <c r="G1673" s="0" t="s">
        <v>9447</v>
      </c>
      <c r="I1673" s="6" t="n">
        <v>0.00277777777777778</v>
      </c>
      <c r="J1673" s="6" t="n">
        <v>0.0104166666666667</v>
      </c>
      <c r="L1673" s="0" t="n">
        <v>32</v>
      </c>
      <c r="M1673" s="7" t="s">
        <v>9448</v>
      </c>
      <c r="N1673" s="0" t="s">
        <v>9449</v>
      </c>
      <c r="P1673" s="0" t="s">
        <v>9450</v>
      </c>
      <c r="Q1673" s="2" t="n">
        <v>43539</v>
      </c>
      <c r="S1673" s="0" t="n">
        <f aca="false">YEAR(Q1673)</f>
        <v>2019</v>
      </c>
      <c r="T1673" s="0" t="n">
        <f aca="false">MONTH(Q1673)</f>
        <v>3</v>
      </c>
    </row>
    <row r="1674" customFormat="false" ht="28.5" hidden="true" customHeight="false" outlineLevel="0" collapsed="false">
      <c r="A1674" s="0" t="n">
        <v>1678</v>
      </c>
      <c r="B1674" s="1" t="s">
        <v>1119</v>
      </c>
      <c r="C1674" s="1" t="s">
        <v>1479</v>
      </c>
      <c r="D1674" s="1" t="s">
        <v>1496</v>
      </c>
      <c r="E1674" s="0" t="s">
        <v>38</v>
      </c>
      <c r="F1674" s="0" t="s">
        <v>50</v>
      </c>
      <c r="G1674" s="0" t="s">
        <v>9447</v>
      </c>
      <c r="I1674" s="6" t="n">
        <v>0.921527777777778</v>
      </c>
      <c r="J1674" s="6" t="n">
        <v>0.930555555555555</v>
      </c>
      <c r="K1674" s="0" t="n">
        <v>16</v>
      </c>
      <c r="L1674" s="0" t="n">
        <v>16</v>
      </c>
      <c r="M1674" s="0" t="s">
        <v>9451</v>
      </c>
      <c r="N1674" s="0" t="s">
        <v>9452</v>
      </c>
      <c r="P1674" s="7" t="s">
        <v>9453</v>
      </c>
      <c r="Q1674" s="2" t="n">
        <v>43541</v>
      </c>
      <c r="S1674" s="0" t="n">
        <f aca="false">YEAR(Q1674)</f>
        <v>2019</v>
      </c>
      <c r="T1674" s="0" t="n">
        <f aca="false">MONTH(Q1674)</f>
        <v>3</v>
      </c>
    </row>
    <row r="1675" customFormat="false" ht="14.25" hidden="true" customHeight="false" outlineLevel="0" collapsed="false">
      <c r="A1675" s="0" t="n">
        <v>1679</v>
      </c>
      <c r="B1675" s="1" t="s">
        <v>1119</v>
      </c>
      <c r="C1675" s="1" t="s">
        <v>1479</v>
      </c>
      <c r="D1675" s="1" t="s">
        <v>1487</v>
      </c>
      <c r="E1675" s="4" t="s">
        <v>1488</v>
      </c>
      <c r="F1675" s="0" t="s">
        <v>50</v>
      </c>
      <c r="G1675" s="0" t="s">
        <v>9454</v>
      </c>
      <c r="I1675" s="6" t="n">
        <v>0.0555555555555556</v>
      </c>
      <c r="J1675" s="6" t="n">
        <v>0.0694444444444444</v>
      </c>
      <c r="K1675" s="0" t="n">
        <v>10</v>
      </c>
      <c r="L1675" s="0" t="n">
        <v>27</v>
      </c>
      <c r="M1675" s="0" t="s">
        <v>9455</v>
      </c>
      <c r="N1675" s="0" t="s">
        <v>9456</v>
      </c>
      <c r="P1675" s="0" t="s">
        <v>9457</v>
      </c>
      <c r="Q1675" s="2" t="n">
        <v>43541</v>
      </c>
      <c r="S1675" s="0" t="n">
        <f aca="false">YEAR(Q1675)</f>
        <v>2019</v>
      </c>
      <c r="T1675" s="0" t="n">
        <f aca="false">MONTH(Q1675)</f>
        <v>3</v>
      </c>
    </row>
    <row r="1676" customFormat="false" ht="28.5" hidden="true" customHeight="false" outlineLevel="0" collapsed="false">
      <c r="A1676" s="0" t="n">
        <v>1680</v>
      </c>
      <c r="B1676" s="1" t="s">
        <v>1120</v>
      </c>
      <c r="C1676" s="1" t="s">
        <v>1479</v>
      </c>
      <c r="D1676" s="1" t="s">
        <v>1487</v>
      </c>
      <c r="E1676" s="0" t="s">
        <v>1488</v>
      </c>
      <c r="F1676" s="0" t="s">
        <v>48</v>
      </c>
      <c r="G1676" s="0" t="s">
        <v>9458</v>
      </c>
      <c r="I1676" s="6" t="n">
        <v>0.243055555555556</v>
      </c>
      <c r="J1676" s="6" t="n">
        <v>0.263888888888889</v>
      </c>
      <c r="L1676" s="0" t="n">
        <v>40</v>
      </c>
      <c r="M1676" s="7" t="s">
        <v>9459</v>
      </c>
      <c r="N1676" s="0" t="s">
        <v>9460</v>
      </c>
      <c r="P1676" s="0" t="s">
        <v>9461</v>
      </c>
      <c r="Q1676" s="2" t="n">
        <v>43542</v>
      </c>
      <c r="S1676" s="0" t="n">
        <f aca="false">YEAR(Q1676)</f>
        <v>2019</v>
      </c>
      <c r="T1676" s="0" t="n">
        <f aca="false">MONTH(Q1676)</f>
        <v>3</v>
      </c>
    </row>
    <row r="1677" customFormat="false" ht="28.5" hidden="true" customHeight="false" outlineLevel="0" collapsed="false">
      <c r="A1677" s="0" t="n">
        <v>1681</v>
      </c>
      <c r="B1677" s="1" t="s">
        <v>1120</v>
      </c>
      <c r="C1677" s="1" t="s">
        <v>1503</v>
      </c>
      <c r="D1677" s="1" t="s">
        <v>1535</v>
      </c>
      <c r="E1677" s="0" t="s">
        <v>1503</v>
      </c>
      <c r="F1677" s="0" t="s">
        <v>48</v>
      </c>
      <c r="G1677" s="0" t="s">
        <v>9462</v>
      </c>
      <c r="J1677" s="6" t="n">
        <v>0.325</v>
      </c>
      <c r="K1677" s="0" t="n">
        <v>0</v>
      </c>
      <c r="M1677" s="0" t="s">
        <v>9463</v>
      </c>
      <c r="N1677" s="7" t="s">
        <v>9464</v>
      </c>
      <c r="O1677" s="7"/>
      <c r="P1677" s="7" t="s">
        <v>9465</v>
      </c>
      <c r="Q1677" s="2" t="n">
        <v>43542</v>
      </c>
      <c r="S1677" s="0" t="n">
        <f aca="false">YEAR(Q1677)</f>
        <v>2019</v>
      </c>
      <c r="T1677" s="0" t="n">
        <f aca="false">MONTH(Q1677)</f>
        <v>3</v>
      </c>
    </row>
    <row r="1678" customFormat="false" ht="14.25" hidden="true" customHeight="false" outlineLevel="0" collapsed="false">
      <c r="A1678" s="0" t="n">
        <v>1682</v>
      </c>
      <c r="B1678" s="1" t="s">
        <v>1120</v>
      </c>
      <c r="C1678" s="1" t="s">
        <v>1479</v>
      </c>
      <c r="D1678" s="1" t="s">
        <v>1487</v>
      </c>
      <c r="E1678" s="0" t="s">
        <v>1488</v>
      </c>
      <c r="F1678" s="0" t="s">
        <v>48</v>
      </c>
      <c r="G1678" s="0" t="s">
        <v>9466</v>
      </c>
      <c r="I1678" s="6" t="n">
        <v>0.53125</v>
      </c>
      <c r="J1678" s="6" t="n">
        <v>0.536111111111111</v>
      </c>
      <c r="K1678" s="0" t="n">
        <v>0</v>
      </c>
      <c r="L1678" s="0" t="n">
        <v>40</v>
      </c>
      <c r="M1678" s="0" t="s">
        <v>9467</v>
      </c>
      <c r="N1678" s="0" t="s">
        <v>9468</v>
      </c>
      <c r="P1678" s="0" t="s">
        <v>9469</v>
      </c>
      <c r="Q1678" s="2" t="n">
        <v>43542</v>
      </c>
      <c r="S1678" s="0" t="n">
        <f aca="false">YEAR(Q1678)</f>
        <v>2019</v>
      </c>
      <c r="T1678" s="0" t="n">
        <f aca="false">MONTH(Q1678)</f>
        <v>3</v>
      </c>
    </row>
    <row r="1679" customFormat="false" ht="14.25" hidden="true" customHeight="false" outlineLevel="0" collapsed="false">
      <c r="A1679" s="0" t="n">
        <v>1683</v>
      </c>
      <c r="B1679" s="1" t="s">
        <v>1120</v>
      </c>
      <c r="C1679" s="1" t="s">
        <v>1503</v>
      </c>
      <c r="D1679" s="1" t="s">
        <v>1535</v>
      </c>
      <c r="E1679" s="0" t="s">
        <v>1503</v>
      </c>
      <c r="F1679" s="0" t="s">
        <v>48</v>
      </c>
      <c r="G1679" s="0" t="s">
        <v>9470</v>
      </c>
      <c r="J1679" s="6" t="n">
        <v>0.535416666666667</v>
      </c>
      <c r="K1679" s="0" t="n">
        <v>0</v>
      </c>
      <c r="L1679" s="0" t="n">
        <v>200</v>
      </c>
      <c r="M1679" s="0" t="s">
        <v>9471</v>
      </c>
      <c r="N1679" s="0" t="s">
        <v>9472</v>
      </c>
      <c r="P1679" s="0" t="s">
        <v>9473</v>
      </c>
      <c r="Q1679" s="2" t="n">
        <v>43542</v>
      </c>
      <c r="S1679" s="0" t="n">
        <f aca="false">YEAR(Q1679)</f>
        <v>2019</v>
      </c>
      <c r="T1679" s="0" t="n">
        <f aca="false">MONTH(Q1679)</f>
        <v>3</v>
      </c>
    </row>
    <row r="1680" customFormat="false" ht="72" hidden="true" customHeight="false" outlineLevel="0" collapsed="false">
      <c r="A1680" s="0" t="n">
        <v>1684</v>
      </c>
      <c r="B1680" s="1" t="s">
        <v>1120</v>
      </c>
      <c r="C1680" s="1" t="s">
        <v>1503</v>
      </c>
      <c r="D1680" s="1" t="s">
        <v>1504</v>
      </c>
      <c r="E1680" s="0" t="s">
        <v>45</v>
      </c>
      <c r="F1680" s="0" t="s">
        <v>49</v>
      </c>
      <c r="G1680" s="0" t="s">
        <v>9474</v>
      </c>
      <c r="I1680" s="6" t="n">
        <v>0.364583333333333</v>
      </c>
      <c r="J1680" s="6" t="n">
        <v>0.875</v>
      </c>
      <c r="K1680" s="0" t="n">
        <v>0</v>
      </c>
      <c r="M1680" s="0" t="s">
        <v>9475</v>
      </c>
      <c r="N1680" s="0" t="s">
        <v>9476</v>
      </c>
      <c r="P1680" s="7" t="s">
        <v>9477</v>
      </c>
      <c r="Q1680" s="2" t="n">
        <v>43542</v>
      </c>
      <c r="S1680" s="0" t="n">
        <f aca="false">YEAR(Q1680)</f>
        <v>2019</v>
      </c>
      <c r="T1680" s="0" t="n">
        <f aca="false">MONTH(Q1680)</f>
        <v>3</v>
      </c>
    </row>
    <row r="1681" customFormat="false" ht="28.5" hidden="true" customHeight="false" outlineLevel="0" collapsed="false">
      <c r="A1681" s="0" t="n">
        <v>1685</v>
      </c>
      <c r="B1681" s="1" t="s">
        <v>1121</v>
      </c>
      <c r="C1681" s="1" t="s">
        <v>1479</v>
      </c>
      <c r="D1681" s="1" t="s">
        <v>1487</v>
      </c>
      <c r="E1681" s="4" t="s">
        <v>1488</v>
      </c>
      <c r="F1681" s="0" t="s">
        <v>48</v>
      </c>
      <c r="G1681" s="0" t="s">
        <v>9478</v>
      </c>
      <c r="I1681" s="6" t="n">
        <v>0.24375</v>
      </c>
      <c r="J1681" s="6" t="n">
        <v>0.25</v>
      </c>
      <c r="K1681" s="0" t="n">
        <v>10</v>
      </c>
      <c r="L1681" s="0" t="n">
        <v>15</v>
      </c>
      <c r="M1681" s="0" t="s">
        <v>9479</v>
      </c>
      <c r="N1681" s="7" t="s">
        <v>9480</v>
      </c>
      <c r="O1681" s="7"/>
      <c r="P1681" s="0" t="s">
        <v>9481</v>
      </c>
      <c r="Q1681" s="2" t="n">
        <v>43543</v>
      </c>
      <c r="S1681" s="0" t="n">
        <f aca="false">YEAR(Q1681)</f>
        <v>2019</v>
      </c>
      <c r="T1681" s="0" t="n">
        <f aca="false">MONTH(Q1681)</f>
        <v>3</v>
      </c>
    </row>
    <row r="1682" customFormat="false" ht="28.5" hidden="true" customHeight="false" outlineLevel="0" collapsed="false">
      <c r="A1682" s="0" t="n">
        <v>1686</v>
      </c>
      <c r="B1682" s="1" t="s">
        <v>1121</v>
      </c>
      <c r="C1682" s="1" t="s">
        <v>1479</v>
      </c>
      <c r="D1682" s="1" t="s">
        <v>1487</v>
      </c>
      <c r="E1682" s="0" t="s">
        <v>1488</v>
      </c>
      <c r="F1682" s="0" t="s">
        <v>50</v>
      </c>
      <c r="G1682" s="0" t="s">
        <v>9482</v>
      </c>
      <c r="I1682" s="6" t="n">
        <v>0.971527777777778</v>
      </c>
      <c r="J1682" s="6" t="n">
        <v>0.979166666666667</v>
      </c>
      <c r="L1682" s="0" t="n">
        <v>32</v>
      </c>
      <c r="M1682" s="0" t="s">
        <v>9483</v>
      </c>
      <c r="N1682" s="7" t="s">
        <v>9484</v>
      </c>
      <c r="O1682" s="7"/>
      <c r="P1682" s="7" t="s">
        <v>9485</v>
      </c>
      <c r="Q1682" s="2" t="n">
        <v>43543</v>
      </c>
      <c r="S1682" s="0" t="n">
        <f aca="false">YEAR(Q1682)</f>
        <v>2019</v>
      </c>
      <c r="T1682" s="0" t="n">
        <f aca="false">MONTH(Q1682)</f>
        <v>3</v>
      </c>
    </row>
    <row r="1683" customFormat="false" ht="14.25" hidden="true" customHeight="false" outlineLevel="0" collapsed="false">
      <c r="A1683" s="0" t="n">
        <v>1687</v>
      </c>
      <c r="B1683" s="1" t="s">
        <v>1121</v>
      </c>
      <c r="C1683" s="1" t="s">
        <v>1503</v>
      </c>
      <c r="D1683" s="1" t="s">
        <v>1535</v>
      </c>
      <c r="E1683" s="0" t="s">
        <v>1503</v>
      </c>
      <c r="F1683" s="0" t="s">
        <v>50</v>
      </c>
      <c r="G1683" s="0" t="s">
        <v>9486</v>
      </c>
      <c r="I1683" s="6" t="n">
        <v>0.9375</v>
      </c>
      <c r="J1683" s="6" t="n">
        <v>0.958333333333333</v>
      </c>
      <c r="L1683" s="0" t="n">
        <v>390</v>
      </c>
      <c r="M1683" s="0" t="s">
        <v>9487</v>
      </c>
      <c r="N1683" s="0" t="s">
        <v>9488</v>
      </c>
      <c r="P1683" s="0" t="s">
        <v>9489</v>
      </c>
      <c r="Q1683" s="2" t="n">
        <v>43543</v>
      </c>
      <c r="S1683" s="0" t="n">
        <f aca="false">YEAR(Q1683)</f>
        <v>2019</v>
      </c>
      <c r="T1683" s="0" t="n">
        <f aca="false">MONTH(Q1683)</f>
        <v>3</v>
      </c>
    </row>
    <row r="1684" customFormat="false" ht="14.25" hidden="true" customHeight="false" outlineLevel="0" collapsed="false">
      <c r="A1684" s="0" t="n">
        <v>1688</v>
      </c>
      <c r="B1684" s="1" t="s">
        <v>1122</v>
      </c>
      <c r="C1684" s="1" t="s">
        <v>1503</v>
      </c>
      <c r="D1684" s="1" t="s">
        <v>1535</v>
      </c>
      <c r="E1684" s="0" t="s">
        <v>1503</v>
      </c>
      <c r="F1684" s="0" t="s">
        <v>48</v>
      </c>
      <c r="G1684" s="0" t="s">
        <v>9490</v>
      </c>
      <c r="I1684" s="6" t="n">
        <v>0.9375</v>
      </c>
      <c r="J1684" s="6" t="n">
        <v>0.294444444444444</v>
      </c>
      <c r="L1684" s="0" t="n">
        <v>19</v>
      </c>
      <c r="M1684" s="0" t="s">
        <v>9491</v>
      </c>
      <c r="N1684" s="0" t="s">
        <v>9492</v>
      </c>
      <c r="P1684" s="0" t="s">
        <v>9493</v>
      </c>
      <c r="Q1684" s="2" t="n">
        <v>43544</v>
      </c>
      <c r="S1684" s="0" t="n">
        <f aca="false">YEAR(Q1684)</f>
        <v>2019</v>
      </c>
      <c r="T1684" s="0" t="n">
        <f aca="false">MONTH(Q1684)</f>
        <v>3</v>
      </c>
    </row>
    <row r="1685" customFormat="false" ht="14.25" hidden="true" customHeight="false" outlineLevel="0" collapsed="false">
      <c r="A1685" s="0" t="n">
        <v>1689</v>
      </c>
      <c r="B1685" s="1" t="s">
        <v>1122</v>
      </c>
      <c r="C1685" s="1" t="s">
        <v>1503</v>
      </c>
      <c r="D1685" s="1" t="s">
        <v>1535</v>
      </c>
      <c r="E1685" s="0" t="s">
        <v>1503</v>
      </c>
      <c r="F1685" s="0" t="s">
        <v>48</v>
      </c>
      <c r="G1685" s="0" t="s">
        <v>9494</v>
      </c>
      <c r="I1685" s="6" t="n">
        <v>0.243055555555556</v>
      </c>
      <c r="J1685" s="6" t="n">
        <v>0.364583333333333</v>
      </c>
      <c r="M1685" s="0" t="s">
        <v>9495</v>
      </c>
      <c r="N1685" s="0" t="s">
        <v>9496</v>
      </c>
      <c r="P1685" s="0" t="s">
        <v>9497</v>
      </c>
      <c r="Q1685" s="2" t="n">
        <v>43544</v>
      </c>
      <c r="S1685" s="0" t="n">
        <f aca="false">YEAR(Q1685)</f>
        <v>2019</v>
      </c>
      <c r="T1685" s="0" t="n">
        <f aca="false">MONTH(Q1685)</f>
        <v>3</v>
      </c>
    </row>
    <row r="1686" customFormat="false" ht="28.5" hidden="true" customHeight="false" outlineLevel="0" collapsed="false">
      <c r="A1686" s="0" t="n">
        <v>1690</v>
      </c>
      <c r="B1686" s="1" t="s">
        <v>1122</v>
      </c>
      <c r="C1686" s="1" t="s">
        <v>1503</v>
      </c>
      <c r="D1686" s="1" t="s">
        <v>1535</v>
      </c>
      <c r="E1686" s="0" t="s">
        <v>1503</v>
      </c>
      <c r="F1686" s="0" t="s">
        <v>48</v>
      </c>
      <c r="G1686" s="0" t="s">
        <v>9498</v>
      </c>
      <c r="I1686" s="6" t="n">
        <v>0.243055555555556</v>
      </c>
      <c r="J1686" s="6" t="n">
        <v>0.395833333333333</v>
      </c>
      <c r="L1686" s="0" t="n">
        <v>2710</v>
      </c>
      <c r="M1686" s="0" t="s">
        <v>9499</v>
      </c>
      <c r="N1686" s="0" t="s">
        <v>9500</v>
      </c>
      <c r="P1686" s="7" t="s">
        <v>9501</v>
      </c>
      <c r="Q1686" s="2" t="n">
        <v>43544</v>
      </c>
      <c r="S1686" s="0" t="n">
        <f aca="false">YEAR(Q1686)</f>
        <v>2019</v>
      </c>
      <c r="T1686" s="0" t="n">
        <f aca="false">MONTH(Q1686)</f>
        <v>3</v>
      </c>
    </row>
    <row r="1687" customFormat="false" ht="28.5" hidden="true" customHeight="false" outlineLevel="0" collapsed="false">
      <c r="A1687" s="0" t="n">
        <v>1691</v>
      </c>
      <c r="B1687" s="1" t="s">
        <v>1123</v>
      </c>
      <c r="C1687" s="1" t="s">
        <v>1479</v>
      </c>
      <c r="D1687" s="1" t="s">
        <v>1535</v>
      </c>
      <c r="E1687" s="0" t="s">
        <v>39</v>
      </c>
      <c r="F1687" s="0" t="s">
        <v>48</v>
      </c>
      <c r="G1687" s="0" t="s">
        <v>9502</v>
      </c>
      <c r="I1687" s="6" t="n">
        <v>0.513194444444444</v>
      </c>
      <c r="J1687" s="6" t="n">
        <v>0.529166666666667</v>
      </c>
      <c r="K1687" s="0" t="n">
        <v>19</v>
      </c>
      <c r="L1687" s="0" t="n">
        <v>16</v>
      </c>
      <c r="M1687" s="7" t="s">
        <v>9503</v>
      </c>
      <c r="N1687" s="0" t="s">
        <v>9504</v>
      </c>
      <c r="P1687" s="0" t="s">
        <v>9505</v>
      </c>
      <c r="Q1687" s="2" t="n">
        <v>43545</v>
      </c>
      <c r="S1687" s="0" t="n">
        <f aca="false">YEAR(Q1687)</f>
        <v>2019</v>
      </c>
      <c r="T1687" s="0" t="n">
        <f aca="false">MONTH(Q1687)</f>
        <v>3</v>
      </c>
    </row>
    <row r="1688" customFormat="false" ht="72" hidden="true" customHeight="false" outlineLevel="0" collapsed="false">
      <c r="A1688" s="0" t="n">
        <v>1692</v>
      </c>
      <c r="B1688" s="1" t="s">
        <v>1123</v>
      </c>
      <c r="C1688" s="1" t="s">
        <v>1503</v>
      </c>
      <c r="D1688" s="1" t="s">
        <v>1504</v>
      </c>
      <c r="E1688" s="0" t="s">
        <v>9506</v>
      </c>
      <c r="F1688" s="0" t="s">
        <v>49</v>
      </c>
      <c r="G1688" s="0" t="s">
        <v>9507</v>
      </c>
      <c r="J1688" s="6" t="n">
        <v>0.854166666666667</v>
      </c>
      <c r="M1688" s="0" t="s">
        <v>9508</v>
      </c>
      <c r="N1688" s="0" t="s">
        <v>4434</v>
      </c>
      <c r="P1688" s="7" t="s">
        <v>9509</v>
      </c>
      <c r="Q1688" s="2" t="n">
        <v>43545</v>
      </c>
      <c r="S1688" s="0" t="n">
        <f aca="false">YEAR(Q1688)</f>
        <v>2019</v>
      </c>
      <c r="T1688" s="0" t="n">
        <f aca="false">MONTH(Q1688)</f>
        <v>3</v>
      </c>
    </row>
    <row r="1689" customFormat="false" ht="28.5" hidden="true" customHeight="false" outlineLevel="0" collapsed="false">
      <c r="A1689" s="0" t="n">
        <v>1693</v>
      </c>
      <c r="B1689" s="1" t="s">
        <v>1124</v>
      </c>
      <c r="C1689" s="1" t="s">
        <v>1479</v>
      </c>
      <c r="D1689" s="1" t="s">
        <v>1487</v>
      </c>
      <c r="E1689" s="0" t="s">
        <v>1488</v>
      </c>
      <c r="F1689" s="0" t="s">
        <v>48</v>
      </c>
      <c r="G1689" s="0" t="s">
        <v>9510</v>
      </c>
      <c r="I1689" s="6" t="n">
        <v>0.38125</v>
      </c>
      <c r="J1689" s="6" t="n">
        <v>0.385416666666667</v>
      </c>
      <c r="K1689" s="0" t="n">
        <v>72</v>
      </c>
      <c r="L1689" s="0" t="n">
        <v>90</v>
      </c>
      <c r="M1689" s="0" t="s">
        <v>9511</v>
      </c>
      <c r="N1689" s="7" t="s">
        <v>9512</v>
      </c>
      <c r="O1689" s="7"/>
      <c r="P1689" s="7" t="s">
        <v>9513</v>
      </c>
      <c r="Q1689" s="2" t="n">
        <v>43546</v>
      </c>
      <c r="S1689" s="0" t="n">
        <f aca="false">YEAR(Q1689)</f>
        <v>2019</v>
      </c>
      <c r="T1689" s="0" t="n">
        <f aca="false">MONTH(Q1689)</f>
        <v>3</v>
      </c>
    </row>
    <row r="1690" customFormat="false" ht="42.75" hidden="true" customHeight="false" outlineLevel="0" collapsed="false">
      <c r="A1690" s="0" t="n">
        <v>1694</v>
      </c>
      <c r="B1690" s="1" t="s">
        <v>1124</v>
      </c>
      <c r="C1690" s="1" t="s">
        <v>1503</v>
      </c>
      <c r="D1690" s="1" t="s">
        <v>1535</v>
      </c>
      <c r="E1690" s="0" t="s">
        <v>44</v>
      </c>
      <c r="F1690" s="0" t="s">
        <v>48</v>
      </c>
      <c r="G1690" s="0" t="s">
        <v>9514</v>
      </c>
      <c r="J1690" s="6" t="n">
        <v>0.267361111111111</v>
      </c>
      <c r="L1690" s="0" t="n">
        <v>60</v>
      </c>
      <c r="M1690" s="0" t="s">
        <v>9515</v>
      </c>
      <c r="N1690" s="7" t="s">
        <v>9516</v>
      </c>
      <c r="O1690" s="7"/>
      <c r="P1690" s="0" t="s">
        <v>9517</v>
      </c>
      <c r="Q1690" s="2" t="n">
        <v>43546</v>
      </c>
      <c r="S1690" s="0" t="n">
        <f aca="false">YEAR(Q1690)</f>
        <v>2019</v>
      </c>
      <c r="T1690" s="0" t="n">
        <f aca="false">MONTH(Q1690)</f>
        <v>3</v>
      </c>
    </row>
    <row r="1691" customFormat="false" ht="14.25" hidden="true" customHeight="false" outlineLevel="0" collapsed="false">
      <c r="A1691" s="0" t="n">
        <v>1695</v>
      </c>
      <c r="B1691" s="1" t="s">
        <v>1124</v>
      </c>
      <c r="C1691" s="1" t="s">
        <v>1503</v>
      </c>
      <c r="D1691" s="1" t="s">
        <v>1535</v>
      </c>
      <c r="E1691" s="0" t="s">
        <v>44</v>
      </c>
      <c r="F1691" s="0" t="s">
        <v>48</v>
      </c>
      <c r="G1691" s="0" t="s">
        <v>9518</v>
      </c>
      <c r="J1691" s="6" t="n">
        <v>0.267361111111111</v>
      </c>
      <c r="L1691" s="0" t="n">
        <v>10</v>
      </c>
      <c r="M1691" s="0" t="s">
        <v>9519</v>
      </c>
      <c r="N1691" s="0" t="s">
        <v>9520</v>
      </c>
      <c r="P1691" s="0" t="s">
        <v>9521</v>
      </c>
      <c r="Q1691" s="2" t="n">
        <v>43546</v>
      </c>
      <c r="S1691" s="0" t="n">
        <f aca="false">YEAR(Q1691)</f>
        <v>2019</v>
      </c>
      <c r="T1691" s="0" t="n">
        <f aca="false">MONTH(Q1691)</f>
        <v>3</v>
      </c>
    </row>
    <row r="1692" customFormat="false" ht="14.25" hidden="true" customHeight="false" outlineLevel="0" collapsed="false">
      <c r="A1692" s="0" t="n">
        <v>1696</v>
      </c>
      <c r="B1692" s="1" t="s">
        <v>1124</v>
      </c>
      <c r="C1692" s="1" t="s">
        <v>1503</v>
      </c>
      <c r="D1692" s="1" t="s">
        <v>1535</v>
      </c>
      <c r="E1692" s="0" t="s">
        <v>44</v>
      </c>
      <c r="F1692" s="0" t="s">
        <v>50</v>
      </c>
      <c r="G1692" s="0" t="s">
        <v>9522</v>
      </c>
      <c r="I1692" s="6" t="n">
        <v>0.00694444444444444</v>
      </c>
      <c r="J1692" s="6" t="n">
        <v>0.0375</v>
      </c>
      <c r="L1692" s="0" t="n">
        <v>80</v>
      </c>
      <c r="M1692" s="0" t="s">
        <v>9523</v>
      </c>
      <c r="N1692" s="0" t="s">
        <v>9524</v>
      </c>
      <c r="P1692" s="0" t="s">
        <v>9525</v>
      </c>
      <c r="Q1692" s="2" t="n">
        <v>43546</v>
      </c>
      <c r="S1692" s="0" t="n">
        <f aca="false">YEAR(Q1692)</f>
        <v>2019</v>
      </c>
      <c r="T1692" s="0" t="n">
        <f aca="false">MONTH(Q1692)</f>
        <v>3</v>
      </c>
    </row>
    <row r="1693" customFormat="false" ht="14.25" hidden="true" customHeight="false" outlineLevel="0" collapsed="false">
      <c r="A1693" s="0" t="n">
        <v>1697</v>
      </c>
      <c r="B1693" s="1" t="s">
        <v>1124</v>
      </c>
      <c r="C1693" s="1" t="s">
        <v>1503</v>
      </c>
      <c r="D1693" s="1" t="s">
        <v>1535</v>
      </c>
      <c r="E1693" s="0" t="s">
        <v>44</v>
      </c>
      <c r="F1693" s="0" t="s">
        <v>50</v>
      </c>
      <c r="G1693" s="0" t="s">
        <v>9526</v>
      </c>
      <c r="I1693" s="6" t="n">
        <v>0.107638888888889</v>
      </c>
      <c r="J1693" s="6" t="n">
        <v>0.127083333333333</v>
      </c>
      <c r="L1693" s="0" t="n">
        <v>43</v>
      </c>
      <c r="M1693" s="0" t="s">
        <v>9527</v>
      </c>
      <c r="N1693" s="0" t="s">
        <v>9528</v>
      </c>
      <c r="P1693" s="0" t="s">
        <v>9529</v>
      </c>
      <c r="Q1693" s="2" t="n">
        <v>43546</v>
      </c>
      <c r="S1693" s="0" t="n">
        <f aca="false">YEAR(Q1693)</f>
        <v>2019</v>
      </c>
      <c r="T1693" s="0" t="n">
        <f aca="false">MONTH(Q1693)</f>
        <v>3</v>
      </c>
    </row>
    <row r="1694" customFormat="false" ht="28.5" hidden="true" customHeight="false" outlineLevel="0" collapsed="false">
      <c r="A1694" s="0" t="n">
        <v>1698</v>
      </c>
      <c r="B1694" s="1" t="s">
        <v>1124</v>
      </c>
      <c r="C1694" s="1" t="s">
        <v>1479</v>
      </c>
      <c r="D1694" s="1" t="s">
        <v>1535</v>
      </c>
      <c r="E1694" s="0" t="s">
        <v>39</v>
      </c>
      <c r="F1694" s="0" t="s">
        <v>50</v>
      </c>
      <c r="G1694" s="0" t="s">
        <v>8609</v>
      </c>
      <c r="I1694" s="6" t="n">
        <v>0.215277777777778</v>
      </c>
      <c r="J1694" s="6" t="n">
        <v>0.21875</v>
      </c>
      <c r="K1694" s="0" t="n">
        <v>0</v>
      </c>
      <c r="M1694" s="0" t="s">
        <v>9530</v>
      </c>
      <c r="N1694" s="7" t="s">
        <v>9531</v>
      </c>
      <c r="O1694" s="7"/>
      <c r="P1694" s="0" t="s">
        <v>9532</v>
      </c>
      <c r="Q1694" s="2" t="n">
        <v>43546</v>
      </c>
      <c r="S1694" s="0" t="n">
        <f aca="false">YEAR(Q1694)</f>
        <v>2019</v>
      </c>
      <c r="T1694" s="0" t="n">
        <f aca="false">MONTH(Q1694)</f>
        <v>3</v>
      </c>
    </row>
    <row r="1695" customFormat="false" ht="14.25" hidden="true" customHeight="false" outlineLevel="0" collapsed="false">
      <c r="A1695" s="0" t="n">
        <v>1699</v>
      </c>
      <c r="B1695" s="1" t="s">
        <v>1125</v>
      </c>
      <c r="C1695" s="1" t="s">
        <v>1479</v>
      </c>
      <c r="D1695" s="1" t="s">
        <v>1487</v>
      </c>
      <c r="E1695" s="0" t="s">
        <v>1488</v>
      </c>
      <c r="F1695" s="0" t="s">
        <v>50</v>
      </c>
      <c r="G1695" s="0" t="s">
        <v>9533</v>
      </c>
      <c r="J1695" s="6" t="n">
        <v>0.916666666666667</v>
      </c>
      <c r="M1695" s="0" t="s">
        <v>9534</v>
      </c>
      <c r="N1695" s="0" t="s">
        <v>9535</v>
      </c>
      <c r="P1695" s="0" t="s">
        <v>9536</v>
      </c>
      <c r="Q1695" s="2" t="n">
        <v>43548</v>
      </c>
      <c r="S1695" s="0" t="n">
        <f aca="false">YEAR(Q1695)</f>
        <v>2019</v>
      </c>
      <c r="T1695" s="0" t="n">
        <f aca="false">MONTH(Q1695)</f>
        <v>3</v>
      </c>
    </row>
    <row r="1696" customFormat="false" ht="42.75" hidden="true" customHeight="false" outlineLevel="0" collapsed="false">
      <c r="A1696" s="0" t="n">
        <v>1700</v>
      </c>
      <c r="B1696" s="1" t="s">
        <v>1123</v>
      </c>
      <c r="C1696" s="1" t="s">
        <v>1503</v>
      </c>
      <c r="D1696" s="1" t="s">
        <v>1504</v>
      </c>
      <c r="E1696" s="0" t="s">
        <v>9506</v>
      </c>
      <c r="F1696" s="0" t="s">
        <v>49</v>
      </c>
      <c r="G1696" s="0" t="s">
        <v>9537</v>
      </c>
      <c r="I1696" s="6" t="n">
        <v>0.597222222222222</v>
      </c>
      <c r="J1696" s="6" t="n">
        <v>0.729166666666667</v>
      </c>
      <c r="L1696" s="0" t="n">
        <v>235</v>
      </c>
      <c r="M1696" s="0" t="s">
        <v>9538</v>
      </c>
      <c r="N1696" s="7" t="s">
        <v>9539</v>
      </c>
      <c r="O1696" s="7"/>
      <c r="P1696" s="0" t="s">
        <v>9540</v>
      </c>
      <c r="Q1696" s="2" t="n">
        <v>43545</v>
      </c>
      <c r="S1696" s="0" t="n">
        <f aca="false">YEAR(Q1696)</f>
        <v>2019</v>
      </c>
      <c r="T1696" s="0" t="n">
        <f aca="false">MONTH(Q1696)</f>
        <v>3</v>
      </c>
    </row>
    <row r="1697" customFormat="false" ht="14.25" hidden="true" customHeight="false" outlineLevel="0" collapsed="false">
      <c r="A1697" s="0" t="n">
        <v>1701</v>
      </c>
      <c r="B1697" s="1" t="s">
        <v>1126</v>
      </c>
      <c r="C1697" s="1" t="s">
        <v>1503</v>
      </c>
      <c r="D1697" s="1" t="s">
        <v>1535</v>
      </c>
      <c r="E1697" s="0" t="s">
        <v>44</v>
      </c>
      <c r="F1697" s="0" t="s">
        <v>48</v>
      </c>
      <c r="G1697" s="0" t="s">
        <v>9541</v>
      </c>
      <c r="J1697" s="6" t="n">
        <v>0.226388888888889</v>
      </c>
      <c r="K1697" s="0" t="n">
        <v>0</v>
      </c>
      <c r="M1697" s="0" t="s">
        <v>9542</v>
      </c>
      <c r="N1697" s="0" t="s">
        <v>9543</v>
      </c>
      <c r="P1697" s="0" t="s">
        <v>9544</v>
      </c>
      <c r="Q1697" s="2" t="n">
        <v>43549</v>
      </c>
      <c r="S1697" s="0" t="n">
        <f aca="false">YEAR(Q1697)</f>
        <v>2019</v>
      </c>
      <c r="T1697" s="0" t="n">
        <f aca="false">MONTH(Q1697)</f>
        <v>3</v>
      </c>
    </row>
    <row r="1698" customFormat="false" ht="14.25" hidden="true" customHeight="false" outlineLevel="0" collapsed="false">
      <c r="A1698" s="0" t="n">
        <v>1702</v>
      </c>
      <c r="B1698" s="1" t="s">
        <v>1126</v>
      </c>
      <c r="C1698" s="1" t="s">
        <v>1503</v>
      </c>
      <c r="D1698" s="1" t="s">
        <v>1504</v>
      </c>
      <c r="E1698" s="0" t="s">
        <v>45</v>
      </c>
      <c r="F1698" s="0" t="s">
        <v>48</v>
      </c>
      <c r="G1698" s="0" t="s">
        <v>9545</v>
      </c>
      <c r="I1698" s="6" t="n">
        <v>0.243055555555556</v>
      </c>
      <c r="J1698" s="6" t="n">
        <v>0.290972222222222</v>
      </c>
      <c r="K1698" s="0" t="n">
        <v>0</v>
      </c>
      <c r="L1698" s="0" t="n">
        <v>100</v>
      </c>
      <c r="M1698" s="0" t="s">
        <v>9546</v>
      </c>
      <c r="N1698" s="0" t="s">
        <v>9547</v>
      </c>
      <c r="P1698" s="0" t="s">
        <v>9548</v>
      </c>
      <c r="Q1698" s="2" t="n">
        <v>43549</v>
      </c>
      <c r="S1698" s="0" t="n">
        <f aca="false">YEAR(Q1698)</f>
        <v>2019</v>
      </c>
      <c r="T1698" s="0" t="n">
        <f aca="false">MONTH(Q1698)</f>
        <v>3</v>
      </c>
    </row>
    <row r="1699" customFormat="false" ht="14.25" hidden="true" customHeight="false" outlineLevel="0" collapsed="false">
      <c r="A1699" s="0" t="n">
        <v>1703</v>
      </c>
      <c r="B1699" s="1" t="s">
        <v>1126</v>
      </c>
      <c r="C1699" s="1" t="s">
        <v>1479</v>
      </c>
      <c r="D1699" s="1" t="s">
        <v>1535</v>
      </c>
      <c r="E1699" s="0" t="s">
        <v>39</v>
      </c>
      <c r="F1699" s="0" t="s">
        <v>48</v>
      </c>
      <c r="G1699" s="0" t="s">
        <v>8322</v>
      </c>
      <c r="I1699" s="6" t="n">
        <v>0.431944444444444</v>
      </c>
      <c r="J1699" s="6" t="n">
        <v>0.438194444444444</v>
      </c>
      <c r="K1699" s="0" t="n">
        <v>0</v>
      </c>
      <c r="L1699" s="0" t="n">
        <v>140</v>
      </c>
      <c r="M1699" s="0" t="s">
        <v>9549</v>
      </c>
      <c r="N1699" s="0" t="s">
        <v>9550</v>
      </c>
      <c r="P1699" s="0" t="s">
        <v>9551</v>
      </c>
      <c r="Q1699" s="2" t="n">
        <v>43549</v>
      </c>
      <c r="S1699" s="0" t="n">
        <f aca="false">YEAR(Q1699)</f>
        <v>2019</v>
      </c>
      <c r="T1699" s="0" t="n">
        <f aca="false">MONTH(Q1699)</f>
        <v>3</v>
      </c>
    </row>
    <row r="1700" customFormat="false" ht="28.5" hidden="true" customHeight="false" outlineLevel="0" collapsed="false">
      <c r="A1700" s="0" t="n">
        <v>1704</v>
      </c>
      <c r="B1700" s="1" t="s">
        <v>1126</v>
      </c>
      <c r="C1700" s="1" t="s">
        <v>1479</v>
      </c>
      <c r="D1700" s="1" t="s">
        <v>1487</v>
      </c>
      <c r="E1700" s="0" t="s">
        <v>1488</v>
      </c>
      <c r="F1700" s="0" t="s">
        <v>48</v>
      </c>
      <c r="G1700" s="0" t="s">
        <v>9552</v>
      </c>
      <c r="I1700" s="6" t="n">
        <v>0.427083333333333</v>
      </c>
      <c r="J1700" s="6" t="n">
        <v>0.448611111111111</v>
      </c>
      <c r="M1700" s="0" t="s">
        <v>9553</v>
      </c>
      <c r="N1700" s="0" t="s">
        <v>9554</v>
      </c>
      <c r="P1700" s="7" t="s">
        <v>9555</v>
      </c>
      <c r="Q1700" s="2" t="n">
        <v>43549</v>
      </c>
      <c r="S1700" s="0" t="n">
        <f aca="false">YEAR(Q1700)</f>
        <v>2019</v>
      </c>
      <c r="T1700" s="0" t="n">
        <f aca="false">MONTH(Q1700)</f>
        <v>3</v>
      </c>
    </row>
    <row r="1701" customFormat="false" ht="14.25" hidden="true" customHeight="false" outlineLevel="0" collapsed="false">
      <c r="A1701" s="0" t="n">
        <v>1705</v>
      </c>
      <c r="B1701" s="1" t="s">
        <v>1126</v>
      </c>
      <c r="C1701" s="1" t="s">
        <v>1479</v>
      </c>
      <c r="D1701" s="1" t="s">
        <v>1535</v>
      </c>
      <c r="E1701" s="0" t="s">
        <v>39</v>
      </c>
      <c r="F1701" s="0" t="s">
        <v>49</v>
      </c>
      <c r="G1701" s="0" t="s">
        <v>9556</v>
      </c>
      <c r="I1701" s="6" t="n">
        <v>0.597222222222222</v>
      </c>
      <c r="J1701" s="6" t="n">
        <v>0.602777777777778</v>
      </c>
      <c r="K1701" s="0" t="n">
        <v>0</v>
      </c>
      <c r="L1701" s="0" t="n">
        <v>140</v>
      </c>
      <c r="M1701" s="0" t="s">
        <v>9557</v>
      </c>
      <c r="N1701" s="0" t="s">
        <v>3545</v>
      </c>
      <c r="P1701" s="0" t="s">
        <v>9558</v>
      </c>
      <c r="Q1701" s="2" t="n">
        <v>43549</v>
      </c>
      <c r="S1701" s="0" t="n">
        <f aca="false">YEAR(Q1701)</f>
        <v>2019</v>
      </c>
      <c r="T1701" s="0" t="n">
        <f aca="false">MONTH(Q1701)</f>
        <v>3</v>
      </c>
    </row>
    <row r="1702" customFormat="false" ht="14.25" hidden="true" customHeight="false" outlineLevel="0" collapsed="false">
      <c r="A1702" s="0" t="n">
        <v>1706</v>
      </c>
      <c r="B1702" s="1" t="s">
        <v>1126</v>
      </c>
      <c r="C1702" s="1" t="s">
        <v>1479</v>
      </c>
      <c r="D1702" s="1" t="s">
        <v>1487</v>
      </c>
      <c r="E1702" s="0" t="s">
        <v>1488</v>
      </c>
      <c r="F1702" s="0" t="s">
        <v>49</v>
      </c>
      <c r="G1702" s="0" t="s">
        <v>9559</v>
      </c>
      <c r="I1702" s="6" t="n">
        <v>0.618055555555556</v>
      </c>
      <c r="J1702" s="6" t="n">
        <v>0.638888888888889</v>
      </c>
      <c r="L1702" s="0" t="n">
        <v>48</v>
      </c>
      <c r="M1702" s="0" t="s">
        <v>9560</v>
      </c>
      <c r="N1702" s="0" t="s">
        <v>9561</v>
      </c>
      <c r="P1702" s="0" t="s">
        <v>9562</v>
      </c>
      <c r="Q1702" s="2" t="n">
        <v>43549</v>
      </c>
      <c r="S1702" s="0" t="n">
        <f aca="false">YEAR(Q1702)</f>
        <v>2019</v>
      </c>
      <c r="T1702" s="0" t="n">
        <f aca="false">MONTH(Q1702)</f>
        <v>3</v>
      </c>
    </row>
    <row r="1703" customFormat="false" ht="42.75" hidden="true" customHeight="false" outlineLevel="0" collapsed="false">
      <c r="A1703" s="0" t="n">
        <v>1707</v>
      </c>
      <c r="B1703" s="1" t="s">
        <v>1126</v>
      </c>
      <c r="C1703" s="1" t="s">
        <v>1503</v>
      </c>
      <c r="D1703" s="1" t="s">
        <v>1504</v>
      </c>
      <c r="E1703" s="0" t="s">
        <v>45</v>
      </c>
      <c r="F1703" s="0" t="s">
        <v>49</v>
      </c>
      <c r="G1703" s="0" t="s">
        <v>9563</v>
      </c>
      <c r="I1703" s="6" t="n">
        <v>0.597222222222222</v>
      </c>
      <c r="J1703" s="6" t="n">
        <v>0.708333333333333</v>
      </c>
      <c r="M1703" s="7" t="s">
        <v>9564</v>
      </c>
      <c r="N1703" s="0" t="s">
        <v>9565</v>
      </c>
      <c r="P1703" s="7" t="s">
        <v>9566</v>
      </c>
      <c r="Q1703" s="2" t="n">
        <v>43549</v>
      </c>
      <c r="S1703" s="0" t="n">
        <f aca="false">YEAR(Q1703)</f>
        <v>2019</v>
      </c>
      <c r="T1703" s="0" t="n">
        <f aca="false">MONTH(Q1703)</f>
        <v>3</v>
      </c>
    </row>
    <row r="1704" customFormat="false" ht="57" hidden="true" customHeight="false" outlineLevel="0" collapsed="false">
      <c r="A1704" s="0" t="n">
        <v>1708</v>
      </c>
      <c r="B1704" s="1" t="s">
        <v>1126</v>
      </c>
      <c r="C1704" s="1" t="s">
        <v>1479</v>
      </c>
      <c r="D1704" s="1" t="s">
        <v>1535</v>
      </c>
      <c r="E1704" s="0" t="s">
        <v>39</v>
      </c>
      <c r="F1704" s="0" t="s">
        <v>50</v>
      </c>
      <c r="G1704" s="0" t="s">
        <v>9567</v>
      </c>
      <c r="I1704" s="6" t="n">
        <v>0.0625</v>
      </c>
      <c r="J1704" s="6" t="n">
        <v>0.116666666666667</v>
      </c>
      <c r="K1704" s="0" t="n">
        <v>0</v>
      </c>
      <c r="M1704" s="0" t="s">
        <v>9568</v>
      </c>
      <c r="N1704" s="7" t="s">
        <v>9569</v>
      </c>
      <c r="O1704" s="7"/>
      <c r="P1704" s="0" t="s">
        <v>9570</v>
      </c>
      <c r="Q1704" s="2" t="n">
        <v>43549</v>
      </c>
      <c r="S1704" s="0" t="n">
        <f aca="false">YEAR(Q1704)</f>
        <v>2019</v>
      </c>
      <c r="T1704" s="0" t="n">
        <f aca="false">MONTH(Q1704)</f>
        <v>3</v>
      </c>
    </row>
    <row r="1705" customFormat="false" ht="28.5" hidden="true" customHeight="false" outlineLevel="0" collapsed="false">
      <c r="A1705" s="0" t="n">
        <v>1709</v>
      </c>
      <c r="B1705" s="1" t="s">
        <v>1126</v>
      </c>
      <c r="C1705" s="1" t="s">
        <v>1479</v>
      </c>
      <c r="D1705" s="1" t="s">
        <v>1496</v>
      </c>
      <c r="E1705" s="0" t="s">
        <v>38</v>
      </c>
      <c r="F1705" s="0" t="s">
        <v>50</v>
      </c>
      <c r="G1705" s="0" t="s">
        <v>9571</v>
      </c>
      <c r="I1705" s="6" t="n">
        <v>0.175</v>
      </c>
      <c r="J1705" s="6" t="n">
        <v>0.178472222222222</v>
      </c>
      <c r="K1705" s="0" t="n">
        <v>4</v>
      </c>
      <c r="L1705" s="0" t="n">
        <v>15</v>
      </c>
      <c r="M1705" s="0" t="s">
        <v>9572</v>
      </c>
      <c r="N1705" s="0" t="s">
        <v>9573</v>
      </c>
      <c r="P1705" s="7" t="s">
        <v>9574</v>
      </c>
      <c r="Q1705" s="2" t="n">
        <v>43549</v>
      </c>
      <c r="S1705" s="0" t="n">
        <f aca="false">YEAR(Q1705)</f>
        <v>2019</v>
      </c>
      <c r="T1705" s="0" t="n">
        <f aca="false">MONTH(Q1705)</f>
        <v>3</v>
      </c>
    </row>
    <row r="1706" customFormat="false" ht="72" hidden="true" customHeight="false" outlineLevel="0" collapsed="false">
      <c r="A1706" s="0" t="n">
        <v>1710</v>
      </c>
      <c r="B1706" s="1" t="s">
        <v>1126</v>
      </c>
      <c r="C1706" s="1" t="s">
        <v>1479</v>
      </c>
      <c r="D1706" s="1" t="s">
        <v>1480</v>
      </c>
      <c r="E1706" s="0" t="s">
        <v>43</v>
      </c>
      <c r="F1706" s="0" t="s">
        <v>50</v>
      </c>
      <c r="G1706" s="0" t="s">
        <v>9575</v>
      </c>
      <c r="J1706" s="6" t="n">
        <v>0.1875</v>
      </c>
      <c r="M1706" s="7" t="s">
        <v>9576</v>
      </c>
      <c r="N1706" s="0" t="s">
        <v>4484</v>
      </c>
      <c r="P1706" s="7" t="s">
        <v>9577</v>
      </c>
      <c r="Q1706" s="2" t="n">
        <v>43549</v>
      </c>
      <c r="S1706" s="0" t="n">
        <f aca="false">YEAR(Q1706)</f>
        <v>2019</v>
      </c>
      <c r="T1706" s="0" t="n">
        <f aca="false">MONTH(Q1706)</f>
        <v>3</v>
      </c>
    </row>
    <row r="1707" customFormat="false" ht="14.25" hidden="true" customHeight="false" outlineLevel="0" collapsed="false">
      <c r="A1707" s="0" t="n">
        <v>1711</v>
      </c>
      <c r="B1707" s="1" t="s">
        <v>1127</v>
      </c>
      <c r="C1707" s="1" t="s">
        <v>1479</v>
      </c>
      <c r="D1707" s="1" t="s">
        <v>1535</v>
      </c>
      <c r="E1707" s="0" t="s">
        <v>39</v>
      </c>
      <c r="F1707" s="0" t="s">
        <v>48</v>
      </c>
      <c r="G1707" s="0" t="s">
        <v>8634</v>
      </c>
      <c r="I1707" s="6" t="n">
        <v>0.416666666666667</v>
      </c>
      <c r="J1707" s="6" t="n">
        <v>0.430555555555556</v>
      </c>
      <c r="M1707" s="0" t="s">
        <v>9578</v>
      </c>
      <c r="N1707" s="0" t="s">
        <v>9579</v>
      </c>
      <c r="P1707" s="0" t="s">
        <v>9580</v>
      </c>
      <c r="Q1707" s="2" t="n">
        <v>43550</v>
      </c>
      <c r="S1707" s="0" t="n">
        <f aca="false">YEAR(Q1707)</f>
        <v>2019</v>
      </c>
      <c r="T1707" s="0" t="n">
        <f aca="false">MONTH(Q1707)</f>
        <v>3</v>
      </c>
    </row>
    <row r="1708" customFormat="false" ht="14.25" hidden="true" customHeight="false" outlineLevel="0" collapsed="false">
      <c r="A1708" s="0" t="n">
        <v>1712</v>
      </c>
      <c r="B1708" s="1" t="s">
        <v>1127</v>
      </c>
      <c r="C1708" s="1" t="s">
        <v>1479</v>
      </c>
      <c r="D1708" s="1" t="s">
        <v>1487</v>
      </c>
      <c r="E1708" s="0" t="s">
        <v>1488</v>
      </c>
      <c r="F1708" s="0" t="s">
        <v>49</v>
      </c>
      <c r="I1708" s="6" t="n">
        <v>0.715277777777778</v>
      </c>
      <c r="J1708" s="6" t="n">
        <v>0.729861111111111</v>
      </c>
      <c r="K1708" s="0" t="n">
        <v>0</v>
      </c>
      <c r="L1708" s="0" t="n">
        <v>80</v>
      </c>
      <c r="M1708" s="0" t="s">
        <v>9581</v>
      </c>
      <c r="N1708" s="0" t="s">
        <v>9582</v>
      </c>
      <c r="P1708" s="0" t="s">
        <v>9583</v>
      </c>
      <c r="Q1708" s="2" t="n">
        <v>43550</v>
      </c>
      <c r="S1708" s="0" t="n">
        <f aca="false">YEAR(Q1708)</f>
        <v>2019</v>
      </c>
      <c r="T1708" s="0" t="n">
        <f aca="false">MONTH(Q1708)</f>
        <v>3</v>
      </c>
    </row>
    <row r="1709" customFormat="false" ht="28.5" hidden="true" customHeight="false" outlineLevel="0" collapsed="false">
      <c r="A1709" s="0" t="n">
        <v>1713</v>
      </c>
      <c r="B1709" s="1" t="s">
        <v>1127</v>
      </c>
      <c r="C1709" s="1" t="s">
        <v>1479</v>
      </c>
      <c r="D1709" s="1" t="s">
        <v>1496</v>
      </c>
      <c r="E1709" s="0" t="s">
        <v>38</v>
      </c>
      <c r="F1709" s="0" t="s">
        <v>49</v>
      </c>
      <c r="G1709" s="0" t="s">
        <v>9584</v>
      </c>
      <c r="I1709" s="6" t="n">
        <v>0.847222222222222</v>
      </c>
      <c r="J1709" s="6" t="n">
        <v>0.857638888888889</v>
      </c>
      <c r="K1709" s="0" t="n">
        <v>34</v>
      </c>
      <c r="L1709" s="0" t="n">
        <v>32</v>
      </c>
      <c r="M1709" s="0" t="s">
        <v>9585</v>
      </c>
      <c r="N1709" s="0" t="s">
        <v>9586</v>
      </c>
      <c r="P1709" s="7" t="s">
        <v>9587</v>
      </c>
      <c r="Q1709" s="2" t="n">
        <v>43550</v>
      </c>
      <c r="S1709" s="0" t="n">
        <f aca="false">YEAR(Q1709)</f>
        <v>2019</v>
      </c>
      <c r="T1709" s="0" t="n">
        <f aca="false">MONTH(Q1709)</f>
        <v>3</v>
      </c>
    </row>
    <row r="1710" customFormat="false" ht="14.25" hidden="true" customHeight="false" outlineLevel="0" collapsed="false">
      <c r="A1710" s="0" t="n">
        <v>1714</v>
      </c>
      <c r="B1710" s="1" t="s">
        <v>1127</v>
      </c>
      <c r="C1710" s="1" t="s">
        <v>1503</v>
      </c>
      <c r="D1710" s="1" t="s">
        <v>1535</v>
      </c>
      <c r="E1710" s="0" t="s">
        <v>1503</v>
      </c>
      <c r="F1710" s="0" t="s">
        <v>50</v>
      </c>
      <c r="G1710" s="0" t="s">
        <v>9588</v>
      </c>
      <c r="I1710" s="6" t="n">
        <v>0.416666666666667</v>
      </c>
      <c r="J1710" s="6" t="n">
        <v>0.423611111111111</v>
      </c>
      <c r="K1710" s="0" t="n">
        <v>0</v>
      </c>
      <c r="L1710" s="0" t="n">
        <v>480</v>
      </c>
      <c r="M1710" s="0" t="s">
        <v>9589</v>
      </c>
      <c r="N1710" s="0" t="s">
        <v>9590</v>
      </c>
      <c r="P1710" s="0" t="s">
        <v>9591</v>
      </c>
      <c r="Q1710" s="2" t="n">
        <v>43550</v>
      </c>
      <c r="S1710" s="0" t="n">
        <f aca="false">YEAR(Q1710)</f>
        <v>2019</v>
      </c>
      <c r="T1710" s="0" t="n">
        <f aca="false">MONTH(Q1710)</f>
        <v>3</v>
      </c>
    </row>
    <row r="1711" customFormat="false" ht="14.25" hidden="true" customHeight="false" outlineLevel="0" collapsed="false">
      <c r="A1711" s="0" t="n">
        <v>1715</v>
      </c>
      <c r="B1711" s="1" t="s">
        <v>1127</v>
      </c>
      <c r="C1711" s="1" t="s">
        <v>1479</v>
      </c>
      <c r="D1711" s="1" t="s">
        <v>1487</v>
      </c>
      <c r="E1711" s="0" t="s">
        <v>1488</v>
      </c>
      <c r="F1711" s="0" t="s">
        <v>50</v>
      </c>
      <c r="G1711" s="0" t="s">
        <v>9592</v>
      </c>
      <c r="I1711" s="6" t="n">
        <v>0.0555555555555556</v>
      </c>
      <c r="J1711" s="6" t="n">
        <v>0.0833333333333333</v>
      </c>
      <c r="K1711" s="0" t="n">
        <v>0</v>
      </c>
      <c r="L1711" s="0" t="n">
        <v>60</v>
      </c>
      <c r="M1711" s="0" t="s">
        <v>9593</v>
      </c>
      <c r="N1711" s="0" t="s">
        <v>9594</v>
      </c>
      <c r="P1711" s="0" t="s">
        <v>9595</v>
      </c>
      <c r="Q1711" s="2" t="n">
        <v>43550</v>
      </c>
      <c r="S1711" s="0" t="n">
        <f aca="false">YEAR(Q1711)</f>
        <v>2019</v>
      </c>
      <c r="T1711" s="0" t="n">
        <f aca="false">MONTH(Q1711)</f>
        <v>3</v>
      </c>
    </row>
    <row r="1712" customFormat="false" ht="14.25" hidden="true" customHeight="false" outlineLevel="0" collapsed="false">
      <c r="A1712" s="0" t="n">
        <v>1716</v>
      </c>
      <c r="B1712" s="1" t="s">
        <v>1127</v>
      </c>
      <c r="C1712" s="1" t="s">
        <v>1479</v>
      </c>
      <c r="D1712" s="1" t="s">
        <v>1487</v>
      </c>
      <c r="E1712" s="0" t="s">
        <v>1488</v>
      </c>
      <c r="F1712" s="0" t="s">
        <v>50</v>
      </c>
      <c r="G1712" s="0" t="s">
        <v>9596</v>
      </c>
      <c r="I1712" s="6" t="n">
        <v>0.229166666666667</v>
      </c>
      <c r="J1712" s="6" t="n">
        <v>0.25</v>
      </c>
      <c r="K1712" s="0" t="n">
        <v>70</v>
      </c>
      <c r="L1712" s="0" t="n">
        <v>70</v>
      </c>
      <c r="M1712" s="0" t="s">
        <v>9597</v>
      </c>
      <c r="N1712" s="0" t="s">
        <v>3545</v>
      </c>
      <c r="P1712" s="0" t="s">
        <v>9598</v>
      </c>
      <c r="Q1712" s="2" t="n">
        <v>43550</v>
      </c>
      <c r="S1712" s="0" t="n">
        <f aca="false">YEAR(Q1712)</f>
        <v>2019</v>
      </c>
      <c r="T1712" s="0" t="n">
        <f aca="false">MONTH(Q1712)</f>
        <v>3</v>
      </c>
    </row>
    <row r="1713" customFormat="false" ht="14.25" hidden="true" customHeight="false" outlineLevel="0" collapsed="false">
      <c r="A1713" s="0" t="n">
        <v>1717</v>
      </c>
      <c r="B1713" s="1" t="s">
        <v>1128</v>
      </c>
      <c r="C1713" s="1" t="s">
        <v>1503</v>
      </c>
      <c r="D1713" s="1" t="s">
        <v>1504</v>
      </c>
      <c r="E1713" s="0" t="s">
        <v>9506</v>
      </c>
      <c r="F1713" s="0" t="s">
        <v>49</v>
      </c>
      <c r="G1713" s="0" t="s">
        <v>9599</v>
      </c>
      <c r="I1713" s="6" t="n">
        <v>0.677083333333333</v>
      </c>
      <c r="J1713" s="6" t="n">
        <v>0.729166666666667</v>
      </c>
      <c r="L1713" s="0" t="n">
        <v>105</v>
      </c>
      <c r="M1713" s="0" t="s">
        <v>9600</v>
      </c>
      <c r="N1713" s="0" t="s">
        <v>9601</v>
      </c>
      <c r="P1713" s="0" t="s">
        <v>9602</v>
      </c>
      <c r="Q1713" s="2" t="n">
        <v>43551</v>
      </c>
      <c r="S1713" s="0" t="n">
        <f aca="false">YEAR(Q1713)</f>
        <v>2019</v>
      </c>
      <c r="T1713" s="0" t="n">
        <f aca="false">MONTH(Q1713)</f>
        <v>3</v>
      </c>
    </row>
    <row r="1714" customFormat="false" ht="86.25" hidden="true" customHeight="false" outlineLevel="0" collapsed="false">
      <c r="A1714" s="0" t="n">
        <v>1718</v>
      </c>
      <c r="B1714" s="1" t="s">
        <v>1128</v>
      </c>
      <c r="C1714" s="1" t="s">
        <v>1503</v>
      </c>
      <c r="D1714" s="1" t="s">
        <v>1535</v>
      </c>
      <c r="E1714" s="0" t="s">
        <v>1503</v>
      </c>
      <c r="F1714" s="0" t="s">
        <v>50</v>
      </c>
      <c r="G1714" s="0" t="s">
        <v>9603</v>
      </c>
      <c r="J1714" s="6" t="n">
        <v>0.958333333333333</v>
      </c>
      <c r="M1714" s="0" t="s">
        <v>9604</v>
      </c>
      <c r="N1714" s="7" t="s">
        <v>9605</v>
      </c>
      <c r="O1714" s="7"/>
      <c r="P1714" s="7" t="s">
        <v>9606</v>
      </c>
      <c r="Q1714" s="2" t="n">
        <v>43551</v>
      </c>
      <c r="S1714" s="0" t="n">
        <f aca="false">YEAR(Q1714)</f>
        <v>2019</v>
      </c>
      <c r="T1714" s="0" t="n">
        <f aca="false">MONTH(Q1714)</f>
        <v>3</v>
      </c>
    </row>
    <row r="1715" customFormat="false" ht="72" hidden="true" customHeight="false" outlineLevel="0" collapsed="false">
      <c r="A1715" s="0" t="n">
        <v>1719</v>
      </c>
      <c r="B1715" s="1" t="s">
        <v>1129</v>
      </c>
      <c r="C1715" s="1" t="s">
        <v>1479</v>
      </c>
      <c r="D1715" s="1" t="s">
        <v>1487</v>
      </c>
      <c r="E1715" s="4" t="s">
        <v>1488</v>
      </c>
      <c r="F1715" s="0" t="s">
        <v>48</v>
      </c>
      <c r="G1715" s="0" t="s">
        <v>9607</v>
      </c>
      <c r="I1715" s="6" t="n">
        <v>0.556944444444444</v>
      </c>
      <c r="J1715" s="6" t="n">
        <v>0.595138888888889</v>
      </c>
      <c r="K1715" s="0" t="n">
        <v>21</v>
      </c>
      <c r="L1715" s="0" t="n">
        <v>60</v>
      </c>
      <c r="M1715" s="7" t="s">
        <v>9608</v>
      </c>
      <c r="N1715" s="0" t="s">
        <v>9609</v>
      </c>
      <c r="P1715" s="7" t="s">
        <v>9610</v>
      </c>
      <c r="Q1715" s="2" t="n">
        <v>43552</v>
      </c>
      <c r="S1715" s="0" t="n">
        <f aca="false">YEAR(Q1715)</f>
        <v>2019</v>
      </c>
      <c r="T1715" s="0" t="n">
        <f aca="false">MONTH(Q1715)</f>
        <v>3</v>
      </c>
    </row>
    <row r="1716" customFormat="false" ht="72" hidden="true" customHeight="false" outlineLevel="0" collapsed="false">
      <c r="A1716" s="0" t="n">
        <v>1720</v>
      </c>
      <c r="B1716" s="1" t="s">
        <v>1129</v>
      </c>
      <c r="C1716" s="1" t="s">
        <v>1503</v>
      </c>
      <c r="D1716" s="1" t="s">
        <v>1535</v>
      </c>
      <c r="E1716" s="0" t="s">
        <v>1503</v>
      </c>
      <c r="F1716" s="0" t="s">
        <v>50</v>
      </c>
      <c r="G1716" s="0" t="s">
        <v>9611</v>
      </c>
      <c r="I1716" s="6" t="n">
        <v>0.0451388888888889</v>
      </c>
      <c r="J1716" s="6" t="n">
        <v>0.0486111111111111</v>
      </c>
      <c r="K1716" s="0" t="n">
        <v>0</v>
      </c>
      <c r="L1716" s="0" t="n">
        <v>20</v>
      </c>
      <c r="M1716" s="0" t="s">
        <v>9612</v>
      </c>
      <c r="N1716" s="0" t="s">
        <v>9613</v>
      </c>
      <c r="P1716" s="7" t="s">
        <v>9614</v>
      </c>
      <c r="Q1716" s="2" t="n">
        <v>43552</v>
      </c>
      <c r="S1716" s="0" t="n">
        <f aca="false">YEAR(Q1716)</f>
        <v>2019</v>
      </c>
      <c r="T1716" s="0" t="n">
        <f aca="false">MONTH(Q1716)</f>
        <v>3</v>
      </c>
    </row>
    <row r="1717" customFormat="false" ht="14.25" hidden="true" customHeight="false" outlineLevel="0" collapsed="false">
      <c r="A1717" s="0" t="n">
        <v>1721</v>
      </c>
      <c r="B1717" s="1" t="s">
        <v>1129</v>
      </c>
      <c r="C1717" s="1" t="s">
        <v>1479</v>
      </c>
      <c r="D1717" s="1" t="s">
        <v>1487</v>
      </c>
      <c r="E1717" s="4" t="s">
        <v>1488</v>
      </c>
      <c r="F1717" s="0" t="s">
        <v>50</v>
      </c>
      <c r="G1717" s="0" t="s">
        <v>3267</v>
      </c>
      <c r="I1717" s="6" t="n">
        <v>0.0833333333333333</v>
      </c>
      <c r="J1717" s="6" t="n">
        <v>0.100694444444444</v>
      </c>
      <c r="K1717" s="0" t="n">
        <v>75</v>
      </c>
      <c r="L1717" s="0" t="n">
        <v>93</v>
      </c>
      <c r="M1717" s="0" t="s">
        <v>9615</v>
      </c>
      <c r="N1717" s="0" t="s">
        <v>9616</v>
      </c>
      <c r="P1717" s="0" t="s">
        <v>9617</v>
      </c>
      <c r="Q1717" s="2" t="n">
        <v>43552</v>
      </c>
      <c r="S1717" s="0" t="n">
        <f aca="false">YEAR(Q1717)</f>
        <v>2019</v>
      </c>
      <c r="T1717" s="0" t="n">
        <f aca="false">MONTH(Q1717)</f>
        <v>3</v>
      </c>
    </row>
    <row r="1718" customFormat="false" ht="28.5" hidden="true" customHeight="false" outlineLevel="0" collapsed="false">
      <c r="A1718" s="0" t="n">
        <v>1722</v>
      </c>
      <c r="B1718" s="1" t="s">
        <v>1130</v>
      </c>
      <c r="C1718" s="1" t="s">
        <v>1479</v>
      </c>
      <c r="D1718" s="1" t="s">
        <v>1480</v>
      </c>
      <c r="E1718" s="0" t="s">
        <v>43</v>
      </c>
      <c r="F1718" s="0" t="s">
        <v>48</v>
      </c>
      <c r="G1718" s="0" t="s">
        <v>9618</v>
      </c>
      <c r="I1718" s="6" t="n">
        <v>0.265277777777778</v>
      </c>
      <c r="J1718" s="6" t="n">
        <v>0.320138888888889</v>
      </c>
      <c r="K1718" s="0" t="n">
        <v>0</v>
      </c>
      <c r="L1718" s="0" t="n">
        <v>140</v>
      </c>
      <c r="M1718" s="0" t="s">
        <v>9619</v>
      </c>
      <c r="N1718" s="7" t="s">
        <v>9620</v>
      </c>
      <c r="O1718" s="7"/>
      <c r="P1718" s="0" t="s">
        <v>9621</v>
      </c>
      <c r="Q1718" s="2" t="n">
        <v>43553</v>
      </c>
      <c r="S1718" s="0" t="n">
        <f aca="false">YEAR(Q1718)</f>
        <v>2019</v>
      </c>
      <c r="T1718" s="0" t="n">
        <f aca="false">MONTH(Q1718)</f>
        <v>3</v>
      </c>
    </row>
    <row r="1719" customFormat="false" ht="72" hidden="true" customHeight="false" outlineLevel="0" collapsed="false">
      <c r="A1719" s="0" t="n">
        <v>1723</v>
      </c>
      <c r="B1719" s="1" t="s">
        <v>1130</v>
      </c>
      <c r="C1719" s="1" t="s">
        <v>1479</v>
      </c>
      <c r="D1719" s="1" t="s">
        <v>1487</v>
      </c>
      <c r="E1719" s="0" t="s">
        <v>1488</v>
      </c>
      <c r="F1719" s="0" t="s">
        <v>48</v>
      </c>
      <c r="G1719" s="0" t="s">
        <v>9622</v>
      </c>
      <c r="I1719" s="6" t="n">
        <v>0.326388888888889</v>
      </c>
      <c r="J1719" s="6" t="n">
        <v>0.326388888888889</v>
      </c>
      <c r="K1719" s="0" t="n">
        <v>0</v>
      </c>
      <c r="L1719" s="0" t="n">
        <v>44</v>
      </c>
      <c r="M1719" s="0" t="s">
        <v>9623</v>
      </c>
      <c r="N1719" s="7" t="s">
        <v>9624</v>
      </c>
      <c r="O1719" s="7"/>
      <c r="P1719" s="7" t="s">
        <v>9625</v>
      </c>
      <c r="Q1719" s="2" t="n">
        <v>43553</v>
      </c>
      <c r="S1719" s="0" t="n">
        <f aca="false">YEAR(Q1719)</f>
        <v>2019</v>
      </c>
      <c r="T1719" s="0" t="n">
        <f aca="false">MONTH(Q1719)</f>
        <v>3</v>
      </c>
    </row>
    <row r="1720" customFormat="false" ht="14.25" hidden="true" customHeight="false" outlineLevel="0" collapsed="false">
      <c r="A1720" s="0" t="n">
        <v>1724</v>
      </c>
      <c r="B1720" s="1" t="s">
        <v>1130</v>
      </c>
      <c r="C1720" s="1" t="s">
        <v>1479</v>
      </c>
      <c r="D1720" s="1" t="s">
        <v>1535</v>
      </c>
      <c r="E1720" s="0" t="s">
        <v>39</v>
      </c>
      <c r="F1720" s="0" t="s">
        <v>48</v>
      </c>
      <c r="G1720" s="0" t="s">
        <v>9626</v>
      </c>
      <c r="I1720" s="6" t="n">
        <v>0.439583333333333</v>
      </c>
      <c r="L1720" s="0" t="n">
        <v>4</v>
      </c>
      <c r="M1720" s="0" t="s">
        <v>9627</v>
      </c>
      <c r="N1720" s="0" t="s">
        <v>9628</v>
      </c>
      <c r="P1720" s="0" t="s">
        <v>9629</v>
      </c>
      <c r="Q1720" s="2" t="n">
        <v>43553</v>
      </c>
      <c r="S1720" s="0" t="n">
        <f aca="false">YEAR(Q1720)</f>
        <v>2019</v>
      </c>
      <c r="T1720" s="0" t="n">
        <f aca="false">MONTH(Q1720)</f>
        <v>3</v>
      </c>
    </row>
    <row r="1721" customFormat="false" ht="14.25" hidden="true" customHeight="false" outlineLevel="0" collapsed="false">
      <c r="A1721" s="0" t="n">
        <v>1725</v>
      </c>
      <c r="B1721" s="1" t="s">
        <v>1131</v>
      </c>
      <c r="C1721" s="1" t="s">
        <v>1503</v>
      </c>
      <c r="D1721" s="1" t="s">
        <v>1504</v>
      </c>
      <c r="E1721" s="0" t="s">
        <v>45</v>
      </c>
      <c r="F1721" s="0" t="s">
        <v>48</v>
      </c>
      <c r="G1721" s="0" t="s">
        <v>9630</v>
      </c>
      <c r="I1721" s="20" t="n">
        <v>3</v>
      </c>
      <c r="L1721" s="0" t="n">
        <v>60</v>
      </c>
      <c r="M1721" s="0" t="s">
        <v>9631</v>
      </c>
      <c r="N1721" s="0" t="s">
        <v>9632</v>
      </c>
      <c r="P1721" s="0" t="s">
        <v>9633</v>
      </c>
      <c r="Q1721" s="2" t="n">
        <v>43554</v>
      </c>
      <c r="S1721" s="0" t="n">
        <f aca="false">YEAR(Q1721)</f>
        <v>2019</v>
      </c>
      <c r="T1721" s="0" t="n">
        <f aca="false">MONTH(Q1721)</f>
        <v>3</v>
      </c>
    </row>
    <row r="1722" customFormat="false" ht="42.75" hidden="true" customHeight="false" outlineLevel="0" collapsed="false">
      <c r="A1722" s="0" t="n">
        <v>1726</v>
      </c>
      <c r="B1722" s="1" t="s">
        <v>1131</v>
      </c>
      <c r="C1722" s="1" t="s">
        <v>1503</v>
      </c>
      <c r="D1722" s="1" t="s">
        <v>1504</v>
      </c>
      <c r="E1722" s="0" t="s">
        <v>45</v>
      </c>
      <c r="F1722" s="0" t="s">
        <v>48</v>
      </c>
      <c r="G1722" s="0" t="s">
        <v>9634</v>
      </c>
      <c r="I1722" s="6" t="n">
        <v>0.270833333333333</v>
      </c>
      <c r="J1722" s="6" t="n">
        <v>0.333333333333333</v>
      </c>
      <c r="L1722" s="0" t="n">
        <v>330</v>
      </c>
      <c r="M1722" s="0" t="s">
        <v>9635</v>
      </c>
      <c r="N1722" s="7" t="s">
        <v>9636</v>
      </c>
      <c r="O1722" s="7"/>
      <c r="P1722" s="7" t="s">
        <v>9637</v>
      </c>
      <c r="Q1722" s="2" t="n">
        <v>43554</v>
      </c>
      <c r="S1722" s="0" t="n">
        <f aca="false">YEAR(Q1722)</f>
        <v>2019</v>
      </c>
      <c r="T1722" s="0" t="n">
        <f aca="false">MONTH(Q1722)</f>
        <v>3</v>
      </c>
    </row>
    <row r="1723" customFormat="false" ht="28.5" hidden="true" customHeight="false" outlineLevel="0" collapsed="false">
      <c r="A1723" s="0" t="n">
        <v>1727</v>
      </c>
      <c r="B1723" s="1" t="s">
        <v>1132</v>
      </c>
      <c r="C1723" s="1" t="s">
        <v>1479</v>
      </c>
      <c r="D1723" s="1" t="s">
        <v>1496</v>
      </c>
      <c r="E1723" s="0" t="s">
        <v>38</v>
      </c>
      <c r="F1723" s="0" t="s">
        <v>50</v>
      </c>
      <c r="G1723" s="0" t="s">
        <v>9638</v>
      </c>
      <c r="I1723" s="6" t="n">
        <v>0.916666666666667</v>
      </c>
      <c r="J1723" s="6" t="n">
        <v>0.833333333333333</v>
      </c>
      <c r="K1723" s="0" t="n">
        <v>55</v>
      </c>
      <c r="L1723" s="0" t="n">
        <v>80</v>
      </c>
      <c r="M1723" s="0" t="s">
        <v>9639</v>
      </c>
      <c r="N1723" s="7" t="s">
        <v>9640</v>
      </c>
      <c r="O1723" s="7"/>
      <c r="P1723" s="0" t="s">
        <v>9641</v>
      </c>
      <c r="Q1723" s="2" t="n">
        <v>43555</v>
      </c>
      <c r="S1723" s="0" t="n">
        <f aca="false">YEAR(Q1723)</f>
        <v>2019</v>
      </c>
      <c r="T1723" s="0" t="n">
        <f aca="false">MONTH(Q1723)</f>
        <v>3</v>
      </c>
    </row>
    <row r="1724" customFormat="false" ht="28.5" hidden="true" customHeight="false" outlineLevel="0" collapsed="false">
      <c r="A1724" s="0" t="n">
        <v>1728</v>
      </c>
      <c r="B1724" s="1" t="s">
        <v>1132</v>
      </c>
      <c r="C1724" s="1" t="s">
        <v>1503</v>
      </c>
      <c r="D1724" s="1" t="s">
        <v>1535</v>
      </c>
      <c r="E1724" s="0" t="s">
        <v>1503</v>
      </c>
      <c r="F1724" s="0" t="s">
        <v>50</v>
      </c>
      <c r="G1724" s="0" t="s">
        <v>8655</v>
      </c>
      <c r="I1724" s="6" t="n">
        <v>0.916666666666667</v>
      </c>
      <c r="J1724" s="6" t="n">
        <v>0.916666666666667</v>
      </c>
      <c r="L1724" s="0" t="n">
        <v>120</v>
      </c>
      <c r="M1724" s="0" t="s">
        <v>9642</v>
      </c>
      <c r="N1724" s="0" t="s">
        <v>9643</v>
      </c>
      <c r="P1724" s="7" t="s">
        <v>9644</v>
      </c>
      <c r="Q1724" s="2" t="n">
        <v>43555</v>
      </c>
      <c r="S1724" s="0" t="n">
        <f aca="false">YEAR(Q1724)</f>
        <v>2019</v>
      </c>
      <c r="T1724" s="0" t="n">
        <f aca="false">MONTH(Q1724)</f>
        <v>3</v>
      </c>
    </row>
    <row r="1725" customFormat="false" ht="28.5" hidden="true" customHeight="false" outlineLevel="0" collapsed="false">
      <c r="A1725" s="0" t="n">
        <v>1729</v>
      </c>
      <c r="B1725" s="1" t="s">
        <v>1132</v>
      </c>
      <c r="C1725" s="1" t="s">
        <v>1503</v>
      </c>
      <c r="D1725" s="1" t="s">
        <v>1535</v>
      </c>
      <c r="E1725" s="0" t="s">
        <v>1503</v>
      </c>
      <c r="F1725" s="0" t="s">
        <v>50</v>
      </c>
      <c r="G1725" s="0" t="s">
        <v>9645</v>
      </c>
      <c r="I1725" s="6" t="n">
        <v>0.916666666666667</v>
      </c>
      <c r="J1725" s="6" t="n">
        <v>0.916666666666667</v>
      </c>
      <c r="L1725" s="0" t="n">
        <v>120</v>
      </c>
      <c r="M1725" s="0" t="s">
        <v>9646</v>
      </c>
      <c r="N1725" s="7" t="s">
        <v>9647</v>
      </c>
      <c r="O1725" s="7"/>
      <c r="P1725" s="0" t="s">
        <v>9648</v>
      </c>
      <c r="Q1725" s="2" t="n">
        <v>43555</v>
      </c>
      <c r="S1725" s="0" t="n">
        <f aca="false">YEAR(Q1725)</f>
        <v>2019</v>
      </c>
      <c r="T1725" s="0" t="n">
        <f aca="false">MONTH(Q1725)</f>
        <v>3</v>
      </c>
    </row>
    <row r="1726" customFormat="false" ht="14.25" hidden="true" customHeight="false" outlineLevel="0" collapsed="false">
      <c r="A1726" s="0" t="n">
        <v>1730</v>
      </c>
      <c r="B1726" s="1" t="s">
        <v>1132</v>
      </c>
      <c r="C1726" s="1" t="s">
        <v>1479</v>
      </c>
      <c r="D1726" s="1" t="s">
        <v>1487</v>
      </c>
      <c r="E1726" s="0" t="s">
        <v>1488</v>
      </c>
      <c r="F1726" s="0" t="s">
        <v>50</v>
      </c>
      <c r="G1726" s="0" t="s">
        <v>9649</v>
      </c>
      <c r="I1726" s="6" t="n">
        <v>0.125</v>
      </c>
      <c r="M1726" s="0" t="s">
        <v>9650</v>
      </c>
      <c r="N1726" s="0" t="s">
        <v>9651</v>
      </c>
      <c r="P1726" s="0" t="s">
        <v>9652</v>
      </c>
      <c r="Q1726" s="2" t="n">
        <v>43555</v>
      </c>
      <c r="S1726" s="0" t="n">
        <f aca="false">YEAR(Q1726)</f>
        <v>2019</v>
      </c>
      <c r="T1726" s="0" t="n">
        <f aca="false">MONTH(Q1726)</f>
        <v>3</v>
      </c>
    </row>
    <row r="1727" customFormat="false" ht="14.25" hidden="true" customHeight="false" outlineLevel="0" collapsed="false">
      <c r="A1727" s="0" t="n">
        <v>1731</v>
      </c>
      <c r="B1727" s="1" t="s">
        <v>1132</v>
      </c>
      <c r="C1727" s="1" t="s">
        <v>1503</v>
      </c>
      <c r="D1727" s="1" t="s">
        <v>1648</v>
      </c>
      <c r="E1727" s="0" t="s">
        <v>1648</v>
      </c>
      <c r="F1727" s="0" t="s">
        <v>50</v>
      </c>
      <c r="G1727" s="0" t="s">
        <v>9653</v>
      </c>
      <c r="I1727" s="6" t="n">
        <v>0.166666666666667</v>
      </c>
      <c r="J1727" s="6" t="n">
        <v>0.180555555555556</v>
      </c>
      <c r="K1727" s="0" t="n">
        <v>0</v>
      </c>
      <c r="M1727" s="0" t="s">
        <v>9654</v>
      </c>
      <c r="N1727" s="0" t="s">
        <v>9655</v>
      </c>
      <c r="P1727" s="0" t="s">
        <v>9656</v>
      </c>
      <c r="Q1727" s="2" t="n">
        <v>43555</v>
      </c>
      <c r="S1727" s="0" t="n">
        <f aca="false">YEAR(Q1727)</f>
        <v>2019</v>
      </c>
      <c r="T1727" s="0" t="n">
        <f aca="false">MONTH(Q1727)</f>
        <v>3</v>
      </c>
    </row>
    <row r="1728" customFormat="false" ht="14.25" hidden="true" customHeight="false" outlineLevel="0" collapsed="false">
      <c r="A1728" s="0" t="n">
        <v>1732</v>
      </c>
      <c r="B1728" s="1" t="s">
        <v>1133</v>
      </c>
      <c r="C1728" s="1" t="s">
        <v>1495</v>
      </c>
      <c r="D1728" s="1" t="s">
        <v>1487</v>
      </c>
      <c r="E1728" s="0" t="s">
        <v>40</v>
      </c>
      <c r="F1728" s="0" t="s">
        <v>48</v>
      </c>
      <c r="G1728" s="0" t="s">
        <v>9657</v>
      </c>
      <c r="I1728" s="6" t="n">
        <v>0.236111111111111</v>
      </c>
      <c r="J1728" s="6" t="n">
        <v>0.257638888888889</v>
      </c>
      <c r="K1728" s="0" t="n">
        <v>0</v>
      </c>
      <c r="L1728" s="0" t="n">
        <v>50</v>
      </c>
      <c r="M1728" s="0" t="s">
        <v>9658</v>
      </c>
      <c r="N1728" s="0" t="s">
        <v>9659</v>
      </c>
      <c r="P1728" s="0" t="s">
        <v>9660</v>
      </c>
      <c r="Q1728" s="2" t="n">
        <v>43556</v>
      </c>
      <c r="S1728" s="0" t="n">
        <f aca="false">YEAR(Q1728)</f>
        <v>2019</v>
      </c>
      <c r="T1728" s="0" t="n">
        <f aca="false">MONTH(Q1728)</f>
        <v>4</v>
      </c>
    </row>
    <row r="1729" customFormat="false" ht="28.5" hidden="true" customHeight="false" outlineLevel="0" collapsed="false">
      <c r="A1729" s="0" t="n">
        <v>1733</v>
      </c>
      <c r="B1729" s="1" t="s">
        <v>1133</v>
      </c>
      <c r="C1729" s="1" t="s">
        <v>1479</v>
      </c>
      <c r="D1729" s="1" t="s">
        <v>1487</v>
      </c>
      <c r="E1729" s="0" t="s">
        <v>1488</v>
      </c>
      <c r="F1729" s="0" t="s">
        <v>49</v>
      </c>
      <c r="G1729" s="0" t="s">
        <v>9661</v>
      </c>
      <c r="I1729" s="6" t="n">
        <v>0.604166666666667</v>
      </c>
      <c r="J1729" s="6" t="n">
        <v>0.605555555555555</v>
      </c>
      <c r="L1729" s="0" t="n">
        <v>160</v>
      </c>
      <c r="M1729" s="0" t="s">
        <v>9662</v>
      </c>
      <c r="N1729" s="0" t="s">
        <v>9663</v>
      </c>
      <c r="P1729" s="7" t="s">
        <v>9664</v>
      </c>
      <c r="Q1729" s="2" t="n">
        <v>43556</v>
      </c>
      <c r="S1729" s="0" t="n">
        <f aca="false">YEAR(Q1729)</f>
        <v>2019</v>
      </c>
      <c r="T1729" s="0" t="n">
        <f aca="false">MONTH(Q1729)</f>
        <v>4</v>
      </c>
    </row>
    <row r="1730" customFormat="false" ht="28.5" hidden="true" customHeight="false" outlineLevel="0" collapsed="false">
      <c r="A1730" s="0" t="n">
        <v>1734</v>
      </c>
      <c r="B1730" s="1" t="s">
        <v>1134</v>
      </c>
      <c r="C1730" s="1" t="s">
        <v>1479</v>
      </c>
      <c r="D1730" s="1" t="s">
        <v>1496</v>
      </c>
      <c r="E1730" s="0" t="s">
        <v>38</v>
      </c>
      <c r="F1730" s="0" t="s">
        <v>48</v>
      </c>
      <c r="G1730" s="0" t="s">
        <v>9665</v>
      </c>
      <c r="I1730" s="6" t="n">
        <v>0.295138888888889</v>
      </c>
      <c r="J1730" s="6" t="n">
        <v>0.307638888888889</v>
      </c>
      <c r="K1730" s="0" t="n">
        <v>114</v>
      </c>
      <c r="L1730" s="0" t="n">
        <v>175</v>
      </c>
      <c r="M1730" s="7" t="s">
        <v>9666</v>
      </c>
      <c r="N1730" s="0" t="s">
        <v>9667</v>
      </c>
      <c r="P1730" s="0" t="s">
        <v>9668</v>
      </c>
      <c r="Q1730" s="2" t="n">
        <v>43557</v>
      </c>
      <c r="S1730" s="0" t="n">
        <f aca="false">YEAR(Q1730)</f>
        <v>2019</v>
      </c>
      <c r="T1730" s="0" t="n">
        <f aca="false">MONTH(Q1730)</f>
        <v>4</v>
      </c>
    </row>
    <row r="1731" customFormat="false" ht="14.25" hidden="true" customHeight="false" outlineLevel="0" collapsed="false">
      <c r="A1731" s="0" t="n">
        <v>1735</v>
      </c>
      <c r="B1731" s="1" t="s">
        <v>1134</v>
      </c>
      <c r="C1731" s="1" t="s">
        <v>1479</v>
      </c>
      <c r="D1731" s="1" t="s">
        <v>1496</v>
      </c>
      <c r="E1731" s="0" t="s">
        <v>38</v>
      </c>
      <c r="F1731" s="0" t="s">
        <v>48</v>
      </c>
      <c r="G1731" s="0" t="s">
        <v>9669</v>
      </c>
      <c r="I1731" s="6" t="n">
        <v>0.411805555555556</v>
      </c>
      <c r="J1731" s="6" t="n">
        <v>0.432638888888889</v>
      </c>
      <c r="K1731" s="0" t="n">
        <v>15</v>
      </c>
      <c r="L1731" s="0" t="n">
        <v>40</v>
      </c>
      <c r="M1731" s="0" t="s">
        <v>9670</v>
      </c>
      <c r="N1731" s="0" t="s">
        <v>9671</v>
      </c>
      <c r="P1731" s="0" t="s">
        <v>9672</v>
      </c>
      <c r="Q1731" s="2" t="n">
        <v>43557</v>
      </c>
      <c r="S1731" s="0" t="n">
        <f aca="false">YEAR(Q1731)</f>
        <v>2019</v>
      </c>
      <c r="T1731" s="0" t="n">
        <f aca="false">MONTH(Q1731)</f>
        <v>4</v>
      </c>
    </row>
    <row r="1732" customFormat="false" ht="14.25" hidden="true" customHeight="false" outlineLevel="0" collapsed="false">
      <c r="A1732" s="0" t="n">
        <v>1736</v>
      </c>
      <c r="B1732" s="1" t="s">
        <v>1134</v>
      </c>
      <c r="C1732" s="1" t="s">
        <v>1503</v>
      </c>
      <c r="D1732" s="1" t="s">
        <v>1504</v>
      </c>
      <c r="E1732" s="0" t="s">
        <v>45</v>
      </c>
      <c r="F1732" s="0" t="s">
        <v>49</v>
      </c>
      <c r="G1732" s="0" t="s">
        <v>9673</v>
      </c>
      <c r="I1732" s="6" t="n">
        <v>0.75</v>
      </c>
      <c r="J1732" s="6" t="n">
        <v>0.755555555555556</v>
      </c>
      <c r="L1732" s="0" t="n">
        <v>180</v>
      </c>
      <c r="M1732" s="0" t="s">
        <v>9674</v>
      </c>
      <c r="N1732" s="0" t="s">
        <v>9675</v>
      </c>
      <c r="P1732" s="0" t="s">
        <v>9676</v>
      </c>
      <c r="Q1732" s="2" t="n">
        <v>43557</v>
      </c>
      <c r="S1732" s="0" t="n">
        <f aca="false">YEAR(Q1732)</f>
        <v>2019</v>
      </c>
      <c r="T1732" s="0" t="n">
        <f aca="false">MONTH(Q1732)</f>
        <v>4</v>
      </c>
    </row>
    <row r="1733" customFormat="false" ht="42.75" hidden="true" customHeight="false" outlineLevel="0" collapsed="false">
      <c r="A1733" s="0" t="n">
        <v>1737</v>
      </c>
      <c r="B1733" s="1" t="s">
        <v>1136</v>
      </c>
      <c r="C1733" s="1" t="s">
        <v>1503</v>
      </c>
      <c r="D1733" s="1" t="s">
        <v>1535</v>
      </c>
      <c r="E1733" s="0" t="s">
        <v>44</v>
      </c>
      <c r="F1733" s="0" t="s">
        <v>48</v>
      </c>
      <c r="G1733" s="0" t="s">
        <v>8350</v>
      </c>
      <c r="I1733" s="6" t="n">
        <v>0.402777777777778</v>
      </c>
      <c r="J1733" s="6" t="n">
        <v>0.409722222222222</v>
      </c>
      <c r="K1733" s="0" t="n">
        <v>20</v>
      </c>
      <c r="L1733" s="0" t="n">
        <v>20</v>
      </c>
      <c r="M1733" s="0" t="s">
        <v>9677</v>
      </c>
      <c r="N1733" s="0" t="s">
        <v>9678</v>
      </c>
      <c r="P1733" s="7" t="s">
        <v>9679</v>
      </c>
      <c r="Q1733" s="2" t="n">
        <v>43558</v>
      </c>
      <c r="S1733" s="0" t="n">
        <f aca="false">YEAR(Q1733)</f>
        <v>2019</v>
      </c>
      <c r="T1733" s="0" t="n">
        <f aca="false">MONTH(Q1733)</f>
        <v>4</v>
      </c>
    </row>
    <row r="1734" customFormat="false" ht="14.25" hidden="true" customHeight="false" outlineLevel="0" collapsed="false">
      <c r="A1734" s="0" t="n">
        <v>1738</v>
      </c>
      <c r="B1734" s="1" t="s">
        <v>1136</v>
      </c>
      <c r="C1734" s="1" t="s">
        <v>1503</v>
      </c>
      <c r="D1734" s="1" t="s">
        <v>1535</v>
      </c>
      <c r="E1734" s="0" t="s">
        <v>44</v>
      </c>
      <c r="F1734" s="0" t="s">
        <v>48</v>
      </c>
      <c r="G1734" s="0" t="s">
        <v>9680</v>
      </c>
      <c r="K1734" s="0" t="n">
        <v>8</v>
      </c>
      <c r="L1734" s="0" t="n">
        <v>8</v>
      </c>
      <c r="M1734" s="0" t="s">
        <v>9681</v>
      </c>
      <c r="N1734" s="0" t="s">
        <v>9682</v>
      </c>
      <c r="P1734" s="0" t="s">
        <v>9683</v>
      </c>
      <c r="Q1734" s="2" t="n">
        <v>43558</v>
      </c>
      <c r="S1734" s="0" t="n">
        <f aca="false">YEAR(Q1734)</f>
        <v>2019</v>
      </c>
      <c r="T1734" s="0" t="n">
        <f aca="false">MONTH(Q1734)</f>
        <v>4</v>
      </c>
    </row>
    <row r="1735" customFormat="false" ht="28.5" hidden="true" customHeight="false" outlineLevel="0" collapsed="false">
      <c r="A1735" s="0" t="n">
        <v>1739</v>
      </c>
      <c r="B1735" s="1" t="s">
        <v>1136</v>
      </c>
      <c r="C1735" s="1" t="s">
        <v>1479</v>
      </c>
      <c r="D1735" s="1" t="s">
        <v>1487</v>
      </c>
      <c r="E1735" s="0" t="s">
        <v>1488</v>
      </c>
      <c r="F1735" s="0" t="s">
        <v>49</v>
      </c>
      <c r="G1735" s="0" t="s">
        <v>9684</v>
      </c>
      <c r="I1735" s="6" t="n">
        <v>0.695138888888889</v>
      </c>
      <c r="J1735" s="6" t="n">
        <v>0.708333333333333</v>
      </c>
      <c r="L1735" s="0" t="n">
        <v>46</v>
      </c>
      <c r="M1735" s="7" t="s">
        <v>9685</v>
      </c>
      <c r="N1735" s="0" t="s">
        <v>9686</v>
      </c>
      <c r="P1735" s="0" t="s">
        <v>9687</v>
      </c>
      <c r="Q1735" s="2" t="n">
        <v>43558</v>
      </c>
      <c r="S1735" s="0" t="n">
        <f aca="false">YEAR(Q1735)</f>
        <v>2019</v>
      </c>
      <c r="T1735" s="0" t="n">
        <f aca="false">MONTH(Q1735)</f>
        <v>4</v>
      </c>
    </row>
    <row r="1736" customFormat="false" ht="42.75" hidden="true" customHeight="false" outlineLevel="0" collapsed="false">
      <c r="A1736" s="0" t="n">
        <v>1740</v>
      </c>
      <c r="B1736" s="1" t="s">
        <v>1136</v>
      </c>
      <c r="C1736" s="1" t="s">
        <v>1503</v>
      </c>
      <c r="D1736" s="1" t="s">
        <v>1535</v>
      </c>
      <c r="E1736" s="0" t="s">
        <v>44</v>
      </c>
      <c r="F1736" s="0" t="s">
        <v>49</v>
      </c>
      <c r="G1736" s="0" t="s">
        <v>9688</v>
      </c>
      <c r="M1736" s="0" t="s">
        <v>9681</v>
      </c>
      <c r="N1736" s="0" t="s">
        <v>9682</v>
      </c>
      <c r="P1736" s="7" t="s">
        <v>9689</v>
      </c>
      <c r="Q1736" s="2" t="n">
        <v>43558</v>
      </c>
      <c r="S1736" s="0" t="n">
        <f aca="false">YEAR(Q1736)</f>
        <v>2019</v>
      </c>
      <c r="T1736" s="0" t="n">
        <f aca="false">MONTH(Q1736)</f>
        <v>4</v>
      </c>
    </row>
    <row r="1737" customFormat="false" ht="14.25" hidden="true" customHeight="false" outlineLevel="0" collapsed="false">
      <c r="A1737" s="0" t="n">
        <v>1741</v>
      </c>
      <c r="B1737" s="1" t="s">
        <v>1136</v>
      </c>
      <c r="C1737" s="1" t="s">
        <v>1503</v>
      </c>
      <c r="D1737" s="1" t="s">
        <v>1535</v>
      </c>
      <c r="E1737" s="0" t="s">
        <v>44</v>
      </c>
      <c r="F1737" s="0" t="s">
        <v>49</v>
      </c>
      <c r="G1737" s="0" t="s">
        <v>9690</v>
      </c>
      <c r="I1737" s="6" t="n">
        <v>0.620138888888889</v>
      </c>
      <c r="J1737" s="6" t="n">
        <v>0.75</v>
      </c>
      <c r="L1737" s="0" t="n">
        <v>46</v>
      </c>
      <c r="M1737" s="0" t="s">
        <v>9691</v>
      </c>
      <c r="N1737" s="0" t="s">
        <v>9692</v>
      </c>
      <c r="P1737" s="0" t="s">
        <v>9693</v>
      </c>
      <c r="Q1737" s="2" t="n">
        <v>43558</v>
      </c>
      <c r="S1737" s="0" t="n">
        <f aca="false">YEAR(Q1737)</f>
        <v>2019</v>
      </c>
      <c r="T1737" s="0" t="n">
        <f aca="false">MONTH(Q1737)</f>
        <v>4</v>
      </c>
    </row>
    <row r="1738" customFormat="false" ht="42.75" hidden="true" customHeight="false" outlineLevel="0" collapsed="false">
      <c r="A1738" s="0" t="n">
        <v>1742</v>
      </c>
      <c r="B1738" s="1" t="s">
        <v>1138</v>
      </c>
      <c r="C1738" s="1" t="s">
        <v>1479</v>
      </c>
      <c r="D1738" s="1" t="s">
        <v>1487</v>
      </c>
      <c r="E1738" s="4" t="s">
        <v>1488</v>
      </c>
      <c r="F1738" s="0" t="s">
        <v>48</v>
      </c>
      <c r="G1738" s="0" t="s">
        <v>9694</v>
      </c>
      <c r="I1738" s="6" t="n">
        <v>0.246527777777778</v>
      </c>
      <c r="J1738" s="6" t="n">
        <v>0.252777777777778</v>
      </c>
      <c r="K1738" s="0" t="n">
        <v>5</v>
      </c>
      <c r="L1738" s="0" t="n">
        <v>15</v>
      </c>
      <c r="M1738" s="0" t="s">
        <v>9695</v>
      </c>
      <c r="N1738" s="7" t="s">
        <v>9696</v>
      </c>
      <c r="O1738" s="7"/>
      <c r="P1738" s="0" t="s">
        <v>9697</v>
      </c>
      <c r="Q1738" s="2" t="n">
        <v>43559</v>
      </c>
      <c r="S1738" s="0" t="n">
        <f aca="false">YEAR(Q1738)</f>
        <v>2019</v>
      </c>
      <c r="T1738" s="0" t="n">
        <f aca="false">MONTH(Q1738)</f>
        <v>4</v>
      </c>
    </row>
    <row r="1739" customFormat="false" ht="28.5" hidden="true" customHeight="false" outlineLevel="0" collapsed="false">
      <c r="A1739" s="0" t="n">
        <v>1743</v>
      </c>
      <c r="B1739" s="1" t="s">
        <v>1138</v>
      </c>
      <c r="C1739" s="1" t="s">
        <v>1479</v>
      </c>
      <c r="D1739" s="1" t="s">
        <v>1487</v>
      </c>
      <c r="E1739" s="0" t="s">
        <v>1488</v>
      </c>
      <c r="F1739" s="0" t="s">
        <v>48</v>
      </c>
      <c r="G1739" s="0" t="s">
        <v>9698</v>
      </c>
      <c r="I1739" s="6" t="n">
        <v>0.527777777777778</v>
      </c>
      <c r="J1739" s="6" t="n">
        <v>0.538194444444444</v>
      </c>
      <c r="K1739" s="0" t="n">
        <v>0</v>
      </c>
      <c r="L1739" s="0" t="n">
        <v>40</v>
      </c>
      <c r="M1739" s="7" t="s">
        <v>9699</v>
      </c>
      <c r="N1739" s="0" t="s">
        <v>9700</v>
      </c>
      <c r="P1739" s="0" t="s">
        <v>9701</v>
      </c>
      <c r="Q1739" s="2" t="n">
        <v>43559</v>
      </c>
      <c r="S1739" s="0" t="n">
        <f aca="false">YEAR(Q1739)</f>
        <v>2019</v>
      </c>
      <c r="T1739" s="0" t="n">
        <f aca="false">MONTH(Q1739)</f>
        <v>4</v>
      </c>
    </row>
    <row r="1740" customFormat="false" ht="42.75" hidden="true" customHeight="false" outlineLevel="0" collapsed="false">
      <c r="A1740" s="0" t="n">
        <v>1744</v>
      </c>
      <c r="B1740" s="1" t="s">
        <v>1138</v>
      </c>
      <c r="C1740" s="1" t="s">
        <v>1479</v>
      </c>
      <c r="D1740" s="1" t="s">
        <v>1487</v>
      </c>
      <c r="E1740" s="0" t="s">
        <v>1488</v>
      </c>
      <c r="F1740" s="0" t="s">
        <v>49</v>
      </c>
      <c r="G1740" s="0" t="s">
        <v>9702</v>
      </c>
      <c r="I1740" s="6" t="n">
        <v>0.615972222222222</v>
      </c>
      <c r="J1740" s="6" t="n">
        <v>0.625</v>
      </c>
      <c r="K1740" s="0" t="n">
        <v>62</v>
      </c>
      <c r="L1740" s="0" t="n">
        <v>100</v>
      </c>
      <c r="M1740" s="7" t="s">
        <v>9703</v>
      </c>
      <c r="N1740" s="0" t="s">
        <v>9704</v>
      </c>
      <c r="P1740" s="7" t="s">
        <v>9705</v>
      </c>
      <c r="Q1740" s="2" t="n">
        <v>43559</v>
      </c>
      <c r="S1740" s="0" t="n">
        <f aca="false">YEAR(Q1740)</f>
        <v>2019</v>
      </c>
      <c r="T1740" s="0" t="n">
        <f aca="false">MONTH(Q1740)</f>
        <v>4</v>
      </c>
    </row>
    <row r="1741" customFormat="false" ht="14.25" hidden="true" customHeight="false" outlineLevel="0" collapsed="false">
      <c r="A1741" s="0" t="n">
        <v>1745</v>
      </c>
      <c r="B1741" s="1" t="s">
        <v>1138</v>
      </c>
      <c r="C1741" s="1" t="s">
        <v>1479</v>
      </c>
      <c r="D1741" s="1" t="s">
        <v>1480</v>
      </c>
      <c r="E1741" s="0" t="s">
        <v>43</v>
      </c>
      <c r="F1741" s="0" t="s">
        <v>49</v>
      </c>
      <c r="G1741" s="0" t="s">
        <v>9706</v>
      </c>
      <c r="I1741" s="6" t="n">
        <v>0.774305555555555</v>
      </c>
      <c r="L1741" s="0" t="n">
        <v>195</v>
      </c>
      <c r="M1741" s="0" t="s">
        <v>9707</v>
      </c>
      <c r="N1741" s="0" t="s">
        <v>9708</v>
      </c>
      <c r="P1741" s="0" t="s">
        <v>9709</v>
      </c>
      <c r="Q1741" s="2" t="n">
        <v>43559</v>
      </c>
      <c r="S1741" s="0" t="n">
        <f aca="false">YEAR(Q1741)</f>
        <v>2019</v>
      </c>
      <c r="T1741" s="0" t="n">
        <f aca="false">MONTH(Q1741)</f>
        <v>4</v>
      </c>
    </row>
    <row r="1742" customFormat="false" ht="14.25" hidden="true" customHeight="false" outlineLevel="0" collapsed="false">
      <c r="A1742" s="0" t="n">
        <v>1746</v>
      </c>
      <c r="B1742" s="1" t="s">
        <v>1138</v>
      </c>
      <c r="C1742" s="1" t="s">
        <v>1479</v>
      </c>
      <c r="D1742" s="1" t="s">
        <v>1496</v>
      </c>
      <c r="E1742" s="0" t="s">
        <v>38</v>
      </c>
      <c r="F1742" s="0" t="s">
        <v>50</v>
      </c>
      <c r="G1742" s="0" t="s">
        <v>9710</v>
      </c>
      <c r="I1742" s="6" t="n">
        <v>0.951388888888889</v>
      </c>
      <c r="J1742" s="6" t="n">
        <v>0.961805555555555</v>
      </c>
      <c r="K1742" s="0" t="n">
        <v>27</v>
      </c>
      <c r="L1742" s="0" t="n">
        <v>5</v>
      </c>
      <c r="M1742" s="0" t="s">
        <v>9711</v>
      </c>
      <c r="N1742" s="0" t="s">
        <v>9712</v>
      </c>
      <c r="P1742" s="0" t="s">
        <v>9713</v>
      </c>
      <c r="Q1742" s="2" t="n">
        <v>43559</v>
      </c>
      <c r="S1742" s="0" t="n">
        <f aca="false">YEAR(Q1742)</f>
        <v>2019</v>
      </c>
      <c r="T1742" s="0" t="n">
        <f aca="false">MONTH(Q1742)</f>
        <v>4</v>
      </c>
    </row>
    <row r="1743" customFormat="false" ht="42.75" hidden="true" customHeight="false" outlineLevel="0" collapsed="false">
      <c r="A1743" s="0" t="n">
        <v>1747</v>
      </c>
      <c r="B1743" s="1" t="s">
        <v>1138</v>
      </c>
      <c r="C1743" s="1" t="s">
        <v>1479</v>
      </c>
      <c r="D1743" s="1" t="s">
        <v>1487</v>
      </c>
      <c r="E1743" s="0" t="s">
        <v>1488</v>
      </c>
      <c r="F1743" s="0" t="s">
        <v>50</v>
      </c>
      <c r="G1743" s="0" t="s">
        <v>9714</v>
      </c>
      <c r="I1743" s="6" t="n">
        <v>0.961805555555555</v>
      </c>
      <c r="J1743" s="6" t="n">
        <v>0.977777777777778</v>
      </c>
      <c r="K1743" s="0" t="n">
        <v>37</v>
      </c>
      <c r="L1743" s="0" t="n">
        <v>63</v>
      </c>
      <c r="M1743" s="0" t="s">
        <v>9715</v>
      </c>
      <c r="N1743" s="7" t="s">
        <v>9716</v>
      </c>
      <c r="O1743" s="7"/>
      <c r="P1743" s="7" t="s">
        <v>9717</v>
      </c>
      <c r="Q1743" s="2" t="n">
        <v>43559</v>
      </c>
      <c r="S1743" s="0" t="n">
        <f aca="false">YEAR(Q1743)</f>
        <v>2019</v>
      </c>
      <c r="T1743" s="0" t="n">
        <f aca="false">MONTH(Q1743)</f>
        <v>4</v>
      </c>
    </row>
    <row r="1744" customFormat="false" ht="28.5" hidden="true" customHeight="false" outlineLevel="0" collapsed="false">
      <c r="A1744" s="0" t="n">
        <v>1748</v>
      </c>
      <c r="B1744" s="1" t="s">
        <v>1139</v>
      </c>
      <c r="C1744" s="1" t="s">
        <v>1479</v>
      </c>
      <c r="D1744" s="1" t="s">
        <v>1487</v>
      </c>
      <c r="E1744" s="0" t="s">
        <v>1488</v>
      </c>
      <c r="F1744" s="0" t="s">
        <v>48</v>
      </c>
      <c r="G1744" s="0" t="s">
        <v>9718</v>
      </c>
      <c r="J1744" s="6" t="n">
        <v>0.228472222222222</v>
      </c>
      <c r="K1744" s="0" t="n">
        <v>0</v>
      </c>
      <c r="M1744" s="0" t="s">
        <v>9719</v>
      </c>
      <c r="N1744" s="7" t="s">
        <v>9720</v>
      </c>
      <c r="O1744" s="7"/>
      <c r="P1744" s="0" t="s">
        <v>9721</v>
      </c>
      <c r="Q1744" s="2" t="n">
        <v>43560</v>
      </c>
      <c r="S1744" s="0" t="n">
        <f aca="false">YEAR(Q1744)</f>
        <v>2019</v>
      </c>
      <c r="T1744" s="0" t="n">
        <f aca="false">MONTH(Q1744)</f>
        <v>4</v>
      </c>
    </row>
    <row r="1745" customFormat="false" ht="14.25" hidden="true" customHeight="false" outlineLevel="0" collapsed="false">
      <c r="A1745" s="0" t="n">
        <v>1749</v>
      </c>
      <c r="B1745" s="1" t="s">
        <v>1139</v>
      </c>
      <c r="C1745" s="1" t="s">
        <v>1479</v>
      </c>
      <c r="D1745" s="1" t="s">
        <v>1487</v>
      </c>
      <c r="E1745" s="4" t="s">
        <v>1488</v>
      </c>
      <c r="F1745" s="0" t="s">
        <v>49</v>
      </c>
      <c r="G1745" s="0" t="s">
        <v>9722</v>
      </c>
      <c r="I1745" s="6" t="n">
        <v>0.697916666666667</v>
      </c>
      <c r="J1745" s="6" t="n">
        <v>0.70625</v>
      </c>
      <c r="K1745" s="0" t="n">
        <v>3</v>
      </c>
      <c r="L1745" s="0" t="n">
        <v>54</v>
      </c>
      <c r="M1745" s="0" t="s">
        <v>9723</v>
      </c>
      <c r="N1745" s="0" t="s">
        <v>9724</v>
      </c>
      <c r="P1745" s="0" t="s">
        <v>9725</v>
      </c>
      <c r="Q1745" s="2" t="n">
        <v>43560</v>
      </c>
      <c r="S1745" s="0" t="n">
        <f aca="false">YEAR(Q1745)</f>
        <v>2019</v>
      </c>
      <c r="T1745" s="0" t="n">
        <f aca="false">MONTH(Q1745)</f>
        <v>4</v>
      </c>
    </row>
    <row r="1746" customFormat="false" ht="28.5" hidden="true" customHeight="false" outlineLevel="0" collapsed="false">
      <c r="A1746" s="0" t="n">
        <v>1750</v>
      </c>
      <c r="B1746" s="1" t="s">
        <v>1139</v>
      </c>
      <c r="C1746" s="1" t="s">
        <v>1479</v>
      </c>
      <c r="D1746" s="1" t="s">
        <v>1487</v>
      </c>
      <c r="E1746" s="4" t="s">
        <v>1488</v>
      </c>
      <c r="F1746" s="0" t="s">
        <v>50</v>
      </c>
      <c r="G1746" s="0" t="s">
        <v>9726</v>
      </c>
      <c r="I1746" s="6" t="n">
        <v>0.951388888888889</v>
      </c>
      <c r="J1746" s="6" t="n">
        <v>0.986111111111111</v>
      </c>
      <c r="K1746" s="0" t="n">
        <v>16</v>
      </c>
      <c r="L1746" s="0" t="n">
        <v>57</v>
      </c>
      <c r="M1746" s="0" t="s">
        <v>9727</v>
      </c>
      <c r="N1746" s="0" t="s">
        <v>9728</v>
      </c>
      <c r="P1746" s="7" t="s">
        <v>9729</v>
      </c>
      <c r="Q1746" s="2" t="n">
        <v>43560</v>
      </c>
      <c r="S1746" s="0" t="n">
        <f aca="false">YEAR(Q1746)</f>
        <v>2019</v>
      </c>
      <c r="T1746" s="0" t="n">
        <f aca="false">MONTH(Q1746)</f>
        <v>4</v>
      </c>
    </row>
    <row r="1747" customFormat="false" ht="86.25" hidden="true" customHeight="false" outlineLevel="0" collapsed="false">
      <c r="A1747" s="0" t="n">
        <v>1751</v>
      </c>
      <c r="B1747" s="1" t="s">
        <v>1140</v>
      </c>
      <c r="C1747" s="1" t="s">
        <v>1503</v>
      </c>
      <c r="D1747" s="1" t="s">
        <v>1535</v>
      </c>
      <c r="E1747" s="0" t="s">
        <v>9730</v>
      </c>
      <c r="F1747" s="0" t="s">
        <v>48</v>
      </c>
      <c r="G1747" s="0" t="s">
        <v>9731</v>
      </c>
      <c r="I1747" s="6" t="n">
        <v>0.952777777777778</v>
      </c>
      <c r="J1747" s="6" t="n">
        <v>0.273611111111111</v>
      </c>
      <c r="K1747" s="0" t="n">
        <v>0</v>
      </c>
      <c r="L1747" s="0" t="n">
        <v>533</v>
      </c>
      <c r="M1747" s="0" t="s">
        <v>9732</v>
      </c>
      <c r="N1747" s="7" t="s">
        <v>9733</v>
      </c>
      <c r="O1747" s="7"/>
      <c r="P1747" s="7" t="s">
        <v>9734</v>
      </c>
      <c r="Q1747" s="2" t="n">
        <v>43564</v>
      </c>
      <c r="S1747" s="0" t="n">
        <f aca="false">YEAR(Q1747)</f>
        <v>2019</v>
      </c>
      <c r="T1747" s="0" t="n">
        <f aca="false">MONTH(Q1747)</f>
        <v>4</v>
      </c>
    </row>
    <row r="1748" customFormat="false" ht="28.5" hidden="true" customHeight="false" outlineLevel="0" collapsed="false">
      <c r="A1748" s="0" t="n">
        <v>1752</v>
      </c>
      <c r="B1748" s="1" t="s">
        <v>1140</v>
      </c>
      <c r="C1748" s="1" t="s">
        <v>1479</v>
      </c>
      <c r="D1748" s="1" t="s">
        <v>1487</v>
      </c>
      <c r="E1748" s="0" t="s">
        <v>1488</v>
      </c>
      <c r="F1748" s="0" t="s">
        <v>48</v>
      </c>
      <c r="G1748" s="0" t="s">
        <v>9735</v>
      </c>
      <c r="I1748" s="6" t="n">
        <v>0.493055555555556</v>
      </c>
      <c r="J1748" s="6" t="n">
        <v>0.494444444444444</v>
      </c>
      <c r="K1748" s="0" t="n">
        <v>0</v>
      </c>
      <c r="L1748" s="0" t="n">
        <v>17</v>
      </c>
      <c r="M1748" s="0" t="s">
        <v>9736</v>
      </c>
      <c r="N1748" s="7" t="s">
        <v>9737</v>
      </c>
      <c r="O1748" s="7"/>
      <c r="P1748" s="0" t="s">
        <v>9738</v>
      </c>
      <c r="Q1748" s="2" t="n">
        <v>43564</v>
      </c>
      <c r="S1748" s="0" t="n">
        <f aca="false">YEAR(Q1748)</f>
        <v>2019</v>
      </c>
      <c r="T1748" s="0" t="n">
        <f aca="false">MONTH(Q1748)</f>
        <v>4</v>
      </c>
    </row>
    <row r="1749" customFormat="false" ht="14.25" hidden="true" customHeight="false" outlineLevel="0" collapsed="false">
      <c r="A1749" s="0" t="n">
        <v>1753</v>
      </c>
      <c r="B1749" s="1" t="s">
        <v>1140</v>
      </c>
      <c r="C1749" s="1" t="s">
        <v>1503</v>
      </c>
      <c r="D1749" s="1" t="s">
        <v>1535</v>
      </c>
      <c r="E1749" s="0" t="s">
        <v>9730</v>
      </c>
      <c r="F1749" s="0" t="s">
        <v>49</v>
      </c>
      <c r="G1749" s="0" t="s">
        <v>8448</v>
      </c>
      <c r="I1749" s="6" t="n">
        <v>0.541666666666667</v>
      </c>
      <c r="J1749" s="6" t="n">
        <v>0.625</v>
      </c>
      <c r="K1749" s="0" t="n">
        <v>0</v>
      </c>
      <c r="L1749" s="0" t="n">
        <v>360</v>
      </c>
      <c r="M1749" s="0" t="s">
        <v>9739</v>
      </c>
      <c r="N1749" s="0" t="s">
        <v>9740</v>
      </c>
      <c r="P1749" s="0" t="s">
        <v>9741</v>
      </c>
      <c r="Q1749" s="2" t="n">
        <v>43564</v>
      </c>
      <c r="S1749" s="0" t="n">
        <f aca="false">YEAR(Q1749)</f>
        <v>2019</v>
      </c>
      <c r="T1749" s="0" t="n">
        <f aca="false">MONTH(Q1749)</f>
        <v>4</v>
      </c>
    </row>
    <row r="1750" customFormat="false" ht="14.25" hidden="true" customHeight="false" outlineLevel="0" collapsed="false">
      <c r="A1750" s="0" t="n">
        <v>1754</v>
      </c>
      <c r="B1750" s="1" t="s">
        <v>1140</v>
      </c>
      <c r="C1750" s="1" t="s">
        <v>1503</v>
      </c>
      <c r="D1750" s="1" t="s">
        <v>1535</v>
      </c>
      <c r="E1750" s="0" t="s">
        <v>1503</v>
      </c>
      <c r="F1750" s="0" t="s">
        <v>49</v>
      </c>
      <c r="G1750" s="0" t="s">
        <v>9742</v>
      </c>
      <c r="I1750" s="6" t="n">
        <v>0.645833333333333</v>
      </c>
      <c r="J1750" s="6" t="n">
        <v>0.666666666666667</v>
      </c>
      <c r="K1750" s="0" t="n">
        <v>0</v>
      </c>
      <c r="L1750" s="0" t="n">
        <v>240</v>
      </c>
      <c r="M1750" s="0" t="s">
        <v>9743</v>
      </c>
      <c r="N1750" s="0" t="s">
        <v>9744</v>
      </c>
      <c r="P1750" s="0" t="s">
        <v>9745</v>
      </c>
      <c r="Q1750" s="2" t="n">
        <v>43564</v>
      </c>
      <c r="S1750" s="0" t="n">
        <f aca="false">YEAR(Q1750)</f>
        <v>2019</v>
      </c>
      <c r="T1750" s="0" t="n">
        <f aca="false">MONTH(Q1750)</f>
        <v>4</v>
      </c>
    </row>
    <row r="1751" customFormat="false" ht="14.25" hidden="true" customHeight="false" outlineLevel="0" collapsed="false">
      <c r="A1751" s="0" t="n">
        <v>1755</v>
      </c>
      <c r="B1751" s="1" t="s">
        <v>1140</v>
      </c>
      <c r="C1751" s="1" t="s">
        <v>1479</v>
      </c>
      <c r="D1751" s="1" t="s">
        <v>1535</v>
      </c>
      <c r="E1751" s="0" t="s">
        <v>39</v>
      </c>
      <c r="F1751" s="0" t="s">
        <v>49</v>
      </c>
      <c r="G1751" s="0" t="s">
        <v>9746</v>
      </c>
      <c r="I1751" s="6" t="n">
        <v>0.666666666666667</v>
      </c>
      <c r="J1751" s="6" t="n">
        <v>0.670138888888889</v>
      </c>
      <c r="K1751" s="0" t="n">
        <v>7</v>
      </c>
      <c r="L1751" s="0" t="n">
        <v>10</v>
      </c>
      <c r="M1751" s="0" t="s">
        <v>9747</v>
      </c>
      <c r="N1751" s="0" t="s">
        <v>9748</v>
      </c>
      <c r="P1751" s="0" t="s">
        <v>9749</v>
      </c>
      <c r="Q1751" s="2" t="n">
        <v>43564</v>
      </c>
      <c r="S1751" s="0" t="n">
        <f aca="false">YEAR(Q1751)</f>
        <v>2019</v>
      </c>
      <c r="T1751" s="0" t="n">
        <f aca="false">MONTH(Q1751)</f>
        <v>4</v>
      </c>
    </row>
    <row r="1752" customFormat="false" ht="144" hidden="true" customHeight="false" outlineLevel="0" collapsed="false">
      <c r="A1752" s="0" t="n">
        <v>1756</v>
      </c>
      <c r="B1752" s="1" t="s">
        <v>1140</v>
      </c>
      <c r="C1752" s="1" t="s">
        <v>1479</v>
      </c>
      <c r="D1752" s="1" t="s">
        <v>1496</v>
      </c>
      <c r="E1752" s="0" t="s">
        <v>38</v>
      </c>
      <c r="F1752" s="0" t="s">
        <v>50</v>
      </c>
      <c r="G1752" s="0" t="s">
        <v>9750</v>
      </c>
      <c r="I1752" s="6" t="n">
        <v>0.902777777777778</v>
      </c>
      <c r="M1752" s="0" t="s">
        <v>9751</v>
      </c>
      <c r="N1752" s="0" t="s">
        <v>9752</v>
      </c>
      <c r="P1752" s="7" t="s">
        <v>9753</v>
      </c>
      <c r="Q1752" s="2" t="n">
        <v>43564</v>
      </c>
      <c r="S1752" s="0" t="n">
        <f aca="false">YEAR(Q1752)</f>
        <v>2019</v>
      </c>
      <c r="T1752" s="0" t="n">
        <f aca="false">MONTH(Q1752)</f>
        <v>4</v>
      </c>
    </row>
    <row r="1753" customFormat="false" ht="72" hidden="true" customHeight="false" outlineLevel="0" collapsed="false">
      <c r="A1753" s="0" t="n">
        <v>1757</v>
      </c>
      <c r="B1753" s="1" t="s">
        <v>1140</v>
      </c>
      <c r="C1753" s="1" t="s">
        <v>1503</v>
      </c>
      <c r="D1753" s="1" t="s">
        <v>1535</v>
      </c>
      <c r="E1753" s="0" t="s">
        <v>44</v>
      </c>
      <c r="F1753" s="0" t="s">
        <v>50</v>
      </c>
      <c r="G1753" s="0" t="s">
        <v>9754</v>
      </c>
      <c r="J1753" s="6" t="n">
        <v>0.0902777777777778</v>
      </c>
      <c r="M1753" s="0" t="s">
        <v>9755</v>
      </c>
      <c r="N1753" s="0" t="s">
        <v>9756</v>
      </c>
      <c r="P1753" s="7" t="s">
        <v>9757</v>
      </c>
      <c r="Q1753" s="2" t="n">
        <v>43564</v>
      </c>
      <c r="S1753" s="0" t="n">
        <f aca="false">YEAR(Q1753)</f>
        <v>2019</v>
      </c>
      <c r="T1753" s="0" t="n">
        <f aca="false">MONTH(Q1753)</f>
        <v>4</v>
      </c>
    </row>
    <row r="1754" customFormat="false" ht="28.5" hidden="true" customHeight="false" outlineLevel="0" collapsed="false">
      <c r="A1754" s="0" t="n">
        <v>1758</v>
      </c>
      <c r="B1754" s="1" t="s">
        <v>1141</v>
      </c>
      <c r="C1754" s="1" t="s">
        <v>1479</v>
      </c>
      <c r="D1754" s="1" t="s">
        <v>1496</v>
      </c>
      <c r="E1754" s="0" t="s">
        <v>38</v>
      </c>
      <c r="F1754" s="0" t="s">
        <v>48</v>
      </c>
      <c r="G1754" s="0" t="s">
        <v>9758</v>
      </c>
      <c r="I1754" s="6" t="n">
        <v>0.272222222222222</v>
      </c>
      <c r="J1754" s="6" t="n">
        <v>0.278472222222222</v>
      </c>
      <c r="K1754" s="0" t="n">
        <v>0</v>
      </c>
      <c r="L1754" s="0" t="n">
        <v>30</v>
      </c>
      <c r="M1754" s="0" t="s">
        <v>9759</v>
      </c>
      <c r="N1754" s="7" t="s">
        <v>9760</v>
      </c>
      <c r="O1754" s="7"/>
      <c r="P1754" s="0" t="s">
        <v>9761</v>
      </c>
      <c r="Q1754" s="2" t="n">
        <v>43565</v>
      </c>
      <c r="S1754" s="0" t="n">
        <f aca="false">YEAR(Q1754)</f>
        <v>2019</v>
      </c>
      <c r="T1754" s="0" t="n">
        <f aca="false">MONTH(Q1754)</f>
        <v>4</v>
      </c>
    </row>
    <row r="1755" customFormat="false" ht="28.5" hidden="true" customHeight="false" outlineLevel="0" collapsed="false">
      <c r="A1755" s="0" t="n">
        <v>1759</v>
      </c>
      <c r="B1755" s="1" t="s">
        <v>1141</v>
      </c>
      <c r="C1755" s="1" t="s">
        <v>1495</v>
      </c>
      <c r="D1755" s="1" t="s">
        <v>1487</v>
      </c>
      <c r="E1755" s="0" t="s">
        <v>40</v>
      </c>
      <c r="F1755" s="0" t="s">
        <v>48</v>
      </c>
      <c r="G1755" s="0" t="s">
        <v>9762</v>
      </c>
      <c r="K1755" s="0" t="n">
        <v>0</v>
      </c>
      <c r="L1755" s="0" t="n">
        <v>120</v>
      </c>
      <c r="M1755" s="0" t="s">
        <v>9763</v>
      </c>
      <c r="N1755" s="0" t="s">
        <v>9764</v>
      </c>
      <c r="P1755" s="7" t="s">
        <v>9765</v>
      </c>
      <c r="Q1755" s="2" t="n">
        <v>43565</v>
      </c>
      <c r="S1755" s="0" t="n">
        <f aca="false">YEAR(Q1755)</f>
        <v>2019</v>
      </c>
      <c r="T1755" s="0" t="n">
        <f aca="false">MONTH(Q1755)</f>
        <v>4</v>
      </c>
    </row>
    <row r="1756" customFormat="false" ht="14.25" hidden="true" customHeight="false" outlineLevel="0" collapsed="false">
      <c r="A1756" s="0" t="n">
        <v>1760</v>
      </c>
      <c r="B1756" s="1" t="s">
        <v>1141</v>
      </c>
      <c r="C1756" s="1" t="s">
        <v>1479</v>
      </c>
      <c r="D1756" s="1" t="s">
        <v>1487</v>
      </c>
      <c r="E1756" s="0" t="s">
        <v>1488</v>
      </c>
      <c r="F1756" s="0" t="s">
        <v>48</v>
      </c>
      <c r="G1756" s="0" t="s">
        <v>9766</v>
      </c>
      <c r="I1756" s="6" t="n">
        <v>0.354861111111111</v>
      </c>
      <c r="J1756" s="6" t="n">
        <v>0.361805555555556</v>
      </c>
      <c r="K1756" s="0" t="n">
        <v>69</v>
      </c>
      <c r="L1756" s="0" t="n">
        <v>120</v>
      </c>
      <c r="M1756" s="0" t="s">
        <v>9767</v>
      </c>
      <c r="N1756" s="0" t="s">
        <v>9768</v>
      </c>
      <c r="P1756" s="0" t="s">
        <v>9769</v>
      </c>
      <c r="Q1756" s="2" t="n">
        <v>43565</v>
      </c>
      <c r="S1756" s="0" t="n">
        <f aca="false">YEAR(Q1756)</f>
        <v>2019</v>
      </c>
      <c r="T1756" s="0" t="n">
        <f aca="false">MONTH(Q1756)</f>
        <v>4</v>
      </c>
    </row>
    <row r="1757" customFormat="false" ht="14.25" hidden="true" customHeight="false" outlineLevel="0" collapsed="false">
      <c r="A1757" s="0" t="n">
        <v>1761</v>
      </c>
      <c r="B1757" s="1" t="s">
        <v>1141</v>
      </c>
      <c r="C1757" s="1" t="s">
        <v>1479</v>
      </c>
      <c r="D1757" s="1" t="s">
        <v>1863</v>
      </c>
      <c r="E1757" s="0" t="s">
        <v>9770</v>
      </c>
      <c r="F1757" s="0" t="s">
        <v>49</v>
      </c>
      <c r="G1757" s="0" t="s">
        <v>9771</v>
      </c>
      <c r="I1757" s="6" t="n">
        <v>0.541666666666667</v>
      </c>
      <c r="J1757" s="6" t="n">
        <v>0.645833333333333</v>
      </c>
      <c r="K1757" s="0" t="n">
        <v>0</v>
      </c>
      <c r="M1757" s="0" t="s">
        <v>9772</v>
      </c>
      <c r="N1757" s="0" t="s">
        <v>9773</v>
      </c>
      <c r="P1757" s="0" t="s">
        <v>9774</v>
      </c>
      <c r="Q1757" s="2" t="n">
        <v>43565</v>
      </c>
      <c r="S1757" s="0" t="n">
        <f aca="false">YEAR(Q1757)</f>
        <v>2019</v>
      </c>
      <c r="T1757" s="0" t="n">
        <f aca="false">MONTH(Q1757)</f>
        <v>4</v>
      </c>
    </row>
    <row r="1758" customFormat="false" ht="14.25" hidden="true" customHeight="false" outlineLevel="0" collapsed="false">
      <c r="A1758" s="0" t="n">
        <v>1762</v>
      </c>
      <c r="B1758" s="1" t="s">
        <v>1141</v>
      </c>
      <c r="C1758" s="1" t="s">
        <v>1479</v>
      </c>
      <c r="D1758" s="1" t="s">
        <v>1487</v>
      </c>
      <c r="E1758" s="0" t="s">
        <v>1488</v>
      </c>
      <c r="F1758" s="0" t="s">
        <v>49</v>
      </c>
      <c r="G1758" s="0" t="s">
        <v>8294</v>
      </c>
      <c r="I1758" s="6" t="n">
        <v>0.7375</v>
      </c>
      <c r="J1758" s="6" t="n">
        <v>0.739583333333333</v>
      </c>
      <c r="K1758" s="0" t="n">
        <v>0</v>
      </c>
      <c r="L1758" s="0" t="n">
        <v>1</v>
      </c>
      <c r="M1758" s="0" t="s">
        <v>9775</v>
      </c>
      <c r="N1758" s="0" t="s">
        <v>9776</v>
      </c>
      <c r="P1758" s="0" t="s">
        <v>9777</v>
      </c>
      <c r="Q1758" s="2" t="n">
        <v>43565</v>
      </c>
      <c r="S1758" s="0" t="n">
        <f aca="false">YEAR(Q1758)</f>
        <v>2019</v>
      </c>
      <c r="T1758" s="0" t="n">
        <f aca="false">MONTH(Q1758)</f>
        <v>4</v>
      </c>
    </row>
    <row r="1759" customFormat="false" ht="14.25" hidden="true" customHeight="false" outlineLevel="0" collapsed="false">
      <c r="A1759" s="0" t="n">
        <v>1763</v>
      </c>
      <c r="B1759" s="1" t="s">
        <v>1141</v>
      </c>
      <c r="C1759" s="1" t="s">
        <v>1503</v>
      </c>
      <c r="D1759" s="1" t="s">
        <v>1648</v>
      </c>
      <c r="E1759" s="0" t="s">
        <v>1648</v>
      </c>
      <c r="F1759" s="0" t="s">
        <v>50</v>
      </c>
      <c r="G1759" s="0" t="s">
        <v>9778</v>
      </c>
      <c r="I1759" s="6" t="n">
        <v>0.138888888888889</v>
      </c>
      <c r="J1759" s="6" t="n">
        <v>0.150694444444444</v>
      </c>
      <c r="K1759" s="0" t="n">
        <v>0</v>
      </c>
      <c r="L1759" s="0" t="n">
        <v>40</v>
      </c>
      <c r="M1759" s="0" t="s">
        <v>9779</v>
      </c>
      <c r="N1759" s="0" t="s">
        <v>4434</v>
      </c>
      <c r="P1759" s="0" t="s">
        <v>9780</v>
      </c>
      <c r="Q1759" s="2" t="n">
        <v>43565</v>
      </c>
      <c r="S1759" s="0" t="n">
        <f aca="false">YEAR(Q1759)</f>
        <v>2019</v>
      </c>
      <c r="T1759" s="0" t="n">
        <f aca="false">MONTH(Q1759)</f>
        <v>4</v>
      </c>
    </row>
    <row r="1760" customFormat="false" ht="14.25" hidden="true" customHeight="false" outlineLevel="0" collapsed="false">
      <c r="A1760" s="0" t="n">
        <v>1764</v>
      </c>
      <c r="B1760" s="1" t="s">
        <v>1141</v>
      </c>
      <c r="C1760" s="1" t="s">
        <v>1479</v>
      </c>
      <c r="D1760" s="1" t="s">
        <v>1535</v>
      </c>
      <c r="E1760" s="0" t="s">
        <v>39</v>
      </c>
      <c r="F1760" s="0" t="s">
        <v>50</v>
      </c>
      <c r="G1760" s="0" t="s">
        <v>9781</v>
      </c>
      <c r="J1760" s="6" t="n">
        <v>0.208333333333333</v>
      </c>
      <c r="M1760" s="0" t="s">
        <v>9782</v>
      </c>
      <c r="N1760" s="0" t="s">
        <v>9783</v>
      </c>
      <c r="P1760" s="0" t="s">
        <v>9784</v>
      </c>
      <c r="Q1760" s="2" t="n">
        <v>43565</v>
      </c>
      <c r="S1760" s="0" t="n">
        <f aca="false">YEAR(Q1760)</f>
        <v>2019</v>
      </c>
      <c r="T1760" s="0" t="n">
        <f aca="false">MONTH(Q1760)</f>
        <v>4</v>
      </c>
    </row>
    <row r="1761" customFormat="false" ht="42.75" hidden="true" customHeight="false" outlineLevel="0" collapsed="false">
      <c r="A1761" s="0" t="n">
        <v>1765</v>
      </c>
      <c r="B1761" s="1" t="s">
        <v>1142</v>
      </c>
      <c r="C1761" s="1" t="s">
        <v>1479</v>
      </c>
      <c r="D1761" s="1" t="s">
        <v>1535</v>
      </c>
      <c r="E1761" s="0" t="s">
        <v>39</v>
      </c>
      <c r="F1761" s="0" t="s">
        <v>48</v>
      </c>
      <c r="G1761" s="0" t="s">
        <v>9785</v>
      </c>
      <c r="I1761" s="6" t="n">
        <v>0.243055555555556</v>
      </c>
      <c r="J1761" s="6" t="n">
        <v>0.249305555555556</v>
      </c>
      <c r="K1761" s="0" t="n">
        <v>0</v>
      </c>
      <c r="L1761" s="0" t="n">
        <v>20</v>
      </c>
      <c r="M1761" s="0" t="s">
        <v>9786</v>
      </c>
      <c r="N1761" s="7" t="s">
        <v>9787</v>
      </c>
      <c r="O1761" s="7"/>
      <c r="P1761" s="7" t="s">
        <v>9788</v>
      </c>
      <c r="Q1761" s="2" t="n">
        <v>43566</v>
      </c>
      <c r="S1761" s="0" t="n">
        <f aca="false">YEAR(Q1761)</f>
        <v>2019</v>
      </c>
      <c r="T1761" s="0" t="n">
        <f aca="false">MONTH(Q1761)</f>
        <v>4</v>
      </c>
    </row>
    <row r="1762" customFormat="false" ht="42.75" hidden="true" customHeight="false" outlineLevel="0" collapsed="false">
      <c r="A1762" s="0" t="n">
        <v>1766</v>
      </c>
      <c r="B1762" s="1" t="s">
        <v>1142</v>
      </c>
      <c r="C1762" s="1" t="s">
        <v>1479</v>
      </c>
      <c r="D1762" s="1" t="s">
        <v>1496</v>
      </c>
      <c r="E1762" s="0" t="s">
        <v>38</v>
      </c>
      <c r="F1762" s="0" t="s">
        <v>48</v>
      </c>
      <c r="G1762" s="0" t="s">
        <v>9789</v>
      </c>
      <c r="I1762" s="6" t="n">
        <v>0.493055555555556</v>
      </c>
      <c r="J1762" s="6" t="n">
        <v>0.499305555555555</v>
      </c>
      <c r="K1762" s="0" t="n">
        <v>0</v>
      </c>
      <c r="L1762" s="0" t="n">
        <v>35</v>
      </c>
      <c r="M1762" s="0" t="s">
        <v>9790</v>
      </c>
      <c r="N1762" s="7" t="s">
        <v>9791</v>
      </c>
      <c r="O1762" s="7"/>
      <c r="P1762" s="0" t="s">
        <v>9792</v>
      </c>
      <c r="Q1762" s="2" t="n">
        <v>43566</v>
      </c>
      <c r="S1762" s="0" t="n">
        <f aca="false">YEAR(Q1762)</f>
        <v>2019</v>
      </c>
      <c r="T1762" s="0" t="n">
        <f aca="false">MONTH(Q1762)</f>
        <v>4</v>
      </c>
    </row>
    <row r="1763" customFormat="false" ht="14.25" hidden="true" customHeight="false" outlineLevel="0" collapsed="false">
      <c r="A1763" s="0" t="n">
        <v>1767</v>
      </c>
      <c r="B1763" s="1" t="s">
        <v>1142</v>
      </c>
      <c r="C1763" s="1" t="s">
        <v>1479</v>
      </c>
      <c r="D1763" s="1" t="s">
        <v>1535</v>
      </c>
      <c r="E1763" s="0" t="s">
        <v>39</v>
      </c>
      <c r="F1763" s="0" t="s">
        <v>48</v>
      </c>
      <c r="G1763" s="0" t="s">
        <v>8322</v>
      </c>
      <c r="I1763" s="6" t="n">
        <v>0.499305555555555</v>
      </c>
      <c r="J1763" s="6" t="n">
        <v>0.513194444444444</v>
      </c>
      <c r="L1763" s="0" t="n">
        <v>15</v>
      </c>
      <c r="M1763" s="0" t="s">
        <v>9793</v>
      </c>
      <c r="N1763" s="0" t="s">
        <v>3545</v>
      </c>
      <c r="P1763" s="0" t="s">
        <v>9794</v>
      </c>
      <c r="Q1763" s="2" t="n">
        <v>43566</v>
      </c>
      <c r="S1763" s="0" t="n">
        <f aca="false">YEAR(Q1763)</f>
        <v>2019</v>
      </c>
      <c r="T1763" s="0" t="n">
        <f aca="false">MONTH(Q1763)</f>
        <v>4</v>
      </c>
    </row>
    <row r="1764" customFormat="false" ht="28.5" hidden="true" customHeight="false" outlineLevel="0" collapsed="false">
      <c r="A1764" s="0" t="n">
        <v>1768</v>
      </c>
      <c r="B1764" s="1" t="s">
        <v>1142</v>
      </c>
      <c r="C1764" s="1" t="s">
        <v>1479</v>
      </c>
      <c r="D1764" s="1" t="s">
        <v>1487</v>
      </c>
      <c r="E1764" s="0" t="s">
        <v>1488</v>
      </c>
      <c r="F1764" s="0" t="s">
        <v>50</v>
      </c>
      <c r="G1764" s="0" t="s">
        <v>9795</v>
      </c>
      <c r="I1764" s="6" t="n">
        <v>0.171527777777778</v>
      </c>
      <c r="J1764" s="6" t="n">
        <v>0.190277777777778</v>
      </c>
      <c r="K1764" s="0" t="n">
        <v>26</v>
      </c>
      <c r="L1764" s="0" t="n">
        <v>25</v>
      </c>
      <c r="M1764" s="0" t="s">
        <v>9796</v>
      </c>
      <c r="N1764" s="0" t="s">
        <v>9797</v>
      </c>
      <c r="P1764" s="7" t="s">
        <v>9798</v>
      </c>
      <c r="Q1764" s="2" t="n">
        <v>43566</v>
      </c>
      <c r="S1764" s="0" t="n">
        <f aca="false">YEAR(Q1764)</f>
        <v>2019</v>
      </c>
      <c r="T1764" s="0" t="n">
        <f aca="false">MONTH(Q1764)</f>
        <v>4</v>
      </c>
    </row>
    <row r="1765" customFormat="false" ht="28.5" hidden="true" customHeight="false" outlineLevel="0" collapsed="false">
      <c r="A1765" s="0" t="n">
        <v>1769</v>
      </c>
      <c r="B1765" s="1" t="s">
        <v>1143</v>
      </c>
      <c r="C1765" s="1" t="s">
        <v>1479</v>
      </c>
      <c r="D1765" s="1" t="s">
        <v>1487</v>
      </c>
      <c r="E1765" s="4" t="s">
        <v>1488</v>
      </c>
      <c r="F1765" s="0" t="s">
        <v>48</v>
      </c>
      <c r="G1765" s="0" t="s">
        <v>9795</v>
      </c>
      <c r="I1765" s="6" t="n">
        <v>0.41875</v>
      </c>
      <c r="J1765" s="6" t="n">
        <v>0.446527777777778</v>
      </c>
      <c r="K1765" s="0" t="n">
        <v>11</v>
      </c>
      <c r="M1765" s="0" t="s">
        <v>9796</v>
      </c>
      <c r="N1765" s="0" t="s">
        <v>9799</v>
      </c>
      <c r="P1765" s="7" t="s">
        <v>9800</v>
      </c>
      <c r="Q1765" s="2" t="n">
        <v>43567</v>
      </c>
      <c r="S1765" s="0" t="n">
        <f aca="false">YEAR(Q1765)</f>
        <v>2019</v>
      </c>
      <c r="T1765" s="0" t="n">
        <f aca="false">MONTH(Q1765)</f>
        <v>4</v>
      </c>
    </row>
    <row r="1766" customFormat="false" ht="14.25" hidden="true" customHeight="false" outlineLevel="0" collapsed="false">
      <c r="A1766" s="0" t="n">
        <v>1770</v>
      </c>
      <c r="B1766" s="1" t="s">
        <v>1143</v>
      </c>
      <c r="C1766" s="1" t="s">
        <v>1503</v>
      </c>
      <c r="D1766" s="1" t="s">
        <v>1504</v>
      </c>
      <c r="E1766" s="0" t="s">
        <v>9506</v>
      </c>
      <c r="F1766" s="0" t="s">
        <v>49</v>
      </c>
      <c r="G1766" s="0" t="s">
        <v>9801</v>
      </c>
      <c r="I1766" s="6" t="n">
        <v>0.854166666666667</v>
      </c>
      <c r="J1766" s="6" t="n">
        <v>0.884722222222222</v>
      </c>
      <c r="K1766" s="0" t="n">
        <v>0</v>
      </c>
      <c r="L1766" s="0" t="n">
        <v>180</v>
      </c>
      <c r="M1766" s="0" t="s">
        <v>9802</v>
      </c>
      <c r="N1766" s="0" t="s">
        <v>9803</v>
      </c>
      <c r="P1766" s="0" t="s">
        <v>9804</v>
      </c>
      <c r="Q1766" s="2" t="n">
        <v>43567</v>
      </c>
      <c r="S1766" s="0" t="n">
        <f aca="false">YEAR(Q1766)</f>
        <v>2019</v>
      </c>
      <c r="T1766" s="0" t="n">
        <f aca="false">MONTH(Q1766)</f>
        <v>4</v>
      </c>
    </row>
    <row r="1767" customFormat="false" ht="42.75" hidden="true" customHeight="false" outlineLevel="0" collapsed="false">
      <c r="A1767" s="0" t="n">
        <v>1771</v>
      </c>
      <c r="B1767" s="1" t="s">
        <v>1145</v>
      </c>
      <c r="C1767" s="1" t="s">
        <v>1479</v>
      </c>
      <c r="D1767" s="1" t="s">
        <v>1535</v>
      </c>
      <c r="E1767" s="0" t="s">
        <v>39</v>
      </c>
      <c r="F1767" s="0" t="s">
        <v>50</v>
      </c>
      <c r="G1767" s="0" t="s">
        <v>9805</v>
      </c>
      <c r="I1767" s="6" t="n">
        <v>0.916666666666667</v>
      </c>
      <c r="J1767" s="6" t="n">
        <v>0.9375</v>
      </c>
      <c r="K1767" s="0" t="n">
        <v>0</v>
      </c>
      <c r="M1767" s="7" t="s">
        <v>9806</v>
      </c>
      <c r="N1767" s="0" t="s">
        <v>9807</v>
      </c>
      <c r="P1767" s="7" t="s">
        <v>9808</v>
      </c>
      <c r="Q1767" s="2" t="n">
        <v>43569</v>
      </c>
      <c r="S1767" s="0" t="n">
        <f aca="false">YEAR(Q1767)</f>
        <v>2019</v>
      </c>
      <c r="T1767" s="0" t="n">
        <f aca="false">MONTH(Q1767)</f>
        <v>4</v>
      </c>
    </row>
    <row r="1768" customFormat="false" ht="14.25" hidden="true" customHeight="false" outlineLevel="0" collapsed="false">
      <c r="A1768" s="0" t="n">
        <v>1772</v>
      </c>
      <c r="B1768" s="1" t="s">
        <v>1145</v>
      </c>
      <c r="C1768" s="1" t="s">
        <v>1503</v>
      </c>
      <c r="D1768" s="1" t="s">
        <v>1535</v>
      </c>
      <c r="E1768" s="0" t="s">
        <v>1503</v>
      </c>
      <c r="F1768" s="0" t="s">
        <v>50</v>
      </c>
      <c r="G1768" s="0" t="s">
        <v>9074</v>
      </c>
      <c r="I1768" s="6" t="n">
        <v>0.916666666666667</v>
      </c>
      <c r="J1768" s="6" t="n">
        <v>0.958333333333333</v>
      </c>
      <c r="K1768" s="0" t="n">
        <v>0</v>
      </c>
      <c r="M1768" s="0" t="s">
        <v>9809</v>
      </c>
      <c r="N1768" s="0" t="s">
        <v>9810</v>
      </c>
      <c r="P1768" s="0" t="s">
        <v>9811</v>
      </c>
      <c r="Q1768" s="2" t="n">
        <v>43569</v>
      </c>
      <c r="S1768" s="0" t="n">
        <f aca="false">YEAR(Q1768)</f>
        <v>2019</v>
      </c>
      <c r="T1768" s="0" t="n">
        <f aca="false">MONTH(Q1768)</f>
        <v>4</v>
      </c>
    </row>
    <row r="1769" customFormat="false" ht="14.25" hidden="true" customHeight="false" outlineLevel="0" collapsed="false">
      <c r="A1769" s="0" t="n">
        <v>1773</v>
      </c>
      <c r="B1769" s="1" t="s">
        <v>1146</v>
      </c>
      <c r="C1769" s="1" t="s">
        <v>1503</v>
      </c>
      <c r="D1769" s="1" t="s">
        <v>1504</v>
      </c>
      <c r="E1769" s="0" t="s">
        <v>9506</v>
      </c>
      <c r="F1769" s="0" t="s">
        <v>49</v>
      </c>
      <c r="G1769" s="0" t="s">
        <v>9812</v>
      </c>
      <c r="I1769" s="6" t="n">
        <v>0.541666666666667</v>
      </c>
      <c r="J1769" s="6" t="n">
        <v>0.75</v>
      </c>
      <c r="M1769" s="0" t="s">
        <v>9813</v>
      </c>
      <c r="N1769" s="0" t="s">
        <v>4484</v>
      </c>
      <c r="P1769" s="0" t="s">
        <v>9814</v>
      </c>
      <c r="Q1769" s="2" t="n">
        <v>43570</v>
      </c>
      <c r="S1769" s="0" t="n">
        <f aca="false">YEAR(Q1769)</f>
        <v>2019</v>
      </c>
      <c r="T1769" s="0" t="n">
        <f aca="false">MONTH(Q1769)</f>
        <v>4</v>
      </c>
    </row>
    <row r="1770" customFormat="false" ht="28.5" hidden="true" customHeight="false" outlineLevel="0" collapsed="false">
      <c r="A1770" s="0" t="n">
        <v>1774</v>
      </c>
      <c r="B1770" s="1" t="s">
        <v>1146</v>
      </c>
      <c r="C1770" s="1" t="s">
        <v>1503</v>
      </c>
      <c r="D1770" s="1" t="s">
        <v>1648</v>
      </c>
      <c r="E1770" s="0" t="s">
        <v>1648</v>
      </c>
      <c r="F1770" s="0" t="s">
        <v>50</v>
      </c>
      <c r="G1770" s="0" t="s">
        <v>9170</v>
      </c>
      <c r="I1770" s="6" t="n">
        <v>0.03125</v>
      </c>
      <c r="J1770" s="6" t="n">
        <v>0.0465277777777778</v>
      </c>
      <c r="K1770" s="0" t="n">
        <v>0</v>
      </c>
      <c r="L1770" s="0" t="n">
        <v>30</v>
      </c>
      <c r="M1770" s="0" t="s">
        <v>9815</v>
      </c>
      <c r="N1770" s="7" t="s">
        <v>9816</v>
      </c>
      <c r="O1770" s="7"/>
      <c r="P1770" s="0" t="s">
        <v>9817</v>
      </c>
      <c r="Q1770" s="2" t="n">
        <v>43570</v>
      </c>
      <c r="S1770" s="0" t="n">
        <f aca="false">YEAR(Q1770)</f>
        <v>2019</v>
      </c>
      <c r="T1770" s="0" t="n">
        <f aca="false">MONTH(Q1770)</f>
        <v>4</v>
      </c>
    </row>
    <row r="1771" customFormat="false" ht="28.5" hidden="true" customHeight="false" outlineLevel="0" collapsed="false">
      <c r="A1771" s="0" t="n">
        <v>1775</v>
      </c>
      <c r="B1771" s="1" t="s">
        <v>1146</v>
      </c>
      <c r="C1771" s="1" t="s">
        <v>1479</v>
      </c>
      <c r="D1771" s="1" t="s">
        <v>1487</v>
      </c>
      <c r="E1771" s="0" t="s">
        <v>1488</v>
      </c>
      <c r="F1771" s="0" t="s">
        <v>50</v>
      </c>
      <c r="G1771" s="0" t="s">
        <v>9818</v>
      </c>
      <c r="I1771" s="6" t="n">
        <v>0.0694444444444444</v>
      </c>
      <c r="J1771" s="6" t="n">
        <v>0.0833333333333333</v>
      </c>
      <c r="K1771" s="0" t="n">
        <v>0</v>
      </c>
      <c r="L1771" s="0" t="n">
        <v>30</v>
      </c>
      <c r="M1771" s="0" t="s">
        <v>9819</v>
      </c>
      <c r="N1771" s="7" t="s">
        <v>9820</v>
      </c>
      <c r="O1771" s="7"/>
      <c r="P1771" s="0" t="s">
        <v>9821</v>
      </c>
      <c r="Q1771" s="2" t="n">
        <v>43570</v>
      </c>
      <c r="S1771" s="0" t="n">
        <f aca="false">YEAR(Q1771)</f>
        <v>2019</v>
      </c>
      <c r="T1771" s="0" t="n">
        <f aca="false">MONTH(Q1771)</f>
        <v>4</v>
      </c>
    </row>
    <row r="1772" customFormat="false" ht="28.5" hidden="true" customHeight="false" outlineLevel="0" collapsed="false">
      <c r="A1772" s="0" t="n">
        <v>1776</v>
      </c>
      <c r="B1772" s="1" t="s">
        <v>1147</v>
      </c>
      <c r="C1772" s="1" t="s">
        <v>1495</v>
      </c>
      <c r="D1772" s="1" t="s">
        <v>1487</v>
      </c>
      <c r="E1772" s="0" t="s">
        <v>40</v>
      </c>
      <c r="F1772" s="0" t="s">
        <v>48</v>
      </c>
      <c r="G1772" s="0" t="s">
        <v>9822</v>
      </c>
      <c r="I1772" s="6" t="n">
        <v>0.29375</v>
      </c>
      <c r="J1772" s="6" t="n">
        <v>0.311111111111111</v>
      </c>
      <c r="K1772" s="0" t="n">
        <v>0</v>
      </c>
      <c r="L1772" s="0" t="n">
        <v>80</v>
      </c>
      <c r="M1772" s="0" t="s">
        <v>9823</v>
      </c>
      <c r="N1772" s="7" t="s">
        <v>9824</v>
      </c>
      <c r="O1772" s="7"/>
      <c r="P1772" s="0" t="s">
        <v>9825</v>
      </c>
      <c r="Q1772" s="2" t="n">
        <v>43571</v>
      </c>
      <c r="S1772" s="0" t="n">
        <f aca="false">YEAR(Q1772)</f>
        <v>2019</v>
      </c>
      <c r="T1772" s="0" t="n">
        <f aca="false">MONTH(Q1772)</f>
        <v>4</v>
      </c>
    </row>
    <row r="1773" customFormat="false" ht="14.25" hidden="true" customHeight="false" outlineLevel="0" collapsed="false">
      <c r="A1773" s="0" t="n">
        <v>1777</v>
      </c>
      <c r="B1773" s="1" t="s">
        <v>1147</v>
      </c>
      <c r="C1773" s="1" t="s">
        <v>1479</v>
      </c>
      <c r="D1773" s="1" t="s">
        <v>1487</v>
      </c>
      <c r="E1773" s="4" t="s">
        <v>1488</v>
      </c>
      <c r="F1773" s="0" t="s">
        <v>48</v>
      </c>
      <c r="G1773" s="0" t="s">
        <v>9826</v>
      </c>
      <c r="I1773" s="6" t="n">
        <v>0.404861111111111</v>
      </c>
      <c r="J1773" s="6" t="n">
        <v>0.411805555555556</v>
      </c>
      <c r="K1773" s="0" t="n">
        <v>18</v>
      </c>
      <c r="L1773" s="0" t="n">
        <v>20</v>
      </c>
      <c r="M1773" s="0" t="s">
        <v>9827</v>
      </c>
      <c r="N1773" s="0" t="s">
        <v>9828</v>
      </c>
      <c r="P1773" s="0" t="s">
        <v>9829</v>
      </c>
      <c r="Q1773" s="2" t="n">
        <v>43571</v>
      </c>
      <c r="S1773" s="0" t="n">
        <f aca="false">YEAR(Q1773)</f>
        <v>2019</v>
      </c>
      <c r="T1773" s="0" t="n">
        <f aca="false">MONTH(Q1773)</f>
        <v>4</v>
      </c>
    </row>
    <row r="1774" customFormat="false" ht="28.5" hidden="true" customHeight="false" outlineLevel="0" collapsed="false">
      <c r="A1774" s="0" t="n">
        <v>1778</v>
      </c>
      <c r="B1774" s="1" t="s">
        <v>1147</v>
      </c>
      <c r="C1774" s="1" t="s">
        <v>1479</v>
      </c>
      <c r="D1774" s="1" t="s">
        <v>1480</v>
      </c>
      <c r="E1774" s="0" t="s">
        <v>43</v>
      </c>
      <c r="F1774" s="0" t="s">
        <v>48</v>
      </c>
      <c r="G1774" s="0" t="s">
        <v>9830</v>
      </c>
      <c r="I1774" s="6" t="n">
        <v>0.416666666666667</v>
      </c>
      <c r="J1774" s="6" t="n">
        <v>0.429166666666667</v>
      </c>
      <c r="K1774" s="0" t="n">
        <v>0</v>
      </c>
      <c r="L1774" s="0" t="n">
        <v>90</v>
      </c>
      <c r="M1774" s="0" t="s">
        <v>9831</v>
      </c>
      <c r="N1774" s="0" t="s">
        <v>9832</v>
      </c>
      <c r="P1774" s="7" t="s">
        <v>9833</v>
      </c>
      <c r="Q1774" s="2" t="n">
        <v>43571</v>
      </c>
      <c r="S1774" s="0" t="n">
        <f aca="false">YEAR(Q1774)</f>
        <v>2019</v>
      </c>
      <c r="T1774" s="0" t="n">
        <f aca="false">MONTH(Q1774)</f>
        <v>4</v>
      </c>
    </row>
    <row r="1775" customFormat="false" ht="72" hidden="true" customHeight="false" outlineLevel="0" collapsed="false">
      <c r="A1775" s="0" t="n">
        <v>1779</v>
      </c>
      <c r="B1775" s="1" t="s">
        <v>1147</v>
      </c>
      <c r="C1775" s="1" t="s">
        <v>1479</v>
      </c>
      <c r="D1775" s="1" t="s">
        <v>1535</v>
      </c>
      <c r="E1775" s="0" t="s">
        <v>39</v>
      </c>
      <c r="F1775" s="0" t="s">
        <v>48</v>
      </c>
      <c r="G1775" s="0" t="s">
        <v>9834</v>
      </c>
      <c r="I1775" s="6" t="n">
        <v>0.515277777777778</v>
      </c>
      <c r="J1775" s="6" t="n">
        <v>0.522222222222222</v>
      </c>
      <c r="K1775" s="0" t="n">
        <v>4</v>
      </c>
      <c r="L1775" s="0" t="n">
        <v>5</v>
      </c>
      <c r="M1775" s="0" t="s">
        <v>9835</v>
      </c>
      <c r="N1775" s="0" t="s">
        <v>9836</v>
      </c>
      <c r="P1775" s="7" t="s">
        <v>9837</v>
      </c>
      <c r="Q1775" s="2" t="n">
        <v>43571</v>
      </c>
      <c r="S1775" s="0" t="n">
        <f aca="false">YEAR(Q1775)</f>
        <v>2019</v>
      </c>
      <c r="T1775" s="0" t="n">
        <f aca="false">MONTH(Q1775)</f>
        <v>4</v>
      </c>
    </row>
    <row r="1776" customFormat="false" ht="28.5" hidden="true" customHeight="false" outlineLevel="0" collapsed="false">
      <c r="A1776" s="0" t="n">
        <v>1780</v>
      </c>
      <c r="B1776" s="1" t="s">
        <v>1147</v>
      </c>
      <c r="C1776" s="1" t="s">
        <v>1503</v>
      </c>
      <c r="D1776" s="1" t="s">
        <v>1535</v>
      </c>
      <c r="E1776" s="0" t="s">
        <v>1503</v>
      </c>
      <c r="F1776" s="0" t="s">
        <v>49</v>
      </c>
      <c r="G1776" s="0" t="s">
        <v>9838</v>
      </c>
      <c r="I1776" s="6" t="n">
        <v>0.791666666666667</v>
      </c>
      <c r="J1776" s="6" t="n">
        <v>0.791666666666667</v>
      </c>
      <c r="M1776" s="7" t="s">
        <v>9839</v>
      </c>
      <c r="N1776" s="0" t="s">
        <v>9840</v>
      </c>
      <c r="P1776" s="0" t="s">
        <v>9841</v>
      </c>
      <c r="Q1776" s="2" t="n">
        <v>43571</v>
      </c>
      <c r="S1776" s="0" t="n">
        <f aca="false">YEAR(Q1776)</f>
        <v>2019</v>
      </c>
      <c r="T1776" s="0" t="n">
        <f aca="false">MONTH(Q1776)</f>
        <v>4</v>
      </c>
    </row>
    <row r="1777" customFormat="false" ht="14.25" hidden="true" customHeight="false" outlineLevel="0" collapsed="false">
      <c r="A1777" s="0" t="n">
        <v>1781</v>
      </c>
      <c r="B1777" s="1" t="s">
        <v>1147</v>
      </c>
      <c r="C1777" s="1" t="s">
        <v>1503</v>
      </c>
      <c r="D1777" s="1" t="s">
        <v>1648</v>
      </c>
      <c r="E1777" s="0" t="s">
        <v>1648</v>
      </c>
      <c r="F1777" s="0" t="s">
        <v>49</v>
      </c>
      <c r="G1777" s="0" t="s">
        <v>9842</v>
      </c>
      <c r="M1777" s="0" t="s">
        <v>9843</v>
      </c>
      <c r="N1777" s="0" t="s">
        <v>9844</v>
      </c>
      <c r="P1777" s="0" t="s">
        <v>9845</v>
      </c>
      <c r="Q1777" s="2" t="n">
        <v>43571</v>
      </c>
      <c r="S1777" s="0" t="n">
        <f aca="false">YEAR(Q1777)</f>
        <v>2019</v>
      </c>
      <c r="T1777" s="0" t="n">
        <f aca="false">MONTH(Q1777)</f>
        <v>4</v>
      </c>
    </row>
    <row r="1778" customFormat="false" ht="14.25" hidden="true" customHeight="false" outlineLevel="0" collapsed="false">
      <c r="A1778" s="0" t="n">
        <v>1782</v>
      </c>
      <c r="B1778" s="1" t="s">
        <v>1147</v>
      </c>
      <c r="C1778" s="1" t="s">
        <v>1503</v>
      </c>
      <c r="D1778" s="1" t="s">
        <v>1535</v>
      </c>
      <c r="E1778" s="0" t="s">
        <v>1503</v>
      </c>
      <c r="F1778" s="0" t="s">
        <v>50</v>
      </c>
      <c r="G1778" s="0" t="s">
        <v>9846</v>
      </c>
      <c r="I1778" s="6" t="n">
        <v>0.944444444444444</v>
      </c>
      <c r="J1778" s="6" t="n">
        <v>0.951388888888889</v>
      </c>
      <c r="L1778" s="0" t="n">
        <v>140</v>
      </c>
      <c r="M1778" s="0" t="s">
        <v>9847</v>
      </c>
      <c r="N1778" s="0" t="s">
        <v>9848</v>
      </c>
      <c r="P1778" s="0" t="s">
        <v>9849</v>
      </c>
      <c r="Q1778" s="2" t="n">
        <v>43571</v>
      </c>
      <c r="S1778" s="0" t="n">
        <f aca="false">YEAR(Q1778)</f>
        <v>2019</v>
      </c>
      <c r="T1778" s="0" t="n">
        <f aca="false">MONTH(Q1778)</f>
        <v>4</v>
      </c>
    </row>
    <row r="1779" customFormat="false" ht="14.25" hidden="true" customHeight="false" outlineLevel="0" collapsed="false">
      <c r="A1779" s="0" t="n">
        <v>1783</v>
      </c>
      <c r="B1779" s="1" t="s">
        <v>1147</v>
      </c>
      <c r="C1779" s="1" t="s">
        <v>1479</v>
      </c>
      <c r="D1779" s="1" t="s">
        <v>1535</v>
      </c>
      <c r="E1779" s="0" t="s">
        <v>39</v>
      </c>
      <c r="F1779" s="0" t="s">
        <v>50</v>
      </c>
      <c r="G1779" s="0" t="s">
        <v>9850</v>
      </c>
      <c r="I1779" s="6" t="n">
        <v>0.125</v>
      </c>
      <c r="J1779" s="6" t="n">
        <v>0.149305555555556</v>
      </c>
      <c r="K1779" s="0" t="n">
        <v>1</v>
      </c>
      <c r="L1779" s="0" t="n">
        <v>50</v>
      </c>
      <c r="M1779" s="0" t="s">
        <v>9851</v>
      </c>
      <c r="N1779" s="0" t="s">
        <v>9852</v>
      </c>
      <c r="P1779" s="0" t="s">
        <v>9853</v>
      </c>
      <c r="Q1779" s="2" t="n">
        <v>43571</v>
      </c>
      <c r="S1779" s="0" t="n">
        <f aca="false">YEAR(Q1779)</f>
        <v>2019</v>
      </c>
      <c r="T1779" s="0" t="n">
        <f aca="false">MONTH(Q1779)</f>
        <v>4</v>
      </c>
    </row>
    <row r="1780" customFormat="false" ht="14.25" hidden="true" customHeight="false" outlineLevel="0" collapsed="false">
      <c r="A1780" s="0" t="n">
        <v>1784</v>
      </c>
      <c r="B1780" s="1" t="s">
        <v>1149</v>
      </c>
      <c r="C1780" s="1" t="s">
        <v>1503</v>
      </c>
      <c r="D1780" s="1" t="s">
        <v>1535</v>
      </c>
      <c r="E1780" s="0" t="s">
        <v>1503</v>
      </c>
      <c r="F1780" s="0" t="s">
        <v>48</v>
      </c>
      <c r="G1780" s="0" t="s">
        <v>9854</v>
      </c>
      <c r="I1780" s="6" t="n">
        <v>0.583333333333333</v>
      </c>
      <c r="J1780" s="6" t="n">
        <v>0.243055555555556</v>
      </c>
      <c r="K1780" s="0" t="n">
        <v>0</v>
      </c>
      <c r="M1780" s="0" t="s">
        <v>9855</v>
      </c>
      <c r="N1780" s="0" t="s">
        <v>9856</v>
      </c>
      <c r="P1780" s="0" t="s">
        <v>9857</v>
      </c>
      <c r="Q1780" s="2" t="n">
        <v>43572</v>
      </c>
      <c r="S1780" s="0" t="n">
        <f aca="false">YEAR(Q1780)</f>
        <v>2019</v>
      </c>
      <c r="T1780" s="0" t="n">
        <f aca="false">MONTH(Q1780)</f>
        <v>4</v>
      </c>
    </row>
    <row r="1781" customFormat="false" ht="14.25" hidden="true" customHeight="false" outlineLevel="0" collapsed="false">
      <c r="A1781" s="0" t="n">
        <v>1785</v>
      </c>
      <c r="B1781" s="1" t="s">
        <v>1149</v>
      </c>
      <c r="C1781" s="1" t="s">
        <v>1479</v>
      </c>
      <c r="D1781" s="1" t="s">
        <v>1487</v>
      </c>
      <c r="E1781" s="0" t="s">
        <v>1488</v>
      </c>
      <c r="F1781" s="0" t="s">
        <v>48</v>
      </c>
      <c r="G1781" s="0" t="s">
        <v>9858</v>
      </c>
      <c r="I1781" s="6" t="n">
        <v>0.458333333333333</v>
      </c>
      <c r="J1781" s="6" t="n">
        <v>0.465277777777778</v>
      </c>
      <c r="K1781" s="0" t="n">
        <v>0</v>
      </c>
      <c r="L1781" s="0" t="n">
        <v>15</v>
      </c>
      <c r="M1781" s="0" t="s">
        <v>9859</v>
      </c>
      <c r="N1781" s="0" t="s">
        <v>9860</v>
      </c>
      <c r="P1781" s="0" t="s">
        <v>9861</v>
      </c>
      <c r="Q1781" s="2" t="n">
        <v>43572</v>
      </c>
      <c r="S1781" s="0" t="n">
        <f aca="false">YEAR(Q1781)</f>
        <v>2019</v>
      </c>
      <c r="T1781" s="0" t="n">
        <f aca="false">MONTH(Q1781)</f>
        <v>4</v>
      </c>
    </row>
    <row r="1782" customFormat="false" ht="28.5" hidden="true" customHeight="false" outlineLevel="0" collapsed="false">
      <c r="A1782" s="0" t="n">
        <v>1786</v>
      </c>
      <c r="B1782" s="1" t="s">
        <v>1149</v>
      </c>
      <c r="C1782" s="1" t="s">
        <v>1479</v>
      </c>
      <c r="D1782" s="1" t="s">
        <v>1487</v>
      </c>
      <c r="E1782" s="4" t="s">
        <v>1488</v>
      </c>
      <c r="F1782" s="0" t="s">
        <v>48</v>
      </c>
      <c r="G1782" s="0" t="s">
        <v>9862</v>
      </c>
      <c r="I1782" s="6" t="n">
        <v>0.572222222222222</v>
      </c>
      <c r="J1782" s="6" t="n">
        <v>0.579166666666667</v>
      </c>
      <c r="K1782" s="0" t="n">
        <v>22</v>
      </c>
      <c r="L1782" s="0" t="n">
        <v>20</v>
      </c>
      <c r="M1782" s="0" t="s">
        <v>9863</v>
      </c>
      <c r="N1782" s="0" t="s">
        <v>9864</v>
      </c>
      <c r="P1782" s="7" t="s">
        <v>9865</v>
      </c>
      <c r="Q1782" s="2" t="n">
        <v>43572</v>
      </c>
      <c r="S1782" s="0" t="n">
        <f aca="false">YEAR(Q1782)</f>
        <v>2019</v>
      </c>
      <c r="T1782" s="0" t="n">
        <f aca="false">MONTH(Q1782)</f>
        <v>4</v>
      </c>
    </row>
    <row r="1783" customFormat="false" ht="28.5" hidden="true" customHeight="false" outlineLevel="0" collapsed="false">
      <c r="A1783" s="0" t="n">
        <v>1787</v>
      </c>
      <c r="B1783" s="1" t="s">
        <v>1149</v>
      </c>
      <c r="C1783" s="1" t="s">
        <v>1479</v>
      </c>
      <c r="D1783" s="1" t="s">
        <v>1487</v>
      </c>
      <c r="E1783" s="4" t="s">
        <v>1488</v>
      </c>
      <c r="F1783" s="0" t="s">
        <v>49</v>
      </c>
      <c r="G1783" s="0" t="s">
        <v>2563</v>
      </c>
      <c r="I1783" s="6" t="n">
        <v>0.576388888888889</v>
      </c>
      <c r="J1783" s="6" t="n">
        <v>0.590277777777778</v>
      </c>
      <c r="K1783" s="0" t="n">
        <v>28</v>
      </c>
      <c r="L1783" s="0" t="n">
        <v>90</v>
      </c>
      <c r="M1783" s="0" t="s">
        <v>9866</v>
      </c>
      <c r="N1783" s="0" t="s">
        <v>9867</v>
      </c>
      <c r="P1783" s="7" t="s">
        <v>9868</v>
      </c>
      <c r="Q1783" s="2" t="n">
        <v>43572</v>
      </c>
      <c r="S1783" s="0" t="n">
        <f aca="false">YEAR(Q1783)</f>
        <v>2019</v>
      </c>
      <c r="T1783" s="0" t="n">
        <f aca="false">MONTH(Q1783)</f>
        <v>4</v>
      </c>
    </row>
    <row r="1784" customFormat="false" ht="14.25" hidden="true" customHeight="false" outlineLevel="0" collapsed="false">
      <c r="A1784" s="0" t="n">
        <v>1788</v>
      </c>
      <c r="B1784" s="1" t="s">
        <v>1149</v>
      </c>
      <c r="C1784" s="1" t="s">
        <v>1479</v>
      </c>
      <c r="D1784" s="1" t="s">
        <v>1487</v>
      </c>
      <c r="E1784" s="0" t="s">
        <v>1488</v>
      </c>
      <c r="F1784" s="0" t="s">
        <v>49</v>
      </c>
      <c r="G1784" s="0" t="s">
        <v>9869</v>
      </c>
      <c r="I1784" s="6" t="n">
        <v>0.798611111111111</v>
      </c>
      <c r="J1784" s="6" t="n">
        <v>0.815972222222222</v>
      </c>
      <c r="K1784" s="0" t="n">
        <v>0</v>
      </c>
      <c r="L1784" s="0" t="n">
        <v>50</v>
      </c>
      <c r="M1784" s="0" t="s">
        <v>9870</v>
      </c>
      <c r="N1784" s="0" t="s">
        <v>9871</v>
      </c>
      <c r="P1784" s="0" t="s">
        <v>9872</v>
      </c>
      <c r="Q1784" s="2" t="n">
        <v>43572</v>
      </c>
      <c r="S1784" s="0" t="n">
        <f aca="false">YEAR(Q1784)</f>
        <v>2019</v>
      </c>
      <c r="T1784" s="0" t="n">
        <f aca="false">MONTH(Q1784)</f>
        <v>4</v>
      </c>
    </row>
    <row r="1785" customFormat="false" ht="28.5" hidden="true" customHeight="false" outlineLevel="0" collapsed="false">
      <c r="A1785" s="0" t="n">
        <v>1789</v>
      </c>
      <c r="B1785" s="1" t="s">
        <v>1149</v>
      </c>
      <c r="C1785" s="1" t="s">
        <v>1503</v>
      </c>
      <c r="D1785" s="1" t="s">
        <v>1504</v>
      </c>
      <c r="E1785" s="0" t="s">
        <v>9506</v>
      </c>
      <c r="F1785" s="0" t="s">
        <v>49</v>
      </c>
      <c r="G1785" s="0" t="s">
        <v>9055</v>
      </c>
      <c r="I1785" s="6" t="n">
        <v>0.847222222222222</v>
      </c>
      <c r="J1785" s="6" t="n">
        <v>0.868055555555555</v>
      </c>
      <c r="L1785" s="0" t="n">
        <v>100</v>
      </c>
      <c r="M1785" s="0" t="s">
        <v>9873</v>
      </c>
      <c r="N1785" s="7" t="s">
        <v>9874</v>
      </c>
      <c r="O1785" s="7"/>
      <c r="P1785" s="0" t="s">
        <v>9875</v>
      </c>
      <c r="Q1785" s="2" t="n">
        <v>43572</v>
      </c>
      <c r="S1785" s="0" t="n">
        <f aca="false">YEAR(Q1785)</f>
        <v>2019</v>
      </c>
      <c r="T1785" s="0" t="n">
        <f aca="false">MONTH(Q1785)</f>
        <v>4</v>
      </c>
    </row>
    <row r="1786" customFormat="false" ht="14.25" hidden="true" customHeight="false" outlineLevel="0" collapsed="false">
      <c r="A1786" s="0" t="n">
        <v>1790</v>
      </c>
      <c r="B1786" s="1" t="s">
        <v>1149</v>
      </c>
      <c r="C1786" s="1" t="s">
        <v>1503</v>
      </c>
      <c r="D1786" s="1" t="s">
        <v>1648</v>
      </c>
      <c r="E1786" s="0" t="s">
        <v>1648</v>
      </c>
      <c r="F1786" s="0" t="s">
        <v>50</v>
      </c>
      <c r="G1786" s="0" t="s">
        <v>9876</v>
      </c>
      <c r="I1786" s="6" t="n">
        <v>0.125</v>
      </c>
      <c r="J1786" s="6" t="n">
        <v>0.138888888888889</v>
      </c>
      <c r="K1786" s="0" t="n">
        <v>0</v>
      </c>
      <c r="L1786" s="0" t="n">
        <v>30</v>
      </c>
      <c r="M1786" s="0" t="s">
        <v>9815</v>
      </c>
      <c r="N1786" s="0" t="s">
        <v>9877</v>
      </c>
      <c r="P1786" s="0" t="s">
        <v>9817</v>
      </c>
      <c r="Q1786" s="2" t="n">
        <v>43572</v>
      </c>
      <c r="S1786" s="0" t="n">
        <f aca="false">YEAR(Q1786)</f>
        <v>2019</v>
      </c>
      <c r="T1786" s="0" t="n">
        <f aca="false">MONTH(Q1786)</f>
        <v>4</v>
      </c>
    </row>
    <row r="1787" customFormat="false" ht="14.25" hidden="true" customHeight="false" outlineLevel="0" collapsed="false">
      <c r="A1787" s="0" t="n">
        <v>1791</v>
      </c>
      <c r="B1787" s="1" t="s">
        <v>1149</v>
      </c>
      <c r="C1787" s="1" t="s">
        <v>1479</v>
      </c>
      <c r="D1787" s="1" t="s">
        <v>1487</v>
      </c>
      <c r="E1787" s="0" t="s">
        <v>1488</v>
      </c>
      <c r="F1787" s="0" t="s">
        <v>50</v>
      </c>
      <c r="G1787" s="0" t="s">
        <v>9878</v>
      </c>
      <c r="I1787" s="6" t="n">
        <v>0.0833333333333333</v>
      </c>
      <c r="J1787" s="6" t="n">
        <v>0.104166666666667</v>
      </c>
      <c r="K1787" s="0" t="n">
        <v>0</v>
      </c>
      <c r="L1787" s="0" t="n">
        <v>0</v>
      </c>
      <c r="M1787" s="0" t="s">
        <v>9879</v>
      </c>
      <c r="N1787" s="0" t="s">
        <v>9880</v>
      </c>
      <c r="P1787" s="0" t="s">
        <v>9881</v>
      </c>
      <c r="Q1787" s="2" t="n">
        <v>43572</v>
      </c>
      <c r="S1787" s="0" t="n">
        <f aca="false">YEAR(Q1787)</f>
        <v>2019</v>
      </c>
      <c r="T1787" s="0" t="n">
        <f aca="false">MONTH(Q1787)</f>
        <v>4</v>
      </c>
    </row>
    <row r="1788" customFormat="false" ht="14.25" hidden="true" customHeight="false" outlineLevel="0" collapsed="false">
      <c r="A1788" s="0" t="n">
        <v>1792</v>
      </c>
      <c r="B1788" s="1" t="s">
        <v>1150</v>
      </c>
      <c r="C1788" s="1" t="s">
        <v>1503</v>
      </c>
      <c r="D1788" s="1" t="s">
        <v>1535</v>
      </c>
      <c r="E1788" s="0" t="s">
        <v>1503</v>
      </c>
      <c r="F1788" s="0" t="s">
        <v>48</v>
      </c>
      <c r="G1788" s="0" t="s">
        <v>8547</v>
      </c>
      <c r="I1788" s="6" t="n">
        <v>0.364583333333333</v>
      </c>
      <c r="J1788" s="6" t="n">
        <v>0.370138888888889</v>
      </c>
      <c r="K1788" s="0" t="n">
        <v>0</v>
      </c>
      <c r="L1788" s="0" t="n">
        <v>180</v>
      </c>
      <c r="M1788" s="0" t="s">
        <v>9882</v>
      </c>
      <c r="N1788" s="0" t="s">
        <v>9883</v>
      </c>
      <c r="P1788" s="0" t="s">
        <v>9884</v>
      </c>
      <c r="Q1788" s="2" t="n">
        <v>43573</v>
      </c>
      <c r="S1788" s="0" t="n">
        <f aca="false">YEAR(Q1788)</f>
        <v>2019</v>
      </c>
      <c r="T1788" s="0" t="n">
        <f aca="false">MONTH(Q1788)</f>
        <v>4</v>
      </c>
    </row>
    <row r="1789" customFormat="false" ht="14.25" hidden="true" customHeight="false" outlineLevel="0" collapsed="false">
      <c r="A1789" s="0" t="n">
        <v>1793</v>
      </c>
      <c r="B1789" s="1" t="s">
        <v>1150</v>
      </c>
      <c r="C1789" s="1" t="s">
        <v>1503</v>
      </c>
      <c r="D1789" s="1" t="s">
        <v>1535</v>
      </c>
      <c r="E1789" s="0" t="s">
        <v>1503</v>
      </c>
      <c r="F1789" s="0" t="s">
        <v>49</v>
      </c>
      <c r="G1789" s="0" t="s">
        <v>8547</v>
      </c>
      <c r="I1789" s="6" t="n">
        <v>0</v>
      </c>
      <c r="J1789" s="6" t="n">
        <v>0.701388888888889</v>
      </c>
      <c r="K1789" s="0" t="n">
        <v>0</v>
      </c>
      <c r="L1789" s="0" t="n">
        <v>35</v>
      </c>
      <c r="M1789" s="0" t="s">
        <v>9885</v>
      </c>
      <c r="N1789" s="0" t="s">
        <v>9886</v>
      </c>
      <c r="P1789" s="0" t="s">
        <v>9887</v>
      </c>
      <c r="Q1789" s="2" t="n">
        <v>43573</v>
      </c>
      <c r="S1789" s="0" t="n">
        <f aca="false">YEAR(Q1789)</f>
        <v>2019</v>
      </c>
      <c r="T1789" s="0" t="n">
        <f aca="false">MONTH(Q1789)</f>
        <v>4</v>
      </c>
    </row>
    <row r="1790" customFormat="false" ht="57" hidden="true" customHeight="false" outlineLevel="0" collapsed="false">
      <c r="A1790" s="0" t="n">
        <v>1794</v>
      </c>
      <c r="B1790" s="1" t="s">
        <v>1153</v>
      </c>
      <c r="C1790" s="1" t="s">
        <v>1479</v>
      </c>
      <c r="D1790" s="1" t="s">
        <v>1487</v>
      </c>
      <c r="E1790" s="0" t="s">
        <v>1488</v>
      </c>
      <c r="F1790" s="0" t="s">
        <v>48</v>
      </c>
      <c r="G1790" s="0" t="s">
        <v>9888</v>
      </c>
      <c r="I1790" s="6" t="n">
        <v>0.236111111111111</v>
      </c>
      <c r="J1790" s="6" t="n">
        <v>0.245833333333333</v>
      </c>
      <c r="K1790" s="0" t="n">
        <v>0</v>
      </c>
      <c r="M1790" s="0" t="s">
        <v>9889</v>
      </c>
      <c r="N1790" s="7" t="s">
        <v>9890</v>
      </c>
      <c r="O1790" s="7"/>
      <c r="P1790" s="0" t="s">
        <v>9891</v>
      </c>
      <c r="Q1790" s="2" t="n">
        <v>43577</v>
      </c>
      <c r="S1790" s="0" t="n">
        <f aca="false">YEAR(Q1790)</f>
        <v>2019</v>
      </c>
      <c r="T1790" s="0" t="n">
        <f aca="false">MONTH(Q1790)</f>
        <v>4</v>
      </c>
    </row>
    <row r="1791" customFormat="false" ht="14.25" hidden="true" customHeight="false" outlineLevel="0" collapsed="false">
      <c r="A1791" s="0" t="n">
        <v>1795</v>
      </c>
      <c r="B1791" s="1" t="s">
        <v>1153</v>
      </c>
      <c r="C1791" s="1" t="s">
        <v>1503</v>
      </c>
      <c r="D1791" s="1" t="s">
        <v>1504</v>
      </c>
      <c r="E1791" s="0" t="s">
        <v>9506</v>
      </c>
      <c r="F1791" s="0" t="s">
        <v>48</v>
      </c>
      <c r="G1791" s="0" t="n">
        <v>200</v>
      </c>
      <c r="I1791" s="6" t="n">
        <v>0.25</v>
      </c>
      <c r="J1791" s="6" t="n">
        <v>0.333333333333333</v>
      </c>
      <c r="K1791" s="0" t="n">
        <v>0</v>
      </c>
      <c r="M1791" s="0" t="s">
        <v>9892</v>
      </c>
      <c r="N1791" s="0" t="s">
        <v>9893</v>
      </c>
      <c r="P1791" s="0" t="s">
        <v>9894</v>
      </c>
      <c r="Q1791" s="2" t="n">
        <v>43577</v>
      </c>
      <c r="S1791" s="0" t="n">
        <f aca="false">YEAR(Q1791)</f>
        <v>2019</v>
      </c>
      <c r="T1791" s="0" t="n">
        <f aca="false">MONTH(Q1791)</f>
        <v>4</v>
      </c>
    </row>
    <row r="1792" customFormat="false" ht="14.25" hidden="true" customHeight="false" outlineLevel="0" collapsed="false">
      <c r="A1792" s="0" t="n">
        <v>1796</v>
      </c>
      <c r="B1792" s="1" t="s">
        <v>1153</v>
      </c>
      <c r="C1792" s="1" t="s">
        <v>1479</v>
      </c>
      <c r="D1792" s="1" t="s">
        <v>1480</v>
      </c>
      <c r="E1792" s="0" t="s">
        <v>43</v>
      </c>
      <c r="F1792" s="0" t="s">
        <v>49</v>
      </c>
      <c r="G1792" s="0" t="s">
        <v>9895</v>
      </c>
      <c r="I1792" s="6" t="n">
        <v>0.819444444444444</v>
      </c>
      <c r="J1792" s="6" t="n">
        <v>0.840277777777778</v>
      </c>
      <c r="K1792" s="0" t="n">
        <v>0</v>
      </c>
      <c r="L1792" s="0" t="n">
        <v>80</v>
      </c>
      <c r="M1792" s="0" t="s">
        <v>9896</v>
      </c>
      <c r="N1792" s="0" t="s">
        <v>9897</v>
      </c>
      <c r="P1792" s="0" t="s">
        <v>9898</v>
      </c>
      <c r="Q1792" s="2" t="n">
        <v>43577</v>
      </c>
      <c r="S1792" s="0" t="n">
        <f aca="false">YEAR(Q1792)</f>
        <v>2019</v>
      </c>
      <c r="T1792" s="0" t="n">
        <f aca="false">MONTH(Q1792)</f>
        <v>4</v>
      </c>
    </row>
    <row r="1793" customFormat="false" ht="28.5" hidden="true" customHeight="false" outlineLevel="0" collapsed="false">
      <c r="A1793" s="0" t="n">
        <v>1797</v>
      </c>
      <c r="B1793" s="1" t="s">
        <v>1153</v>
      </c>
      <c r="F1793" s="0" t="s">
        <v>50</v>
      </c>
      <c r="M1793" s="7" t="s">
        <v>9899</v>
      </c>
      <c r="Q1793" s="2" t="n">
        <v>43577</v>
      </c>
      <c r="S1793" s="0" t="n">
        <f aca="false">YEAR(Q1793)</f>
        <v>2019</v>
      </c>
      <c r="T1793" s="0" t="n">
        <f aca="false">MONTH(Q1793)</f>
        <v>4</v>
      </c>
    </row>
    <row r="1794" customFormat="false" ht="28.5" hidden="true" customHeight="false" outlineLevel="0" collapsed="false">
      <c r="A1794" s="0" t="n">
        <v>1798</v>
      </c>
      <c r="B1794" s="1" t="s">
        <v>1154</v>
      </c>
      <c r="C1794" s="1" t="s">
        <v>1503</v>
      </c>
      <c r="D1794" s="1" t="s">
        <v>1535</v>
      </c>
      <c r="E1794" s="0" t="s">
        <v>44</v>
      </c>
      <c r="F1794" s="0" t="s">
        <v>48</v>
      </c>
      <c r="G1794" s="0" t="s">
        <v>9900</v>
      </c>
      <c r="I1794" s="6" t="n">
        <v>0.319444444444444</v>
      </c>
      <c r="J1794" s="6" t="n">
        <v>0.338888888888889</v>
      </c>
      <c r="K1794" s="0" t="n">
        <v>20</v>
      </c>
      <c r="L1794" s="0" t="n">
        <v>40</v>
      </c>
      <c r="M1794" s="0" t="s">
        <v>9901</v>
      </c>
      <c r="N1794" s="7" t="s">
        <v>9902</v>
      </c>
      <c r="O1794" s="7"/>
      <c r="P1794" s="0" t="s">
        <v>9903</v>
      </c>
      <c r="Q1794" s="2" t="n">
        <v>43578</v>
      </c>
      <c r="S1794" s="0" t="n">
        <f aca="false">YEAR(Q1794)</f>
        <v>2019</v>
      </c>
      <c r="T1794" s="0" t="n">
        <f aca="false">MONTH(Q1794)</f>
        <v>4</v>
      </c>
    </row>
    <row r="1795" customFormat="false" ht="28.5" hidden="true" customHeight="false" outlineLevel="0" collapsed="false">
      <c r="A1795" s="0" t="n">
        <v>1799</v>
      </c>
      <c r="B1795" s="1" t="s">
        <v>1154</v>
      </c>
      <c r="C1795" s="1" t="s">
        <v>1479</v>
      </c>
      <c r="D1795" s="1" t="s">
        <v>1487</v>
      </c>
      <c r="E1795" s="0" t="s">
        <v>1488</v>
      </c>
      <c r="F1795" s="0" t="s">
        <v>49</v>
      </c>
      <c r="G1795" s="0" t="s">
        <v>8813</v>
      </c>
      <c r="I1795" s="6" t="n">
        <v>0.638888888888889</v>
      </c>
      <c r="J1795" s="6" t="n">
        <v>0.649305555555556</v>
      </c>
      <c r="L1795" s="0" t="n">
        <v>27</v>
      </c>
      <c r="M1795" s="0" t="s">
        <v>9904</v>
      </c>
      <c r="N1795" s="0" t="s">
        <v>9905</v>
      </c>
      <c r="P1795" s="7" t="s">
        <v>9906</v>
      </c>
      <c r="Q1795" s="2" t="n">
        <v>43578</v>
      </c>
      <c r="S1795" s="0" t="n">
        <f aca="false">YEAR(Q1795)</f>
        <v>2019</v>
      </c>
      <c r="T1795" s="0" t="n">
        <f aca="false">MONTH(Q1795)</f>
        <v>4</v>
      </c>
    </row>
    <row r="1796" customFormat="false" ht="28.5" hidden="true" customHeight="false" outlineLevel="0" collapsed="false">
      <c r="A1796" s="0" t="n">
        <v>1800</v>
      </c>
      <c r="B1796" s="1" t="s">
        <v>1156</v>
      </c>
      <c r="C1796" s="1" t="s">
        <v>1479</v>
      </c>
      <c r="D1796" s="1" t="s">
        <v>1487</v>
      </c>
      <c r="E1796" s="4" t="s">
        <v>1488</v>
      </c>
      <c r="F1796" s="0" t="s">
        <v>48</v>
      </c>
      <c r="G1796" s="0" t="s">
        <v>9907</v>
      </c>
      <c r="I1796" s="6" t="n">
        <v>0.375694444444444</v>
      </c>
      <c r="J1796" s="6" t="n">
        <v>0.38125</v>
      </c>
      <c r="K1796" s="0" t="n">
        <v>12</v>
      </c>
      <c r="L1796" s="0" t="n">
        <v>19</v>
      </c>
      <c r="M1796" s="0" t="s">
        <v>9908</v>
      </c>
      <c r="N1796" s="7" t="s">
        <v>9909</v>
      </c>
      <c r="O1796" s="7"/>
      <c r="P1796" s="0" t="s">
        <v>9910</v>
      </c>
      <c r="Q1796" s="2" t="n">
        <v>43579</v>
      </c>
      <c r="S1796" s="0" t="n">
        <f aca="false">YEAR(Q1796)</f>
        <v>2019</v>
      </c>
      <c r="T1796" s="0" t="n">
        <f aca="false">MONTH(Q1796)</f>
        <v>4</v>
      </c>
    </row>
    <row r="1797" customFormat="false" ht="14.25" hidden="true" customHeight="false" outlineLevel="0" collapsed="false">
      <c r="A1797" s="0" t="n">
        <v>1801</v>
      </c>
      <c r="B1797" s="1" t="s">
        <v>1156</v>
      </c>
      <c r="C1797" s="1" t="s">
        <v>1503</v>
      </c>
      <c r="D1797" s="1" t="s">
        <v>1535</v>
      </c>
      <c r="E1797" s="0" t="s">
        <v>1503</v>
      </c>
      <c r="F1797" s="0" t="s">
        <v>49</v>
      </c>
      <c r="G1797" s="0" t="s">
        <v>9911</v>
      </c>
      <c r="J1797" s="6" t="n">
        <v>0.890972222222222</v>
      </c>
      <c r="L1797" s="0" t="n">
        <v>0</v>
      </c>
      <c r="M1797" s="0" t="s">
        <v>9912</v>
      </c>
      <c r="N1797" s="0" t="s">
        <v>9913</v>
      </c>
      <c r="P1797" s="0" t="s">
        <v>9914</v>
      </c>
      <c r="Q1797" s="2" t="n">
        <v>43579</v>
      </c>
      <c r="S1797" s="0" t="n">
        <f aca="false">YEAR(Q1797)</f>
        <v>2019</v>
      </c>
      <c r="T1797" s="0" t="n">
        <f aca="false">MONTH(Q1797)</f>
        <v>4</v>
      </c>
    </row>
    <row r="1798" customFormat="false" ht="14.25" hidden="true" customHeight="false" outlineLevel="0" collapsed="false">
      <c r="A1798" s="0" t="n">
        <v>1802</v>
      </c>
      <c r="B1798" s="1" t="s">
        <v>1156</v>
      </c>
      <c r="C1798" s="1" t="s">
        <v>1503</v>
      </c>
      <c r="D1798" s="1" t="s">
        <v>1535</v>
      </c>
      <c r="E1798" s="0" t="s">
        <v>1503</v>
      </c>
      <c r="F1798" s="0" t="s">
        <v>49</v>
      </c>
      <c r="G1798" s="0" t="s">
        <v>9915</v>
      </c>
      <c r="J1798" s="6" t="n">
        <v>0.875</v>
      </c>
      <c r="K1798" s="0" t="n">
        <v>0</v>
      </c>
      <c r="M1798" s="0" t="s">
        <v>9916</v>
      </c>
      <c r="N1798" s="0" t="s">
        <v>9917</v>
      </c>
      <c r="P1798" s="0" t="s">
        <v>9918</v>
      </c>
      <c r="Q1798" s="2" t="n">
        <v>43579</v>
      </c>
      <c r="S1798" s="0" t="n">
        <f aca="false">YEAR(Q1798)</f>
        <v>2019</v>
      </c>
      <c r="T1798" s="0" t="n">
        <f aca="false">MONTH(Q1798)</f>
        <v>4</v>
      </c>
    </row>
    <row r="1799" customFormat="false" ht="28.5" hidden="true" customHeight="false" outlineLevel="0" collapsed="false">
      <c r="A1799" s="0" t="n">
        <v>1803</v>
      </c>
      <c r="B1799" s="1" t="s">
        <v>1156</v>
      </c>
      <c r="C1799" s="1" t="s">
        <v>1503</v>
      </c>
      <c r="D1799" s="1" t="s">
        <v>1504</v>
      </c>
      <c r="E1799" s="0" t="s">
        <v>1503</v>
      </c>
      <c r="F1799" s="0" t="s">
        <v>50</v>
      </c>
      <c r="G1799" s="0" t="s">
        <v>9919</v>
      </c>
      <c r="J1799" s="6" t="n">
        <v>0.890972222222222</v>
      </c>
      <c r="K1799" s="0" t="n">
        <v>0</v>
      </c>
      <c r="M1799" s="0" t="s">
        <v>9920</v>
      </c>
      <c r="N1799" s="0" t="s">
        <v>9913</v>
      </c>
      <c r="P1799" s="7" t="s">
        <v>9921</v>
      </c>
      <c r="Q1799" s="2" t="n">
        <v>43579</v>
      </c>
      <c r="S1799" s="0" t="n">
        <f aca="false">YEAR(Q1799)</f>
        <v>2019</v>
      </c>
      <c r="T1799" s="0" t="n">
        <f aca="false">MONTH(Q1799)</f>
        <v>4</v>
      </c>
    </row>
    <row r="1800" customFormat="false" ht="14.25" hidden="true" customHeight="false" outlineLevel="0" collapsed="false">
      <c r="A1800" s="0" t="n">
        <v>1804</v>
      </c>
      <c r="B1800" s="1" t="s">
        <v>1156</v>
      </c>
      <c r="C1800" s="1" t="s">
        <v>1503</v>
      </c>
      <c r="D1800" s="1" t="s">
        <v>1504</v>
      </c>
      <c r="E1800" s="0" t="s">
        <v>1503</v>
      </c>
      <c r="F1800" s="0" t="s">
        <v>50</v>
      </c>
      <c r="G1800" s="0" t="s">
        <v>9922</v>
      </c>
      <c r="I1800" s="6" t="n">
        <v>0.958333333333333</v>
      </c>
      <c r="J1800" s="6" t="n">
        <v>0.979166666666667</v>
      </c>
      <c r="K1800" s="0" t="n">
        <v>0</v>
      </c>
      <c r="L1800" s="0" t="n">
        <v>70</v>
      </c>
      <c r="M1800" s="0" t="s">
        <v>9923</v>
      </c>
      <c r="N1800" s="0" t="s">
        <v>9924</v>
      </c>
      <c r="P1800" s="0" t="s">
        <v>9925</v>
      </c>
      <c r="Q1800" s="2" t="n">
        <v>43579</v>
      </c>
      <c r="S1800" s="0" t="n">
        <f aca="false">YEAR(Q1800)</f>
        <v>2019</v>
      </c>
      <c r="T1800" s="0" t="n">
        <f aca="false">MONTH(Q1800)</f>
        <v>4</v>
      </c>
    </row>
    <row r="1801" customFormat="false" ht="14.25" hidden="true" customHeight="false" outlineLevel="0" collapsed="false">
      <c r="A1801" s="0" t="n">
        <v>1805</v>
      </c>
      <c r="B1801" s="1" t="s">
        <v>1158</v>
      </c>
      <c r="C1801" s="1" t="s">
        <v>1479</v>
      </c>
      <c r="D1801" s="1" t="s">
        <v>1487</v>
      </c>
      <c r="E1801" s="4" t="s">
        <v>1488</v>
      </c>
      <c r="F1801" s="0" t="s">
        <v>48</v>
      </c>
      <c r="G1801" s="0" t="s">
        <v>9926</v>
      </c>
      <c r="I1801" s="6" t="n">
        <v>0.405555555555555</v>
      </c>
      <c r="J1801" s="6" t="n">
        <v>0.414583333333333</v>
      </c>
      <c r="K1801" s="0" t="n">
        <v>20</v>
      </c>
      <c r="L1801" s="0" t="n">
        <v>22</v>
      </c>
      <c r="M1801" s="0" t="s">
        <v>9927</v>
      </c>
      <c r="N1801" s="0" t="s">
        <v>9928</v>
      </c>
      <c r="P1801" s="0" t="s">
        <v>9929</v>
      </c>
      <c r="Q1801" s="2" t="n">
        <v>43580</v>
      </c>
      <c r="S1801" s="0" t="n">
        <f aca="false">YEAR(Q1801)</f>
        <v>2019</v>
      </c>
      <c r="T1801" s="0" t="n">
        <f aca="false">MONTH(Q1801)</f>
        <v>4</v>
      </c>
    </row>
    <row r="1802" customFormat="false" ht="14.25" hidden="true" customHeight="false" outlineLevel="0" collapsed="false">
      <c r="A1802" s="0" t="n">
        <v>1806</v>
      </c>
      <c r="B1802" s="1" t="s">
        <v>1158</v>
      </c>
      <c r="C1802" s="1" t="s">
        <v>1479</v>
      </c>
      <c r="D1802" s="1" t="s">
        <v>1487</v>
      </c>
      <c r="E1802" s="0" t="s">
        <v>1488</v>
      </c>
      <c r="F1802" s="0" t="s">
        <v>49</v>
      </c>
      <c r="G1802" s="0" t="s">
        <v>9326</v>
      </c>
      <c r="I1802" s="6" t="n">
        <v>0.631944444444444</v>
      </c>
      <c r="J1802" s="6" t="n">
        <v>0.645833333333333</v>
      </c>
      <c r="K1802" s="0" t="n">
        <v>0</v>
      </c>
      <c r="L1802" s="0" t="n">
        <v>29</v>
      </c>
      <c r="M1802" s="0" t="s">
        <v>9930</v>
      </c>
      <c r="N1802" s="0" t="s">
        <v>9931</v>
      </c>
      <c r="P1802" s="0" t="s">
        <v>9932</v>
      </c>
      <c r="Q1802" s="2" t="n">
        <v>43580</v>
      </c>
      <c r="S1802" s="0" t="n">
        <f aca="false">YEAR(Q1802)</f>
        <v>2019</v>
      </c>
      <c r="T1802" s="0" t="n">
        <f aca="false">MONTH(Q1802)</f>
        <v>4</v>
      </c>
    </row>
    <row r="1803" customFormat="false" ht="14.25" hidden="true" customHeight="false" outlineLevel="0" collapsed="false">
      <c r="A1803" s="0" t="n">
        <v>1807</v>
      </c>
      <c r="B1803" s="1" t="s">
        <v>1158</v>
      </c>
      <c r="C1803" s="1" t="s">
        <v>1479</v>
      </c>
      <c r="D1803" s="1" t="s">
        <v>1496</v>
      </c>
      <c r="E1803" s="0" t="s">
        <v>38</v>
      </c>
      <c r="F1803" s="0" t="s">
        <v>50</v>
      </c>
      <c r="G1803" s="0" t="s">
        <v>9933</v>
      </c>
      <c r="I1803" s="6" t="n">
        <v>0.875</v>
      </c>
      <c r="J1803" s="6" t="n">
        <v>0.906944444444444</v>
      </c>
      <c r="K1803" s="0" t="n">
        <v>3</v>
      </c>
      <c r="M1803" s="0" t="s">
        <v>9934</v>
      </c>
      <c r="N1803" s="0" t="s">
        <v>9935</v>
      </c>
      <c r="P1803" s="0" t="s">
        <v>9936</v>
      </c>
      <c r="Q1803" s="2" t="n">
        <v>43580</v>
      </c>
      <c r="S1803" s="0" t="n">
        <f aca="false">YEAR(Q1803)</f>
        <v>2019</v>
      </c>
      <c r="T1803" s="0" t="n">
        <f aca="false">MONTH(Q1803)</f>
        <v>4</v>
      </c>
    </row>
    <row r="1804" customFormat="false" ht="14.25" hidden="true" customHeight="false" outlineLevel="0" collapsed="false">
      <c r="A1804" s="0" t="n">
        <v>1808</v>
      </c>
      <c r="B1804" s="1" t="s">
        <v>1158</v>
      </c>
      <c r="C1804" s="1" t="s">
        <v>1479</v>
      </c>
      <c r="D1804" s="1" t="s">
        <v>1487</v>
      </c>
      <c r="E1804" s="4" t="s">
        <v>1488</v>
      </c>
      <c r="F1804" s="0" t="s">
        <v>50</v>
      </c>
      <c r="G1804" s="0" t="s">
        <v>9937</v>
      </c>
      <c r="I1804" s="6" t="n">
        <v>0.988194444444444</v>
      </c>
      <c r="J1804" s="6" t="n">
        <v>0.998611111111111</v>
      </c>
      <c r="K1804" s="0" t="n">
        <v>12</v>
      </c>
      <c r="L1804" s="0" t="n">
        <v>30</v>
      </c>
      <c r="M1804" s="0" t="s">
        <v>9938</v>
      </c>
      <c r="N1804" s="0" t="s">
        <v>9939</v>
      </c>
      <c r="P1804" s="0" t="s">
        <v>9940</v>
      </c>
      <c r="Q1804" s="2" t="n">
        <v>43580</v>
      </c>
      <c r="S1804" s="0" t="n">
        <f aca="false">YEAR(Q1804)</f>
        <v>2019</v>
      </c>
      <c r="T1804" s="0" t="n">
        <f aca="false">MONTH(Q1804)</f>
        <v>4</v>
      </c>
    </row>
    <row r="1805" customFormat="false" ht="14.25" hidden="true" customHeight="false" outlineLevel="0" collapsed="false">
      <c r="A1805" s="0" t="n">
        <v>1809</v>
      </c>
      <c r="B1805" s="1" t="s">
        <v>1159</v>
      </c>
      <c r="C1805" s="1" t="s">
        <v>1479</v>
      </c>
      <c r="D1805" s="1" t="s">
        <v>1487</v>
      </c>
      <c r="E1805" s="0" t="s">
        <v>1488</v>
      </c>
      <c r="F1805" s="0" t="s">
        <v>48</v>
      </c>
      <c r="G1805" s="0" t="s">
        <v>9941</v>
      </c>
      <c r="I1805" s="6" t="n">
        <v>0.236111111111111</v>
      </c>
      <c r="J1805" s="6" t="n">
        <v>0.254166666666667</v>
      </c>
      <c r="K1805" s="0" t="n">
        <v>0</v>
      </c>
      <c r="L1805" s="0" t="n">
        <v>50</v>
      </c>
      <c r="M1805" s="0" t="s">
        <v>9942</v>
      </c>
      <c r="N1805" s="0" t="s">
        <v>9943</v>
      </c>
      <c r="P1805" s="0" t="s">
        <v>9944</v>
      </c>
      <c r="Q1805" s="2" t="n">
        <v>43581</v>
      </c>
      <c r="S1805" s="0" t="n">
        <f aca="false">YEAR(Q1805)</f>
        <v>2019</v>
      </c>
      <c r="T1805" s="0" t="n">
        <f aca="false">MONTH(Q1805)</f>
        <v>4</v>
      </c>
    </row>
    <row r="1806" customFormat="false" ht="14.25" hidden="true" customHeight="false" outlineLevel="0" collapsed="false">
      <c r="A1806" s="0" t="n">
        <v>1810</v>
      </c>
      <c r="B1806" s="1" t="s">
        <v>1159</v>
      </c>
      <c r="C1806" s="1" t="s">
        <v>1495</v>
      </c>
      <c r="D1806" s="1" t="s">
        <v>1535</v>
      </c>
      <c r="E1806" s="0" t="s">
        <v>42</v>
      </c>
      <c r="F1806" s="0" t="s">
        <v>48</v>
      </c>
      <c r="G1806" s="0" t="s">
        <v>8464</v>
      </c>
      <c r="I1806" s="6" t="n">
        <v>0.236111111111111</v>
      </c>
      <c r="J1806" s="6" t="n">
        <v>0.254166666666667</v>
      </c>
      <c r="L1806" s="0" t="n">
        <v>50</v>
      </c>
      <c r="M1806" s="0" t="s">
        <v>9945</v>
      </c>
      <c r="N1806" s="0" t="s">
        <v>9946</v>
      </c>
      <c r="P1806" s="0" t="s">
        <v>9947</v>
      </c>
      <c r="Q1806" s="2" t="n">
        <v>43581</v>
      </c>
      <c r="S1806" s="0" t="n">
        <f aca="false">YEAR(Q1806)</f>
        <v>2019</v>
      </c>
      <c r="T1806" s="0" t="n">
        <f aca="false">MONTH(Q1806)</f>
        <v>4</v>
      </c>
    </row>
    <row r="1807" customFormat="false" ht="14.25" hidden="true" customHeight="false" outlineLevel="0" collapsed="false">
      <c r="A1807" s="0" t="n">
        <v>1811</v>
      </c>
      <c r="B1807" s="1" t="s">
        <v>1159</v>
      </c>
      <c r="C1807" s="1" t="s">
        <v>1503</v>
      </c>
      <c r="D1807" s="1" t="s">
        <v>1535</v>
      </c>
      <c r="E1807" s="0" t="s">
        <v>44</v>
      </c>
      <c r="F1807" s="0" t="s">
        <v>48</v>
      </c>
      <c r="G1807" s="0" t="s">
        <v>8551</v>
      </c>
      <c r="I1807" s="6" t="n">
        <v>0.540277777777778</v>
      </c>
      <c r="J1807" s="6" t="n">
        <v>0.544444444444444</v>
      </c>
      <c r="K1807" s="0" t="n">
        <v>10</v>
      </c>
      <c r="L1807" s="0" t="n">
        <v>10</v>
      </c>
      <c r="M1807" s="0" t="s">
        <v>9948</v>
      </c>
      <c r="N1807" s="0" t="s">
        <v>9949</v>
      </c>
      <c r="P1807" s="0" t="s">
        <v>9950</v>
      </c>
      <c r="Q1807" s="2" t="n">
        <v>43581</v>
      </c>
      <c r="S1807" s="0" t="n">
        <f aca="false">YEAR(Q1807)</f>
        <v>2019</v>
      </c>
      <c r="T1807" s="0" t="n">
        <f aca="false">MONTH(Q1807)</f>
        <v>4</v>
      </c>
    </row>
    <row r="1808" customFormat="false" ht="14.25" hidden="true" customHeight="false" outlineLevel="0" collapsed="false">
      <c r="A1808" s="0" t="n">
        <v>1812</v>
      </c>
      <c r="B1808" s="1" t="s">
        <v>1159</v>
      </c>
      <c r="C1808" s="1" t="s">
        <v>1479</v>
      </c>
      <c r="D1808" s="1" t="s">
        <v>1496</v>
      </c>
      <c r="E1808" s="0" t="s">
        <v>38</v>
      </c>
      <c r="F1808" s="0" t="s">
        <v>49</v>
      </c>
      <c r="G1808" s="0" t="s">
        <v>9933</v>
      </c>
      <c r="I1808" s="6" t="n">
        <v>0.8125</v>
      </c>
      <c r="J1808" s="6" t="n">
        <v>0.818055555555556</v>
      </c>
      <c r="K1808" s="0" t="n">
        <v>0</v>
      </c>
      <c r="M1808" s="0" t="s">
        <v>9951</v>
      </c>
      <c r="N1808" s="0" t="s">
        <v>9952</v>
      </c>
      <c r="P1808" s="0" t="s">
        <v>9953</v>
      </c>
      <c r="Q1808" s="2" t="n">
        <v>43581</v>
      </c>
      <c r="S1808" s="0" t="n">
        <f aca="false">YEAR(Q1808)</f>
        <v>2019</v>
      </c>
      <c r="T1808" s="0" t="n">
        <f aca="false">MONTH(Q1808)</f>
        <v>4</v>
      </c>
    </row>
    <row r="1809" customFormat="false" ht="57" hidden="true" customHeight="false" outlineLevel="0" collapsed="false">
      <c r="A1809" s="0" t="n">
        <v>1813</v>
      </c>
      <c r="B1809" s="1" t="s">
        <v>1160</v>
      </c>
      <c r="C1809" s="1" t="s">
        <v>1479</v>
      </c>
      <c r="D1809" s="1" t="s">
        <v>1496</v>
      </c>
      <c r="E1809" s="0" t="s">
        <v>38</v>
      </c>
      <c r="F1809" s="0" t="s">
        <v>50</v>
      </c>
      <c r="G1809" s="0" t="s">
        <v>9954</v>
      </c>
      <c r="I1809" s="6" t="n">
        <v>0.916666666666667</v>
      </c>
      <c r="J1809" s="6" t="n">
        <v>0.928472222222222</v>
      </c>
      <c r="K1809" s="0" t="n">
        <v>0</v>
      </c>
      <c r="M1809" s="0" t="s">
        <v>9955</v>
      </c>
      <c r="N1809" s="0" t="s">
        <v>9956</v>
      </c>
      <c r="P1809" s="7" t="s">
        <v>9957</v>
      </c>
      <c r="Q1809" s="2" t="n">
        <v>43583</v>
      </c>
      <c r="S1809" s="0" t="n">
        <f aca="false">YEAR(Q1809)</f>
        <v>2019</v>
      </c>
      <c r="T1809" s="0" t="n">
        <f aca="false">MONTH(Q1809)</f>
        <v>4</v>
      </c>
    </row>
    <row r="1810" customFormat="false" ht="14.25" hidden="true" customHeight="false" outlineLevel="0" collapsed="false">
      <c r="A1810" s="0" t="n">
        <v>1814</v>
      </c>
      <c r="B1810" s="1" t="s">
        <v>1160</v>
      </c>
      <c r="C1810" s="1" t="s">
        <v>1503</v>
      </c>
      <c r="D1810" s="1" t="s">
        <v>1648</v>
      </c>
      <c r="E1810" s="0" t="s">
        <v>1648</v>
      </c>
      <c r="F1810" s="0" t="s">
        <v>50</v>
      </c>
      <c r="G1810" s="0" t="s">
        <v>9958</v>
      </c>
      <c r="I1810" s="6" t="n">
        <v>0.925</v>
      </c>
      <c r="J1810" s="6" t="n">
        <v>0.944444444444444</v>
      </c>
      <c r="M1810" s="0" t="s">
        <v>9959</v>
      </c>
      <c r="N1810" s="0" t="s">
        <v>9960</v>
      </c>
      <c r="P1810" s="0" t="s">
        <v>9961</v>
      </c>
      <c r="Q1810" s="2" t="n">
        <v>43583</v>
      </c>
      <c r="S1810" s="0" t="n">
        <f aca="false">YEAR(Q1810)</f>
        <v>2019</v>
      </c>
      <c r="T1810" s="0" t="n">
        <f aca="false">MONTH(Q1810)</f>
        <v>4</v>
      </c>
    </row>
    <row r="1811" customFormat="false" ht="14.25" hidden="true" customHeight="false" outlineLevel="0" collapsed="false">
      <c r="A1811" s="0" t="n">
        <v>1815</v>
      </c>
      <c r="B1811" s="1" t="s">
        <v>1160</v>
      </c>
      <c r="C1811" s="1" t="s">
        <v>1503</v>
      </c>
      <c r="D1811" s="1" t="s">
        <v>1648</v>
      </c>
      <c r="E1811" s="0" t="s">
        <v>1648</v>
      </c>
      <c r="F1811" s="0" t="s">
        <v>50</v>
      </c>
      <c r="G1811" s="0" t="s">
        <v>9962</v>
      </c>
      <c r="I1811" s="6" t="n">
        <v>0.916666666666667</v>
      </c>
      <c r="J1811" s="6" t="n">
        <v>0.919444444444444</v>
      </c>
      <c r="M1811" s="0" t="s">
        <v>9963</v>
      </c>
      <c r="N1811" s="0" t="s">
        <v>9964</v>
      </c>
      <c r="P1811" s="0" t="s">
        <v>9965</v>
      </c>
      <c r="Q1811" s="2" t="n">
        <v>43583</v>
      </c>
      <c r="S1811" s="0" t="n">
        <f aca="false">YEAR(Q1811)</f>
        <v>2019</v>
      </c>
      <c r="T1811" s="0" t="n">
        <f aca="false">MONTH(Q1811)</f>
        <v>4</v>
      </c>
    </row>
    <row r="1812" customFormat="false" ht="14.25" hidden="true" customHeight="false" outlineLevel="0" collapsed="false">
      <c r="A1812" s="0" t="n">
        <v>1816</v>
      </c>
      <c r="B1812" s="1" t="s">
        <v>1160</v>
      </c>
      <c r="C1812" s="1" t="s">
        <v>1503</v>
      </c>
      <c r="D1812" s="1" t="s">
        <v>1535</v>
      </c>
      <c r="E1812" s="0" t="s">
        <v>1503</v>
      </c>
      <c r="F1812" s="0" t="s">
        <v>50</v>
      </c>
      <c r="G1812" s="0" t="s">
        <v>9966</v>
      </c>
      <c r="I1812" s="6" t="n">
        <v>0.923611111111111</v>
      </c>
      <c r="J1812" s="6" t="n">
        <v>0.965277777777778</v>
      </c>
      <c r="M1812" s="0" t="s">
        <v>9967</v>
      </c>
      <c r="N1812" s="0" t="s">
        <v>9968</v>
      </c>
      <c r="P1812" s="0" t="s">
        <v>9969</v>
      </c>
      <c r="Q1812" s="2" t="n">
        <v>43583</v>
      </c>
      <c r="S1812" s="0" t="n">
        <f aca="false">YEAR(Q1812)</f>
        <v>2019</v>
      </c>
      <c r="T1812" s="0" t="n">
        <f aca="false">MONTH(Q1812)</f>
        <v>4</v>
      </c>
    </row>
    <row r="1813" customFormat="false" ht="14.25" hidden="true" customHeight="false" outlineLevel="0" collapsed="false">
      <c r="A1813" s="0" t="n">
        <v>1817</v>
      </c>
      <c r="B1813" s="1" t="s">
        <v>1161</v>
      </c>
      <c r="C1813" s="1" t="s">
        <v>1479</v>
      </c>
      <c r="D1813" s="1" t="s">
        <v>1487</v>
      </c>
      <c r="E1813" s="4" t="s">
        <v>1488</v>
      </c>
      <c r="F1813" s="0" t="s">
        <v>48</v>
      </c>
      <c r="G1813" s="0" t="s">
        <v>9970</v>
      </c>
      <c r="I1813" s="6" t="n">
        <v>0.369444444444444</v>
      </c>
      <c r="J1813" s="6" t="n">
        <v>0.381944444444444</v>
      </c>
      <c r="K1813" s="0" t="n">
        <v>28</v>
      </c>
      <c r="L1813" s="0" t="n">
        <v>37</v>
      </c>
      <c r="M1813" s="0" t="s">
        <v>9971</v>
      </c>
      <c r="N1813" s="0" t="s">
        <v>9972</v>
      </c>
      <c r="P1813" s="0" t="s">
        <v>9973</v>
      </c>
      <c r="Q1813" s="2" t="n">
        <v>43584</v>
      </c>
      <c r="S1813" s="0" t="n">
        <f aca="false">YEAR(Q1813)</f>
        <v>2019</v>
      </c>
      <c r="T1813" s="0" t="n">
        <f aca="false">MONTH(Q1813)</f>
        <v>4</v>
      </c>
    </row>
    <row r="1814" customFormat="false" ht="14.25" hidden="true" customHeight="false" outlineLevel="0" collapsed="false">
      <c r="A1814" s="0" t="n">
        <v>1818</v>
      </c>
      <c r="B1814" s="1" t="s">
        <v>1162</v>
      </c>
      <c r="C1814" s="1" t="s">
        <v>1495</v>
      </c>
      <c r="D1814" s="1" t="s">
        <v>1496</v>
      </c>
      <c r="E1814" s="0" t="s">
        <v>41</v>
      </c>
      <c r="F1814" s="0" t="s">
        <v>48</v>
      </c>
      <c r="G1814" s="0" t="s">
        <v>9974</v>
      </c>
      <c r="I1814" s="6" t="n">
        <v>0.329166666666667</v>
      </c>
      <c r="J1814" s="6" t="n">
        <v>0.336111111111111</v>
      </c>
      <c r="L1814" s="0" t="n">
        <v>60</v>
      </c>
      <c r="M1814" s="0" t="s">
        <v>9975</v>
      </c>
      <c r="N1814" s="0" t="s">
        <v>9976</v>
      </c>
      <c r="P1814" s="0" t="s">
        <v>9977</v>
      </c>
      <c r="Q1814" s="2" t="n">
        <v>43585</v>
      </c>
      <c r="S1814" s="0" t="n">
        <f aca="false">YEAR(Q1814)</f>
        <v>2019</v>
      </c>
      <c r="T1814" s="0" t="n">
        <f aca="false">MONTH(Q1814)</f>
        <v>4</v>
      </c>
    </row>
    <row r="1815" customFormat="false" ht="14.25" hidden="true" customHeight="false" outlineLevel="0" collapsed="false">
      <c r="A1815" s="0" t="n">
        <v>1819</v>
      </c>
      <c r="B1815" s="1" t="s">
        <v>1162</v>
      </c>
      <c r="C1815" s="1" t="s">
        <v>1503</v>
      </c>
      <c r="D1815" s="1" t="s">
        <v>1504</v>
      </c>
      <c r="E1815" s="0" t="s">
        <v>9506</v>
      </c>
      <c r="F1815" s="0" t="s">
        <v>49</v>
      </c>
      <c r="G1815" s="0" t="s">
        <v>9978</v>
      </c>
      <c r="I1815" s="6" t="n">
        <v>0.5</v>
      </c>
      <c r="J1815" s="6" t="n">
        <v>0.625</v>
      </c>
      <c r="M1815" s="0" t="s">
        <v>9979</v>
      </c>
      <c r="N1815" s="0" t="s">
        <v>9980</v>
      </c>
      <c r="P1815" s="0" t="s">
        <v>9981</v>
      </c>
      <c r="Q1815" s="2" t="n">
        <v>43585</v>
      </c>
      <c r="S1815" s="0" t="n">
        <f aca="false">YEAR(Q1815)</f>
        <v>2019</v>
      </c>
      <c r="T1815" s="0" t="n">
        <f aca="false">MONTH(Q1815)</f>
        <v>4</v>
      </c>
    </row>
    <row r="1816" customFormat="false" ht="14.25" hidden="true" customHeight="false" outlineLevel="0" collapsed="false">
      <c r="A1816" s="0" t="n">
        <v>1820</v>
      </c>
      <c r="B1816" s="1" t="s">
        <v>1162</v>
      </c>
      <c r="C1816" s="1" t="s">
        <v>1479</v>
      </c>
      <c r="D1816" s="1" t="s">
        <v>1535</v>
      </c>
      <c r="E1816" s="0" t="s">
        <v>39</v>
      </c>
      <c r="F1816" s="0" t="s">
        <v>49</v>
      </c>
      <c r="G1816" s="0" t="s">
        <v>9982</v>
      </c>
      <c r="I1816" s="6" t="n">
        <v>0.916666666666667</v>
      </c>
      <c r="J1816" s="6" t="n">
        <v>0.923611111111111</v>
      </c>
      <c r="L1816" s="0" t="n">
        <v>25</v>
      </c>
      <c r="M1816" s="0" t="s">
        <v>9983</v>
      </c>
      <c r="N1816" s="0" t="s">
        <v>9984</v>
      </c>
      <c r="P1816" s="0" t="s">
        <v>9985</v>
      </c>
      <c r="Q1816" s="2" t="n">
        <v>43585</v>
      </c>
      <c r="S1816" s="0" t="n">
        <f aca="false">YEAR(Q1816)</f>
        <v>2019</v>
      </c>
      <c r="T1816" s="0" t="n">
        <f aca="false">MONTH(Q1816)</f>
        <v>4</v>
      </c>
    </row>
    <row r="1817" customFormat="false" ht="14.25" hidden="true" customHeight="false" outlineLevel="0" collapsed="false">
      <c r="A1817" s="0" t="n">
        <v>1821</v>
      </c>
      <c r="B1817" s="1" t="s">
        <v>1163</v>
      </c>
      <c r="C1817" s="1" t="s">
        <v>1479</v>
      </c>
      <c r="D1817" s="1" t="s">
        <v>1535</v>
      </c>
      <c r="E1817" s="0" t="s">
        <v>39</v>
      </c>
      <c r="F1817" s="0" t="s">
        <v>50</v>
      </c>
      <c r="G1817" s="0" t="s">
        <v>9986</v>
      </c>
      <c r="I1817" s="6" t="n">
        <v>0.9375</v>
      </c>
      <c r="J1817" s="6" t="n">
        <v>0.958333333333333</v>
      </c>
      <c r="M1817" s="0" t="s">
        <v>9987</v>
      </c>
      <c r="N1817" s="0" t="s">
        <v>9988</v>
      </c>
      <c r="P1817" s="0" t="s">
        <v>9989</v>
      </c>
      <c r="Q1817" s="2" t="n">
        <v>43586</v>
      </c>
      <c r="S1817" s="0" t="n">
        <f aca="false">YEAR(Q1817)</f>
        <v>2019</v>
      </c>
      <c r="T1817" s="0" t="n">
        <f aca="false">MONTH(Q1817)</f>
        <v>5</v>
      </c>
    </row>
    <row r="1818" customFormat="false" ht="14.25" hidden="true" customHeight="false" outlineLevel="0" collapsed="false">
      <c r="A1818" s="0" t="n">
        <v>1822</v>
      </c>
      <c r="B1818" s="1" t="s">
        <v>1163</v>
      </c>
      <c r="C1818" s="1" t="s">
        <v>1503</v>
      </c>
      <c r="D1818" s="1" t="s">
        <v>1504</v>
      </c>
      <c r="E1818" s="0" t="s">
        <v>1503</v>
      </c>
      <c r="F1818" s="0" t="s">
        <v>50</v>
      </c>
      <c r="G1818" s="0" t="s">
        <v>9990</v>
      </c>
      <c r="J1818" s="6" t="n">
        <v>0.0416666666666667</v>
      </c>
      <c r="K1818" s="0" t="n">
        <v>0</v>
      </c>
      <c r="M1818" s="0" t="s">
        <v>9991</v>
      </c>
      <c r="N1818" s="0" t="s">
        <v>3793</v>
      </c>
      <c r="P1818" s="0" t="s">
        <v>9992</v>
      </c>
      <c r="Q1818" s="2" t="n">
        <v>43586</v>
      </c>
      <c r="S1818" s="0" t="n">
        <f aca="false">YEAR(Q1818)</f>
        <v>2019</v>
      </c>
      <c r="T1818" s="0" t="n">
        <f aca="false">MONTH(Q1818)</f>
        <v>5</v>
      </c>
    </row>
    <row r="1819" customFormat="false" ht="14.25" hidden="true" customHeight="false" outlineLevel="0" collapsed="false">
      <c r="A1819" s="0" t="n">
        <v>1823</v>
      </c>
      <c r="B1819" s="1" t="s">
        <v>1163</v>
      </c>
      <c r="C1819" s="1" t="s">
        <v>1503</v>
      </c>
      <c r="D1819" s="1" t="s">
        <v>1535</v>
      </c>
      <c r="E1819" s="0" t="s">
        <v>1503</v>
      </c>
      <c r="F1819" s="0" t="s">
        <v>50</v>
      </c>
      <c r="G1819" s="0" t="s">
        <v>9993</v>
      </c>
      <c r="J1819" s="6" t="n">
        <v>0.0416666666666667</v>
      </c>
      <c r="K1819" s="0" t="n">
        <v>0</v>
      </c>
      <c r="M1819" s="0" t="s">
        <v>9994</v>
      </c>
      <c r="N1819" s="0" t="s">
        <v>9995</v>
      </c>
      <c r="P1819" s="0" t="s">
        <v>9996</v>
      </c>
      <c r="Q1819" s="2" t="n">
        <v>43586</v>
      </c>
      <c r="S1819" s="0" t="n">
        <f aca="false">YEAR(Q1819)</f>
        <v>2019</v>
      </c>
      <c r="T1819" s="0" t="n">
        <f aca="false">MONTH(Q1819)</f>
        <v>5</v>
      </c>
    </row>
    <row r="1820" customFormat="false" ht="14.25" hidden="true" customHeight="false" outlineLevel="0" collapsed="false">
      <c r="A1820" s="0" t="n">
        <v>1824</v>
      </c>
      <c r="B1820" s="1" t="s">
        <v>1163</v>
      </c>
      <c r="C1820" s="1" t="s">
        <v>1503</v>
      </c>
      <c r="D1820" s="1" t="s">
        <v>1535</v>
      </c>
      <c r="E1820" s="0" t="s">
        <v>1503</v>
      </c>
      <c r="F1820" s="0" t="s">
        <v>50</v>
      </c>
      <c r="G1820" s="0" t="s">
        <v>9997</v>
      </c>
      <c r="J1820" s="6" t="n">
        <v>0.0416666666666667</v>
      </c>
      <c r="K1820" s="0" t="n">
        <v>0</v>
      </c>
      <c r="M1820" s="0" t="s">
        <v>9998</v>
      </c>
      <c r="N1820" s="0" t="s">
        <v>9999</v>
      </c>
      <c r="P1820" s="0" t="s">
        <v>10000</v>
      </c>
      <c r="Q1820" s="2" t="n">
        <v>43586</v>
      </c>
      <c r="S1820" s="0" t="n">
        <f aca="false">YEAR(Q1820)</f>
        <v>2019</v>
      </c>
      <c r="T1820" s="0" t="n">
        <f aca="false">MONTH(Q1820)</f>
        <v>5</v>
      </c>
    </row>
    <row r="1821" customFormat="false" ht="14.25" hidden="true" customHeight="false" outlineLevel="0" collapsed="false">
      <c r="A1821" s="0" t="n">
        <v>1825</v>
      </c>
      <c r="B1821" s="1" t="s">
        <v>1163</v>
      </c>
      <c r="C1821" s="1" t="s">
        <v>1503</v>
      </c>
      <c r="D1821" s="1" t="s">
        <v>1535</v>
      </c>
      <c r="E1821" s="0" t="s">
        <v>1503</v>
      </c>
      <c r="F1821" s="0" t="s">
        <v>50</v>
      </c>
      <c r="G1821" s="0" t="s">
        <v>10001</v>
      </c>
      <c r="J1821" s="6" t="n">
        <v>0.0416666666666667</v>
      </c>
      <c r="K1821" s="0" t="n">
        <v>0</v>
      </c>
      <c r="M1821" s="0" t="s">
        <v>10002</v>
      </c>
      <c r="N1821" s="0" t="s">
        <v>10003</v>
      </c>
      <c r="P1821" s="0" t="s">
        <v>10004</v>
      </c>
      <c r="Q1821" s="2" t="n">
        <v>43586</v>
      </c>
      <c r="S1821" s="0" t="n">
        <f aca="false">YEAR(Q1821)</f>
        <v>2019</v>
      </c>
      <c r="T1821" s="0" t="n">
        <f aca="false">MONTH(Q1821)</f>
        <v>5</v>
      </c>
    </row>
    <row r="1822" customFormat="false" ht="14.25" hidden="true" customHeight="false" outlineLevel="0" collapsed="false">
      <c r="A1822" s="0" t="n">
        <v>1826</v>
      </c>
      <c r="B1822" s="1" t="s">
        <v>1164</v>
      </c>
      <c r="C1822" s="1" t="s">
        <v>1479</v>
      </c>
      <c r="D1822" s="1" t="s">
        <v>1487</v>
      </c>
      <c r="E1822" s="0" t="s">
        <v>1488</v>
      </c>
      <c r="F1822" s="0" t="s">
        <v>48</v>
      </c>
      <c r="G1822" s="0" t="s">
        <v>10005</v>
      </c>
      <c r="I1822" s="6" t="n">
        <v>0.236111111111111</v>
      </c>
      <c r="J1822" s="6" t="n">
        <v>0.325</v>
      </c>
      <c r="L1822" s="0" t="n">
        <v>220</v>
      </c>
      <c r="M1822" s="0" t="s">
        <v>10006</v>
      </c>
      <c r="N1822" s="0" t="s">
        <v>10007</v>
      </c>
      <c r="P1822" s="0" t="s">
        <v>10008</v>
      </c>
      <c r="Q1822" s="2" t="n">
        <v>43587</v>
      </c>
      <c r="S1822" s="0" t="n">
        <f aca="false">YEAR(Q1822)</f>
        <v>2019</v>
      </c>
      <c r="T1822" s="0" t="n">
        <f aca="false">MONTH(Q1822)</f>
        <v>5</v>
      </c>
    </row>
    <row r="1823" customFormat="false" ht="14.25" hidden="true" customHeight="false" outlineLevel="0" collapsed="false">
      <c r="A1823" s="0" t="n">
        <v>1827</v>
      </c>
      <c r="B1823" s="1" t="s">
        <v>1164</v>
      </c>
      <c r="C1823" s="1" t="s">
        <v>1479</v>
      </c>
      <c r="D1823" s="1" t="s">
        <v>1535</v>
      </c>
      <c r="E1823" s="0" t="s">
        <v>39</v>
      </c>
      <c r="F1823" s="0" t="s">
        <v>49</v>
      </c>
      <c r="G1823" s="0" t="s">
        <v>10009</v>
      </c>
      <c r="I1823" s="6" t="n">
        <v>0.673611111111111</v>
      </c>
      <c r="J1823" s="6" t="n">
        <v>0.675</v>
      </c>
      <c r="L1823" s="0" t="n">
        <v>11</v>
      </c>
      <c r="M1823" s="0" t="s">
        <v>10010</v>
      </c>
      <c r="N1823" s="0" t="s">
        <v>10011</v>
      </c>
      <c r="P1823" s="0" t="s">
        <v>10012</v>
      </c>
      <c r="Q1823" s="2" t="n">
        <v>43587</v>
      </c>
      <c r="S1823" s="0" t="n">
        <f aca="false">YEAR(Q1823)</f>
        <v>2019</v>
      </c>
      <c r="T1823" s="0" t="n">
        <f aca="false">MONTH(Q1823)</f>
        <v>5</v>
      </c>
    </row>
    <row r="1824" customFormat="false" ht="42.75" hidden="true" customHeight="false" outlineLevel="0" collapsed="false">
      <c r="A1824" s="0" t="n">
        <v>1828</v>
      </c>
      <c r="B1824" s="1" t="s">
        <v>1164</v>
      </c>
      <c r="C1824" s="1" t="s">
        <v>1479</v>
      </c>
      <c r="D1824" s="1" t="s">
        <v>1487</v>
      </c>
      <c r="E1824" s="0" t="s">
        <v>1488</v>
      </c>
      <c r="F1824" s="0" t="s">
        <v>49</v>
      </c>
      <c r="G1824" s="0" t="s">
        <v>10013</v>
      </c>
      <c r="I1824" s="6" t="n">
        <v>0.690277777777778</v>
      </c>
      <c r="J1824" s="6" t="n">
        <v>0.704861111111111</v>
      </c>
      <c r="L1824" s="0" t="n">
        <v>55</v>
      </c>
      <c r="M1824" s="0" t="s">
        <v>10014</v>
      </c>
      <c r="N1824" s="0" t="s">
        <v>10015</v>
      </c>
      <c r="P1824" s="7" t="s">
        <v>10016</v>
      </c>
      <c r="Q1824" s="2" t="n">
        <v>43587</v>
      </c>
      <c r="S1824" s="0" t="n">
        <f aca="false">YEAR(Q1824)</f>
        <v>2019</v>
      </c>
      <c r="T1824" s="0" t="n">
        <f aca="false">MONTH(Q1824)</f>
        <v>5</v>
      </c>
    </row>
    <row r="1825" customFormat="false" ht="14.25" hidden="true" customHeight="false" outlineLevel="0" collapsed="false">
      <c r="A1825" s="0" t="n">
        <v>1829</v>
      </c>
      <c r="B1825" s="1" t="s">
        <v>1164</v>
      </c>
      <c r="C1825" s="1" t="s">
        <v>1503</v>
      </c>
      <c r="D1825" s="1" t="s">
        <v>1504</v>
      </c>
      <c r="E1825" s="0" t="s">
        <v>9506</v>
      </c>
      <c r="F1825" s="0" t="s">
        <v>49</v>
      </c>
      <c r="G1825" s="0" t="s">
        <v>10017</v>
      </c>
      <c r="I1825" s="6" t="n">
        <v>0.583333333333333</v>
      </c>
      <c r="J1825" s="6" t="n">
        <v>0.791666666666667</v>
      </c>
      <c r="M1825" s="0" t="s">
        <v>10018</v>
      </c>
      <c r="N1825" s="0" t="s">
        <v>4484</v>
      </c>
      <c r="P1825" s="0" t="s">
        <v>10019</v>
      </c>
      <c r="Q1825" s="2" t="n">
        <v>43587</v>
      </c>
      <c r="S1825" s="0" t="n">
        <f aca="false">YEAR(Q1825)</f>
        <v>2019</v>
      </c>
      <c r="T1825" s="0" t="n">
        <f aca="false">MONTH(Q1825)</f>
        <v>5</v>
      </c>
    </row>
    <row r="1826" customFormat="false" ht="14.25" hidden="true" customHeight="false" outlineLevel="0" collapsed="false">
      <c r="A1826" s="0" t="n">
        <v>1830</v>
      </c>
      <c r="B1826" s="1" t="s">
        <v>1164</v>
      </c>
      <c r="C1826" s="1" t="s">
        <v>1503</v>
      </c>
      <c r="D1826" s="1" t="s">
        <v>1504</v>
      </c>
      <c r="E1826" s="0" t="s">
        <v>45</v>
      </c>
      <c r="F1826" s="0" t="s">
        <v>50</v>
      </c>
      <c r="G1826" s="0" t="s">
        <v>10020</v>
      </c>
      <c r="M1826" s="0" t="s">
        <v>10021</v>
      </c>
      <c r="N1826" s="0" t="s">
        <v>10022</v>
      </c>
      <c r="P1826" s="0" t="s">
        <v>10023</v>
      </c>
      <c r="Q1826" s="2" t="n">
        <v>43587</v>
      </c>
      <c r="S1826" s="0" t="n">
        <f aca="false">YEAR(Q1826)</f>
        <v>2019</v>
      </c>
      <c r="T1826" s="0" t="n">
        <f aca="false">MONTH(Q1826)</f>
        <v>5</v>
      </c>
    </row>
    <row r="1827" customFormat="false" ht="14.25" hidden="true" customHeight="false" outlineLevel="0" collapsed="false">
      <c r="A1827" s="0" t="n">
        <v>1831</v>
      </c>
      <c r="B1827" s="1" t="s">
        <v>1165</v>
      </c>
      <c r="C1827" s="1" t="s">
        <v>1503</v>
      </c>
      <c r="D1827" s="1" t="s">
        <v>1504</v>
      </c>
      <c r="E1827" s="0" t="s">
        <v>45</v>
      </c>
      <c r="F1827" s="0" t="s">
        <v>48</v>
      </c>
      <c r="G1827" s="0" t="s">
        <v>10024</v>
      </c>
      <c r="I1827" s="6" t="n">
        <v>0.25</v>
      </c>
      <c r="J1827" s="6" t="n">
        <v>0.263888888888889</v>
      </c>
      <c r="L1827" s="0" t="n">
        <v>150</v>
      </c>
      <c r="M1827" s="0" t="s">
        <v>10025</v>
      </c>
      <c r="N1827" s="0" t="s">
        <v>10026</v>
      </c>
      <c r="P1827" s="0" t="s">
        <v>10027</v>
      </c>
      <c r="Q1827" s="2" t="n">
        <v>43588</v>
      </c>
      <c r="S1827" s="0" t="n">
        <f aca="false">YEAR(Q1827)</f>
        <v>2019</v>
      </c>
      <c r="T1827" s="0" t="n">
        <f aca="false">MONTH(Q1827)</f>
        <v>5</v>
      </c>
    </row>
    <row r="1828" customFormat="false" ht="14.25" hidden="true" customHeight="false" outlineLevel="0" collapsed="false">
      <c r="A1828" s="0" t="n">
        <v>1832</v>
      </c>
      <c r="B1828" s="1" t="s">
        <v>1165</v>
      </c>
      <c r="C1828" s="1" t="s">
        <v>1503</v>
      </c>
      <c r="D1828" s="1" t="s">
        <v>1504</v>
      </c>
      <c r="E1828" s="0" t="s">
        <v>45</v>
      </c>
      <c r="F1828" s="0" t="s">
        <v>48</v>
      </c>
      <c r="G1828" s="0" t="s">
        <v>10028</v>
      </c>
      <c r="I1828" s="6" t="n">
        <v>0.291666666666667</v>
      </c>
      <c r="J1828" s="6" t="n">
        <v>0.361111111111111</v>
      </c>
      <c r="L1828" s="0" t="n">
        <v>170</v>
      </c>
      <c r="M1828" s="0" t="s">
        <v>10025</v>
      </c>
      <c r="N1828" s="0" t="s">
        <v>10026</v>
      </c>
      <c r="P1828" s="0" t="s">
        <v>10029</v>
      </c>
      <c r="Q1828" s="2" t="n">
        <v>43588</v>
      </c>
      <c r="S1828" s="0" t="n">
        <f aca="false">YEAR(Q1828)</f>
        <v>2019</v>
      </c>
      <c r="T1828" s="0" t="n">
        <f aca="false">MONTH(Q1828)</f>
        <v>5</v>
      </c>
    </row>
    <row r="1829" customFormat="false" ht="14.25" hidden="true" customHeight="false" outlineLevel="0" collapsed="false">
      <c r="A1829" s="0" t="n">
        <v>1833</v>
      </c>
      <c r="B1829" s="1" t="s">
        <v>1165</v>
      </c>
      <c r="C1829" s="1" t="s">
        <v>1503</v>
      </c>
      <c r="D1829" s="1" t="s">
        <v>1504</v>
      </c>
      <c r="E1829" s="0" t="s">
        <v>45</v>
      </c>
      <c r="F1829" s="0" t="s">
        <v>48</v>
      </c>
      <c r="G1829" s="0" t="s">
        <v>10030</v>
      </c>
      <c r="I1829" s="6" t="n">
        <v>0.298611111111111</v>
      </c>
      <c r="J1829" s="6" t="n">
        <v>0.430555555555556</v>
      </c>
      <c r="L1829" s="0" t="n">
        <v>220</v>
      </c>
      <c r="M1829" s="0" t="s">
        <v>10031</v>
      </c>
      <c r="N1829" s="0" t="s">
        <v>10032</v>
      </c>
      <c r="P1829" s="0" t="s">
        <v>10033</v>
      </c>
      <c r="Q1829" s="2" t="n">
        <v>43588</v>
      </c>
      <c r="S1829" s="0" t="n">
        <f aca="false">YEAR(Q1829)</f>
        <v>2019</v>
      </c>
      <c r="T1829" s="0" t="n">
        <f aca="false">MONTH(Q1829)</f>
        <v>5</v>
      </c>
    </row>
    <row r="1830" customFormat="false" ht="14.25" hidden="true" customHeight="false" outlineLevel="0" collapsed="false">
      <c r="A1830" s="0" t="n">
        <v>1834</v>
      </c>
      <c r="B1830" s="1" t="s">
        <v>1166</v>
      </c>
      <c r="C1830" s="1" t="s">
        <v>1495</v>
      </c>
      <c r="D1830" s="1" t="s">
        <v>1496</v>
      </c>
      <c r="E1830" s="0" t="s">
        <v>41</v>
      </c>
      <c r="F1830" s="0" t="s">
        <v>48</v>
      </c>
      <c r="G1830" s="0" t="s">
        <v>1497</v>
      </c>
      <c r="I1830" s="6" t="n">
        <v>0.229166666666667</v>
      </c>
      <c r="J1830" s="6" t="n">
        <v>0.236111111111111</v>
      </c>
      <c r="K1830" s="0" t="n">
        <v>0</v>
      </c>
      <c r="M1830" s="0" t="s">
        <v>3387</v>
      </c>
      <c r="N1830" s="0" t="s">
        <v>10034</v>
      </c>
      <c r="P1830" s="0" t="s">
        <v>10035</v>
      </c>
      <c r="Q1830" s="2" t="n">
        <v>43591</v>
      </c>
      <c r="S1830" s="0" t="n">
        <f aca="false">YEAR(Q1830)</f>
        <v>2019</v>
      </c>
      <c r="T1830" s="0" t="n">
        <f aca="false">MONTH(Q1830)</f>
        <v>5</v>
      </c>
    </row>
    <row r="1831" customFormat="false" ht="14.25" hidden="true" customHeight="false" outlineLevel="0" collapsed="false">
      <c r="A1831" s="0" t="n">
        <v>1835</v>
      </c>
      <c r="B1831" s="1" t="s">
        <v>1166</v>
      </c>
      <c r="C1831" s="1" t="s">
        <v>1479</v>
      </c>
      <c r="D1831" s="1" t="s">
        <v>1535</v>
      </c>
      <c r="E1831" s="0" t="s">
        <v>39</v>
      </c>
      <c r="F1831" s="0" t="s">
        <v>49</v>
      </c>
      <c r="G1831" s="0" t="s">
        <v>10036</v>
      </c>
      <c r="I1831" s="6" t="n">
        <v>0.635416666666667</v>
      </c>
      <c r="J1831" s="6" t="n">
        <v>0.635416666666667</v>
      </c>
      <c r="K1831" s="0" t="n">
        <v>0</v>
      </c>
      <c r="M1831" s="0" t="s">
        <v>10037</v>
      </c>
      <c r="N1831" s="0" t="s">
        <v>10038</v>
      </c>
      <c r="P1831" s="0" t="s">
        <v>10039</v>
      </c>
      <c r="Q1831" s="2" t="n">
        <v>43591</v>
      </c>
      <c r="S1831" s="0" t="n">
        <f aca="false">YEAR(Q1831)</f>
        <v>2019</v>
      </c>
      <c r="T1831" s="0" t="n">
        <f aca="false">MONTH(Q1831)</f>
        <v>5</v>
      </c>
    </row>
    <row r="1832" customFormat="false" ht="14.25" hidden="true" customHeight="false" outlineLevel="0" collapsed="false">
      <c r="A1832" s="0" t="n">
        <v>1836</v>
      </c>
      <c r="B1832" s="1" t="s">
        <v>1167</v>
      </c>
      <c r="C1832" s="1" t="s">
        <v>1503</v>
      </c>
      <c r="D1832" s="1" t="s">
        <v>1535</v>
      </c>
      <c r="E1832" s="0" t="s">
        <v>1503</v>
      </c>
      <c r="F1832" s="0" t="s">
        <v>49</v>
      </c>
      <c r="G1832" s="0" t="s">
        <v>8655</v>
      </c>
      <c r="I1832" s="6" t="n">
        <v>0.611111111111111</v>
      </c>
      <c r="J1832" s="6" t="n">
        <v>0.616666666666667</v>
      </c>
      <c r="K1832" s="0" t="n">
        <v>0</v>
      </c>
      <c r="L1832" s="0" t="n">
        <v>12</v>
      </c>
      <c r="M1832" s="0" t="s">
        <v>10040</v>
      </c>
      <c r="N1832" s="0" t="s">
        <v>10041</v>
      </c>
      <c r="P1832" s="0" t="s">
        <v>10042</v>
      </c>
      <c r="Q1832" s="2" t="n">
        <v>43592</v>
      </c>
      <c r="S1832" s="0" t="n">
        <f aca="false">YEAR(Q1832)</f>
        <v>2019</v>
      </c>
      <c r="T1832" s="0" t="n">
        <f aca="false">MONTH(Q1832)</f>
        <v>5</v>
      </c>
    </row>
    <row r="1833" customFormat="false" ht="14.25" hidden="true" customHeight="false" outlineLevel="0" collapsed="false">
      <c r="A1833" s="0" t="n">
        <v>1837</v>
      </c>
      <c r="B1833" s="1" t="s">
        <v>1167</v>
      </c>
      <c r="C1833" s="1" t="s">
        <v>1479</v>
      </c>
      <c r="D1833" s="1" t="s">
        <v>1535</v>
      </c>
      <c r="E1833" s="0" t="s">
        <v>39</v>
      </c>
      <c r="F1833" s="0" t="s">
        <v>50</v>
      </c>
      <c r="G1833" s="0" t="s">
        <v>10043</v>
      </c>
      <c r="I1833" s="6" t="n">
        <v>0.197916666666667</v>
      </c>
      <c r="J1833" s="6" t="n">
        <v>0.197916666666667</v>
      </c>
      <c r="K1833" s="0" t="n">
        <v>34</v>
      </c>
      <c r="L1833" s="0" t="n">
        <v>35</v>
      </c>
      <c r="M1833" s="0" t="s">
        <v>10044</v>
      </c>
      <c r="N1833" s="0" t="s">
        <v>10045</v>
      </c>
      <c r="P1833" s="0" t="s">
        <v>10046</v>
      </c>
      <c r="Q1833" s="2" t="n">
        <v>43592</v>
      </c>
      <c r="S1833" s="0" t="n">
        <f aca="false">YEAR(Q1833)</f>
        <v>2019</v>
      </c>
      <c r="T1833" s="0" t="n">
        <f aca="false">MONTH(Q1833)</f>
        <v>5</v>
      </c>
    </row>
    <row r="1834" customFormat="false" ht="42.75" hidden="true" customHeight="false" outlineLevel="0" collapsed="false">
      <c r="A1834" s="0" t="n">
        <v>1838</v>
      </c>
      <c r="B1834" s="1" t="s">
        <v>1168</v>
      </c>
      <c r="C1834" s="1" t="s">
        <v>1479</v>
      </c>
      <c r="D1834" s="1" t="s">
        <v>1487</v>
      </c>
      <c r="E1834" s="0" t="s">
        <v>1488</v>
      </c>
      <c r="F1834" s="0" t="s">
        <v>48</v>
      </c>
      <c r="G1834" s="0" t="s">
        <v>8880</v>
      </c>
      <c r="I1834" s="6" t="n">
        <v>0.229166666666667</v>
      </c>
      <c r="J1834" s="6" t="n">
        <v>0.236111111111111</v>
      </c>
      <c r="K1834" s="0" t="n">
        <v>0</v>
      </c>
      <c r="L1834" s="0" t="n">
        <v>55</v>
      </c>
      <c r="M1834" s="0" t="s">
        <v>10047</v>
      </c>
      <c r="N1834" s="0" t="s">
        <v>10048</v>
      </c>
      <c r="P1834" s="7" t="s">
        <v>10049</v>
      </c>
      <c r="Q1834" s="2" t="n">
        <v>43593</v>
      </c>
      <c r="S1834" s="0" t="n">
        <f aca="false">YEAR(Q1834)</f>
        <v>2019</v>
      </c>
      <c r="T1834" s="0" t="n">
        <f aca="false">MONTH(Q1834)</f>
        <v>5</v>
      </c>
    </row>
    <row r="1835" customFormat="false" ht="14.25" hidden="true" customHeight="false" outlineLevel="0" collapsed="false">
      <c r="A1835" s="0" t="n">
        <v>1839</v>
      </c>
      <c r="B1835" s="1" t="s">
        <v>1168</v>
      </c>
      <c r="C1835" s="1" t="s">
        <v>1479</v>
      </c>
      <c r="D1835" s="1" t="s">
        <v>1535</v>
      </c>
      <c r="E1835" s="0" t="s">
        <v>39</v>
      </c>
      <c r="F1835" s="0" t="s">
        <v>48</v>
      </c>
      <c r="G1835" s="0" t="s">
        <v>4683</v>
      </c>
      <c r="I1835" s="6" t="n">
        <v>0.453472222222222</v>
      </c>
      <c r="J1835" s="6" t="n">
        <v>0.454861111111111</v>
      </c>
      <c r="K1835" s="0" t="n">
        <v>10</v>
      </c>
      <c r="L1835" s="0" t="n">
        <v>20</v>
      </c>
      <c r="M1835" s="0" t="s">
        <v>10050</v>
      </c>
      <c r="N1835" s="0" t="s">
        <v>10051</v>
      </c>
      <c r="P1835" s="0" t="s">
        <v>10052</v>
      </c>
      <c r="Q1835" s="2" t="n">
        <v>43593</v>
      </c>
      <c r="S1835" s="0" t="n">
        <f aca="false">YEAR(Q1835)</f>
        <v>2019</v>
      </c>
      <c r="T1835" s="0" t="n">
        <f aca="false">MONTH(Q1835)</f>
        <v>5</v>
      </c>
    </row>
    <row r="1836" customFormat="false" ht="14.25" hidden="true" customHeight="false" outlineLevel="0" collapsed="false">
      <c r="A1836" s="0" t="n">
        <v>1840</v>
      </c>
      <c r="B1836" s="1" t="s">
        <v>1168</v>
      </c>
      <c r="C1836" s="1" t="s">
        <v>1479</v>
      </c>
      <c r="D1836" s="1" t="s">
        <v>1535</v>
      </c>
      <c r="E1836" s="0" t="s">
        <v>39</v>
      </c>
      <c r="F1836" s="0" t="s">
        <v>49</v>
      </c>
      <c r="G1836" s="0" t="s">
        <v>1838</v>
      </c>
      <c r="I1836" s="6" t="n">
        <v>0.6875</v>
      </c>
      <c r="J1836" s="6" t="n">
        <v>0.6875</v>
      </c>
      <c r="K1836" s="0" t="n">
        <v>0</v>
      </c>
      <c r="L1836" s="0" t="n">
        <v>240</v>
      </c>
      <c r="M1836" s="0" t="s">
        <v>10053</v>
      </c>
      <c r="N1836" s="0" t="s">
        <v>10054</v>
      </c>
      <c r="P1836" s="0" t="s">
        <v>10055</v>
      </c>
      <c r="Q1836" s="2" t="n">
        <v>43593</v>
      </c>
      <c r="S1836" s="0" t="n">
        <f aca="false">YEAR(Q1836)</f>
        <v>2019</v>
      </c>
      <c r="T1836" s="0" t="n">
        <f aca="false">MONTH(Q1836)</f>
        <v>5</v>
      </c>
    </row>
    <row r="1837" customFormat="false" ht="14.25" hidden="true" customHeight="false" outlineLevel="0" collapsed="false">
      <c r="A1837" s="0" t="n">
        <v>1841</v>
      </c>
      <c r="B1837" s="1" t="s">
        <v>1169</v>
      </c>
      <c r="C1837" s="1" t="s">
        <v>1479</v>
      </c>
      <c r="D1837" s="1" t="s">
        <v>1487</v>
      </c>
      <c r="E1837" s="0" t="s">
        <v>1488</v>
      </c>
      <c r="F1837" s="0" t="s">
        <v>48</v>
      </c>
      <c r="G1837" s="0" t="s">
        <v>10056</v>
      </c>
      <c r="J1837" s="6" t="n">
        <v>0.458333333333333</v>
      </c>
      <c r="L1837" s="0" t="n">
        <v>13</v>
      </c>
      <c r="M1837" s="0" t="s">
        <v>10057</v>
      </c>
      <c r="N1837" s="0" t="s">
        <v>10058</v>
      </c>
      <c r="P1837" s="0" t="s">
        <v>10059</v>
      </c>
      <c r="Q1837" s="2" t="n">
        <v>43594</v>
      </c>
      <c r="S1837" s="0" t="n">
        <f aca="false">YEAR(Q1837)</f>
        <v>2019</v>
      </c>
      <c r="T1837" s="0" t="n">
        <f aca="false">MONTH(Q1837)</f>
        <v>5</v>
      </c>
    </row>
    <row r="1838" customFormat="false" ht="14.25" hidden="true" customHeight="false" outlineLevel="0" collapsed="false">
      <c r="A1838" s="0" t="n">
        <v>1842</v>
      </c>
      <c r="B1838" s="1" t="s">
        <v>1169</v>
      </c>
      <c r="C1838" s="1" t="s">
        <v>1479</v>
      </c>
      <c r="D1838" s="1" t="s">
        <v>1487</v>
      </c>
      <c r="E1838" s="0" t="s">
        <v>1488</v>
      </c>
      <c r="F1838" s="0" t="s">
        <v>49</v>
      </c>
      <c r="G1838" s="0" t="s">
        <v>10060</v>
      </c>
      <c r="J1838" s="6" t="n">
        <v>0.621527777777778</v>
      </c>
      <c r="L1838" s="0" t="n">
        <v>28</v>
      </c>
      <c r="M1838" s="0" t="s">
        <v>10061</v>
      </c>
      <c r="N1838" s="0" t="s">
        <v>10062</v>
      </c>
      <c r="P1838" s="0" t="s">
        <v>10063</v>
      </c>
      <c r="Q1838" s="2" t="n">
        <v>43594</v>
      </c>
      <c r="S1838" s="0" t="n">
        <f aca="false">YEAR(Q1838)</f>
        <v>2019</v>
      </c>
      <c r="T1838" s="0" t="n">
        <f aca="false">MONTH(Q1838)</f>
        <v>5</v>
      </c>
    </row>
    <row r="1839" customFormat="false" ht="14.25" hidden="true" customHeight="false" outlineLevel="0" collapsed="false">
      <c r="A1839" s="0" t="n">
        <v>1843</v>
      </c>
      <c r="B1839" s="1" t="s">
        <v>1169</v>
      </c>
      <c r="C1839" s="1" t="s">
        <v>1503</v>
      </c>
      <c r="D1839" s="1" t="s">
        <v>1535</v>
      </c>
      <c r="E1839" s="0" t="s">
        <v>1503</v>
      </c>
      <c r="F1839" s="0" t="s">
        <v>49</v>
      </c>
      <c r="G1839" s="0" t="s">
        <v>10064</v>
      </c>
      <c r="I1839" s="6" t="n">
        <v>0.833333333333333</v>
      </c>
      <c r="J1839" s="6" t="n">
        <v>0.841666666666667</v>
      </c>
      <c r="L1839" s="0" t="n">
        <v>15</v>
      </c>
      <c r="M1839" s="0" t="s">
        <v>10065</v>
      </c>
      <c r="N1839" s="0" t="s">
        <v>10066</v>
      </c>
      <c r="P1839" s="0" t="s">
        <v>10067</v>
      </c>
      <c r="Q1839" s="2" t="n">
        <v>43594</v>
      </c>
      <c r="S1839" s="0" t="n">
        <f aca="false">YEAR(Q1839)</f>
        <v>2019</v>
      </c>
      <c r="T1839" s="0" t="n">
        <f aca="false">MONTH(Q1839)</f>
        <v>5</v>
      </c>
    </row>
    <row r="1840" customFormat="false" ht="14.25" hidden="true" customHeight="false" outlineLevel="0" collapsed="false">
      <c r="A1840" s="0" t="n">
        <v>1844</v>
      </c>
      <c r="B1840" s="1" t="s">
        <v>1169</v>
      </c>
      <c r="C1840" s="1" t="s">
        <v>1503</v>
      </c>
      <c r="D1840" s="1" t="s">
        <v>1535</v>
      </c>
      <c r="E1840" s="0" t="s">
        <v>1503</v>
      </c>
      <c r="F1840" s="0" t="s">
        <v>49</v>
      </c>
      <c r="G1840" s="0" t="s">
        <v>10068</v>
      </c>
      <c r="I1840" s="6" t="n">
        <v>0.791666666666667</v>
      </c>
      <c r="J1840" s="6" t="n">
        <v>0.875</v>
      </c>
      <c r="M1840" s="0" t="s">
        <v>10069</v>
      </c>
      <c r="N1840" s="0" t="s">
        <v>10070</v>
      </c>
      <c r="P1840" s="0" t="s">
        <v>10071</v>
      </c>
      <c r="Q1840" s="2" t="n">
        <v>43594</v>
      </c>
      <c r="S1840" s="0" t="n">
        <f aca="false">YEAR(Q1840)</f>
        <v>2019</v>
      </c>
      <c r="T1840" s="0" t="n">
        <f aca="false">MONTH(Q1840)</f>
        <v>5</v>
      </c>
    </row>
    <row r="1841" customFormat="false" ht="14.25" hidden="true" customHeight="false" outlineLevel="0" collapsed="false">
      <c r="A1841" s="0" t="n">
        <v>1845</v>
      </c>
      <c r="B1841" s="1" t="s">
        <v>1171</v>
      </c>
      <c r="C1841" s="1" t="s">
        <v>1479</v>
      </c>
      <c r="D1841" s="1" t="s">
        <v>1487</v>
      </c>
      <c r="E1841" s="0" t="s">
        <v>1488</v>
      </c>
      <c r="F1841" s="0" t="s">
        <v>50</v>
      </c>
      <c r="G1841" s="0" t="s">
        <v>10072</v>
      </c>
      <c r="J1841" s="6" t="n">
        <v>0.833333333333333</v>
      </c>
      <c r="M1841" s="0" t="s">
        <v>10073</v>
      </c>
      <c r="N1841" s="0" t="s">
        <v>10074</v>
      </c>
      <c r="P1841" s="0" t="s">
        <v>10075</v>
      </c>
      <c r="Q1841" s="2" t="n">
        <v>43597</v>
      </c>
      <c r="S1841" s="0" t="n">
        <f aca="false">YEAR(Q1841)</f>
        <v>2019</v>
      </c>
      <c r="T1841" s="0" t="n">
        <f aca="false">MONTH(Q1841)</f>
        <v>5</v>
      </c>
    </row>
    <row r="1842" customFormat="false" ht="14.25" hidden="true" customHeight="false" outlineLevel="0" collapsed="false">
      <c r="A1842" s="0" t="n">
        <v>1846</v>
      </c>
      <c r="B1842" s="1" t="s">
        <v>1171</v>
      </c>
      <c r="C1842" s="1" t="s">
        <v>1479</v>
      </c>
      <c r="D1842" s="1" t="s">
        <v>1487</v>
      </c>
      <c r="E1842" s="0" t="s">
        <v>1488</v>
      </c>
      <c r="F1842" s="0" t="s">
        <v>50</v>
      </c>
      <c r="G1842" s="0" t="s">
        <v>10076</v>
      </c>
      <c r="I1842" s="6" t="n">
        <v>0</v>
      </c>
      <c r="J1842" s="6" t="n">
        <v>0.916666666666667</v>
      </c>
      <c r="L1842" s="0" t="n">
        <v>28</v>
      </c>
      <c r="M1842" s="0" t="s">
        <v>10077</v>
      </c>
      <c r="P1842" s="0" t="s">
        <v>10075</v>
      </c>
      <c r="Q1842" s="2" t="n">
        <v>43597</v>
      </c>
      <c r="S1842" s="0" t="n">
        <f aca="false">YEAR(Q1842)</f>
        <v>2019</v>
      </c>
      <c r="T1842" s="0" t="n">
        <f aca="false">MONTH(Q1842)</f>
        <v>5</v>
      </c>
    </row>
    <row r="1843" customFormat="false" ht="14.25" hidden="true" customHeight="false" outlineLevel="0" collapsed="false">
      <c r="A1843" s="0" t="n">
        <v>1847</v>
      </c>
      <c r="B1843" s="1" t="s">
        <v>1171</v>
      </c>
      <c r="C1843" s="1" t="s">
        <v>1503</v>
      </c>
      <c r="D1843" s="1" t="s">
        <v>1535</v>
      </c>
      <c r="E1843" s="0" t="s">
        <v>1503</v>
      </c>
      <c r="F1843" s="0" t="s">
        <v>50</v>
      </c>
      <c r="G1843" s="0" t="s">
        <v>8766</v>
      </c>
      <c r="I1843" s="6" t="n">
        <v>0</v>
      </c>
      <c r="J1843" s="6" t="n">
        <v>0.958333333333333</v>
      </c>
      <c r="L1843" s="0" t="n">
        <v>30</v>
      </c>
      <c r="M1843" s="0" t="s">
        <v>10078</v>
      </c>
      <c r="N1843" s="0" t="s">
        <v>10079</v>
      </c>
      <c r="P1843" s="0" t="s">
        <v>10080</v>
      </c>
      <c r="Q1843" s="2" t="n">
        <v>43597</v>
      </c>
      <c r="S1843" s="0" t="n">
        <f aca="false">YEAR(Q1843)</f>
        <v>2019</v>
      </c>
      <c r="T1843" s="0" t="n">
        <f aca="false">MONTH(Q1843)</f>
        <v>5</v>
      </c>
    </row>
    <row r="1844" customFormat="false" ht="14.25" hidden="true" customHeight="false" outlineLevel="0" collapsed="false">
      <c r="A1844" s="0" t="n">
        <v>1848</v>
      </c>
      <c r="B1844" s="1" t="s">
        <v>1171</v>
      </c>
      <c r="C1844" s="1" t="s">
        <v>1503</v>
      </c>
      <c r="D1844" s="1" t="s">
        <v>1535</v>
      </c>
      <c r="E1844" s="0" t="s">
        <v>1503</v>
      </c>
      <c r="F1844" s="0" t="s">
        <v>50</v>
      </c>
      <c r="G1844" s="0" t="s">
        <v>7082</v>
      </c>
      <c r="I1844" s="6" t="n">
        <v>0</v>
      </c>
      <c r="J1844" s="6" t="n">
        <v>0.958333333333333</v>
      </c>
      <c r="L1844" s="0" t="n">
        <v>10</v>
      </c>
      <c r="M1844" s="0" t="s">
        <v>10081</v>
      </c>
      <c r="N1844" s="0" t="s">
        <v>3847</v>
      </c>
      <c r="P1844" s="0" t="s">
        <v>10082</v>
      </c>
      <c r="Q1844" s="2" t="n">
        <v>43597</v>
      </c>
      <c r="S1844" s="0" t="n">
        <f aca="false">YEAR(Q1844)</f>
        <v>2019</v>
      </c>
      <c r="T1844" s="0" t="n">
        <f aca="false">MONTH(Q1844)</f>
        <v>5</v>
      </c>
    </row>
    <row r="1845" customFormat="false" ht="14.25" hidden="true" customHeight="false" outlineLevel="0" collapsed="false">
      <c r="A1845" s="0" t="n">
        <v>1849</v>
      </c>
      <c r="B1845" s="1" t="s">
        <v>1170</v>
      </c>
      <c r="C1845" s="1" t="s">
        <v>1479</v>
      </c>
      <c r="D1845" s="1" t="s">
        <v>1487</v>
      </c>
      <c r="E1845" s="0" t="s">
        <v>1488</v>
      </c>
      <c r="F1845" s="0" t="s">
        <v>48</v>
      </c>
      <c r="G1845" s="0" t="s">
        <v>8213</v>
      </c>
      <c r="J1845" s="6" t="n">
        <v>0.263888888888889</v>
      </c>
      <c r="L1845" s="0" t="n">
        <v>25</v>
      </c>
      <c r="M1845" s="0" t="s">
        <v>10083</v>
      </c>
      <c r="N1845" s="0" t="s">
        <v>10084</v>
      </c>
      <c r="P1845" s="0" t="s">
        <v>10085</v>
      </c>
      <c r="Q1845" s="2" t="n">
        <v>43595</v>
      </c>
      <c r="S1845" s="0" t="n">
        <f aca="false">YEAR(Q1845)</f>
        <v>2019</v>
      </c>
      <c r="T1845" s="0" t="n">
        <f aca="false">MONTH(Q1845)</f>
        <v>5</v>
      </c>
    </row>
    <row r="1846" customFormat="false" ht="14.25" hidden="true" customHeight="false" outlineLevel="0" collapsed="false">
      <c r="A1846" s="0" t="n">
        <v>1850</v>
      </c>
      <c r="B1846" s="1" t="s">
        <v>1170</v>
      </c>
      <c r="C1846" s="1" t="s">
        <v>1503</v>
      </c>
      <c r="D1846" s="1" t="s">
        <v>1535</v>
      </c>
      <c r="E1846" s="0" t="s">
        <v>44</v>
      </c>
      <c r="F1846" s="0" t="s">
        <v>48</v>
      </c>
      <c r="G1846" s="0" t="s">
        <v>10086</v>
      </c>
      <c r="J1846" s="6" t="n">
        <v>0.263888888888889</v>
      </c>
      <c r="L1846" s="0" t="n">
        <v>25</v>
      </c>
      <c r="M1846" s="0" t="s">
        <v>10087</v>
      </c>
      <c r="N1846" s="0" t="s">
        <v>10088</v>
      </c>
      <c r="P1846" s="0" t="s">
        <v>10089</v>
      </c>
      <c r="Q1846" s="2" t="n">
        <v>43595</v>
      </c>
      <c r="S1846" s="0" t="n">
        <f aca="false">YEAR(Q1846)</f>
        <v>2019</v>
      </c>
      <c r="T1846" s="0" t="n">
        <f aca="false">MONTH(Q1846)</f>
        <v>5</v>
      </c>
    </row>
    <row r="1847" customFormat="false" ht="14.25" hidden="true" customHeight="false" outlineLevel="0" collapsed="false">
      <c r="A1847" s="0" t="n">
        <v>1851</v>
      </c>
      <c r="B1847" s="1" t="s">
        <v>1171</v>
      </c>
      <c r="C1847" s="1" t="s">
        <v>1495</v>
      </c>
      <c r="D1847" s="1" t="s">
        <v>1535</v>
      </c>
      <c r="E1847" s="0" t="s">
        <v>1495</v>
      </c>
      <c r="F1847" s="0" t="s">
        <v>50</v>
      </c>
      <c r="G1847" s="0" t="s">
        <v>10090</v>
      </c>
      <c r="J1847" s="6" t="n">
        <v>0.104166666666667</v>
      </c>
      <c r="L1847" s="0" t="n">
        <v>30</v>
      </c>
      <c r="M1847" s="0" t="s">
        <v>10091</v>
      </c>
      <c r="N1847" s="0" t="s">
        <v>10092</v>
      </c>
      <c r="P1847" s="0" t="s">
        <v>10093</v>
      </c>
      <c r="Q1847" s="2" t="n">
        <v>43597</v>
      </c>
      <c r="S1847" s="0" t="n">
        <f aca="false">YEAR(Q1847)</f>
        <v>2019</v>
      </c>
      <c r="T1847" s="0" t="n">
        <f aca="false">MONTH(Q1847)</f>
        <v>5</v>
      </c>
    </row>
    <row r="1848" customFormat="false" ht="14.25" hidden="true" customHeight="false" outlineLevel="0" collapsed="false">
      <c r="A1848" s="0" t="n">
        <v>1852</v>
      </c>
      <c r="B1848" s="1" t="s">
        <v>1171</v>
      </c>
      <c r="C1848" s="1" t="s">
        <v>1479</v>
      </c>
      <c r="D1848" s="1" t="s">
        <v>1487</v>
      </c>
      <c r="E1848" s="0" t="s">
        <v>1488</v>
      </c>
      <c r="F1848" s="0" t="s">
        <v>50</v>
      </c>
      <c r="G1848" s="0" t="s">
        <v>8213</v>
      </c>
      <c r="J1848" s="6" t="n">
        <v>0.00694444444444444</v>
      </c>
      <c r="L1848" s="0" t="n">
        <v>20</v>
      </c>
      <c r="M1848" s="0" t="s">
        <v>10094</v>
      </c>
      <c r="N1848" s="0" t="s">
        <v>10095</v>
      </c>
      <c r="P1848" s="0" t="s">
        <v>10096</v>
      </c>
      <c r="Q1848" s="2" t="n">
        <v>43597</v>
      </c>
      <c r="S1848" s="0" t="n">
        <f aca="false">YEAR(Q1848)</f>
        <v>2019</v>
      </c>
      <c r="T1848" s="0" t="n">
        <f aca="false">MONTH(Q1848)</f>
        <v>5</v>
      </c>
    </row>
    <row r="1849" customFormat="false" ht="14.25" hidden="true" customHeight="false" outlineLevel="0" collapsed="false">
      <c r="A1849" s="0" t="n">
        <v>1853</v>
      </c>
      <c r="B1849" s="1" t="s">
        <v>1171</v>
      </c>
      <c r="C1849" s="1" t="s">
        <v>1479</v>
      </c>
      <c r="D1849" s="1" t="s">
        <v>1535</v>
      </c>
      <c r="E1849" s="0" t="s">
        <v>39</v>
      </c>
      <c r="F1849" s="0" t="s">
        <v>50</v>
      </c>
      <c r="G1849" s="0" t="s">
        <v>10097</v>
      </c>
      <c r="I1849" s="6" t="n">
        <v>0.176388888888889</v>
      </c>
      <c r="J1849" s="6" t="n">
        <v>0.177083333333333</v>
      </c>
      <c r="L1849" s="0" t="n">
        <v>120</v>
      </c>
      <c r="M1849" s="0" t="s">
        <v>10098</v>
      </c>
      <c r="N1849" s="0" t="s">
        <v>10099</v>
      </c>
      <c r="P1849" s="0" t="s">
        <v>10100</v>
      </c>
      <c r="Q1849" s="2" t="n">
        <v>43597</v>
      </c>
      <c r="S1849" s="0" t="n">
        <f aca="false">YEAR(Q1849)</f>
        <v>2019</v>
      </c>
      <c r="T1849" s="0" t="n">
        <f aca="false">MONTH(Q1849)</f>
        <v>5</v>
      </c>
    </row>
    <row r="1850" customFormat="false" ht="14.25" hidden="true" customHeight="false" outlineLevel="0" collapsed="false">
      <c r="A1850" s="0" t="n">
        <v>1855</v>
      </c>
      <c r="B1850" s="1" t="s">
        <v>1172</v>
      </c>
      <c r="C1850" s="1" t="s">
        <v>1479</v>
      </c>
      <c r="D1850" s="1" t="s">
        <v>1487</v>
      </c>
      <c r="E1850" s="0" t="s">
        <v>1488</v>
      </c>
      <c r="F1850" s="0" t="s">
        <v>49</v>
      </c>
      <c r="G1850" s="0" t="s">
        <v>10101</v>
      </c>
      <c r="I1850" s="6" t="n">
        <v>0.847222222222222</v>
      </c>
      <c r="J1850" s="6" t="n">
        <v>0.861111111111111</v>
      </c>
      <c r="L1850" s="0" t="n">
        <v>30</v>
      </c>
      <c r="M1850" s="0" t="s">
        <v>10102</v>
      </c>
      <c r="N1850" s="0" t="s">
        <v>10103</v>
      </c>
      <c r="P1850" s="0" t="s">
        <v>10104</v>
      </c>
      <c r="Q1850" s="2" t="n">
        <v>43598</v>
      </c>
      <c r="S1850" s="0" t="n">
        <f aca="false">YEAR(Q1850)</f>
        <v>2019</v>
      </c>
      <c r="T1850" s="0" t="n">
        <f aca="false">MONTH(Q1850)</f>
        <v>5</v>
      </c>
    </row>
    <row r="1851" customFormat="false" ht="14.25" hidden="true" customHeight="false" outlineLevel="0" collapsed="false">
      <c r="A1851" s="0" t="n">
        <v>1856</v>
      </c>
      <c r="B1851" s="1" t="s">
        <v>1172</v>
      </c>
      <c r="C1851" s="1" t="s">
        <v>1503</v>
      </c>
      <c r="D1851" s="1" t="s">
        <v>1504</v>
      </c>
      <c r="E1851" s="0" t="s">
        <v>45</v>
      </c>
      <c r="F1851" s="0" t="s">
        <v>49</v>
      </c>
      <c r="G1851" s="0" t="s">
        <v>10105</v>
      </c>
      <c r="I1851" s="6" t="n">
        <v>0.597222222222222</v>
      </c>
      <c r="J1851" s="6" t="n">
        <v>0.8125</v>
      </c>
      <c r="L1851" s="0" t="n">
        <v>130</v>
      </c>
      <c r="M1851" s="0" t="s">
        <v>10106</v>
      </c>
      <c r="N1851" s="0" t="s">
        <v>10107</v>
      </c>
      <c r="P1851" s="0" t="s">
        <v>10108</v>
      </c>
      <c r="Q1851" s="2" t="n">
        <v>43598</v>
      </c>
      <c r="S1851" s="0" t="n">
        <f aca="false">YEAR(Q1851)</f>
        <v>2019</v>
      </c>
      <c r="T1851" s="0" t="n">
        <f aca="false">MONTH(Q1851)</f>
        <v>5</v>
      </c>
    </row>
    <row r="1852" customFormat="false" ht="14.25" hidden="true" customHeight="false" outlineLevel="0" collapsed="false">
      <c r="A1852" s="0" t="n">
        <v>1857</v>
      </c>
      <c r="B1852" s="1" t="s">
        <v>1172</v>
      </c>
      <c r="C1852" s="1" t="s">
        <v>1479</v>
      </c>
      <c r="D1852" s="1" t="s">
        <v>1863</v>
      </c>
      <c r="E1852" s="0" t="s">
        <v>1863</v>
      </c>
      <c r="F1852" s="0" t="s">
        <v>49</v>
      </c>
      <c r="G1852" s="0" t="s">
        <v>10109</v>
      </c>
      <c r="J1852" s="6" t="n">
        <v>0.826388888888889</v>
      </c>
      <c r="M1852" s="0" t="s">
        <v>10110</v>
      </c>
      <c r="P1852" s="0" t="s">
        <v>10111</v>
      </c>
      <c r="Q1852" s="2" t="n">
        <v>43598</v>
      </c>
      <c r="S1852" s="0" t="n">
        <f aca="false">YEAR(Q1852)</f>
        <v>2019</v>
      </c>
      <c r="T1852" s="0" t="n">
        <f aca="false">MONTH(Q1852)</f>
        <v>5</v>
      </c>
    </row>
    <row r="1853" customFormat="false" ht="14.25" hidden="true" customHeight="false" outlineLevel="0" collapsed="false">
      <c r="A1853" s="0" t="n">
        <v>1858</v>
      </c>
      <c r="B1853" s="1" t="s">
        <v>1172</v>
      </c>
      <c r="C1853" s="1" t="s">
        <v>1479</v>
      </c>
      <c r="D1853" s="1" t="s">
        <v>1863</v>
      </c>
      <c r="E1853" s="0" t="s">
        <v>1863</v>
      </c>
      <c r="F1853" s="0" t="s">
        <v>50</v>
      </c>
      <c r="G1853" s="0" t="s">
        <v>4268</v>
      </c>
      <c r="I1853" s="6" t="n">
        <v>0</v>
      </c>
      <c r="J1853" s="6" t="n">
        <v>0.826388888888889</v>
      </c>
      <c r="M1853" s="0" t="s">
        <v>10112</v>
      </c>
      <c r="N1853" s="0" t="s">
        <v>10113</v>
      </c>
      <c r="P1853" s="0" t="s">
        <v>10114</v>
      </c>
      <c r="Q1853" s="2" t="n">
        <v>43598</v>
      </c>
      <c r="S1853" s="0" t="n">
        <f aca="false">YEAR(Q1853)</f>
        <v>2019</v>
      </c>
      <c r="T1853" s="0" t="n">
        <f aca="false">MONTH(Q1853)</f>
        <v>5</v>
      </c>
    </row>
    <row r="1854" customFormat="false" ht="14.25" hidden="true" customHeight="false" outlineLevel="0" collapsed="false">
      <c r="A1854" s="0" t="n">
        <v>1859</v>
      </c>
      <c r="B1854" s="1" t="s">
        <v>1172</v>
      </c>
      <c r="C1854" s="1" t="s">
        <v>1503</v>
      </c>
      <c r="D1854" s="1" t="s">
        <v>1535</v>
      </c>
      <c r="E1854" s="0" t="s">
        <v>1503</v>
      </c>
      <c r="F1854" s="0" t="s">
        <v>50</v>
      </c>
      <c r="G1854" s="0" t="s">
        <v>10115</v>
      </c>
      <c r="I1854" s="6" t="n">
        <v>0.0381944444444444</v>
      </c>
      <c r="J1854" s="6" t="n">
        <v>0.0381944444444444</v>
      </c>
      <c r="L1854" s="0" t="n">
        <v>25</v>
      </c>
      <c r="M1854" s="0" t="s">
        <v>10116</v>
      </c>
      <c r="N1854" s="0" t="s">
        <v>10117</v>
      </c>
      <c r="P1854" s="0" t="s">
        <v>10118</v>
      </c>
      <c r="Q1854" s="2" t="n">
        <v>43598</v>
      </c>
      <c r="S1854" s="0" t="n">
        <f aca="false">YEAR(Q1854)</f>
        <v>2019</v>
      </c>
      <c r="T1854" s="0" t="n">
        <f aca="false">MONTH(Q1854)</f>
        <v>5</v>
      </c>
    </row>
    <row r="1855" customFormat="false" ht="14.25" hidden="true" customHeight="false" outlineLevel="0" collapsed="false">
      <c r="A1855" s="0" t="n">
        <v>1860</v>
      </c>
      <c r="B1855" s="1" t="s">
        <v>1172</v>
      </c>
      <c r="C1855" s="1" t="s">
        <v>1503</v>
      </c>
      <c r="D1855" s="1" t="s">
        <v>1535</v>
      </c>
      <c r="E1855" s="0" t="s">
        <v>1503</v>
      </c>
      <c r="F1855" s="0" t="s">
        <v>50</v>
      </c>
      <c r="G1855" s="0" t="s">
        <v>10119</v>
      </c>
      <c r="I1855" s="6" t="n">
        <v>0.180555555555556</v>
      </c>
      <c r="J1855" s="6" t="n">
        <v>0.180555555555556</v>
      </c>
      <c r="L1855" s="0" t="n">
        <v>10</v>
      </c>
      <c r="M1855" s="0" t="s">
        <v>10120</v>
      </c>
      <c r="N1855" s="0" t="s">
        <v>10121</v>
      </c>
      <c r="P1855" s="0" t="s">
        <v>10122</v>
      </c>
      <c r="Q1855" s="2" t="n">
        <v>43598</v>
      </c>
      <c r="S1855" s="0" t="n">
        <f aca="false">YEAR(Q1855)</f>
        <v>2019</v>
      </c>
      <c r="T1855" s="0" t="n">
        <f aca="false">MONTH(Q1855)</f>
        <v>5</v>
      </c>
    </row>
    <row r="1856" customFormat="false" ht="14.25" hidden="true" customHeight="false" outlineLevel="0" collapsed="false">
      <c r="A1856" s="0" t="n">
        <v>1861</v>
      </c>
      <c r="B1856" s="1" t="s">
        <v>1172</v>
      </c>
      <c r="C1856" s="1" t="s">
        <v>1503</v>
      </c>
      <c r="D1856" s="1" t="s">
        <v>1535</v>
      </c>
      <c r="E1856" s="0" t="s">
        <v>1503</v>
      </c>
      <c r="F1856" s="0" t="s">
        <v>50</v>
      </c>
      <c r="G1856" s="0" t="s">
        <v>10123</v>
      </c>
      <c r="I1856" s="6" t="n">
        <v>0.1875</v>
      </c>
      <c r="J1856" s="6" t="n">
        <v>0.190972222222222</v>
      </c>
      <c r="L1856" s="0" t="n">
        <v>10</v>
      </c>
      <c r="M1856" s="0" t="s">
        <v>10124</v>
      </c>
      <c r="N1856" s="0" t="s">
        <v>10125</v>
      </c>
      <c r="P1856" s="0" t="s">
        <v>10126</v>
      </c>
      <c r="Q1856" s="2" t="n">
        <v>43598</v>
      </c>
      <c r="S1856" s="0" t="n">
        <f aca="false">YEAR(Q1856)</f>
        <v>2019</v>
      </c>
      <c r="T1856" s="0" t="n">
        <f aca="false">MONTH(Q1856)</f>
        <v>5</v>
      </c>
    </row>
    <row r="1857" customFormat="false" ht="14.25" hidden="true" customHeight="false" outlineLevel="0" collapsed="false">
      <c r="A1857" s="0" t="n">
        <v>1862</v>
      </c>
      <c r="B1857" s="1" t="s">
        <v>1172</v>
      </c>
      <c r="F1857" s="0" t="s">
        <v>49</v>
      </c>
      <c r="I1857" s="6" t="n">
        <v>0.694444444444444</v>
      </c>
      <c r="J1857" s="6" t="n">
        <v>0.7</v>
      </c>
      <c r="L1857" s="0" t="n">
        <v>70</v>
      </c>
      <c r="M1857" s="0" t="s">
        <v>10127</v>
      </c>
      <c r="N1857" s="0" t="s">
        <v>10128</v>
      </c>
      <c r="P1857" s="0" t="s">
        <v>10129</v>
      </c>
      <c r="Q1857" s="2" t="n">
        <v>43598</v>
      </c>
      <c r="S1857" s="0" t="n">
        <f aca="false">YEAR(Q1857)</f>
        <v>2019</v>
      </c>
      <c r="T1857" s="0" t="n">
        <f aca="false">MONTH(Q1857)</f>
        <v>5</v>
      </c>
    </row>
    <row r="1858" customFormat="false" ht="14.25" hidden="true" customHeight="false" outlineLevel="0" collapsed="false">
      <c r="A1858" s="0" t="n">
        <v>1863</v>
      </c>
      <c r="B1858" s="1" t="s">
        <v>1173</v>
      </c>
      <c r="C1858" s="1" t="s">
        <v>1479</v>
      </c>
      <c r="D1858" s="1" t="s">
        <v>1480</v>
      </c>
      <c r="E1858" s="0" t="s">
        <v>43</v>
      </c>
      <c r="F1858" s="0" t="s">
        <v>48</v>
      </c>
      <c r="G1858" s="0" t="s">
        <v>10130</v>
      </c>
      <c r="M1858" s="0" t="s">
        <v>10131</v>
      </c>
      <c r="N1858" s="0" t="s">
        <v>10132</v>
      </c>
      <c r="P1858" s="0" t="s">
        <v>10133</v>
      </c>
      <c r="Q1858" s="2" t="n">
        <v>43599</v>
      </c>
      <c r="S1858" s="0" t="n">
        <f aca="false">YEAR(Q1858)</f>
        <v>2019</v>
      </c>
      <c r="T1858" s="0" t="n">
        <f aca="false">MONTH(Q1858)</f>
        <v>5</v>
      </c>
    </row>
    <row r="1859" customFormat="false" ht="28.5" hidden="true" customHeight="false" outlineLevel="0" collapsed="false">
      <c r="A1859" s="0" t="n">
        <v>1864</v>
      </c>
      <c r="B1859" s="1" t="s">
        <v>1173</v>
      </c>
      <c r="C1859" s="1" t="s">
        <v>1479</v>
      </c>
      <c r="D1859" s="1" t="s">
        <v>1487</v>
      </c>
      <c r="E1859" s="0" t="s">
        <v>1488</v>
      </c>
      <c r="F1859" s="0" t="s">
        <v>48</v>
      </c>
      <c r="G1859" s="0" t="s">
        <v>9081</v>
      </c>
      <c r="I1859" s="6" t="n">
        <v>0.548611111111111</v>
      </c>
      <c r="J1859" s="6" t="n">
        <v>0.569444444444444</v>
      </c>
      <c r="K1859" s="0" t="n">
        <v>199</v>
      </c>
      <c r="L1859" s="0" t="n">
        <v>310</v>
      </c>
      <c r="M1859" s="0" t="s">
        <v>10134</v>
      </c>
      <c r="N1859" s="7" t="s">
        <v>10135</v>
      </c>
      <c r="O1859" s="7"/>
      <c r="P1859" s="0" t="s">
        <v>10136</v>
      </c>
      <c r="Q1859" s="2" t="n">
        <v>43599</v>
      </c>
      <c r="S1859" s="0" t="n">
        <f aca="false">YEAR(Q1859)</f>
        <v>2019</v>
      </c>
      <c r="T1859" s="0" t="n">
        <f aca="false">MONTH(Q1859)</f>
        <v>5</v>
      </c>
    </row>
    <row r="1860" customFormat="false" ht="14.25" hidden="true" customHeight="false" outlineLevel="0" collapsed="false">
      <c r="A1860" s="0" t="n">
        <v>1865</v>
      </c>
      <c r="B1860" s="1" t="s">
        <v>1173</v>
      </c>
      <c r="C1860" s="1" t="s">
        <v>1495</v>
      </c>
      <c r="D1860" s="1" t="s">
        <v>1535</v>
      </c>
      <c r="E1860" s="0" t="s">
        <v>4643</v>
      </c>
      <c r="F1860" s="0" t="s">
        <v>49</v>
      </c>
      <c r="G1860" s="0" t="s">
        <v>9298</v>
      </c>
      <c r="I1860" s="6" t="n">
        <v>0.639583333333333</v>
      </c>
      <c r="J1860" s="6" t="n">
        <v>0.659027777777778</v>
      </c>
      <c r="L1860" s="0" t="n">
        <v>170</v>
      </c>
      <c r="M1860" s="0" t="s">
        <v>10137</v>
      </c>
      <c r="N1860" s="0" t="s">
        <v>4669</v>
      </c>
      <c r="P1860" s="0" t="s">
        <v>10138</v>
      </c>
      <c r="Q1860" s="2" t="n">
        <v>43599</v>
      </c>
      <c r="S1860" s="0" t="n">
        <f aca="false">YEAR(Q1860)</f>
        <v>2019</v>
      </c>
      <c r="T1860" s="0" t="n">
        <f aca="false">MONTH(Q1860)</f>
        <v>5</v>
      </c>
    </row>
    <row r="1861" customFormat="false" ht="14.25" hidden="true" customHeight="false" outlineLevel="0" collapsed="false">
      <c r="A1861" s="0" t="n">
        <v>1866</v>
      </c>
      <c r="B1861" s="1" t="s">
        <v>1174</v>
      </c>
      <c r="C1861" s="1" t="s">
        <v>1479</v>
      </c>
      <c r="D1861" s="1" t="s">
        <v>1496</v>
      </c>
      <c r="E1861" s="0" t="s">
        <v>38</v>
      </c>
      <c r="F1861" s="0" t="s">
        <v>48</v>
      </c>
      <c r="G1861" s="0" t="s">
        <v>10139</v>
      </c>
      <c r="I1861" s="6" t="n">
        <v>0.270833333333333</v>
      </c>
      <c r="J1861" s="6" t="n">
        <v>0.253472222222222</v>
      </c>
      <c r="M1861" s="0" t="s">
        <v>10140</v>
      </c>
      <c r="N1861" s="0" t="s">
        <v>10141</v>
      </c>
      <c r="P1861" s="0" t="s">
        <v>10142</v>
      </c>
      <c r="Q1861" s="2" t="n">
        <v>43600</v>
      </c>
      <c r="S1861" s="0" t="n">
        <f aca="false">YEAR(Q1861)</f>
        <v>2019</v>
      </c>
      <c r="T1861" s="0" t="n">
        <f aca="false">MONTH(Q1861)</f>
        <v>5</v>
      </c>
    </row>
    <row r="1862" customFormat="false" ht="14.25" hidden="true" customHeight="false" outlineLevel="0" collapsed="false">
      <c r="A1862" s="0" t="n">
        <v>1867</v>
      </c>
      <c r="B1862" s="1" t="s">
        <v>1174</v>
      </c>
      <c r="C1862" s="1" t="s">
        <v>1479</v>
      </c>
      <c r="D1862" s="1" t="s">
        <v>1496</v>
      </c>
      <c r="E1862" s="0" t="s">
        <v>38</v>
      </c>
      <c r="F1862" s="0" t="s">
        <v>49</v>
      </c>
      <c r="G1862" s="0" t="s">
        <v>10143</v>
      </c>
      <c r="I1862" s="6" t="n">
        <v>0.576388888888889</v>
      </c>
      <c r="J1862" s="6" t="n">
        <v>0.628472222222222</v>
      </c>
      <c r="L1862" s="0" t="n">
        <v>130</v>
      </c>
      <c r="M1862" s="0" t="s">
        <v>10144</v>
      </c>
      <c r="N1862" s="0" t="s">
        <v>10145</v>
      </c>
      <c r="P1862" s="0" t="s">
        <v>10146</v>
      </c>
      <c r="Q1862" s="2" t="n">
        <v>43600</v>
      </c>
      <c r="S1862" s="0" t="n">
        <f aca="false">YEAR(Q1862)</f>
        <v>2019</v>
      </c>
      <c r="T1862" s="0" t="n">
        <f aca="false">MONTH(Q1862)</f>
        <v>5</v>
      </c>
    </row>
    <row r="1863" customFormat="false" ht="14.25" hidden="true" customHeight="false" outlineLevel="0" collapsed="false">
      <c r="A1863" s="0" t="n">
        <v>1868</v>
      </c>
      <c r="B1863" s="1" t="s">
        <v>1174</v>
      </c>
      <c r="C1863" s="1" t="s">
        <v>1503</v>
      </c>
      <c r="D1863" s="1" t="s">
        <v>1648</v>
      </c>
      <c r="E1863" s="0" t="s">
        <v>1648</v>
      </c>
      <c r="F1863" s="0" t="s">
        <v>50</v>
      </c>
      <c r="G1863" s="0" t="s">
        <v>10147</v>
      </c>
      <c r="I1863" s="6" t="n">
        <v>0.145833333333333</v>
      </c>
      <c r="J1863" s="6" t="n">
        <v>0.15625</v>
      </c>
      <c r="L1863" s="0" t="n">
        <v>30</v>
      </c>
      <c r="M1863" s="0" t="s">
        <v>10148</v>
      </c>
      <c r="N1863" s="0" t="s">
        <v>10149</v>
      </c>
      <c r="P1863" s="0" t="s">
        <v>10150</v>
      </c>
      <c r="Q1863" s="2" t="n">
        <v>43600</v>
      </c>
      <c r="S1863" s="0" t="n">
        <f aca="false">YEAR(Q1863)</f>
        <v>2019</v>
      </c>
      <c r="T1863" s="0" t="n">
        <f aca="false">MONTH(Q1863)</f>
        <v>5</v>
      </c>
    </row>
    <row r="1864" customFormat="false" ht="14.25" hidden="true" customHeight="false" outlineLevel="0" collapsed="false">
      <c r="A1864" s="0" t="n">
        <v>1869</v>
      </c>
      <c r="B1864" s="1" t="s">
        <v>1175</v>
      </c>
      <c r="C1864" s="1" t="s">
        <v>1479</v>
      </c>
      <c r="D1864" s="1" t="s">
        <v>1487</v>
      </c>
      <c r="E1864" s="0" t="s">
        <v>1488</v>
      </c>
      <c r="F1864" s="0" t="s">
        <v>48</v>
      </c>
      <c r="G1864" s="0" t="s">
        <v>10151</v>
      </c>
      <c r="I1864" s="6" t="n">
        <v>0.236111111111111</v>
      </c>
      <c r="J1864" s="6" t="n">
        <v>0.252083333333333</v>
      </c>
      <c r="K1864" s="0" t="n">
        <v>49</v>
      </c>
      <c r="L1864" s="0" t="n">
        <v>82</v>
      </c>
      <c r="M1864" s="0" t="s">
        <v>10152</v>
      </c>
      <c r="N1864" s="0" t="s">
        <v>10153</v>
      </c>
      <c r="P1864" s="0" t="s">
        <v>10154</v>
      </c>
      <c r="Q1864" s="2" t="n">
        <v>43601</v>
      </c>
      <c r="S1864" s="0" t="n">
        <f aca="false">YEAR(Q1864)</f>
        <v>2019</v>
      </c>
      <c r="T1864" s="0" t="n">
        <f aca="false">MONTH(Q1864)</f>
        <v>5</v>
      </c>
    </row>
    <row r="1865" customFormat="false" ht="57" hidden="true" customHeight="false" outlineLevel="0" collapsed="false">
      <c r="A1865" s="0" t="n">
        <v>1870</v>
      </c>
      <c r="B1865" s="1" t="s">
        <v>1175</v>
      </c>
      <c r="C1865" s="1" t="s">
        <v>1479</v>
      </c>
      <c r="D1865" s="1" t="s">
        <v>1487</v>
      </c>
      <c r="E1865" s="0" t="s">
        <v>1488</v>
      </c>
      <c r="F1865" s="0" t="s">
        <v>48</v>
      </c>
      <c r="G1865" s="0" t="s">
        <v>9081</v>
      </c>
      <c r="J1865" s="6" t="n">
        <v>0.3125</v>
      </c>
      <c r="K1865" s="0" t="n">
        <v>73</v>
      </c>
      <c r="L1865" s="0" t="n">
        <v>120</v>
      </c>
      <c r="M1865" s="0" t="s">
        <v>10155</v>
      </c>
      <c r="N1865" s="0" t="s">
        <v>10156</v>
      </c>
      <c r="P1865" s="7" t="s">
        <v>10157</v>
      </c>
      <c r="Q1865" s="2" t="n">
        <v>43601</v>
      </c>
      <c r="S1865" s="0" t="n">
        <f aca="false">YEAR(Q1865)</f>
        <v>2019</v>
      </c>
      <c r="T1865" s="0" t="n">
        <f aca="false">MONTH(Q1865)</f>
        <v>5</v>
      </c>
    </row>
    <row r="1866" customFormat="false" ht="14.25" hidden="true" customHeight="false" outlineLevel="0" collapsed="false">
      <c r="A1866" s="0" t="n">
        <v>1871</v>
      </c>
      <c r="B1866" s="1" t="s">
        <v>1175</v>
      </c>
      <c r="C1866" s="1" t="s">
        <v>1479</v>
      </c>
      <c r="D1866" s="1" t="s">
        <v>1487</v>
      </c>
      <c r="E1866" s="0" t="s">
        <v>1488</v>
      </c>
      <c r="F1866" s="0" t="s">
        <v>49</v>
      </c>
      <c r="G1866" s="0" t="s">
        <v>10158</v>
      </c>
      <c r="I1866" s="6" t="n">
        <v>0.71875</v>
      </c>
      <c r="J1866" s="6" t="n">
        <v>0.739583333333333</v>
      </c>
      <c r="L1866" s="0" t="n">
        <v>48</v>
      </c>
      <c r="M1866" s="0" t="s">
        <v>10159</v>
      </c>
      <c r="N1866" s="0" t="s">
        <v>10160</v>
      </c>
      <c r="P1866" s="0" t="s">
        <v>10161</v>
      </c>
      <c r="Q1866" s="2" t="n">
        <v>43601</v>
      </c>
      <c r="S1866" s="0" t="n">
        <f aca="false">YEAR(Q1866)</f>
        <v>2019</v>
      </c>
      <c r="T1866" s="0" t="n">
        <f aca="false">MONTH(Q1866)</f>
        <v>5</v>
      </c>
    </row>
    <row r="1867" customFormat="false" ht="14.25" hidden="true" customHeight="false" outlineLevel="0" collapsed="false">
      <c r="A1867" s="0" t="n">
        <v>1872</v>
      </c>
      <c r="B1867" s="1" t="s">
        <v>1175</v>
      </c>
      <c r="C1867" s="1" t="s">
        <v>1479</v>
      </c>
      <c r="D1867" s="1" t="s">
        <v>1496</v>
      </c>
      <c r="E1867" s="0" t="s">
        <v>38</v>
      </c>
      <c r="F1867" s="0" t="s">
        <v>49</v>
      </c>
      <c r="G1867" s="0" t="s">
        <v>10162</v>
      </c>
      <c r="I1867" s="6" t="n">
        <v>0.777777777777778</v>
      </c>
      <c r="J1867" s="6" t="n">
        <v>0.788194444444444</v>
      </c>
      <c r="L1867" s="0" t="n">
        <v>60</v>
      </c>
      <c r="M1867" s="0" t="s">
        <v>10163</v>
      </c>
      <c r="N1867" s="0" t="s">
        <v>10164</v>
      </c>
      <c r="P1867" s="0" t="s">
        <v>10165</v>
      </c>
      <c r="Q1867" s="2" t="n">
        <v>43601</v>
      </c>
      <c r="S1867" s="0" t="n">
        <f aca="false">YEAR(Q1867)</f>
        <v>2019</v>
      </c>
      <c r="T1867" s="0" t="n">
        <f aca="false">MONTH(Q1867)</f>
        <v>5</v>
      </c>
    </row>
    <row r="1868" customFormat="false" ht="14.25" hidden="true" customHeight="false" outlineLevel="0" collapsed="false">
      <c r="A1868" s="0" t="n">
        <v>1873</v>
      </c>
      <c r="B1868" s="1" t="s">
        <v>1175</v>
      </c>
      <c r="C1868" s="1" t="s">
        <v>1479</v>
      </c>
      <c r="D1868" s="1" t="s">
        <v>1535</v>
      </c>
      <c r="E1868" s="0" t="s">
        <v>39</v>
      </c>
      <c r="F1868" s="0" t="s">
        <v>50</v>
      </c>
      <c r="G1868" s="0" t="s">
        <v>2083</v>
      </c>
      <c r="I1868" s="6" t="n">
        <v>0.958333333333333</v>
      </c>
      <c r="J1868" s="6" t="n">
        <v>0.968055555555556</v>
      </c>
      <c r="L1868" s="0" t="n">
        <v>220</v>
      </c>
      <c r="M1868" s="0" t="s">
        <v>10166</v>
      </c>
      <c r="N1868" s="0" t="s">
        <v>10167</v>
      </c>
      <c r="P1868" s="0" t="s">
        <v>10168</v>
      </c>
      <c r="Q1868" s="2" t="n">
        <v>43601</v>
      </c>
      <c r="S1868" s="0" t="n">
        <f aca="false">YEAR(Q1868)</f>
        <v>2019</v>
      </c>
      <c r="T1868" s="0" t="n">
        <f aca="false">MONTH(Q1868)</f>
        <v>5</v>
      </c>
    </row>
    <row r="1869" customFormat="false" ht="14.25" hidden="true" customHeight="false" outlineLevel="0" collapsed="false">
      <c r="A1869" s="0" t="n">
        <v>1874</v>
      </c>
      <c r="B1869" s="1" t="s">
        <v>1175</v>
      </c>
      <c r="C1869" s="1" t="s">
        <v>1479</v>
      </c>
      <c r="D1869" s="1" t="s">
        <v>1535</v>
      </c>
      <c r="E1869" s="0" t="s">
        <v>39</v>
      </c>
      <c r="F1869" s="0" t="s">
        <v>50</v>
      </c>
      <c r="G1869" s="0" t="s">
        <v>9781</v>
      </c>
      <c r="I1869" s="6" t="n">
        <v>0.125</v>
      </c>
      <c r="J1869" s="6" t="n">
        <v>0.138888888888889</v>
      </c>
      <c r="K1869" s="0" t="n">
        <v>0</v>
      </c>
      <c r="L1869" s="0" t="n">
        <v>110</v>
      </c>
      <c r="M1869" s="0" t="s">
        <v>10169</v>
      </c>
      <c r="N1869" s="0" t="s">
        <v>10170</v>
      </c>
      <c r="P1869" s="0" t="s">
        <v>10171</v>
      </c>
      <c r="Q1869" s="2" t="n">
        <v>43601</v>
      </c>
      <c r="S1869" s="0" t="n">
        <f aca="false">YEAR(Q1869)</f>
        <v>2019</v>
      </c>
      <c r="T1869" s="0" t="n">
        <f aca="false">MONTH(Q1869)</f>
        <v>5</v>
      </c>
    </row>
    <row r="1870" customFormat="false" ht="14.25" hidden="true" customHeight="false" outlineLevel="0" collapsed="false">
      <c r="A1870" s="0" t="n">
        <v>1875</v>
      </c>
      <c r="B1870" s="1" t="s">
        <v>1176</v>
      </c>
      <c r="C1870" s="1" t="s">
        <v>1479</v>
      </c>
      <c r="D1870" s="1" t="s">
        <v>1863</v>
      </c>
      <c r="E1870" s="0" t="s">
        <v>1863</v>
      </c>
      <c r="F1870" s="0" t="s">
        <v>49</v>
      </c>
      <c r="G1870" s="0" t="s">
        <v>10172</v>
      </c>
      <c r="I1870" s="6" t="n">
        <v>0</v>
      </c>
      <c r="J1870" s="6" t="n">
        <v>0.597222222222222</v>
      </c>
      <c r="M1870" s="0" t="s">
        <v>10173</v>
      </c>
      <c r="N1870" s="0" t="s">
        <v>4484</v>
      </c>
      <c r="P1870" s="0" t="s">
        <v>10174</v>
      </c>
      <c r="Q1870" s="2" t="n">
        <v>43602</v>
      </c>
      <c r="S1870" s="0" t="n">
        <f aca="false">YEAR(Q1870)</f>
        <v>2019</v>
      </c>
      <c r="T1870" s="0" t="n">
        <f aca="false">MONTH(Q1870)</f>
        <v>5</v>
      </c>
    </row>
    <row r="1871" customFormat="false" ht="14.25" hidden="true" customHeight="false" outlineLevel="0" collapsed="false">
      <c r="A1871" s="0" t="n">
        <v>1876</v>
      </c>
      <c r="B1871" s="1" t="s">
        <v>1176</v>
      </c>
      <c r="C1871" s="1" t="s">
        <v>1479</v>
      </c>
      <c r="D1871" s="1" t="s">
        <v>1487</v>
      </c>
      <c r="E1871" s="0" t="s">
        <v>1488</v>
      </c>
      <c r="F1871" s="0" t="s">
        <v>49</v>
      </c>
      <c r="G1871" s="0" t="s">
        <v>10175</v>
      </c>
      <c r="I1871" s="6" t="n">
        <v>0.736111111111111</v>
      </c>
      <c r="J1871" s="6" t="n">
        <v>0.75</v>
      </c>
      <c r="L1871" s="0" t="n">
        <v>60</v>
      </c>
      <c r="M1871" s="0" t="s">
        <v>10176</v>
      </c>
      <c r="N1871" s="0" t="s">
        <v>10177</v>
      </c>
      <c r="P1871" s="0" t="s">
        <v>10178</v>
      </c>
      <c r="Q1871" s="2" t="n">
        <v>43602</v>
      </c>
      <c r="S1871" s="0" t="n">
        <f aca="false">YEAR(Q1871)</f>
        <v>2019</v>
      </c>
      <c r="T1871" s="0" t="n">
        <f aca="false">MONTH(Q1871)</f>
        <v>5</v>
      </c>
    </row>
    <row r="1872" customFormat="false" ht="14.25" hidden="true" customHeight="false" outlineLevel="0" collapsed="false">
      <c r="A1872" s="0" t="n">
        <v>1877</v>
      </c>
      <c r="B1872" s="1" t="s">
        <v>1176</v>
      </c>
      <c r="C1872" s="1" t="s">
        <v>1479</v>
      </c>
      <c r="D1872" s="1" t="s">
        <v>1487</v>
      </c>
      <c r="E1872" s="0" t="s">
        <v>1488</v>
      </c>
      <c r="F1872" s="0" t="s">
        <v>49</v>
      </c>
      <c r="G1872" s="0" t="s">
        <v>10179</v>
      </c>
      <c r="I1872" s="6" t="n">
        <v>0.791666666666667</v>
      </c>
      <c r="J1872" s="6" t="n">
        <v>0.805555555555555</v>
      </c>
      <c r="L1872" s="0" t="n">
        <v>25</v>
      </c>
      <c r="M1872" s="0" t="s">
        <v>10180</v>
      </c>
      <c r="N1872" s="0" t="s">
        <v>10181</v>
      </c>
      <c r="P1872" s="0" t="s">
        <v>10182</v>
      </c>
      <c r="Q1872" s="2" t="n">
        <v>43602</v>
      </c>
      <c r="S1872" s="0" t="n">
        <f aca="false">YEAR(Q1872)</f>
        <v>2019</v>
      </c>
      <c r="T1872" s="0" t="n">
        <f aca="false">MONTH(Q1872)</f>
        <v>5</v>
      </c>
    </row>
    <row r="1873" customFormat="false" ht="14.25" hidden="true" customHeight="false" outlineLevel="0" collapsed="false">
      <c r="A1873" s="0" t="n">
        <v>1878</v>
      </c>
      <c r="B1873" s="1" t="s">
        <v>1176</v>
      </c>
      <c r="C1873" s="1" t="s">
        <v>1479</v>
      </c>
      <c r="D1873" s="1" t="s">
        <v>1863</v>
      </c>
      <c r="E1873" s="0" t="s">
        <v>1863</v>
      </c>
      <c r="F1873" s="0" t="s">
        <v>49</v>
      </c>
      <c r="G1873" s="0" t="s">
        <v>10183</v>
      </c>
      <c r="I1873" s="6" t="n">
        <v>0.791666666666667</v>
      </c>
      <c r="J1873" s="6" t="n">
        <v>0.847222222222222</v>
      </c>
      <c r="L1873" s="0" t="n">
        <v>150</v>
      </c>
      <c r="M1873" s="0" t="s">
        <v>10184</v>
      </c>
      <c r="N1873" s="0" t="s">
        <v>10185</v>
      </c>
      <c r="P1873" s="0" t="s">
        <v>10186</v>
      </c>
      <c r="Q1873" s="2" t="n">
        <v>43602</v>
      </c>
      <c r="S1873" s="0" t="n">
        <f aca="false">YEAR(Q1873)</f>
        <v>2019</v>
      </c>
      <c r="T1873" s="0" t="n">
        <f aca="false">MONTH(Q1873)</f>
        <v>5</v>
      </c>
    </row>
    <row r="1874" customFormat="false" ht="14.25" hidden="true" customHeight="false" outlineLevel="0" collapsed="false">
      <c r="A1874" s="0" t="n">
        <v>1879</v>
      </c>
      <c r="B1874" s="1" t="s">
        <v>1176</v>
      </c>
      <c r="C1874" s="1" t="s">
        <v>1503</v>
      </c>
      <c r="D1874" s="1" t="s">
        <v>1535</v>
      </c>
      <c r="E1874" s="0" t="s">
        <v>44</v>
      </c>
      <c r="F1874" s="0" t="s">
        <v>48</v>
      </c>
      <c r="G1874" s="0" t="s">
        <v>8350</v>
      </c>
      <c r="M1874" s="0" t="s">
        <v>10187</v>
      </c>
      <c r="Q1874" s="2" t="n">
        <v>43602</v>
      </c>
      <c r="S1874" s="0" t="n">
        <f aca="false">YEAR(Q1874)</f>
        <v>2019</v>
      </c>
      <c r="T1874" s="0" t="n">
        <f aca="false">MONTH(Q1874)</f>
        <v>5</v>
      </c>
    </row>
    <row r="1875" customFormat="false" ht="14.25" hidden="true" customHeight="false" outlineLevel="0" collapsed="false">
      <c r="A1875" s="0" t="n">
        <v>1880</v>
      </c>
      <c r="B1875" s="1" t="s">
        <v>1178</v>
      </c>
      <c r="C1875" s="1" t="s">
        <v>1479</v>
      </c>
      <c r="D1875" s="1" t="s">
        <v>1535</v>
      </c>
      <c r="E1875" s="0" t="s">
        <v>39</v>
      </c>
      <c r="F1875" s="0" t="s">
        <v>48</v>
      </c>
      <c r="G1875" s="0" t="s">
        <v>10188</v>
      </c>
      <c r="M1875" s="0" t="s">
        <v>10189</v>
      </c>
      <c r="N1875" s="0" t="s">
        <v>10190</v>
      </c>
      <c r="P1875" s="0" t="s">
        <v>10191</v>
      </c>
      <c r="Q1875" s="2" t="n">
        <v>43605</v>
      </c>
      <c r="S1875" s="0" t="n">
        <f aca="false">YEAR(Q1875)</f>
        <v>2019</v>
      </c>
      <c r="T1875" s="0" t="n">
        <f aca="false">MONTH(Q1875)</f>
        <v>5</v>
      </c>
    </row>
    <row r="1876" customFormat="false" ht="14.25" hidden="true" customHeight="false" outlineLevel="0" collapsed="false">
      <c r="A1876" s="0" t="n">
        <v>1881</v>
      </c>
      <c r="B1876" s="1" t="s">
        <v>1178</v>
      </c>
      <c r="C1876" s="1" t="s">
        <v>1495</v>
      </c>
      <c r="D1876" s="1" t="s">
        <v>1496</v>
      </c>
      <c r="E1876" s="0" t="s">
        <v>41</v>
      </c>
      <c r="F1876" s="0" t="s">
        <v>48</v>
      </c>
      <c r="G1876" s="0" t="s">
        <v>10192</v>
      </c>
      <c r="J1876" s="6" t="n">
        <v>0.375</v>
      </c>
      <c r="M1876" s="0" t="s">
        <v>10193</v>
      </c>
      <c r="N1876" s="0" t="s">
        <v>10194</v>
      </c>
      <c r="P1876" s="0" t="s">
        <v>10195</v>
      </c>
      <c r="Q1876" s="2" t="n">
        <v>43605</v>
      </c>
      <c r="S1876" s="0" t="n">
        <f aca="false">YEAR(Q1876)</f>
        <v>2019</v>
      </c>
      <c r="T1876" s="0" t="n">
        <f aca="false">MONTH(Q1876)</f>
        <v>5</v>
      </c>
    </row>
    <row r="1877" customFormat="false" ht="14.25" hidden="true" customHeight="false" outlineLevel="0" collapsed="false">
      <c r="A1877" s="0" t="n">
        <v>1882</v>
      </c>
      <c r="B1877" s="1" t="s">
        <v>1178</v>
      </c>
      <c r="C1877" s="1" t="s">
        <v>1503</v>
      </c>
      <c r="D1877" s="1" t="s">
        <v>1648</v>
      </c>
      <c r="E1877" s="0" t="s">
        <v>1648</v>
      </c>
      <c r="F1877" s="0" t="s">
        <v>48</v>
      </c>
      <c r="G1877" s="0" t="s">
        <v>2169</v>
      </c>
      <c r="J1877" s="6" t="n">
        <v>0.375</v>
      </c>
      <c r="L1877" s="0" t="n">
        <v>250</v>
      </c>
      <c r="M1877" s="0" t="s">
        <v>10196</v>
      </c>
      <c r="N1877" s="0" t="s">
        <v>10197</v>
      </c>
      <c r="P1877" s="0" t="s">
        <v>10198</v>
      </c>
      <c r="Q1877" s="2" t="n">
        <v>43605</v>
      </c>
      <c r="S1877" s="0" t="n">
        <f aca="false">YEAR(Q1877)</f>
        <v>2019</v>
      </c>
      <c r="T1877" s="0" t="n">
        <f aca="false">MONTH(Q1877)</f>
        <v>5</v>
      </c>
    </row>
    <row r="1878" customFormat="false" ht="14.25" hidden="true" customHeight="false" outlineLevel="0" collapsed="false">
      <c r="A1878" s="0" t="n">
        <v>1883</v>
      </c>
      <c r="B1878" s="1" t="s">
        <v>1178</v>
      </c>
      <c r="C1878" s="1" t="s">
        <v>1479</v>
      </c>
      <c r="D1878" s="1" t="s">
        <v>1480</v>
      </c>
      <c r="E1878" s="0" t="s">
        <v>43</v>
      </c>
      <c r="F1878" s="0" t="s">
        <v>49</v>
      </c>
      <c r="G1878" s="0" t="s">
        <v>10199</v>
      </c>
      <c r="I1878" s="6" t="n">
        <v>0.520833333333333</v>
      </c>
      <c r="J1878" s="6" t="n">
        <v>0.6875</v>
      </c>
      <c r="L1878" s="0" t="n">
        <v>410</v>
      </c>
      <c r="M1878" s="0" t="s">
        <v>10200</v>
      </c>
      <c r="N1878" s="0" t="s">
        <v>10201</v>
      </c>
      <c r="P1878" s="0" t="s">
        <v>10202</v>
      </c>
      <c r="Q1878" s="2" t="n">
        <v>43605</v>
      </c>
      <c r="S1878" s="0" t="n">
        <f aca="false">YEAR(Q1878)</f>
        <v>2019</v>
      </c>
      <c r="T1878" s="0" t="n">
        <f aca="false">MONTH(Q1878)</f>
        <v>5</v>
      </c>
    </row>
    <row r="1879" customFormat="false" ht="14.25" hidden="true" customHeight="false" outlineLevel="0" collapsed="false">
      <c r="A1879" s="0" t="n">
        <v>1884</v>
      </c>
      <c r="B1879" s="1" t="s">
        <v>1178</v>
      </c>
      <c r="C1879" s="1" t="s">
        <v>1479</v>
      </c>
      <c r="D1879" s="1" t="s">
        <v>1487</v>
      </c>
      <c r="E1879" s="0" t="s">
        <v>1488</v>
      </c>
      <c r="F1879" s="0" t="s">
        <v>50</v>
      </c>
      <c r="G1879" s="0" t="s">
        <v>10203</v>
      </c>
      <c r="I1879" s="6" t="n">
        <v>0.958333333333333</v>
      </c>
      <c r="J1879" s="6" t="n">
        <v>0.977777777777778</v>
      </c>
      <c r="K1879" s="0" t="n">
        <v>0</v>
      </c>
      <c r="L1879" s="0" t="n">
        <v>58</v>
      </c>
      <c r="M1879" s="0" t="s">
        <v>10204</v>
      </c>
      <c r="N1879" s="0" t="s">
        <v>10205</v>
      </c>
      <c r="P1879" s="0" t="s">
        <v>10206</v>
      </c>
      <c r="Q1879" s="2" t="n">
        <v>43605</v>
      </c>
      <c r="S1879" s="0" t="n">
        <f aca="false">YEAR(Q1879)</f>
        <v>2019</v>
      </c>
      <c r="T1879" s="0" t="n">
        <f aca="false">MONTH(Q1879)</f>
        <v>5</v>
      </c>
    </row>
    <row r="1880" customFormat="false" ht="14.25" hidden="true" customHeight="false" outlineLevel="0" collapsed="false">
      <c r="A1880" s="0" t="n">
        <v>1885</v>
      </c>
      <c r="B1880" s="1" t="s">
        <v>1178</v>
      </c>
      <c r="C1880" s="1" t="s">
        <v>1479</v>
      </c>
      <c r="D1880" s="1" t="s">
        <v>1535</v>
      </c>
      <c r="E1880" s="0" t="s">
        <v>39</v>
      </c>
      <c r="F1880" s="0" t="s">
        <v>50</v>
      </c>
      <c r="G1880" s="0" t="s">
        <v>10207</v>
      </c>
      <c r="J1880" s="6" t="n">
        <v>0.000694444444444444</v>
      </c>
      <c r="K1880" s="0" t="n">
        <v>0</v>
      </c>
      <c r="M1880" s="0" t="s">
        <v>10208</v>
      </c>
      <c r="N1880" s="0" t="s">
        <v>10209</v>
      </c>
      <c r="P1880" s="0" t="s">
        <v>10210</v>
      </c>
      <c r="Q1880" s="2" t="n">
        <v>43605</v>
      </c>
      <c r="S1880" s="0" t="n">
        <f aca="false">YEAR(Q1880)</f>
        <v>2019</v>
      </c>
      <c r="T1880" s="0" t="n">
        <f aca="false">MONTH(Q1880)</f>
        <v>5</v>
      </c>
    </row>
    <row r="1881" customFormat="false" ht="14.25" hidden="true" customHeight="false" outlineLevel="0" collapsed="false">
      <c r="A1881" s="0" t="n">
        <v>1886</v>
      </c>
      <c r="B1881" s="1" t="s">
        <v>1178</v>
      </c>
      <c r="C1881" s="1" t="s">
        <v>1479</v>
      </c>
      <c r="D1881" s="1" t="s">
        <v>1535</v>
      </c>
      <c r="E1881" s="0" t="s">
        <v>39</v>
      </c>
      <c r="F1881" s="0" t="s">
        <v>50</v>
      </c>
      <c r="G1881" s="0" t="s">
        <v>10211</v>
      </c>
      <c r="J1881" s="6" t="n">
        <v>0.0104166666666667</v>
      </c>
      <c r="M1881" s="0" t="s">
        <v>10212</v>
      </c>
      <c r="N1881" s="0" t="s">
        <v>10213</v>
      </c>
      <c r="P1881" s="0" t="s">
        <v>10214</v>
      </c>
      <c r="Q1881" s="2" t="n">
        <v>43605</v>
      </c>
      <c r="S1881" s="0" t="n">
        <f aca="false">YEAR(Q1881)</f>
        <v>2019</v>
      </c>
      <c r="T1881" s="0" t="n">
        <f aca="false">MONTH(Q1881)</f>
        <v>5</v>
      </c>
    </row>
    <row r="1882" customFormat="false" ht="14.25" hidden="true" customHeight="false" outlineLevel="0" collapsed="false">
      <c r="A1882" s="0" t="n">
        <v>1887</v>
      </c>
      <c r="B1882" s="1" t="s">
        <v>1178</v>
      </c>
      <c r="C1882" s="1" t="s">
        <v>1503</v>
      </c>
      <c r="D1882" s="1" t="s">
        <v>1535</v>
      </c>
      <c r="E1882" s="0" t="s">
        <v>1503</v>
      </c>
      <c r="F1882" s="0" t="s">
        <v>50</v>
      </c>
      <c r="G1882" s="0" t="s">
        <v>10215</v>
      </c>
      <c r="I1882" s="6" t="n">
        <v>0.00347222222222222</v>
      </c>
      <c r="J1882" s="6" t="n">
        <v>0.00555555555555556</v>
      </c>
      <c r="L1882" s="0" t="n">
        <v>20</v>
      </c>
      <c r="M1882" s="0" t="s">
        <v>10216</v>
      </c>
      <c r="N1882" s="0" t="s">
        <v>10217</v>
      </c>
      <c r="P1882" s="0" t="s">
        <v>10218</v>
      </c>
      <c r="Q1882" s="2" t="n">
        <v>43605</v>
      </c>
      <c r="S1882" s="0" t="n">
        <f aca="false">YEAR(Q1882)</f>
        <v>2019</v>
      </c>
      <c r="T1882" s="0" t="n">
        <f aca="false">MONTH(Q1882)</f>
        <v>5</v>
      </c>
    </row>
    <row r="1883" customFormat="false" ht="14.25" hidden="true" customHeight="false" outlineLevel="0" collapsed="false">
      <c r="A1883" s="0" t="n">
        <v>1888</v>
      </c>
      <c r="B1883" s="1" t="s">
        <v>1178</v>
      </c>
      <c r="C1883" s="1" t="s">
        <v>1503</v>
      </c>
      <c r="D1883" s="1" t="s">
        <v>1535</v>
      </c>
      <c r="E1883" s="0" t="s">
        <v>1503</v>
      </c>
      <c r="F1883" s="0" t="s">
        <v>50</v>
      </c>
      <c r="G1883" s="0" t="s">
        <v>10219</v>
      </c>
      <c r="I1883" s="6" t="n">
        <v>0.0659722222222222</v>
      </c>
      <c r="J1883" s="6" t="n">
        <v>0.0680555555555555</v>
      </c>
      <c r="L1883" s="0" t="n">
        <v>20</v>
      </c>
      <c r="M1883" s="0" t="s">
        <v>10220</v>
      </c>
      <c r="N1883" s="0" t="s">
        <v>10221</v>
      </c>
      <c r="P1883" s="0" t="s">
        <v>10222</v>
      </c>
      <c r="Q1883" s="2" t="n">
        <v>43605</v>
      </c>
      <c r="S1883" s="0" t="n">
        <f aca="false">YEAR(Q1883)</f>
        <v>2019</v>
      </c>
      <c r="T1883" s="0" t="n">
        <f aca="false">MONTH(Q1883)</f>
        <v>5</v>
      </c>
    </row>
    <row r="1884" customFormat="false" ht="14.25" hidden="true" customHeight="false" outlineLevel="0" collapsed="false">
      <c r="A1884" s="0" t="n">
        <v>1889</v>
      </c>
      <c r="B1884" s="1" t="s">
        <v>1178</v>
      </c>
      <c r="C1884" s="1" t="s">
        <v>1479</v>
      </c>
      <c r="D1884" s="1" t="s">
        <v>1535</v>
      </c>
      <c r="E1884" s="0" t="s">
        <v>39</v>
      </c>
      <c r="F1884" s="0" t="s">
        <v>50</v>
      </c>
      <c r="G1884" s="0" t="s">
        <v>10223</v>
      </c>
      <c r="I1884" s="6" t="n">
        <v>0.166666666666667</v>
      </c>
      <c r="J1884" s="6" t="n">
        <v>0.182638888888889</v>
      </c>
      <c r="L1884" s="0" t="n">
        <v>35</v>
      </c>
      <c r="M1884" s="0" t="s">
        <v>10224</v>
      </c>
      <c r="N1884" s="0" t="s">
        <v>10225</v>
      </c>
      <c r="P1884" s="0" t="s">
        <v>10226</v>
      </c>
      <c r="Q1884" s="2" t="n">
        <v>43605</v>
      </c>
      <c r="S1884" s="0" t="n">
        <f aca="false">YEAR(Q1884)</f>
        <v>2019</v>
      </c>
      <c r="T1884" s="0" t="n">
        <f aca="false">MONTH(Q1884)</f>
        <v>5</v>
      </c>
    </row>
    <row r="1885" customFormat="false" ht="57" hidden="true" customHeight="false" outlineLevel="0" collapsed="false">
      <c r="A1885" s="0" t="n">
        <v>1890</v>
      </c>
      <c r="B1885" s="1" t="s">
        <v>1179</v>
      </c>
      <c r="C1885" s="1" t="s">
        <v>1479</v>
      </c>
      <c r="D1885" s="1" t="s">
        <v>1487</v>
      </c>
      <c r="E1885" s="4" t="s">
        <v>1488</v>
      </c>
      <c r="F1885" s="0" t="s">
        <v>48</v>
      </c>
      <c r="G1885" s="0" t="s">
        <v>10227</v>
      </c>
      <c r="I1885" s="6" t="n">
        <v>0.560416666666667</v>
      </c>
      <c r="J1885" s="6" t="n">
        <v>0.572916666666667</v>
      </c>
      <c r="K1885" s="0" t="n">
        <v>9</v>
      </c>
      <c r="L1885" s="0" t="n">
        <v>24</v>
      </c>
      <c r="M1885" s="0" t="s">
        <v>10228</v>
      </c>
      <c r="N1885" s="0" t="s">
        <v>10229</v>
      </c>
      <c r="P1885" s="7" t="s">
        <v>10230</v>
      </c>
      <c r="Q1885" s="2" t="n">
        <v>43606</v>
      </c>
      <c r="S1885" s="0" t="n">
        <f aca="false">YEAR(Q1885)</f>
        <v>2019</v>
      </c>
      <c r="T1885" s="0" t="n">
        <f aca="false">MONTH(Q1885)</f>
        <v>5</v>
      </c>
    </row>
    <row r="1886" customFormat="false" ht="14.25" hidden="true" customHeight="false" outlineLevel="0" collapsed="false">
      <c r="A1886" s="0" t="n">
        <v>1891</v>
      </c>
      <c r="B1886" s="1" t="s">
        <v>1179</v>
      </c>
      <c r="C1886" s="1" t="s">
        <v>1479</v>
      </c>
      <c r="D1886" s="1" t="s">
        <v>1496</v>
      </c>
      <c r="E1886" s="0" t="s">
        <v>38</v>
      </c>
      <c r="F1886" s="0" t="s">
        <v>49</v>
      </c>
      <c r="G1886" s="0" t="s">
        <v>10231</v>
      </c>
      <c r="I1886" s="6" t="n">
        <v>0.663194444444444</v>
      </c>
      <c r="J1886" s="6" t="n">
        <v>0.666666666666667</v>
      </c>
      <c r="L1886" s="0" t="n">
        <v>30</v>
      </c>
      <c r="M1886" s="0" t="s">
        <v>10232</v>
      </c>
      <c r="N1886" s="0" t="s">
        <v>10233</v>
      </c>
      <c r="P1886" s="0" t="s">
        <v>10234</v>
      </c>
      <c r="Q1886" s="2" t="n">
        <v>43606</v>
      </c>
      <c r="S1886" s="0" t="n">
        <f aca="false">YEAR(Q1886)</f>
        <v>2019</v>
      </c>
      <c r="T1886" s="0" t="n">
        <f aca="false">MONTH(Q1886)</f>
        <v>5</v>
      </c>
    </row>
    <row r="1887" customFormat="false" ht="14.25" hidden="true" customHeight="false" outlineLevel="0" collapsed="false">
      <c r="A1887" s="0" t="n">
        <v>1892</v>
      </c>
      <c r="B1887" s="1" t="s">
        <v>1179</v>
      </c>
      <c r="C1887" s="1" t="s">
        <v>1495</v>
      </c>
      <c r="D1887" s="1" t="s">
        <v>10235</v>
      </c>
      <c r="E1887" s="0" t="s">
        <v>10236</v>
      </c>
      <c r="F1887" s="0" t="s">
        <v>49</v>
      </c>
      <c r="G1887" s="0" t="s">
        <v>10237</v>
      </c>
      <c r="I1887" s="6" t="n">
        <v>0.708333333333333</v>
      </c>
      <c r="J1887" s="6" t="n">
        <v>0.745833333333333</v>
      </c>
      <c r="L1887" s="0" t="n">
        <v>128</v>
      </c>
      <c r="M1887" s="0" t="s">
        <v>10238</v>
      </c>
      <c r="N1887" s="0" t="s">
        <v>10239</v>
      </c>
      <c r="P1887" s="0" t="s">
        <v>10240</v>
      </c>
      <c r="Q1887" s="2" t="n">
        <v>43606</v>
      </c>
      <c r="S1887" s="0" t="n">
        <f aca="false">YEAR(Q1887)</f>
        <v>2019</v>
      </c>
      <c r="T1887" s="0" t="n">
        <f aca="false">MONTH(Q1887)</f>
        <v>5</v>
      </c>
    </row>
    <row r="1888" customFormat="false" ht="14.25" hidden="true" customHeight="false" outlineLevel="0" collapsed="false">
      <c r="A1888" s="0" t="n">
        <v>1893</v>
      </c>
      <c r="B1888" s="1" t="s">
        <v>1179</v>
      </c>
      <c r="C1888" s="1" t="s">
        <v>1479</v>
      </c>
      <c r="D1888" s="1" t="s">
        <v>1535</v>
      </c>
      <c r="E1888" s="0" t="s">
        <v>39</v>
      </c>
      <c r="F1888" s="0" t="s">
        <v>50</v>
      </c>
      <c r="G1888" s="0" t="s">
        <v>10009</v>
      </c>
      <c r="J1888" s="6" t="n">
        <v>0.960416666666667</v>
      </c>
      <c r="M1888" s="0" t="s">
        <v>10241</v>
      </c>
      <c r="N1888" s="0" t="s">
        <v>10242</v>
      </c>
      <c r="P1888" s="0" t="s">
        <v>10243</v>
      </c>
      <c r="Q1888" s="2" t="n">
        <v>43606</v>
      </c>
      <c r="S1888" s="0" t="n">
        <f aca="false">YEAR(Q1888)</f>
        <v>2019</v>
      </c>
      <c r="T1888" s="0" t="n">
        <f aca="false">MONTH(Q1888)</f>
        <v>5</v>
      </c>
    </row>
    <row r="1889" customFormat="false" ht="14.25" hidden="true" customHeight="false" outlineLevel="0" collapsed="false">
      <c r="A1889" s="0" t="n">
        <v>1894</v>
      </c>
      <c r="B1889" s="1" t="s">
        <v>1180</v>
      </c>
      <c r="C1889" s="1" t="s">
        <v>1479</v>
      </c>
      <c r="D1889" s="1" t="s">
        <v>1487</v>
      </c>
      <c r="E1889" s="4" t="s">
        <v>1488</v>
      </c>
      <c r="F1889" s="0" t="s">
        <v>48</v>
      </c>
      <c r="G1889" s="0" t="s">
        <v>10244</v>
      </c>
      <c r="I1889" s="6" t="n">
        <v>0.327777777777778</v>
      </c>
      <c r="J1889" s="6" t="n">
        <v>0.340972222222222</v>
      </c>
      <c r="K1889" s="0" t="n">
        <v>13</v>
      </c>
      <c r="L1889" s="0" t="n">
        <v>18</v>
      </c>
      <c r="M1889" s="0" t="s">
        <v>10245</v>
      </c>
      <c r="N1889" s="0" t="s">
        <v>10246</v>
      </c>
      <c r="P1889" s="0" t="s">
        <v>10247</v>
      </c>
      <c r="Q1889" s="2" t="n">
        <v>42877</v>
      </c>
      <c r="S1889" s="0" t="n">
        <f aca="false">YEAR(Q1889)</f>
        <v>2017</v>
      </c>
      <c r="T1889" s="0" t="n">
        <f aca="false">MONTH(Q1889)</f>
        <v>5</v>
      </c>
    </row>
    <row r="1890" customFormat="false" ht="14.25" hidden="true" customHeight="false" outlineLevel="0" collapsed="false">
      <c r="A1890" s="0" t="n">
        <v>1895</v>
      </c>
      <c r="B1890" s="1" t="s">
        <v>1180</v>
      </c>
      <c r="C1890" s="1" t="s">
        <v>1479</v>
      </c>
      <c r="D1890" s="1" t="s">
        <v>1496</v>
      </c>
      <c r="E1890" s="0" t="s">
        <v>38</v>
      </c>
      <c r="F1890" s="0" t="s">
        <v>49</v>
      </c>
      <c r="G1890" s="0" t="s">
        <v>10248</v>
      </c>
      <c r="I1890" s="6" t="n">
        <v>0.729166666666667</v>
      </c>
      <c r="J1890" s="6" t="n">
        <v>0.735416666666667</v>
      </c>
      <c r="L1890" s="0" t="n">
        <v>60</v>
      </c>
      <c r="M1890" s="0" t="s">
        <v>10249</v>
      </c>
      <c r="N1890" s="0" t="s">
        <v>10250</v>
      </c>
      <c r="P1890" s="0" t="s">
        <v>10251</v>
      </c>
      <c r="Q1890" s="2" t="n">
        <v>42877</v>
      </c>
      <c r="S1890" s="0" t="n">
        <f aca="false">YEAR(Q1890)</f>
        <v>2017</v>
      </c>
      <c r="T1890" s="0" t="n">
        <f aca="false">MONTH(Q1890)</f>
        <v>5</v>
      </c>
    </row>
    <row r="1891" customFormat="false" ht="14.25" hidden="true" customHeight="false" outlineLevel="0" collapsed="false">
      <c r="A1891" s="0" t="n">
        <v>1896</v>
      </c>
      <c r="B1891" s="1" t="s">
        <v>1180</v>
      </c>
      <c r="C1891" s="1" t="s">
        <v>1503</v>
      </c>
      <c r="D1891" s="1" t="s">
        <v>1504</v>
      </c>
      <c r="E1891" s="0" t="s">
        <v>45</v>
      </c>
      <c r="F1891" s="0" t="s">
        <v>49</v>
      </c>
      <c r="G1891" s="0" t="s">
        <v>10064</v>
      </c>
      <c r="J1891" s="6" t="n">
        <v>0.722222222222222</v>
      </c>
      <c r="M1891" s="0" t="s">
        <v>10252</v>
      </c>
      <c r="N1891" s="0" t="s">
        <v>10253</v>
      </c>
      <c r="P1891" s="0" t="s">
        <v>10254</v>
      </c>
      <c r="Q1891" s="2" t="n">
        <v>42877</v>
      </c>
      <c r="S1891" s="0" t="n">
        <f aca="false">YEAR(Q1891)</f>
        <v>2017</v>
      </c>
      <c r="T1891" s="0" t="n">
        <f aca="false">MONTH(Q1891)</f>
        <v>5</v>
      </c>
    </row>
    <row r="1892" customFormat="false" ht="14.25" hidden="true" customHeight="false" outlineLevel="0" collapsed="false">
      <c r="A1892" s="0" t="n">
        <v>1897</v>
      </c>
      <c r="B1892" s="1" t="s">
        <v>1180</v>
      </c>
      <c r="C1892" s="1" t="s">
        <v>1479</v>
      </c>
      <c r="D1892" s="1" t="s">
        <v>1535</v>
      </c>
      <c r="E1892" s="0" t="s">
        <v>39</v>
      </c>
      <c r="F1892" s="0" t="s">
        <v>50</v>
      </c>
      <c r="G1892" s="0" t="s">
        <v>10255</v>
      </c>
      <c r="I1892" s="6" t="n">
        <v>0.916666666666667</v>
      </c>
      <c r="J1892" s="6" t="n">
        <v>0.993055555555555</v>
      </c>
      <c r="K1892" s="0" t="n">
        <v>4</v>
      </c>
      <c r="L1892" s="0" t="n">
        <v>5</v>
      </c>
      <c r="M1892" s="0" t="s">
        <v>10256</v>
      </c>
      <c r="N1892" s="0" t="s">
        <v>10257</v>
      </c>
      <c r="P1892" s="0" t="s">
        <v>10258</v>
      </c>
      <c r="Q1892" s="2" t="n">
        <v>42877</v>
      </c>
      <c r="S1892" s="0" t="n">
        <f aca="false">YEAR(Q1892)</f>
        <v>2017</v>
      </c>
      <c r="T1892" s="0" t="n">
        <f aca="false">MONTH(Q1892)</f>
        <v>5</v>
      </c>
    </row>
    <row r="1893" customFormat="false" ht="14.25" hidden="true" customHeight="false" outlineLevel="0" collapsed="false">
      <c r="A1893" s="0" t="n">
        <v>1898</v>
      </c>
      <c r="B1893" s="1" t="s">
        <v>1182</v>
      </c>
      <c r="C1893" s="1" t="s">
        <v>1479</v>
      </c>
      <c r="D1893" s="1" t="s">
        <v>1487</v>
      </c>
      <c r="E1893" s="4" t="s">
        <v>1488</v>
      </c>
      <c r="F1893" s="0" t="s">
        <v>48</v>
      </c>
      <c r="G1893" s="0" t="s">
        <v>10259</v>
      </c>
      <c r="I1893" s="6" t="n">
        <v>0.327777777777778</v>
      </c>
      <c r="J1893" s="6" t="n">
        <v>0.340972222222222</v>
      </c>
      <c r="K1893" s="0" t="n">
        <v>13</v>
      </c>
      <c r="L1893" s="0" t="n">
        <v>18</v>
      </c>
      <c r="M1893" s="0" t="s">
        <v>10245</v>
      </c>
      <c r="N1893" s="0" t="s">
        <v>10246</v>
      </c>
      <c r="P1893" s="0" t="s">
        <v>10247</v>
      </c>
      <c r="Q1893" s="2" t="n">
        <v>43607</v>
      </c>
      <c r="S1893" s="0" t="n">
        <f aca="false">YEAR(Q1893)</f>
        <v>2019</v>
      </c>
      <c r="T1893" s="0" t="n">
        <f aca="false">MONTH(Q1893)</f>
        <v>5</v>
      </c>
    </row>
    <row r="1894" customFormat="false" ht="14.25" hidden="true" customHeight="false" outlineLevel="0" collapsed="false">
      <c r="A1894" s="0" t="n">
        <v>1899</v>
      </c>
      <c r="B1894" s="1" t="s">
        <v>1182</v>
      </c>
      <c r="C1894" s="1" t="s">
        <v>1479</v>
      </c>
      <c r="D1894" s="1" t="s">
        <v>1496</v>
      </c>
      <c r="E1894" s="0" t="s">
        <v>38</v>
      </c>
      <c r="F1894" s="0" t="s">
        <v>49</v>
      </c>
      <c r="G1894" s="0" t="s">
        <v>10248</v>
      </c>
      <c r="I1894" s="6" t="n">
        <v>0.729166666666667</v>
      </c>
      <c r="J1894" s="6" t="n">
        <v>0.735416666666667</v>
      </c>
      <c r="L1894" s="0" t="n">
        <v>60</v>
      </c>
      <c r="M1894" s="0" t="s">
        <v>10249</v>
      </c>
      <c r="N1894" s="0" t="s">
        <v>10250</v>
      </c>
      <c r="P1894" s="0" t="s">
        <v>10260</v>
      </c>
      <c r="Q1894" s="2" t="n">
        <v>43607</v>
      </c>
      <c r="S1894" s="0" t="n">
        <f aca="false">YEAR(Q1894)</f>
        <v>2019</v>
      </c>
      <c r="T1894" s="0" t="n">
        <f aca="false">MONTH(Q1894)</f>
        <v>5</v>
      </c>
    </row>
    <row r="1895" customFormat="false" ht="14.25" hidden="true" customHeight="false" outlineLevel="0" collapsed="false">
      <c r="A1895" s="0" t="n">
        <v>1900</v>
      </c>
      <c r="B1895" s="1" t="s">
        <v>1182</v>
      </c>
      <c r="C1895" s="1" t="s">
        <v>1503</v>
      </c>
      <c r="D1895" s="1" t="s">
        <v>1504</v>
      </c>
      <c r="E1895" s="0" t="s">
        <v>45</v>
      </c>
      <c r="F1895" s="0" t="s">
        <v>49</v>
      </c>
      <c r="G1895" s="0" t="s">
        <v>10261</v>
      </c>
      <c r="J1895" s="6" t="n">
        <v>0.722222222222222</v>
      </c>
      <c r="M1895" s="0" t="s">
        <v>10262</v>
      </c>
      <c r="N1895" s="0" t="s">
        <v>10263</v>
      </c>
      <c r="P1895" s="0" t="s">
        <v>10264</v>
      </c>
      <c r="Q1895" s="2" t="n">
        <v>43607</v>
      </c>
      <c r="S1895" s="0" t="n">
        <f aca="false">YEAR(Q1895)</f>
        <v>2019</v>
      </c>
      <c r="T1895" s="0" t="n">
        <f aca="false">MONTH(Q1895)</f>
        <v>5</v>
      </c>
    </row>
    <row r="1896" customFormat="false" ht="14.25" hidden="true" customHeight="false" outlineLevel="0" collapsed="false">
      <c r="A1896" s="0" t="n">
        <v>1901</v>
      </c>
      <c r="B1896" s="1" t="s">
        <v>1182</v>
      </c>
      <c r="C1896" s="1" t="s">
        <v>1479</v>
      </c>
      <c r="D1896" s="1" t="s">
        <v>1535</v>
      </c>
      <c r="E1896" s="0" t="s">
        <v>39</v>
      </c>
      <c r="F1896" s="0" t="s">
        <v>50</v>
      </c>
      <c r="G1896" s="0" t="s">
        <v>10265</v>
      </c>
      <c r="I1896" s="6" t="n">
        <v>0.916666666666667</v>
      </c>
      <c r="J1896" s="6" t="n">
        <v>0.993055555555555</v>
      </c>
      <c r="K1896" s="0" t="n">
        <v>4</v>
      </c>
      <c r="L1896" s="0" t="n">
        <v>300</v>
      </c>
      <c r="M1896" s="0" t="s">
        <v>10266</v>
      </c>
      <c r="N1896" s="0" t="s">
        <v>10267</v>
      </c>
      <c r="P1896" s="0" t="s">
        <v>10268</v>
      </c>
      <c r="Q1896" s="2" t="n">
        <v>43607</v>
      </c>
      <c r="S1896" s="0" t="n">
        <f aca="false">YEAR(Q1896)</f>
        <v>2019</v>
      </c>
      <c r="T1896" s="0" t="n">
        <f aca="false">MONTH(Q1896)</f>
        <v>5</v>
      </c>
    </row>
    <row r="1897" customFormat="false" ht="14.25" hidden="true" customHeight="false" outlineLevel="0" collapsed="false">
      <c r="A1897" s="0" t="n">
        <v>1902</v>
      </c>
      <c r="B1897" s="1" t="s">
        <v>1183</v>
      </c>
      <c r="C1897" s="1" t="s">
        <v>1503</v>
      </c>
      <c r="D1897" s="1" t="s">
        <v>1535</v>
      </c>
      <c r="E1897" s="0" t="s">
        <v>44</v>
      </c>
      <c r="F1897" s="0" t="s">
        <v>48</v>
      </c>
      <c r="G1897" s="0" t="s">
        <v>10269</v>
      </c>
      <c r="I1897" s="6" t="n">
        <v>0.256944444444444</v>
      </c>
      <c r="J1897" s="6" t="n">
        <v>0.263888888888889</v>
      </c>
      <c r="L1897" s="0" t="n">
        <v>30</v>
      </c>
      <c r="M1897" s="0" t="s">
        <v>10270</v>
      </c>
      <c r="N1897" s="0" t="s">
        <v>10271</v>
      </c>
      <c r="P1897" s="0" t="s">
        <v>10272</v>
      </c>
      <c r="Q1897" s="2" t="n">
        <v>43608</v>
      </c>
      <c r="S1897" s="0" t="n">
        <f aca="false">YEAR(Q1897)</f>
        <v>2019</v>
      </c>
      <c r="T1897" s="0" t="n">
        <f aca="false">MONTH(Q1897)</f>
        <v>5</v>
      </c>
    </row>
    <row r="1898" customFormat="false" ht="14.25" hidden="true" customHeight="false" outlineLevel="0" collapsed="false">
      <c r="A1898" s="0" t="n">
        <v>1903</v>
      </c>
      <c r="B1898" s="1" t="s">
        <v>1183</v>
      </c>
      <c r="C1898" s="1" t="s">
        <v>1479</v>
      </c>
      <c r="D1898" s="1" t="s">
        <v>1487</v>
      </c>
      <c r="E1898" s="0" t="s">
        <v>1488</v>
      </c>
      <c r="F1898" s="0" t="s">
        <v>48</v>
      </c>
      <c r="G1898" s="0" t="s">
        <v>10273</v>
      </c>
      <c r="I1898" s="6" t="n">
        <v>0.34375</v>
      </c>
      <c r="J1898" s="6" t="n">
        <v>0.368055555555556</v>
      </c>
      <c r="L1898" s="0" t="n">
        <v>50</v>
      </c>
      <c r="M1898" s="0" t="s">
        <v>10274</v>
      </c>
      <c r="N1898" s="0" t="s">
        <v>10275</v>
      </c>
      <c r="P1898" s="0" t="s">
        <v>10276</v>
      </c>
      <c r="Q1898" s="2" t="n">
        <v>43608</v>
      </c>
      <c r="S1898" s="0" t="n">
        <f aca="false">YEAR(Q1898)</f>
        <v>2019</v>
      </c>
      <c r="T1898" s="0" t="n">
        <f aca="false">MONTH(Q1898)</f>
        <v>5</v>
      </c>
    </row>
    <row r="1899" customFormat="false" ht="42.75" hidden="true" customHeight="false" outlineLevel="0" collapsed="false">
      <c r="A1899" s="0" t="n">
        <v>1904</v>
      </c>
      <c r="B1899" s="1" t="s">
        <v>1183</v>
      </c>
      <c r="C1899" s="1" t="s">
        <v>1503</v>
      </c>
      <c r="D1899" s="1" t="s">
        <v>1504</v>
      </c>
      <c r="E1899" s="0" t="s">
        <v>45</v>
      </c>
      <c r="F1899" s="0" t="s">
        <v>48</v>
      </c>
      <c r="G1899" s="0" t="s">
        <v>10277</v>
      </c>
      <c r="I1899" s="6" t="n">
        <v>0.368055555555556</v>
      </c>
      <c r="J1899" s="6" t="n">
        <v>0.444444444444444</v>
      </c>
      <c r="L1899" s="0" t="n">
        <v>90</v>
      </c>
      <c r="M1899" s="0" t="s">
        <v>10278</v>
      </c>
      <c r="N1899" s="0" t="s">
        <v>10279</v>
      </c>
      <c r="P1899" s="7" t="s">
        <v>10280</v>
      </c>
      <c r="Q1899" s="2" t="n">
        <v>43608</v>
      </c>
      <c r="S1899" s="0" t="n">
        <f aca="false">YEAR(Q1899)</f>
        <v>2019</v>
      </c>
      <c r="T1899" s="0" t="n">
        <f aca="false">MONTH(Q1899)</f>
        <v>5</v>
      </c>
    </row>
    <row r="1900" customFormat="false" ht="14.25" hidden="true" customHeight="false" outlineLevel="0" collapsed="false">
      <c r="A1900" s="0" t="n">
        <v>1905</v>
      </c>
      <c r="B1900" s="1" t="s">
        <v>1183</v>
      </c>
      <c r="C1900" s="1" t="s">
        <v>1479</v>
      </c>
      <c r="D1900" s="1" t="s">
        <v>1487</v>
      </c>
      <c r="E1900" s="4" t="s">
        <v>1488</v>
      </c>
      <c r="F1900" s="0" t="s">
        <v>48</v>
      </c>
      <c r="G1900" s="0" t="s">
        <v>10281</v>
      </c>
      <c r="I1900" s="6" t="n">
        <v>0.5375</v>
      </c>
      <c r="J1900" s="6" t="n">
        <v>0.558333333333333</v>
      </c>
      <c r="K1900" s="0" t="n">
        <v>13</v>
      </c>
      <c r="L1900" s="0" t="n">
        <v>45</v>
      </c>
      <c r="M1900" s="0" t="s">
        <v>10282</v>
      </c>
      <c r="N1900" s="0" t="s">
        <v>10283</v>
      </c>
      <c r="P1900" s="0" t="s">
        <v>10284</v>
      </c>
      <c r="Q1900" s="2" t="n">
        <v>43608</v>
      </c>
      <c r="S1900" s="0" t="n">
        <f aca="false">YEAR(Q1900)</f>
        <v>2019</v>
      </c>
      <c r="T1900" s="0" t="n">
        <f aca="false">MONTH(Q1900)</f>
        <v>5</v>
      </c>
    </row>
    <row r="1901" customFormat="false" ht="14.25" hidden="true" customHeight="false" outlineLevel="0" collapsed="false">
      <c r="A1901" s="0" t="n">
        <v>1906</v>
      </c>
      <c r="B1901" s="1" t="s">
        <v>1183</v>
      </c>
      <c r="C1901" s="1" t="s">
        <v>1479</v>
      </c>
      <c r="D1901" s="1" t="s">
        <v>1487</v>
      </c>
      <c r="E1901" s="0" t="s">
        <v>1488</v>
      </c>
      <c r="F1901" s="0" t="s">
        <v>49</v>
      </c>
      <c r="G1901" s="0" t="s">
        <v>10285</v>
      </c>
      <c r="I1901" s="6" t="n">
        <v>0.684027777777778</v>
      </c>
      <c r="J1901" s="6" t="n">
        <v>0.69375</v>
      </c>
      <c r="L1901" s="0" t="n">
        <v>40</v>
      </c>
      <c r="M1901" s="0" t="s">
        <v>10286</v>
      </c>
      <c r="N1901" s="0" t="s">
        <v>10287</v>
      </c>
      <c r="P1901" s="0" t="s">
        <v>10288</v>
      </c>
      <c r="Q1901" s="2" t="n">
        <v>43608</v>
      </c>
      <c r="S1901" s="0" t="n">
        <f aca="false">YEAR(Q1901)</f>
        <v>2019</v>
      </c>
      <c r="T1901" s="0" t="n">
        <f aca="false">MONTH(Q1901)</f>
        <v>5</v>
      </c>
    </row>
    <row r="1902" customFormat="false" ht="14.25" hidden="true" customHeight="false" outlineLevel="0" collapsed="false">
      <c r="A1902" s="0" t="n">
        <v>1907</v>
      </c>
      <c r="B1902" s="1" t="s">
        <v>1183</v>
      </c>
      <c r="C1902" s="1" t="s">
        <v>1503</v>
      </c>
      <c r="D1902" s="1" t="s">
        <v>1535</v>
      </c>
      <c r="E1902" s="0" t="s">
        <v>44</v>
      </c>
      <c r="F1902" s="0" t="s">
        <v>49</v>
      </c>
      <c r="G1902" s="0" t="s">
        <v>10289</v>
      </c>
      <c r="I1902" s="6" t="n">
        <v>0.541666666666667</v>
      </c>
      <c r="J1902" s="6" t="n">
        <v>0.885416666666667</v>
      </c>
      <c r="M1902" s="0" t="s">
        <v>10290</v>
      </c>
      <c r="N1902" s="0" t="s">
        <v>10291</v>
      </c>
      <c r="P1902" s="0" t="s">
        <v>10292</v>
      </c>
      <c r="Q1902" s="2" t="n">
        <v>43608</v>
      </c>
      <c r="S1902" s="0" t="n">
        <f aca="false">YEAR(Q1902)</f>
        <v>2019</v>
      </c>
      <c r="T1902" s="0" t="n">
        <f aca="false">MONTH(Q1902)</f>
        <v>5</v>
      </c>
    </row>
    <row r="1903" customFormat="false" ht="14.25" hidden="true" customHeight="false" outlineLevel="0" collapsed="false">
      <c r="A1903" s="0" t="n">
        <v>1908</v>
      </c>
      <c r="B1903" s="1" t="s">
        <v>1184</v>
      </c>
      <c r="C1903" s="1" t="s">
        <v>1479</v>
      </c>
      <c r="D1903" s="1" t="s">
        <v>1496</v>
      </c>
      <c r="E1903" s="0" t="s">
        <v>38</v>
      </c>
      <c r="F1903" s="0" t="s">
        <v>48</v>
      </c>
      <c r="G1903" s="0" t="s">
        <v>10293</v>
      </c>
      <c r="I1903" s="6" t="n">
        <v>0.523611111111111</v>
      </c>
      <c r="J1903" s="6" t="n">
        <v>0.572222222222222</v>
      </c>
      <c r="K1903" s="0" t="n">
        <v>0</v>
      </c>
      <c r="L1903" s="0" t="n">
        <v>27</v>
      </c>
      <c r="M1903" s="0" t="s">
        <v>10294</v>
      </c>
      <c r="N1903" s="0" t="s">
        <v>10295</v>
      </c>
      <c r="P1903" s="0" t="s">
        <v>10296</v>
      </c>
      <c r="Q1903" s="2" t="n">
        <v>43609</v>
      </c>
      <c r="S1903" s="0" t="n">
        <f aca="false">YEAR(Q1903)</f>
        <v>2019</v>
      </c>
      <c r="T1903" s="0" t="n">
        <f aca="false">MONTH(Q1903)</f>
        <v>5</v>
      </c>
    </row>
    <row r="1904" customFormat="false" ht="14.25" hidden="true" customHeight="false" outlineLevel="0" collapsed="false">
      <c r="A1904" s="0" t="n">
        <v>1909</v>
      </c>
      <c r="B1904" s="1" t="s">
        <v>1184</v>
      </c>
      <c r="C1904" s="1" t="s">
        <v>1479</v>
      </c>
      <c r="D1904" s="1" t="s">
        <v>1535</v>
      </c>
      <c r="E1904" s="0" t="s">
        <v>9157</v>
      </c>
      <c r="F1904" s="0" t="s">
        <v>49</v>
      </c>
      <c r="G1904" s="0" t="s">
        <v>4643</v>
      </c>
      <c r="I1904" s="6" t="n">
        <v>0.684027777777778</v>
      </c>
      <c r="J1904" s="6" t="n">
        <v>0.730555555555556</v>
      </c>
      <c r="K1904" s="0" t="n">
        <v>0</v>
      </c>
      <c r="L1904" s="0" t="n">
        <v>0</v>
      </c>
      <c r="M1904" s="0" t="s">
        <v>10297</v>
      </c>
      <c r="N1904" s="0" t="s">
        <v>10298</v>
      </c>
      <c r="P1904" s="0" t="s">
        <v>10299</v>
      </c>
      <c r="Q1904" s="2" t="n">
        <v>43609</v>
      </c>
      <c r="S1904" s="0" t="n">
        <f aca="false">YEAR(Q1904)</f>
        <v>2019</v>
      </c>
      <c r="T1904" s="0" t="n">
        <f aca="false">MONTH(Q1904)</f>
        <v>5</v>
      </c>
    </row>
    <row r="1905" customFormat="false" ht="14.25" hidden="true" customHeight="false" outlineLevel="0" collapsed="false">
      <c r="A1905" s="0" t="n">
        <v>1910</v>
      </c>
      <c r="B1905" s="1" t="s">
        <v>1184</v>
      </c>
      <c r="C1905" s="1" t="s">
        <v>1479</v>
      </c>
      <c r="D1905" s="1" t="s">
        <v>1487</v>
      </c>
      <c r="E1905" s="0" t="s">
        <v>1488</v>
      </c>
      <c r="F1905" s="0" t="s">
        <v>49</v>
      </c>
      <c r="G1905" s="0" t="s">
        <v>10300</v>
      </c>
      <c r="I1905" s="6" t="n">
        <v>0.722222222222222</v>
      </c>
      <c r="J1905" s="6" t="n">
        <v>0.732638888888889</v>
      </c>
      <c r="L1905" s="0" t="n">
        <v>60</v>
      </c>
      <c r="M1905" s="0" t="s">
        <v>10301</v>
      </c>
      <c r="N1905" s="0" t="s">
        <v>10302</v>
      </c>
      <c r="P1905" s="0" t="s">
        <v>10303</v>
      </c>
      <c r="Q1905" s="2" t="n">
        <v>43609</v>
      </c>
      <c r="S1905" s="0" t="n">
        <f aca="false">YEAR(Q1905)</f>
        <v>2019</v>
      </c>
      <c r="T1905" s="0" t="n">
        <f aca="false">MONTH(Q1905)</f>
        <v>5</v>
      </c>
    </row>
    <row r="1906" customFormat="false" ht="14.25" hidden="true" customHeight="false" outlineLevel="0" collapsed="false">
      <c r="A1906" s="0" t="n">
        <v>1911</v>
      </c>
      <c r="B1906" s="1" t="s">
        <v>1184</v>
      </c>
      <c r="C1906" s="1" t="s">
        <v>1479</v>
      </c>
      <c r="D1906" s="1" t="s">
        <v>1487</v>
      </c>
      <c r="E1906" s="0" t="s">
        <v>1488</v>
      </c>
      <c r="F1906" s="0" t="s">
        <v>49</v>
      </c>
      <c r="G1906" s="0" t="s">
        <v>10304</v>
      </c>
      <c r="I1906" s="6" t="n">
        <v>0.802083333333333</v>
      </c>
      <c r="J1906" s="6" t="n">
        <v>0.808333333333333</v>
      </c>
      <c r="L1906" s="0" t="n">
        <v>47</v>
      </c>
      <c r="M1906" s="0" t="s">
        <v>10305</v>
      </c>
      <c r="N1906" s="0" t="s">
        <v>10306</v>
      </c>
      <c r="P1906" s="0" t="s">
        <v>10307</v>
      </c>
      <c r="Q1906" s="2" t="n">
        <v>43609</v>
      </c>
      <c r="S1906" s="0" t="n">
        <f aca="false">YEAR(Q1906)</f>
        <v>2019</v>
      </c>
      <c r="T1906" s="0" t="n">
        <f aca="false">MONTH(Q1906)</f>
        <v>5</v>
      </c>
    </row>
    <row r="1907" customFormat="false" ht="14.25" hidden="true" customHeight="false" outlineLevel="0" collapsed="false">
      <c r="A1907" s="0" t="n">
        <v>1912</v>
      </c>
      <c r="B1907" s="1" t="s">
        <v>1184</v>
      </c>
      <c r="C1907" s="1" t="s">
        <v>1503</v>
      </c>
      <c r="D1907" s="1" t="s">
        <v>1535</v>
      </c>
      <c r="E1907" s="0" t="s">
        <v>44</v>
      </c>
      <c r="F1907" s="0" t="s">
        <v>49</v>
      </c>
      <c r="G1907" s="0" t="s">
        <v>8766</v>
      </c>
      <c r="I1907" s="6" t="n">
        <v>0.854166666666667</v>
      </c>
      <c r="J1907" s="6" t="n">
        <v>0.888194444444444</v>
      </c>
      <c r="M1907" s="0" t="s">
        <v>10308</v>
      </c>
      <c r="N1907" s="0" t="s">
        <v>4434</v>
      </c>
      <c r="P1907" s="0" t="s">
        <v>10309</v>
      </c>
      <c r="Q1907" s="2" t="n">
        <v>43609</v>
      </c>
      <c r="S1907" s="0" t="n">
        <f aca="false">YEAR(Q1907)</f>
        <v>2019</v>
      </c>
      <c r="T1907" s="0" t="n">
        <f aca="false">MONTH(Q1907)</f>
        <v>5</v>
      </c>
    </row>
    <row r="1908" customFormat="false" ht="14.25" hidden="true" customHeight="false" outlineLevel="0" collapsed="false">
      <c r="A1908" s="0" t="n">
        <v>1913</v>
      </c>
      <c r="B1908" s="1" t="s">
        <v>1186</v>
      </c>
      <c r="C1908" s="1" t="s">
        <v>1479</v>
      </c>
      <c r="D1908" s="1" t="s">
        <v>1535</v>
      </c>
      <c r="E1908" s="0" t="s">
        <v>39</v>
      </c>
      <c r="F1908" s="0" t="s">
        <v>50</v>
      </c>
      <c r="G1908" s="0" t="s">
        <v>10310</v>
      </c>
      <c r="I1908" s="6" t="n">
        <v>0.916666666666667</v>
      </c>
      <c r="J1908" s="6" t="n">
        <v>0.93125</v>
      </c>
      <c r="K1908" s="0" t="n">
        <v>0</v>
      </c>
      <c r="L1908" s="0" t="n">
        <v>0</v>
      </c>
      <c r="M1908" s="0" t="s">
        <v>10311</v>
      </c>
      <c r="N1908" s="0" t="s">
        <v>10312</v>
      </c>
      <c r="P1908" s="0" t="s">
        <v>10313</v>
      </c>
      <c r="Q1908" s="2" t="n">
        <v>43611</v>
      </c>
      <c r="S1908" s="0" t="n">
        <f aca="false">YEAR(Q1908)</f>
        <v>2019</v>
      </c>
      <c r="T1908" s="0" t="n">
        <f aca="false">MONTH(Q1908)</f>
        <v>5</v>
      </c>
    </row>
    <row r="1909" customFormat="false" ht="42.75" hidden="true" customHeight="false" outlineLevel="0" collapsed="false">
      <c r="A1909" s="0" t="n">
        <v>1914</v>
      </c>
      <c r="B1909" s="1" t="s">
        <v>1186</v>
      </c>
      <c r="C1909" s="1" t="s">
        <v>1479</v>
      </c>
      <c r="D1909" s="1" t="s">
        <v>1496</v>
      </c>
      <c r="E1909" s="0" t="s">
        <v>38</v>
      </c>
      <c r="F1909" s="0" t="s">
        <v>50</v>
      </c>
      <c r="G1909" s="0" t="s">
        <v>10314</v>
      </c>
      <c r="I1909" s="6" t="n">
        <v>0.921527777777778</v>
      </c>
      <c r="J1909" s="6" t="n">
        <v>0.940972222222222</v>
      </c>
      <c r="K1909" s="0" t="n">
        <v>0</v>
      </c>
      <c r="M1909" s="0" t="s">
        <v>10315</v>
      </c>
      <c r="N1909" s="0" t="s">
        <v>10316</v>
      </c>
      <c r="P1909" s="7" t="s">
        <v>10317</v>
      </c>
      <c r="Q1909" s="2" t="n">
        <v>43611</v>
      </c>
      <c r="S1909" s="0" t="n">
        <f aca="false">YEAR(Q1909)</f>
        <v>2019</v>
      </c>
      <c r="T1909" s="0" t="n">
        <f aca="false">MONTH(Q1909)</f>
        <v>5</v>
      </c>
    </row>
    <row r="1910" customFormat="false" ht="14.25" hidden="true" customHeight="false" outlineLevel="0" collapsed="false">
      <c r="A1910" s="0" t="n">
        <v>1915</v>
      </c>
      <c r="B1910" s="1" t="s">
        <v>1186</v>
      </c>
      <c r="C1910" s="1" t="s">
        <v>1503</v>
      </c>
      <c r="D1910" s="1" t="s">
        <v>1648</v>
      </c>
      <c r="E1910" s="0" t="s">
        <v>1648</v>
      </c>
      <c r="F1910" s="0" t="s">
        <v>50</v>
      </c>
      <c r="G1910" s="0" t="s">
        <v>10318</v>
      </c>
      <c r="I1910" s="6" t="n">
        <v>0.916666666666667</v>
      </c>
      <c r="J1910" s="6" t="n">
        <v>0.0416666666666667</v>
      </c>
      <c r="K1910" s="0" t="n">
        <v>0</v>
      </c>
      <c r="M1910" s="0" t="s">
        <v>10319</v>
      </c>
      <c r="N1910" s="0" t="s">
        <v>10320</v>
      </c>
      <c r="P1910" s="0" t="s">
        <v>10321</v>
      </c>
      <c r="Q1910" s="2" t="n">
        <v>43611</v>
      </c>
      <c r="S1910" s="0" t="n">
        <f aca="false">YEAR(Q1910)</f>
        <v>2019</v>
      </c>
      <c r="T1910" s="0" t="n">
        <f aca="false">MONTH(Q1910)</f>
        <v>5</v>
      </c>
    </row>
    <row r="1911" customFormat="false" ht="14.25" hidden="true" customHeight="false" outlineLevel="0" collapsed="false">
      <c r="A1911" s="0" t="n">
        <v>1916</v>
      </c>
      <c r="B1911" s="1" t="s">
        <v>1187</v>
      </c>
      <c r="C1911" s="1" t="s">
        <v>1479</v>
      </c>
      <c r="D1911" s="1" t="s">
        <v>1487</v>
      </c>
      <c r="E1911" s="0" t="s">
        <v>1488</v>
      </c>
      <c r="F1911" s="0" t="s">
        <v>48</v>
      </c>
      <c r="G1911" s="0" t="s">
        <v>10322</v>
      </c>
      <c r="I1911" s="6" t="n">
        <v>0.377083333333333</v>
      </c>
      <c r="J1911" s="6" t="n">
        <v>0.384027777777778</v>
      </c>
      <c r="L1911" s="0" t="n">
        <v>14</v>
      </c>
      <c r="M1911" s="0" t="s">
        <v>10323</v>
      </c>
      <c r="N1911" s="0" t="s">
        <v>10324</v>
      </c>
      <c r="P1911" s="0" t="s">
        <v>10325</v>
      </c>
      <c r="Q1911" s="2" t="n">
        <v>43612</v>
      </c>
      <c r="S1911" s="0" t="n">
        <f aca="false">YEAR(Q1911)</f>
        <v>2019</v>
      </c>
      <c r="T1911" s="0" t="n">
        <f aca="false">MONTH(Q1911)</f>
        <v>5</v>
      </c>
    </row>
    <row r="1912" customFormat="false" ht="14.25" hidden="true" customHeight="false" outlineLevel="0" collapsed="false">
      <c r="A1912" s="0" t="n">
        <v>1917</v>
      </c>
      <c r="B1912" s="1" t="s">
        <v>1187</v>
      </c>
      <c r="C1912" s="1" t="s">
        <v>1479</v>
      </c>
      <c r="D1912" s="1" t="s">
        <v>1487</v>
      </c>
      <c r="E1912" s="0" t="s">
        <v>1488</v>
      </c>
      <c r="F1912" s="0" t="s">
        <v>48</v>
      </c>
      <c r="G1912" s="0" t="s">
        <v>10326</v>
      </c>
      <c r="I1912" s="6" t="n">
        <v>0.38125</v>
      </c>
      <c r="J1912" s="6" t="n">
        <v>0.392361111111111</v>
      </c>
      <c r="L1912" s="0" t="n">
        <v>34</v>
      </c>
      <c r="M1912" s="0" t="s">
        <v>10327</v>
      </c>
      <c r="N1912" s="0" t="s">
        <v>10328</v>
      </c>
      <c r="P1912" s="0" t="s">
        <v>10329</v>
      </c>
      <c r="Q1912" s="2" t="n">
        <v>43612</v>
      </c>
      <c r="S1912" s="0" t="n">
        <f aca="false">YEAR(Q1912)</f>
        <v>2019</v>
      </c>
      <c r="T1912" s="0" t="n">
        <f aca="false">MONTH(Q1912)</f>
        <v>5</v>
      </c>
    </row>
    <row r="1913" customFormat="false" ht="14.25" hidden="true" customHeight="false" outlineLevel="0" collapsed="false">
      <c r="A1913" s="0" t="n">
        <v>1918</v>
      </c>
      <c r="B1913" s="1" t="s">
        <v>1187</v>
      </c>
      <c r="C1913" s="1" t="s">
        <v>1479</v>
      </c>
      <c r="D1913" s="1" t="s">
        <v>1487</v>
      </c>
      <c r="E1913" s="0" t="s">
        <v>1488</v>
      </c>
      <c r="F1913" s="0" t="s">
        <v>48</v>
      </c>
      <c r="G1913" s="0" t="s">
        <v>10330</v>
      </c>
      <c r="I1913" s="6" t="n">
        <v>0.46875</v>
      </c>
      <c r="J1913" s="6" t="n">
        <v>0.485416666666667</v>
      </c>
      <c r="K1913" s="0" t="n">
        <v>0</v>
      </c>
      <c r="L1913" s="0" t="n">
        <v>34</v>
      </c>
      <c r="M1913" s="0" t="s">
        <v>10331</v>
      </c>
      <c r="N1913" s="0" t="s">
        <v>10331</v>
      </c>
      <c r="P1913" s="0" t="s">
        <v>10332</v>
      </c>
      <c r="Q1913" s="2" t="n">
        <v>43612</v>
      </c>
      <c r="S1913" s="0" t="n">
        <f aca="false">YEAR(Q1913)</f>
        <v>2019</v>
      </c>
      <c r="T1913" s="0" t="n">
        <f aca="false">MONTH(Q1913)</f>
        <v>5</v>
      </c>
    </row>
    <row r="1914" customFormat="false" ht="14.25" hidden="true" customHeight="false" outlineLevel="0" collapsed="false">
      <c r="A1914" s="0" t="n">
        <v>1919</v>
      </c>
      <c r="B1914" s="1" t="s">
        <v>1187</v>
      </c>
      <c r="C1914" s="1" t="s">
        <v>1479</v>
      </c>
      <c r="D1914" s="1" t="s">
        <v>1487</v>
      </c>
      <c r="E1914" s="0" t="s">
        <v>1488</v>
      </c>
      <c r="F1914" s="0" t="s">
        <v>48</v>
      </c>
      <c r="G1914" s="0" t="s">
        <v>10333</v>
      </c>
      <c r="I1914" s="6" t="n">
        <v>0.543055555555555</v>
      </c>
      <c r="J1914" s="6" t="n">
        <v>0.550694444444444</v>
      </c>
      <c r="L1914" s="0" t="n">
        <v>22</v>
      </c>
      <c r="M1914" s="0" t="s">
        <v>10334</v>
      </c>
      <c r="N1914" s="0" t="s">
        <v>10335</v>
      </c>
      <c r="P1914" s="0" t="s">
        <v>10336</v>
      </c>
      <c r="Q1914" s="2" t="n">
        <v>43612</v>
      </c>
      <c r="S1914" s="0" t="n">
        <f aca="false">YEAR(Q1914)</f>
        <v>2019</v>
      </c>
      <c r="T1914" s="0" t="n">
        <f aca="false">MONTH(Q1914)</f>
        <v>5</v>
      </c>
    </row>
    <row r="1915" customFormat="false" ht="14.25" hidden="true" customHeight="false" outlineLevel="0" collapsed="false">
      <c r="A1915" s="0" t="n">
        <v>1920</v>
      </c>
      <c r="B1915" s="1" t="s">
        <v>1187</v>
      </c>
      <c r="C1915" s="1" t="s">
        <v>1503</v>
      </c>
      <c r="D1915" s="1" t="s">
        <v>1535</v>
      </c>
      <c r="E1915" s="0" t="s">
        <v>44</v>
      </c>
      <c r="F1915" s="0" t="s">
        <v>48</v>
      </c>
      <c r="G1915" s="0" t="s">
        <v>8766</v>
      </c>
      <c r="J1915" s="6" t="n">
        <v>0.333333333333333</v>
      </c>
      <c r="K1915" s="0" t="n">
        <v>31</v>
      </c>
      <c r="M1915" s="0" t="s">
        <v>10308</v>
      </c>
      <c r="N1915" s="0" t="s">
        <v>10337</v>
      </c>
      <c r="P1915" s="0" t="s">
        <v>10338</v>
      </c>
      <c r="Q1915" s="2" t="n">
        <v>43612</v>
      </c>
      <c r="S1915" s="0" t="n">
        <f aca="false">YEAR(Q1915)</f>
        <v>2019</v>
      </c>
      <c r="T1915" s="0" t="n">
        <f aca="false">MONTH(Q1915)</f>
        <v>5</v>
      </c>
    </row>
    <row r="1916" customFormat="false" ht="14.25" hidden="true" customHeight="false" outlineLevel="0" collapsed="false">
      <c r="A1916" s="0" t="n">
        <v>1921</v>
      </c>
      <c r="B1916" s="1" t="s">
        <v>1187</v>
      </c>
      <c r="C1916" s="1" t="s">
        <v>1479</v>
      </c>
      <c r="D1916" s="1" t="s">
        <v>1535</v>
      </c>
      <c r="E1916" s="0" t="s">
        <v>39</v>
      </c>
      <c r="F1916" s="0" t="s">
        <v>49</v>
      </c>
      <c r="G1916" s="0" t="s">
        <v>10339</v>
      </c>
      <c r="I1916" s="6" t="n">
        <v>0.597222222222222</v>
      </c>
      <c r="J1916" s="6" t="n">
        <v>0.605555555555555</v>
      </c>
      <c r="L1916" s="0" t="n">
        <v>43</v>
      </c>
      <c r="M1916" s="0" t="s">
        <v>10340</v>
      </c>
      <c r="N1916" s="0" t="s">
        <v>10341</v>
      </c>
      <c r="P1916" s="0" t="s">
        <v>10342</v>
      </c>
      <c r="Q1916" s="2" t="n">
        <v>43612</v>
      </c>
      <c r="S1916" s="0" t="n">
        <f aca="false">YEAR(Q1916)</f>
        <v>2019</v>
      </c>
      <c r="T1916" s="0" t="n">
        <f aca="false">MONTH(Q1916)</f>
        <v>5</v>
      </c>
    </row>
    <row r="1917" customFormat="false" ht="28.5" hidden="true" customHeight="false" outlineLevel="0" collapsed="false">
      <c r="A1917" s="0" t="n">
        <v>1922</v>
      </c>
      <c r="B1917" s="1" t="s">
        <v>1187</v>
      </c>
      <c r="C1917" s="1" t="s">
        <v>1479</v>
      </c>
      <c r="D1917" s="1" t="s">
        <v>1487</v>
      </c>
      <c r="E1917" s="0" t="s">
        <v>1488</v>
      </c>
      <c r="F1917" s="0" t="s">
        <v>49</v>
      </c>
      <c r="G1917" s="0" t="s">
        <v>10343</v>
      </c>
      <c r="I1917" s="6" t="n">
        <v>0.625</v>
      </c>
      <c r="J1917" s="6" t="n">
        <v>0.6375</v>
      </c>
      <c r="L1917" s="0" t="n">
        <v>30</v>
      </c>
      <c r="M1917" s="0" t="s">
        <v>10344</v>
      </c>
      <c r="N1917" s="0" t="s">
        <v>10345</v>
      </c>
      <c r="P1917" s="7" t="s">
        <v>10346</v>
      </c>
      <c r="Q1917" s="2" t="n">
        <v>43612</v>
      </c>
      <c r="S1917" s="0" t="n">
        <f aca="false">YEAR(Q1917)</f>
        <v>2019</v>
      </c>
      <c r="T1917" s="0" t="n">
        <f aca="false">MONTH(Q1917)</f>
        <v>5</v>
      </c>
    </row>
    <row r="1918" customFormat="false" ht="14.25" hidden="true" customHeight="false" outlineLevel="0" collapsed="false">
      <c r="A1918" s="0" t="n">
        <v>1923</v>
      </c>
      <c r="B1918" s="1" t="s">
        <v>1189</v>
      </c>
      <c r="C1918" s="1" t="s">
        <v>1479</v>
      </c>
      <c r="D1918" s="1" t="s">
        <v>1487</v>
      </c>
      <c r="E1918" s="4" t="s">
        <v>1488</v>
      </c>
      <c r="F1918" s="0" t="s">
        <v>48</v>
      </c>
      <c r="G1918" s="0" t="s">
        <v>9054</v>
      </c>
      <c r="J1918" s="6" t="n">
        <v>0.536111111111111</v>
      </c>
      <c r="K1918" s="0" t="n">
        <v>10</v>
      </c>
      <c r="L1918" s="0" t="n">
        <v>11</v>
      </c>
      <c r="M1918" s="0" t="s">
        <v>10347</v>
      </c>
      <c r="N1918" s="0" t="s">
        <v>10348</v>
      </c>
      <c r="P1918" s="0" t="s">
        <v>10349</v>
      </c>
      <c r="Q1918" s="2" t="n">
        <v>43613</v>
      </c>
      <c r="S1918" s="0" t="n">
        <f aca="false">YEAR(Q1918)</f>
        <v>2019</v>
      </c>
      <c r="T1918" s="0" t="n">
        <f aca="false">MONTH(Q1918)</f>
        <v>5</v>
      </c>
    </row>
    <row r="1919" customFormat="false" ht="14.25" hidden="true" customHeight="false" outlineLevel="0" collapsed="false">
      <c r="A1919" s="0" t="n">
        <v>1924</v>
      </c>
      <c r="B1919" s="1" t="s">
        <v>1189</v>
      </c>
      <c r="C1919" s="1" t="s">
        <v>1503</v>
      </c>
      <c r="D1919" s="1" t="s">
        <v>1504</v>
      </c>
      <c r="E1919" s="0" t="s">
        <v>9506</v>
      </c>
      <c r="F1919" s="0" t="s">
        <v>49</v>
      </c>
      <c r="G1919" s="0" t="s">
        <v>10350</v>
      </c>
      <c r="I1919" s="6" t="n">
        <v>0.236111111111111</v>
      </c>
      <c r="J1919" s="6" t="n">
        <v>0.645833333333333</v>
      </c>
      <c r="M1919" s="0" t="s">
        <v>10351</v>
      </c>
      <c r="N1919" s="0" t="s">
        <v>10352</v>
      </c>
      <c r="P1919" s="0" t="s">
        <v>8974</v>
      </c>
      <c r="Q1919" s="2" t="n">
        <v>43613</v>
      </c>
      <c r="S1919" s="0" t="n">
        <f aca="false">YEAR(Q1919)</f>
        <v>2019</v>
      </c>
      <c r="T1919" s="0" t="n">
        <f aca="false">MONTH(Q1919)</f>
        <v>5</v>
      </c>
    </row>
    <row r="1920" customFormat="false" ht="14.25" hidden="true" customHeight="false" outlineLevel="0" collapsed="false">
      <c r="A1920" s="0" t="n">
        <v>1925</v>
      </c>
      <c r="B1920" s="1" t="s">
        <v>1189</v>
      </c>
      <c r="C1920" s="1" t="s">
        <v>1503</v>
      </c>
      <c r="D1920" s="1" t="s">
        <v>1648</v>
      </c>
      <c r="E1920" s="0" t="s">
        <v>1648</v>
      </c>
      <c r="F1920" s="0" t="s">
        <v>49</v>
      </c>
      <c r="G1920" s="0" t="s">
        <v>10353</v>
      </c>
      <c r="I1920" s="6" t="n">
        <v>0.666666666666667</v>
      </c>
      <c r="J1920" s="6" t="n">
        <v>0.790277777777778</v>
      </c>
      <c r="L1920" s="0" t="n">
        <v>310</v>
      </c>
      <c r="M1920" s="0" t="s">
        <v>10354</v>
      </c>
      <c r="N1920" s="0" t="s">
        <v>10355</v>
      </c>
      <c r="P1920" s="0" t="s">
        <v>10356</v>
      </c>
      <c r="Q1920" s="2" t="n">
        <v>43613</v>
      </c>
      <c r="S1920" s="0" t="n">
        <f aca="false">YEAR(Q1920)</f>
        <v>2019</v>
      </c>
      <c r="T1920" s="0" t="n">
        <f aca="false">MONTH(Q1920)</f>
        <v>5</v>
      </c>
    </row>
    <row r="1921" customFormat="false" ht="14.25" hidden="true" customHeight="false" outlineLevel="0" collapsed="false">
      <c r="A1921" s="0" t="n">
        <v>1926</v>
      </c>
      <c r="B1921" s="1" t="s">
        <v>1190</v>
      </c>
      <c r="C1921" s="1" t="s">
        <v>1479</v>
      </c>
      <c r="D1921" s="1" t="s">
        <v>1496</v>
      </c>
      <c r="E1921" s="0" t="s">
        <v>38</v>
      </c>
      <c r="F1921" s="0" t="s">
        <v>48</v>
      </c>
      <c r="G1921" s="0" t="s">
        <v>10357</v>
      </c>
      <c r="J1921" s="6" t="n">
        <v>0.565277777777778</v>
      </c>
      <c r="M1921" s="0" t="s">
        <v>10358</v>
      </c>
      <c r="N1921" s="0" t="s">
        <v>10359</v>
      </c>
      <c r="P1921" s="0" t="s">
        <v>10360</v>
      </c>
      <c r="Q1921" s="2" t="n">
        <v>43614</v>
      </c>
      <c r="S1921" s="0" t="n">
        <f aca="false">YEAR(Q1921)</f>
        <v>2019</v>
      </c>
      <c r="T1921" s="0" t="n">
        <f aca="false">MONTH(Q1921)</f>
        <v>5</v>
      </c>
    </row>
    <row r="1922" customFormat="false" ht="14.25" hidden="true" customHeight="false" outlineLevel="0" collapsed="false">
      <c r="A1922" s="0" t="n">
        <v>1927</v>
      </c>
      <c r="B1922" s="1" t="s">
        <v>1191</v>
      </c>
      <c r="C1922" s="1" t="s">
        <v>1479</v>
      </c>
      <c r="D1922" s="1" t="s">
        <v>1535</v>
      </c>
      <c r="E1922" s="0" t="s">
        <v>39</v>
      </c>
      <c r="F1922" s="0" t="s">
        <v>48</v>
      </c>
      <c r="G1922" s="0" t="s">
        <v>10361</v>
      </c>
      <c r="I1922" s="6" t="n">
        <v>0.25</v>
      </c>
      <c r="J1922" s="6" t="n">
        <v>0.272916666666667</v>
      </c>
      <c r="K1922" s="0" t="n">
        <v>30</v>
      </c>
      <c r="L1922" s="0" t="n">
        <v>60</v>
      </c>
      <c r="M1922" s="0" t="s">
        <v>10362</v>
      </c>
      <c r="N1922" s="0" t="s">
        <v>10363</v>
      </c>
      <c r="P1922" s="0" t="s">
        <v>10364</v>
      </c>
      <c r="Q1922" s="2" t="n">
        <v>43615</v>
      </c>
      <c r="S1922" s="0" t="n">
        <f aca="false">YEAR(Q1922)</f>
        <v>2019</v>
      </c>
      <c r="T1922" s="0" t="n">
        <f aca="false">MONTH(Q1922)</f>
        <v>5</v>
      </c>
    </row>
    <row r="1923" customFormat="false" ht="14.25" hidden="true" customHeight="false" outlineLevel="0" collapsed="false">
      <c r="A1923" s="0" t="n">
        <v>1928</v>
      </c>
      <c r="B1923" s="1" t="s">
        <v>1191</v>
      </c>
      <c r="C1923" s="1" t="s">
        <v>1479</v>
      </c>
      <c r="D1923" s="1" t="s">
        <v>1487</v>
      </c>
      <c r="E1923" s="4" t="s">
        <v>1488</v>
      </c>
      <c r="F1923" s="0" t="s">
        <v>49</v>
      </c>
      <c r="G1923" s="0" t="s">
        <v>10365</v>
      </c>
      <c r="I1923" s="6" t="n">
        <v>0.659722222222222</v>
      </c>
      <c r="J1923" s="6" t="n">
        <v>0.670138888888889</v>
      </c>
      <c r="K1923" s="0" t="n">
        <v>11</v>
      </c>
      <c r="L1923" s="0" t="n">
        <v>21</v>
      </c>
      <c r="M1923" s="0" t="s">
        <v>10366</v>
      </c>
      <c r="N1923" s="0" t="s">
        <v>10367</v>
      </c>
      <c r="P1923" s="0" t="s">
        <v>10368</v>
      </c>
      <c r="Q1923" s="2" t="n">
        <v>43615</v>
      </c>
      <c r="S1923" s="0" t="n">
        <f aca="false">YEAR(Q1923)</f>
        <v>2019</v>
      </c>
      <c r="T1923" s="0" t="n">
        <f aca="false">MONTH(Q1923)</f>
        <v>5</v>
      </c>
    </row>
    <row r="1924" customFormat="false" ht="14.25" hidden="true" customHeight="false" outlineLevel="0" collapsed="false">
      <c r="A1924" s="0" t="n">
        <v>1929</v>
      </c>
      <c r="B1924" s="1" t="s">
        <v>1191</v>
      </c>
      <c r="C1924" s="1" t="s">
        <v>1479</v>
      </c>
      <c r="D1924" s="1" t="s">
        <v>1535</v>
      </c>
      <c r="E1924" s="0" t="s">
        <v>39</v>
      </c>
      <c r="F1924" s="0" t="s">
        <v>49</v>
      </c>
      <c r="G1924" s="0" t="s">
        <v>8330</v>
      </c>
      <c r="I1924" s="6" t="n">
        <v>0.69375</v>
      </c>
      <c r="J1924" s="6" t="n">
        <v>0.696527777777778</v>
      </c>
      <c r="K1924" s="0" t="n">
        <v>10</v>
      </c>
      <c r="L1924" s="0" t="n">
        <v>12</v>
      </c>
      <c r="M1924" s="0" t="s">
        <v>10369</v>
      </c>
      <c r="N1924" s="0" t="s">
        <v>10370</v>
      </c>
      <c r="P1924" s="0" t="s">
        <v>10371</v>
      </c>
      <c r="Q1924" s="2" t="n">
        <v>43615</v>
      </c>
      <c r="S1924" s="0" t="n">
        <f aca="false">YEAR(Q1924)</f>
        <v>2019</v>
      </c>
      <c r="T1924" s="0" t="n">
        <f aca="false">MONTH(Q1924)</f>
        <v>5</v>
      </c>
    </row>
    <row r="1925" customFormat="false" ht="14.25" hidden="true" customHeight="false" outlineLevel="0" collapsed="false">
      <c r="A1925" s="0" t="n">
        <v>1930</v>
      </c>
      <c r="B1925" s="1" t="s">
        <v>1191</v>
      </c>
      <c r="C1925" s="1" t="s">
        <v>1479</v>
      </c>
      <c r="D1925" s="1" t="s">
        <v>1863</v>
      </c>
      <c r="E1925" s="0" t="s">
        <v>10372</v>
      </c>
      <c r="F1925" s="0" t="s">
        <v>49</v>
      </c>
      <c r="G1925" s="0" t="s">
        <v>10373</v>
      </c>
      <c r="I1925" s="6" t="n">
        <v>0.729166666666667</v>
      </c>
      <c r="J1925" s="6" t="n">
        <v>0.785416666666667</v>
      </c>
      <c r="L1925" s="0" t="n">
        <v>300</v>
      </c>
      <c r="M1925" s="0" t="s">
        <v>10374</v>
      </c>
      <c r="N1925" s="0" t="s">
        <v>10375</v>
      </c>
      <c r="P1925" s="0" t="s">
        <v>10376</v>
      </c>
      <c r="Q1925" s="2" t="n">
        <v>43615</v>
      </c>
      <c r="S1925" s="0" t="n">
        <f aca="false">YEAR(Q1925)</f>
        <v>2019</v>
      </c>
      <c r="T1925" s="0" t="n">
        <f aca="false">MONTH(Q1925)</f>
        <v>5</v>
      </c>
    </row>
    <row r="1926" customFormat="false" ht="14.25" hidden="true" customHeight="false" outlineLevel="0" collapsed="false">
      <c r="A1926" s="0" t="n">
        <v>1931</v>
      </c>
      <c r="B1926" s="1" t="s">
        <v>1191</v>
      </c>
      <c r="C1926" s="1" t="s">
        <v>1503</v>
      </c>
      <c r="D1926" s="1" t="s">
        <v>1535</v>
      </c>
      <c r="E1926" s="0" t="s">
        <v>1503</v>
      </c>
      <c r="F1926" s="0" t="s">
        <v>50</v>
      </c>
      <c r="G1926" s="0" t="s">
        <v>9055</v>
      </c>
      <c r="J1926" s="6" t="n">
        <v>0.965277777777778</v>
      </c>
      <c r="M1926" s="0" t="s">
        <v>10377</v>
      </c>
      <c r="N1926" s="0" t="s">
        <v>10378</v>
      </c>
      <c r="P1926" s="0" t="s">
        <v>10379</v>
      </c>
      <c r="Q1926" s="2" t="n">
        <v>43615</v>
      </c>
      <c r="S1926" s="0" t="n">
        <f aca="false">YEAR(Q1926)</f>
        <v>2019</v>
      </c>
      <c r="T1926" s="0" t="n">
        <f aca="false">MONTH(Q1926)</f>
        <v>5</v>
      </c>
    </row>
    <row r="1927" customFormat="false" ht="14.25" hidden="true" customHeight="false" outlineLevel="0" collapsed="false">
      <c r="A1927" s="0" t="n">
        <v>1932</v>
      </c>
      <c r="B1927" s="1" t="s">
        <v>1192</v>
      </c>
      <c r="C1927" s="1" t="s">
        <v>1479</v>
      </c>
      <c r="D1927" s="1" t="s">
        <v>1496</v>
      </c>
      <c r="E1927" s="0" t="s">
        <v>38</v>
      </c>
      <c r="F1927" s="0" t="s">
        <v>48</v>
      </c>
      <c r="G1927" s="0" t="s">
        <v>8986</v>
      </c>
      <c r="I1927" s="6" t="n">
        <v>0.25</v>
      </c>
      <c r="J1927" s="6" t="n">
        <v>0.291666666666667</v>
      </c>
      <c r="K1927" s="0" t="n">
        <v>0</v>
      </c>
      <c r="L1927" s="0" t="n">
        <v>0</v>
      </c>
      <c r="M1927" s="0" t="s">
        <v>10380</v>
      </c>
      <c r="N1927" s="0" t="s">
        <v>10381</v>
      </c>
      <c r="P1927" s="0" t="s">
        <v>10382</v>
      </c>
      <c r="Q1927" s="2" t="n">
        <v>43616</v>
      </c>
      <c r="S1927" s="0" t="n">
        <f aca="false">YEAR(Q1927)</f>
        <v>2019</v>
      </c>
      <c r="T1927" s="0" t="n">
        <f aca="false">MONTH(Q1927)</f>
        <v>5</v>
      </c>
    </row>
    <row r="1928" customFormat="false" ht="14.25" hidden="true" customHeight="false" outlineLevel="0" collapsed="false">
      <c r="A1928" s="0" t="n">
        <v>1933</v>
      </c>
      <c r="B1928" s="1" t="s">
        <v>1194</v>
      </c>
      <c r="C1928" s="1" t="s">
        <v>1479</v>
      </c>
      <c r="D1928" s="1" t="s">
        <v>1496</v>
      </c>
      <c r="E1928" s="0" t="s">
        <v>38</v>
      </c>
      <c r="F1928" s="0" t="s">
        <v>48</v>
      </c>
      <c r="G1928" s="0" t="s">
        <v>10383</v>
      </c>
      <c r="J1928" s="6" t="n">
        <v>0.226388888888889</v>
      </c>
      <c r="K1928" s="0" t="n">
        <v>17</v>
      </c>
      <c r="L1928" s="0" t="n">
        <v>20</v>
      </c>
      <c r="M1928" s="0" t="s">
        <v>10384</v>
      </c>
      <c r="N1928" s="0" t="s">
        <v>10385</v>
      </c>
      <c r="P1928" s="0" t="s">
        <v>10386</v>
      </c>
      <c r="Q1928" s="2" t="n">
        <v>43619</v>
      </c>
      <c r="S1928" s="0" t="n">
        <f aca="false">YEAR(Q1928)</f>
        <v>2019</v>
      </c>
      <c r="T1928" s="0" t="n">
        <f aca="false">MONTH(Q1928)</f>
        <v>6</v>
      </c>
    </row>
    <row r="1929" customFormat="false" ht="14.25" hidden="true" customHeight="false" outlineLevel="0" collapsed="false">
      <c r="A1929" s="0" t="n">
        <v>1934</v>
      </c>
      <c r="B1929" s="1" t="s">
        <v>1194</v>
      </c>
      <c r="C1929" s="1" t="s">
        <v>1479</v>
      </c>
      <c r="D1929" s="1" t="s">
        <v>1487</v>
      </c>
      <c r="E1929" s="0" t="s">
        <v>1488</v>
      </c>
      <c r="F1929" s="0" t="s">
        <v>48</v>
      </c>
      <c r="G1929" s="0" t="s">
        <v>10387</v>
      </c>
      <c r="J1929" s="6" t="n">
        <v>0.226388888888889</v>
      </c>
      <c r="M1929" s="0" t="s">
        <v>10388</v>
      </c>
      <c r="N1929" s="0" t="s">
        <v>10389</v>
      </c>
      <c r="P1929" s="0" t="s">
        <v>10390</v>
      </c>
      <c r="Q1929" s="2" t="n">
        <v>43619</v>
      </c>
      <c r="S1929" s="0" t="n">
        <f aca="false">YEAR(Q1929)</f>
        <v>2019</v>
      </c>
      <c r="T1929" s="0" t="n">
        <f aca="false">MONTH(Q1929)</f>
        <v>6</v>
      </c>
    </row>
    <row r="1930" customFormat="false" ht="14.25" hidden="true" customHeight="false" outlineLevel="0" collapsed="false">
      <c r="A1930" s="0" t="n">
        <v>1935</v>
      </c>
      <c r="B1930" s="1" t="s">
        <v>1194</v>
      </c>
      <c r="C1930" s="1" t="s">
        <v>1503</v>
      </c>
      <c r="D1930" s="1" t="s">
        <v>1535</v>
      </c>
      <c r="E1930" s="0" t="s">
        <v>44</v>
      </c>
      <c r="F1930" s="0" t="s">
        <v>48</v>
      </c>
      <c r="G1930" s="0" t="s">
        <v>7935</v>
      </c>
      <c r="I1930" s="6" t="n">
        <v>0.3125</v>
      </c>
      <c r="J1930" s="6" t="n">
        <v>0.336805555555556</v>
      </c>
      <c r="L1930" s="0" t="n">
        <v>101</v>
      </c>
      <c r="M1930" s="0" t="s">
        <v>10391</v>
      </c>
      <c r="N1930" s="0" t="s">
        <v>10392</v>
      </c>
      <c r="P1930" s="0" t="s">
        <v>10393</v>
      </c>
      <c r="Q1930" s="2" t="n">
        <v>43619</v>
      </c>
      <c r="S1930" s="0" t="n">
        <f aca="false">YEAR(Q1930)</f>
        <v>2019</v>
      </c>
      <c r="T1930" s="0" t="n">
        <f aca="false">MONTH(Q1930)</f>
        <v>6</v>
      </c>
    </row>
    <row r="1931" customFormat="false" ht="14.25" hidden="true" customHeight="false" outlineLevel="0" collapsed="false">
      <c r="A1931" s="0" t="n">
        <v>1936</v>
      </c>
      <c r="B1931" s="1" t="s">
        <v>1194</v>
      </c>
      <c r="C1931" s="1" t="s">
        <v>1479</v>
      </c>
      <c r="D1931" s="1" t="s">
        <v>1496</v>
      </c>
      <c r="E1931" s="0" t="s">
        <v>38</v>
      </c>
      <c r="F1931" s="0" t="s">
        <v>49</v>
      </c>
      <c r="G1931" s="0" t="s">
        <v>10394</v>
      </c>
      <c r="I1931" s="6" t="n">
        <v>0.708333333333333</v>
      </c>
      <c r="J1931" s="6" t="n">
        <v>0.732638888888889</v>
      </c>
      <c r="K1931" s="0" t="n">
        <v>0</v>
      </c>
      <c r="L1931" s="0" t="n">
        <v>205</v>
      </c>
      <c r="M1931" s="0" t="s">
        <v>10395</v>
      </c>
      <c r="N1931" s="0" t="s">
        <v>10396</v>
      </c>
      <c r="P1931" s="0" t="s">
        <v>10397</v>
      </c>
      <c r="Q1931" s="2" t="n">
        <v>43619</v>
      </c>
      <c r="S1931" s="0" t="n">
        <f aca="false">YEAR(Q1931)</f>
        <v>2019</v>
      </c>
      <c r="T1931" s="0" t="n">
        <f aca="false">MONTH(Q1931)</f>
        <v>6</v>
      </c>
    </row>
    <row r="1932" customFormat="false" ht="14.25" hidden="true" customHeight="false" outlineLevel="0" collapsed="false">
      <c r="A1932" s="0" t="n">
        <v>1937</v>
      </c>
      <c r="B1932" s="1" t="s">
        <v>1194</v>
      </c>
      <c r="C1932" s="1" t="s">
        <v>1479</v>
      </c>
      <c r="D1932" s="1" t="s">
        <v>1487</v>
      </c>
      <c r="E1932" s="0" t="s">
        <v>1479</v>
      </c>
      <c r="F1932" s="0" t="s">
        <v>49</v>
      </c>
      <c r="G1932" s="0" t="s">
        <v>10398</v>
      </c>
      <c r="I1932" s="6" t="n">
        <v>0.708333333333333</v>
      </c>
      <c r="J1932" s="6" t="n">
        <v>0.732638888888889</v>
      </c>
      <c r="K1932" s="0" t="n">
        <v>0</v>
      </c>
      <c r="L1932" s="0" t="n">
        <v>205</v>
      </c>
      <c r="M1932" s="0" t="s">
        <v>10399</v>
      </c>
      <c r="N1932" s="0" t="s">
        <v>10400</v>
      </c>
      <c r="P1932" s="0" t="s">
        <v>10401</v>
      </c>
      <c r="Q1932" s="2" t="n">
        <v>43619</v>
      </c>
      <c r="S1932" s="0" t="n">
        <f aca="false">YEAR(Q1932)</f>
        <v>2019</v>
      </c>
      <c r="T1932" s="0" t="n">
        <f aca="false">MONTH(Q1932)</f>
        <v>6</v>
      </c>
    </row>
    <row r="1933" customFormat="false" ht="14.25" hidden="true" customHeight="false" outlineLevel="0" collapsed="false">
      <c r="A1933" s="0" t="n">
        <v>1938</v>
      </c>
      <c r="B1933" s="1" t="s">
        <v>1194</v>
      </c>
      <c r="C1933" s="1" t="s">
        <v>1479</v>
      </c>
      <c r="D1933" s="1" t="s">
        <v>1496</v>
      </c>
      <c r="E1933" s="0" t="s">
        <v>1479</v>
      </c>
      <c r="F1933" s="0" t="s">
        <v>50</v>
      </c>
      <c r="G1933" s="0" t="s">
        <v>10402</v>
      </c>
      <c r="I1933" s="6" t="n">
        <v>0.884027777777778</v>
      </c>
      <c r="J1933" s="6" t="n">
        <v>0.8875</v>
      </c>
      <c r="K1933" s="0" t="n">
        <v>27</v>
      </c>
      <c r="L1933" s="0" t="n">
        <v>189</v>
      </c>
      <c r="M1933" s="0" t="s">
        <v>10403</v>
      </c>
      <c r="N1933" s="0" t="s">
        <v>10404</v>
      </c>
      <c r="P1933" s="0" t="s">
        <v>10405</v>
      </c>
      <c r="Q1933" s="2" t="n">
        <v>43619</v>
      </c>
      <c r="S1933" s="0" t="n">
        <f aca="false">YEAR(Q1933)</f>
        <v>2019</v>
      </c>
      <c r="T1933" s="0" t="n">
        <f aca="false">MONTH(Q1933)</f>
        <v>6</v>
      </c>
    </row>
    <row r="1934" customFormat="false" ht="14.25" hidden="true" customHeight="false" outlineLevel="0" collapsed="false">
      <c r="A1934" s="0" t="n">
        <v>1939</v>
      </c>
      <c r="B1934" s="1" t="s">
        <v>1196</v>
      </c>
      <c r="C1934" s="1" t="s">
        <v>1479</v>
      </c>
      <c r="D1934" s="1" t="s">
        <v>1487</v>
      </c>
      <c r="E1934" s="0" t="s">
        <v>1488</v>
      </c>
      <c r="F1934" s="0" t="s">
        <v>48</v>
      </c>
      <c r="G1934" s="0" t="s">
        <v>8213</v>
      </c>
      <c r="I1934" s="6" t="n">
        <v>0.180555555555556</v>
      </c>
      <c r="J1934" s="6" t="n">
        <v>0.21875</v>
      </c>
      <c r="L1934" s="0" t="n">
        <v>100</v>
      </c>
      <c r="M1934" s="0" t="s">
        <v>10406</v>
      </c>
      <c r="N1934" s="0" t="s">
        <v>10407</v>
      </c>
      <c r="P1934" s="0" t="s">
        <v>10408</v>
      </c>
      <c r="Q1934" s="2" t="n">
        <v>43620</v>
      </c>
      <c r="S1934" s="0" t="n">
        <f aca="false">YEAR(Q1934)</f>
        <v>2019</v>
      </c>
      <c r="T1934" s="0" t="n">
        <f aca="false">MONTH(Q1934)</f>
        <v>6</v>
      </c>
    </row>
    <row r="1935" customFormat="false" ht="14.25" hidden="true" customHeight="false" outlineLevel="0" collapsed="false">
      <c r="A1935" s="0" t="n">
        <v>1940</v>
      </c>
      <c r="B1935" s="1" t="s">
        <v>1196</v>
      </c>
      <c r="C1935" s="1" t="s">
        <v>1479</v>
      </c>
      <c r="D1935" s="1" t="s">
        <v>1487</v>
      </c>
      <c r="E1935" s="0" t="s">
        <v>1488</v>
      </c>
      <c r="F1935" s="0" t="s">
        <v>48</v>
      </c>
      <c r="G1935" s="0" t="s">
        <v>8213</v>
      </c>
      <c r="I1935" s="6" t="n">
        <v>0.520833333333333</v>
      </c>
      <c r="J1935" s="6" t="n">
        <v>0.525694444444444</v>
      </c>
      <c r="K1935" s="0" t="n">
        <v>0</v>
      </c>
      <c r="L1935" s="0" t="n">
        <v>0</v>
      </c>
      <c r="M1935" s="0" t="s">
        <v>10409</v>
      </c>
      <c r="N1935" s="0" t="s">
        <v>10410</v>
      </c>
      <c r="P1935" s="0" t="s">
        <v>10411</v>
      </c>
      <c r="Q1935" s="2" t="n">
        <v>43620</v>
      </c>
      <c r="S1935" s="0" t="n">
        <f aca="false">YEAR(Q1935)</f>
        <v>2019</v>
      </c>
      <c r="T1935" s="0" t="n">
        <f aca="false">MONTH(Q1935)</f>
        <v>6</v>
      </c>
    </row>
    <row r="1936" customFormat="false" ht="14.25" hidden="true" customHeight="false" outlineLevel="0" collapsed="false">
      <c r="A1936" s="0" t="n">
        <v>1941</v>
      </c>
      <c r="B1936" s="1" t="s">
        <v>1196</v>
      </c>
      <c r="C1936" s="1" t="s">
        <v>1479</v>
      </c>
      <c r="D1936" s="1" t="s">
        <v>1496</v>
      </c>
      <c r="E1936" s="0" t="s">
        <v>38</v>
      </c>
      <c r="F1936" s="0" t="s">
        <v>50</v>
      </c>
      <c r="G1936" s="0" t="s">
        <v>10412</v>
      </c>
      <c r="I1936" s="6" t="n">
        <v>0.0416666666666667</v>
      </c>
      <c r="J1936" s="6" t="n">
        <v>0.0520833333333333</v>
      </c>
      <c r="K1936" s="0" t="n">
        <v>45</v>
      </c>
      <c r="L1936" s="0" t="n">
        <v>85</v>
      </c>
      <c r="M1936" s="0" t="s">
        <v>10413</v>
      </c>
      <c r="N1936" s="0" t="s">
        <v>10414</v>
      </c>
      <c r="P1936" s="0" t="s">
        <v>10415</v>
      </c>
      <c r="Q1936" s="2" t="n">
        <v>43620</v>
      </c>
      <c r="S1936" s="0" t="n">
        <f aca="false">YEAR(Q1936)</f>
        <v>2019</v>
      </c>
      <c r="T1936" s="0" t="n">
        <f aca="false">MONTH(Q1936)</f>
        <v>6</v>
      </c>
    </row>
    <row r="1937" customFormat="false" ht="14.25" hidden="true" customHeight="false" outlineLevel="0" collapsed="false">
      <c r="A1937" s="0" t="n">
        <v>1942</v>
      </c>
      <c r="B1937" s="1" t="s">
        <v>1197</v>
      </c>
      <c r="C1937" s="1" t="s">
        <v>1503</v>
      </c>
      <c r="D1937" s="1" t="s">
        <v>1535</v>
      </c>
      <c r="E1937" s="0" t="s">
        <v>1503</v>
      </c>
      <c r="F1937" s="0" t="s">
        <v>49</v>
      </c>
      <c r="G1937" s="0" t="s">
        <v>10416</v>
      </c>
      <c r="I1937" s="6" t="n">
        <v>0.715972222222222</v>
      </c>
      <c r="J1937" s="6" t="n">
        <v>0.741666666666667</v>
      </c>
      <c r="L1937" s="0" t="n">
        <v>72</v>
      </c>
      <c r="M1937" s="0" t="s">
        <v>6061</v>
      </c>
      <c r="N1937" s="0" t="s">
        <v>10417</v>
      </c>
      <c r="P1937" s="0" t="s">
        <v>10418</v>
      </c>
      <c r="Q1937" s="2" t="n">
        <v>43621</v>
      </c>
      <c r="S1937" s="0" t="n">
        <f aca="false">YEAR(Q1937)</f>
        <v>2019</v>
      </c>
      <c r="T1937" s="0" t="n">
        <f aca="false">MONTH(Q1937)</f>
        <v>6</v>
      </c>
    </row>
    <row r="1938" customFormat="false" ht="14.25" hidden="true" customHeight="false" outlineLevel="0" collapsed="false">
      <c r="A1938" s="0" t="n">
        <v>1943</v>
      </c>
      <c r="B1938" s="1" t="s">
        <v>1197</v>
      </c>
      <c r="C1938" s="1" t="s">
        <v>1479</v>
      </c>
      <c r="D1938" s="1" t="s">
        <v>1487</v>
      </c>
      <c r="E1938" s="0" t="s">
        <v>1488</v>
      </c>
      <c r="F1938" s="0" t="s">
        <v>50</v>
      </c>
      <c r="G1938" s="0" t="s">
        <v>10419</v>
      </c>
      <c r="I1938" s="6" t="n">
        <v>0.0763888888888889</v>
      </c>
      <c r="J1938" s="6" t="n">
        <v>0.0930555555555556</v>
      </c>
      <c r="K1938" s="0" t="n">
        <v>43</v>
      </c>
      <c r="L1938" s="0" t="n">
        <v>70</v>
      </c>
      <c r="M1938" s="0" t="s">
        <v>10420</v>
      </c>
      <c r="N1938" s="0" t="s">
        <v>10421</v>
      </c>
      <c r="P1938" s="0" t="s">
        <v>10422</v>
      </c>
      <c r="Q1938" s="2" t="n">
        <v>43621</v>
      </c>
      <c r="S1938" s="0" t="n">
        <f aca="false">YEAR(Q1938)</f>
        <v>2019</v>
      </c>
      <c r="T1938" s="0" t="n">
        <f aca="false">MONTH(Q1938)</f>
        <v>6</v>
      </c>
    </row>
    <row r="1939" customFormat="false" ht="14.25" hidden="true" customHeight="false" outlineLevel="0" collapsed="false">
      <c r="A1939" s="0" t="n">
        <v>1944</v>
      </c>
      <c r="B1939" s="1" t="s">
        <v>1198</v>
      </c>
      <c r="C1939" s="1" t="s">
        <v>1479</v>
      </c>
      <c r="D1939" s="1" t="s">
        <v>1535</v>
      </c>
      <c r="E1939" s="0" t="s">
        <v>39</v>
      </c>
      <c r="F1939" s="0" t="s">
        <v>48</v>
      </c>
      <c r="G1939" s="0" t="s">
        <v>10423</v>
      </c>
      <c r="I1939" s="6" t="n">
        <v>0.534027777777778</v>
      </c>
      <c r="J1939" s="6" t="n">
        <v>0.538194444444444</v>
      </c>
      <c r="K1939" s="0" t="n">
        <v>15</v>
      </c>
      <c r="L1939" s="0" t="n">
        <v>23</v>
      </c>
      <c r="M1939" s="0" t="s">
        <v>10424</v>
      </c>
      <c r="N1939" s="0" t="s">
        <v>10425</v>
      </c>
      <c r="P1939" s="0" t="s">
        <v>10426</v>
      </c>
      <c r="Q1939" s="2" t="n">
        <v>43622</v>
      </c>
      <c r="S1939" s="0" t="n">
        <f aca="false">YEAR(Q1939)</f>
        <v>2019</v>
      </c>
      <c r="T1939" s="0" t="n">
        <f aca="false">MONTH(Q1939)</f>
        <v>6</v>
      </c>
    </row>
    <row r="1940" customFormat="false" ht="14.25" hidden="true" customHeight="false" outlineLevel="0" collapsed="false">
      <c r="A1940" s="0" t="n">
        <v>1945</v>
      </c>
      <c r="B1940" s="1" t="s">
        <v>1199</v>
      </c>
      <c r="C1940" s="1" t="s">
        <v>1479</v>
      </c>
      <c r="D1940" s="1" t="s">
        <v>1487</v>
      </c>
      <c r="E1940" s="0" t="s">
        <v>1488</v>
      </c>
      <c r="F1940" s="0" t="s">
        <v>48</v>
      </c>
      <c r="G1940" s="0" t="s">
        <v>10427</v>
      </c>
      <c r="I1940" s="6" t="n">
        <v>0.302083333333333</v>
      </c>
      <c r="J1940" s="6" t="n">
        <v>0.310416666666667</v>
      </c>
      <c r="L1940" s="0" t="n">
        <v>25</v>
      </c>
      <c r="M1940" s="0" t="s">
        <v>10428</v>
      </c>
      <c r="N1940" s="0" t="s">
        <v>10429</v>
      </c>
      <c r="P1940" s="0" t="s">
        <v>10430</v>
      </c>
      <c r="Q1940" s="2" t="n">
        <v>43623</v>
      </c>
      <c r="S1940" s="0" t="n">
        <f aca="false">YEAR(Q1940)</f>
        <v>2019</v>
      </c>
      <c r="T1940" s="0" t="n">
        <f aca="false">MONTH(Q1940)</f>
        <v>6</v>
      </c>
    </row>
    <row r="1941" customFormat="false" ht="14.25" hidden="true" customHeight="false" outlineLevel="0" collapsed="false">
      <c r="A1941" s="0" t="n">
        <v>1946</v>
      </c>
      <c r="B1941" s="1" t="s">
        <v>1199</v>
      </c>
      <c r="C1941" s="1" t="s">
        <v>1503</v>
      </c>
      <c r="D1941" s="1" t="s">
        <v>1504</v>
      </c>
      <c r="E1941" s="0" t="s">
        <v>45</v>
      </c>
      <c r="F1941" s="0" t="s">
        <v>49</v>
      </c>
      <c r="G1941" s="0" t="s">
        <v>7943</v>
      </c>
      <c r="I1941" s="6" t="n">
        <v>0.847222222222222</v>
      </c>
      <c r="J1941" s="6" t="n">
        <v>0.888888888888889</v>
      </c>
      <c r="M1941" s="0" t="s">
        <v>10431</v>
      </c>
      <c r="N1941" s="0" t="s">
        <v>10432</v>
      </c>
      <c r="P1941" s="0" t="s">
        <v>10433</v>
      </c>
      <c r="Q1941" s="2" t="n">
        <v>43623</v>
      </c>
      <c r="S1941" s="0" t="n">
        <f aca="false">YEAR(Q1941)</f>
        <v>2019</v>
      </c>
      <c r="T1941" s="0" t="n">
        <f aca="false">MONTH(Q1941)</f>
        <v>6</v>
      </c>
    </row>
    <row r="1942" customFormat="false" ht="14.25" hidden="true" customHeight="false" outlineLevel="0" collapsed="false">
      <c r="A1942" s="0" t="n">
        <v>1947</v>
      </c>
      <c r="B1942" s="1" t="s">
        <v>1199</v>
      </c>
      <c r="C1942" s="1" t="s">
        <v>1479</v>
      </c>
      <c r="D1942" s="1" t="s">
        <v>1487</v>
      </c>
      <c r="E1942" s="4" t="s">
        <v>1488</v>
      </c>
      <c r="F1942" s="0" t="s">
        <v>50</v>
      </c>
      <c r="G1942" s="0" t="s">
        <v>9937</v>
      </c>
      <c r="I1942" s="6" t="n">
        <v>0.952777777777778</v>
      </c>
      <c r="J1942" s="6" t="n">
        <v>0.956944444444444</v>
      </c>
      <c r="K1942" s="0" t="n">
        <v>10</v>
      </c>
      <c r="M1942" s="0" t="s">
        <v>10434</v>
      </c>
      <c r="N1942" s="0" t="s">
        <v>10435</v>
      </c>
      <c r="P1942" s="0" t="s">
        <v>10436</v>
      </c>
      <c r="Q1942" s="2" t="n">
        <v>43623</v>
      </c>
      <c r="S1942" s="0" t="n">
        <f aca="false">YEAR(Q1942)</f>
        <v>2019</v>
      </c>
      <c r="T1942" s="0" t="n">
        <f aca="false">MONTH(Q1942)</f>
        <v>6</v>
      </c>
    </row>
    <row r="1943" customFormat="false" ht="14.25" hidden="true" customHeight="false" outlineLevel="0" collapsed="false">
      <c r="A1943" s="0" t="n">
        <v>1948</v>
      </c>
      <c r="B1943" s="1" t="s">
        <v>1200</v>
      </c>
      <c r="C1943" s="1" t="s">
        <v>1479</v>
      </c>
      <c r="D1943" s="1" t="s">
        <v>1487</v>
      </c>
      <c r="E1943" s="0" t="s">
        <v>1488</v>
      </c>
      <c r="F1943" s="0" t="s">
        <v>48</v>
      </c>
      <c r="G1943" s="0" t="s">
        <v>10437</v>
      </c>
      <c r="I1943" s="6" t="n">
        <v>0.269444444444444</v>
      </c>
      <c r="J1943" s="6" t="n">
        <v>0.284027777777778</v>
      </c>
      <c r="L1943" s="0" t="n">
        <v>40</v>
      </c>
      <c r="M1943" s="0" t="s">
        <v>10438</v>
      </c>
      <c r="N1943" s="0" t="s">
        <v>10439</v>
      </c>
      <c r="P1943" s="0" t="s">
        <v>10440</v>
      </c>
      <c r="Q1943" s="2" t="n">
        <v>43624</v>
      </c>
      <c r="S1943" s="0" t="n">
        <f aca="false">YEAR(Q1943)</f>
        <v>2019</v>
      </c>
      <c r="T1943" s="0" t="n">
        <f aca="false">MONTH(Q1943)</f>
        <v>6</v>
      </c>
    </row>
    <row r="1944" customFormat="false" ht="14.25" hidden="true" customHeight="false" outlineLevel="0" collapsed="false">
      <c r="A1944" s="0" t="n">
        <v>1949</v>
      </c>
      <c r="B1944" s="1" t="s">
        <v>1200</v>
      </c>
      <c r="C1944" s="1" t="s">
        <v>1479</v>
      </c>
      <c r="D1944" s="1" t="s">
        <v>1487</v>
      </c>
      <c r="E1944" s="0" t="s">
        <v>1488</v>
      </c>
      <c r="F1944" s="0" t="s">
        <v>48</v>
      </c>
      <c r="G1944" s="0" t="s">
        <v>10441</v>
      </c>
      <c r="I1944" s="6" t="n">
        <v>0.291666666666667</v>
      </c>
      <c r="J1944" s="6" t="n">
        <v>0.302083333333333</v>
      </c>
      <c r="L1944" s="0" t="n">
        <v>20</v>
      </c>
      <c r="M1944" s="0" t="s">
        <v>10442</v>
      </c>
      <c r="N1944" s="0" t="s">
        <v>10443</v>
      </c>
      <c r="P1944" s="0" t="s">
        <v>10444</v>
      </c>
      <c r="Q1944" s="2" t="n">
        <v>43624</v>
      </c>
      <c r="S1944" s="0" t="n">
        <f aca="false">YEAR(Q1944)</f>
        <v>2019</v>
      </c>
      <c r="T1944" s="0" t="n">
        <f aca="false">MONTH(Q1944)</f>
        <v>6</v>
      </c>
    </row>
    <row r="1945" customFormat="false" ht="14.25" hidden="true" customHeight="false" outlineLevel="0" collapsed="false">
      <c r="A1945" s="0" t="n">
        <v>1950</v>
      </c>
      <c r="B1945" s="1" t="s">
        <v>1200</v>
      </c>
      <c r="C1945" s="1" t="s">
        <v>1479</v>
      </c>
      <c r="D1945" s="1" t="s">
        <v>1535</v>
      </c>
      <c r="E1945" s="0" t="s">
        <v>39</v>
      </c>
      <c r="F1945" s="0" t="s">
        <v>48</v>
      </c>
      <c r="G1945" s="0" t="s">
        <v>10445</v>
      </c>
      <c r="I1945" s="6" t="n">
        <v>0.277777777777778</v>
      </c>
      <c r="J1945" s="6" t="n">
        <v>0.313194444444444</v>
      </c>
      <c r="K1945" s="0" t="n">
        <v>0</v>
      </c>
      <c r="L1945" s="0" t="n">
        <v>130</v>
      </c>
      <c r="M1945" s="0" t="s">
        <v>10446</v>
      </c>
      <c r="N1945" s="0" t="s">
        <v>10447</v>
      </c>
      <c r="P1945" s="0" t="s">
        <v>10448</v>
      </c>
      <c r="Q1945" s="2" t="n">
        <v>43624</v>
      </c>
      <c r="S1945" s="0" t="n">
        <f aca="false">YEAR(Q1945)</f>
        <v>2019</v>
      </c>
      <c r="T1945" s="0" t="n">
        <f aca="false">MONTH(Q1945)</f>
        <v>6</v>
      </c>
    </row>
    <row r="1946" customFormat="false" ht="14.25" hidden="true" customHeight="false" outlineLevel="0" collapsed="false">
      <c r="A1946" s="0" t="n">
        <v>1951</v>
      </c>
      <c r="B1946" s="1" t="s">
        <v>1200</v>
      </c>
      <c r="C1946" s="1" t="s">
        <v>1503</v>
      </c>
      <c r="D1946" s="1" t="s">
        <v>1504</v>
      </c>
      <c r="E1946" s="0" t="s">
        <v>45</v>
      </c>
      <c r="F1946" s="0" t="s">
        <v>48</v>
      </c>
      <c r="G1946" s="0" t="s">
        <v>10449</v>
      </c>
      <c r="J1946" s="6" t="n">
        <v>0.40625</v>
      </c>
      <c r="M1946" s="0" t="s">
        <v>10450</v>
      </c>
      <c r="N1946" s="0" t="s">
        <v>10451</v>
      </c>
      <c r="P1946" s="0" t="s">
        <v>10452</v>
      </c>
      <c r="Q1946" s="2" t="n">
        <v>43624</v>
      </c>
      <c r="S1946" s="0" t="n">
        <f aca="false">YEAR(Q1946)</f>
        <v>2019</v>
      </c>
      <c r="T1946" s="0" t="n">
        <f aca="false">MONTH(Q1946)</f>
        <v>6</v>
      </c>
    </row>
    <row r="1947" customFormat="false" ht="14.25" hidden="true" customHeight="false" outlineLevel="0" collapsed="false">
      <c r="A1947" s="0" t="n">
        <v>1952</v>
      </c>
      <c r="B1947" s="1" t="s">
        <v>1202</v>
      </c>
      <c r="C1947" s="1" t="s">
        <v>1479</v>
      </c>
      <c r="D1947" s="1" t="s">
        <v>1496</v>
      </c>
      <c r="E1947" s="0" t="s">
        <v>38</v>
      </c>
      <c r="F1947" s="0" t="s">
        <v>48</v>
      </c>
      <c r="G1947" s="0" t="s">
        <v>10453</v>
      </c>
      <c r="I1947" s="6" t="n">
        <v>0.495833333333333</v>
      </c>
      <c r="J1947" s="6" t="n">
        <v>0.527777777777778</v>
      </c>
      <c r="K1947" s="0" t="n">
        <v>16</v>
      </c>
      <c r="M1947" s="0" t="s">
        <v>10454</v>
      </c>
      <c r="N1947" s="0" t="s">
        <v>10455</v>
      </c>
      <c r="P1947" s="0" t="s">
        <v>10456</v>
      </c>
      <c r="Q1947" s="2" t="n">
        <v>43626</v>
      </c>
      <c r="S1947" s="0" t="n">
        <f aca="false">YEAR(Q1947)</f>
        <v>2019</v>
      </c>
      <c r="T1947" s="0" t="n">
        <f aca="false">MONTH(Q1947)</f>
        <v>6</v>
      </c>
    </row>
    <row r="1948" customFormat="false" ht="14.25" hidden="true" customHeight="false" outlineLevel="0" collapsed="false">
      <c r="A1948" s="0" t="n">
        <v>1953</v>
      </c>
      <c r="B1948" s="1" t="s">
        <v>1202</v>
      </c>
      <c r="C1948" s="1" t="s">
        <v>1503</v>
      </c>
      <c r="D1948" s="1" t="s">
        <v>1504</v>
      </c>
      <c r="E1948" s="0" t="s">
        <v>45</v>
      </c>
      <c r="F1948" s="0" t="s">
        <v>49</v>
      </c>
      <c r="G1948" s="0" t="s">
        <v>10457</v>
      </c>
      <c r="I1948" s="6" t="n">
        <v>0.708333333333333</v>
      </c>
      <c r="J1948" s="6" t="n">
        <v>0.770833333333333</v>
      </c>
      <c r="L1948" s="0" t="n">
        <v>100</v>
      </c>
      <c r="M1948" s="0" t="s">
        <v>10458</v>
      </c>
      <c r="N1948" s="0" t="s">
        <v>10459</v>
      </c>
      <c r="P1948" s="0" t="s">
        <v>10460</v>
      </c>
      <c r="Q1948" s="2" t="n">
        <v>43626</v>
      </c>
      <c r="S1948" s="0" t="n">
        <f aca="false">YEAR(Q1948)</f>
        <v>2019</v>
      </c>
      <c r="T1948" s="0" t="n">
        <f aca="false">MONTH(Q1948)</f>
        <v>6</v>
      </c>
    </row>
    <row r="1949" customFormat="false" ht="14.25" hidden="true" customHeight="false" outlineLevel="0" collapsed="false">
      <c r="A1949" s="0" t="n">
        <v>1954</v>
      </c>
      <c r="B1949" s="1" t="s">
        <v>1202</v>
      </c>
      <c r="C1949" s="1" t="s">
        <v>1503</v>
      </c>
      <c r="D1949" s="1" t="s">
        <v>1535</v>
      </c>
      <c r="E1949" s="0" t="s">
        <v>1503</v>
      </c>
      <c r="F1949" s="0" t="s">
        <v>50</v>
      </c>
      <c r="G1949" s="0" t="s">
        <v>10461</v>
      </c>
      <c r="J1949" s="6" t="n">
        <v>0.96875</v>
      </c>
      <c r="M1949" s="0" t="s">
        <v>10462</v>
      </c>
      <c r="N1949" s="0" t="s">
        <v>10463</v>
      </c>
      <c r="P1949" s="0" t="s">
        <v>10464</v>
      </c>
      <c r="Q1949" s="2" t="n">
        <v>43626</v>
      </c>
      <c r="S1949" s="0" t="n">
        <f aca="false">YEAR(Q1949)</f>
        <v>2019</v>
      </c>
      <c r="T1949" s="0" t="n">
        <f aca="false">MONTH(Q1949)</f>
        <v>6</v>
      </c>
    </row>
    <row r="1950" customFormat="false" ht="14.25" hidden="true" customHeight="false" outlineLevel="0" collapsed="false">
      <c r="A1950" s="0" t="n">
        <v>1955</v>
      </c>
      <c r="B1950" s="1" t="s">
        <v>1203</v>
      </c>
      <c r="C1950" s="1" t="s">
        <v>1495</v>
      </c>
      <c r="D1950" s="1" t="s">
        <v>1487</v>
      </c>
      <c r="E1950" s="0" t="s">
        <v>40</v>
      </c>
      <c r="F1950" s="0" t="s">
        <v>48</v>
      </c>
      <c r="G1950" s="0" t="s">
        <v>10465</v>
      </c>
      <c r="I1950" s="6" t="n">
        <v>0.379166666666667</v>
      </c>
      <c r="J1950" s="6" t="n">
        <v>0.390972222222222</v>
      </c>
      <c r="K1950" s="0" t="n">
        <v>0</v>
      </c>
      <c r="L1950" s="0" t="n">
        <v>25</v>
      </c>
      <c r="M1950" s="0" t="s">
        <v>10466</v>
      </c>
      <c r="N1950" s="0" t="s">
        <v>10467</v>
      </c>
      <c r="P1950" s="0" t="s">
        <v>10468</v>
      </c>
      <c r="Q1950" s="2" t="n">
        <v>43627</v>
      </c>
      <c r="S1950" s="0" t="n">
        <f aca="false">YEAR(Q1950)</f>
        <v>2019</v>
      </c>
      <c r="T1950" s="0" t="n">
        <f aca="false">MONTH(Q1950)</f>
        <v>6</v>
      </c>
    </row>
    <row r="1951" customFormat="false" ht="14.25" hidden="true" customHeight="false" outlineLevel="0" collapsed="false">
      <c r="A1951" s="0" t="n">
        <v>1956</v>
      </c>
      <c r="B1951" s="1" t="s">
        <v>1204</v>
      </c>
      <c r="C1951" s="1" t="s">
        <v>1503</v>
      </c>
      <c r="D1951" s="1" t="s">
        <v>1535</v>
      </c>
      <c r="E1951" s="0" t="s">
        <v>1503</v>
      </c>
      <c r="F1951" s="0" t="s">
        <v>50</v>
      </c>
      <c r="G1951" s="0" t="s">
        <v>10024</v>
      </c>
      <c r="J1951" s="6" t="n">
        <v>0.958333333333333</v>
      </c>
      <c r="M1951" s="0" t="s">
        <v>10469</v>
      </c>
      <c r="N1951" s="0" t="s">
        <v>10470</v>
      </c>
      <c r="P1951" s="0" t="s">
        <v>10471</v>
      </c>
      <c r="Q1951" s="2" t="n">
        <v>43628</v>
      </c>
      <c r="S1951" s="0" t="n">
        <f aca="false">YEAR(Q1951)</f>
        <v>2019</v>
      </c>
      <c r="T1951" s="0" t="n">
        <f aca="false">MONTH(Q1951)</f>
        <v>6</v>
      </c>
    </row>
    <row r="1952" customFormat="false" ht="14.25" hidden="true" customHeight="false" outlineLevel="0" collapsed="false">
      <c r="A1952" s="0" t="n">
        <v>1957</v>
      </c>
      <c r="B1952" s="1" t="s">
        <v>1204</v>
      </c>
      <c r="C1952" s="1" t="s">
        <v>1503</v>
      </c>
      <c r="D1952" s="1" t="s">
        <v>1535</v>
      </c>
      <c r="E1952" s="0" t="s">
        <v>1503</v>
      </c>
      <c r="F1952" s="0" t="s">
        <v>50</v>
      </c>
      <c r="G1952" s="0" t="s">
        <v>7943</v>
      </c>
      <c r="J1952" s="6" t="n">
        <v>0.958333333333333</v>
      </c>
      <c r="M1952" s="0" t="s">
        <v>10472</v>
      </c>
      <c r="N1952" s="0" t="s">
        <v>10473</v>
      </c>
      <c r="P1952" s="0" t="s">
        <v>8282</v>
      </c>
      <c r="Q1952" s="2" t="n">
        <v>43628</v>
      </c>
      <c r="S1952" s="0" t="n">
        <f aca="false">YEAR(Q1952)</f>
        <v>2019</v>
      </c>
      <c r="T1952" s="0" t="n">
        <f aca="false">MONTH(Q1952)</f>
        <v>6</v>
      </c>
    </row>
    <row r="1953" customFormat="false" ht="14.25" hidden="true" customHeight="false" outlineLevel="0" collapsed="false">
      <c r="A1953" s="0" t="n">
        <v>1958</v>
      </c>
      <c r="B1953" s="1" t="s">
        <v>1205</v>
      </c>
      <c r="C1953" s="1" t="s">
        <v>1479</v>
      </c>
      <c r="D1953" s="1" t="s">
        <v>1487</v>
      </c>
      <c r="E1953" s="0" t="s">
        <v>1488</v>
      </c>
      <c r="F1953" s="0" t="s">
        <v>48</v>
      </c>
      <c r="G1953" s="0" t="s">
        <v>10474</v>
      </c>
      <c r="I1953" s="6" t="n">
        <v>0.296527777777778</v>
      </c>
      <c r="J1953" s="6" t="n">
        <v>0.301388888888889</v>
      </c>
      <c r="K1953" s="0" t="n">
        <v>0</v>
      </c>
      <c r="L1953" s="0" t="n">
        <v>30</v>
      </c>
      <c r="M1953" s="0" t="s">
        <v>10475</v>
      </c>
      <c r="N1953" s="0" t="s">
        <v>10476</v>
      </c>
      <c r="P1953" s="0" t="s">
        <v>10477</v>
      </c>
      <c r="Q1953" s="2" t="n">
        <v>43629</v>
      </c>
      <c r="S1953" s="0" t="n">
        <f aca="false">YEAR(Q1953)</f>
        <v>2019</v>
      </c>
      <c r="T1953" s="0" t="n">
        <f aca="false">MONTH(Q1953)</f>
        <v>6</v>
      </c>
    </row>
    <row r="1954" customFormat="false" ht="14.25" hidden="true" customHeight="false" outlineLevel="0" collapsed="false">
      <c r="A1954" s="0" t="n">
        <v>1959</v>
      </c>
      <c r="B1954" s="1" t="s">
        <v>1205</v>
      </c>
      <c r="C1954" s="1" t="s">
        <v>1479</v>
      </c>
      <c r="D1954" s="1" t="s">
        <v>1480</v>
      </c>
      <c r="E1954" s="0" t="s">
        <v>43</v>
      </c>
      <c r="F1954" s="0" t="s">
        <v>48</v>
      </c>
      <c r="G1954" s="0" t="s">
        <v>10478</v>
      </c>
      <c r="I1954" s="6" t="n">
        <v>0.416666666666667</v>
      </c>
      <c r="J1954" s="6" t="n">
        <v>0.432638888888889</v>
      </c>
      <c r="K1954" s="0" t="n">
        <v>0</v>
      </c>
      <c r="L1954" s="0" t="n">
        <v>120</v>
      </c>
      <c r="M1954" s="0" t="s">
        <v>10479</v>
      </c>
      <c r="N1954" s="0" t="s">
        <v>10480</v>
      </c>
      <c r="P1954" s="0" t="s">
        <v>10481</v>
      </c>
      <c r="Q1954" s="2" t="n">
        <v>43629</v>
      </c>
      <c r="S1954" s="0" t="n">
        <f aca="false">YEAR(Q1954)</f>
        <v>2019</v>
      </c>
      <c r="T1954" s="0" t="n">
        <f aca="false">MONTH(Q1954)</f>
        <v>6</v>
      </c>
    </row>
    <row r="1955" customFormat="false" ht="14.25" hidden="true" customHeight="false" outlineLevel="0" collapsed="false">
      <c r="A1955" s="0" t="n">
        <v>1960</v>
      </c>
      <c r="B1955" s="1" t="s">
        <v>1205</v>
      </c>
      <c r="C1955" s="1" t="s">
        <v>1479</v>
      </c>
      <c r="D1955" s="1" t="s">
        <v>1535</v>
      </c>
      <c r="E1955" s="0" t="s">
        <v>39</v>
      </c>
      <c r="F1955" s="0" t="s">
        <v>49</v>
      </c>
      <c r="G1955" s="0" t="s">
        <v>10482</v>
      </c>
      <c r="I1955" s="6" t="n">
        <v>0.598611111111111</v>
      </c>
      <c r="J1955" s="6" t="n">
        <v>0.602083333333333</v>
      </c>
      <c r="K1955" s="0" t="n">
        <v>9</v>
      </c>
      <c r="L1955" s="0" t="n">
        <v>9</v>
      </c>
      <c r="M1955" s="0" t="s">
        <v>10483</v>
      </c>
      <c r="N1955" s="0" t="s">
        <v>10484</v>
      </c>
      <c r="P1955" s="0" t="s">
        <v>10485</v>
      </c>
      <c r="Q1955" s="2" t="n">
        <v>43629</v>
      </c>
      <c r="S1955" s="0" t="n">
        <f aca="false">YEAR(Q1955)</f>
        <v>2019</v>
      </c>
      <c r="T1955" s="0" t="n">
        <f aca="false">MONTH(Q1955)</f>
        <v>6</v>
      </c>
    </row>
    <row r="1956" customFormat="false" ht="14.25" hidden="true" customHeight="false" outlineLevel="0" collapsed="false">
      <c r="A1956" s="0" t="n">
        <v>1961</v>
      </c>
      <c r="B1956" s="1" t="s">
        <v>1205</v>
      </c>
      <c r="C1956" s="1" t="s">
        <v>1479</v>
      </c>
      <c r="D1956" s="1" t="s">
        <v>1487</v>
      </c>
      <c r="E1956" s="0" t="s">
        <v>1488</v>
      </c>
      <c r="F1956" s="0" t="s">
        <v>49</v>
      </c>
      <c r="G1956" s="0" t="s">
        <v>10486</v>
      </c>
      <c r="I1956" s="6" t="n">
        <v>0.616666666666667</v>
      </c>
      <c r="J1956" s="6" t="n">
        <v>0.623611111111111</v>
      </c>
      <c r="K1956" s="0" t="n">
        <v>0</v>
      </c>
      <c r="L1956" s="0" t="n">
        <v>30</v>
      </c>
      <c r="M1956" s="0" t="s">
        <v>10487</v>
      </c>
      <c r="N1956" s="0" t="s">
        <v>10488</v>
      </c>
      <c r="P1956" s="0" t="s">
        <v>10489</v>
      </c>
      <c r="Q1956" s="2" t="n">
        <v>43629</v>
      </c>
      <c r="S1956" s="0" t="n">
        <f aca="false">YEAR(Q1956)</f>
        <v>2019</v>
      </c>
      <c r="T1956" s="0" t="n">
        <f aca="false">MONTH(Q1956)</f>
        <v>6</v>
      </c>
    </row>
    <row r="1957" customFormat="false" ht="14.25" hidden="true" customHeight="false" outlineLevel="0" collapsed="false">
      <c r="A1957" s="0" t="n">
        <v>1962</v>
      </c>
      <c r="B1957" s="1" t="s">
        <v>1207</v>
      </c>
      <c r="C1957" s="1" t="s">
        <v>1503</v>
      </c>
      <c r="D1957" s="1" t="s">
        <v>1504</v>
      </c>
      <c r="E1957" s="0" t="s">
        <v>45</v>
      </c>
      <c r="F1957" s="0" t="s">
        <v>48</v>
      </c>
      <c r="G1957" s="0" t="s">
        <v>10490</v>
      </c>
      <c r="I1957" s="6" t="n">
        <v>0.256944444444444</v>
      </c>
      <c r="J1957" s="6" t="n">
        <v>0.283333333333333</v>
      </c>
      <c r="L1957" s="0" t="n">
        <v>80</v>
      </c>
      <c r="M1957" s="0" t="s">
        <v>10491</v>
      </c>
      <c r="N1957" s="0" t="s">
        <v>10492</v>
      </c>
      <c r="P1957" s="0" t="s">
        <v>10493</v>
      </c>
      <c r="Q1957" s="2" t="n">
        <v>43633</v>
      </c>
      <c r="S1957" s="0" t="n">
        <f aca="false">YEAR(Q1957)</f>
        <v>2019</v>
      </c>
      <c r="T1957" s="0" t="n">
        <f aca="false">MONTH(Q1957)</f>
        <v>6</v>
      </c>
    </row>
    <row r="1958" customFormat="false" ht="14.25" hidden="true" customHeight="false" outlineLevel="0" collapsed="false">
      <c r="A1958" s="0" t="n">
        <v>1963</v>
      </c>
      <c r="B1958" s="1" t="s">
        <v>1207</v>
      </c>
      <c r="C1958" s="1" t="s">
        <v>1479</v>
      </c>
      <c r="D1958" s="1" t="s">
        <v>1487</v>
      </c>
      <c r="E1958" s="0" t="s">
        <v>1488</v>
      </c>
      <c r="F1958" s="0" t="s">
        <v>48</v>
      </c>
      <c r="G1958" s="0" t="s">
        <v>10494</v>
      </c>
      <c r="I1958" s="6" t="n">
        <v>0.496527777777778</v>
      </c>
      <c r="J1958" s="6" t="n">
        <v>0.541666666666667</v>
      </c>
      <c r="K1958" s="0" t="n">
        <v>67</v>
      </c>
      <c r="L1958" s="0" t="n">
        <v>97</v>
      </c>
      <c r="M1958" s="0" t="s">
        <v>10495</v>
      </c>
      <c r="N1958" s="0" t="s">
        <v>10496</v>
      </c>
      <c r="P1958" s="0" t="s">
        <v>10497</v>
      </c>
      <c r="Q1958" s="2" t="n">
        <v>43633</v>
      </c>
      <c r="S1958" s="0" t="n">
        <f aca="false">YEAR(Q1958)</f>
        <v>2019</v>
      </c>
      <c r="T1958" s="0" t="n">
        <f aca="false">MONTH(Q1958)</f>
        <v>6</v>
      </c>
    </row>
    <row r="1959" customFormat="false" ht="14.25" hidden="true" customHeight="false" outlineLevel="0" collapsed="false">
      <c r="A1959" s="0" t="n">
        <v>1964</v>
      </c>
      <c r="B1959" s="1" t="s">
        <v>1207</v>
      </c>
      <c r="C1959" s="1" t="s">
        <v>1503</v>
      </c>
      <c r="D1959" s="1" t="s">
        <v>1504</v>
      </c>
      <c r="E1959" s="0" t="s">
        <v>9506</v>
      </c>
      <c r="F1959" s="0" t="s">
        <v>49</v>
      </c>
      <c r="G1959" s="0" t="s">
        <v>10498</v>
      </c>
      <c r="I1959" s="6" t="n">
        <v>0.652777777777778</v>
      </c>
      <c r="J1959" s="6" t="n">
        <v>0.684027777777778</v>
      </c>
      <c r="L1959" s="0" t="n">
        <v>70</v>
      </c>
      <c r="M1959" s="0" t="s">
        <v>10499</v>
      </c>
      <c r="N1959" s="0" t="s">
        <v>10500</v>
      </c>
      <c r="P1959" s="0" t="s">
        <v>10501</v>
      </c>
      <c r="Q1959" s="2" t="n">
        <v>43633</v>
      </c>
      <c r="S1959" s="0" t="n">
        <f aca="false">YEAR(Q1959)</f>
        <v>2019</v>
      </c>
      <c r="T1959" s="0" t="n">
        <f aca="false">MONTH(Q1959)</f>
        <v>6</v>
      </c>
    </row>
    <row r="1960" customFormat="false" ht="14.25" hidden="true" customHeight="false" outlineLevel="0" collapsed="false">
      <c r="A1960" s="0" t="n">
        <v>1965</v>
      </c>
      <c r="B1960" s="1" t="s">
        <v>1207</v>
      </c>
      <c r="C1960" s="1" t="s">
        <v>1479</v>
      </c>
      <c r="D1960" s="1" t="s">
        <v>1487</v>
      </c>
      <c r="E1960" s="0" t="s">
        <v>1488</v>
      </c>
      <c r="F1960" s="0" t="s">
        <v>49</v>
      </c>
      <c r="G1960" s="0" t="s">
        <v>10502</v>
      </c>
      <c r="I1960" s="6" t="n">
        <v>0.8125</v>
      </c>
      <c r="J1960" s="6" t="n">
        <v>0.817361111111111</v>
      </c>
      <c r="K1960" s="0" t="n">
        <v>0</v>
      </c>
      <c r="L1960" s="0" t="n">
        <v>16</v>
      </c>
      <c r="M1960" s="0" t="s">
        <v>10503</v>
      </c>
      <c r="N1960" s="0" t="s">
        <v>10504</v>
      </c>
      <c r="P1960" s="0" t="s">
        <v>10505</v>
      </c>
      <c r="Q1960" s="2" t="n">
        <v>43633</v>
      </c>
      <c r="S1960" s="0" t="n">
        <f aca="false">YEAR(Q1960)</f>
        <v>2019</v>
      </c>
      <c r="T1960" s="0" t="n">
        <f aca="false">MONTH(Q1960)</f>
        <v>6</v>
      </c>
    </row>
    <row r="1961" customFormat="false" ht="14.25" hidden="true" customHeight="false" outlineLevel="0" collapsed="false">
      <c r="A1961" s="0" t="n">
        <v>1966</v>
      </c>
      <c r="B1961" s="1" t="s">
        <v>1207</v>
      </c>
      <c r="C1961" s="1" t="s">
        <v>1479</v>
      </c>
      <c r="D1961" s="1" t="s">
        <v>1487</v>
      </c>
      <c r="E1961" s="0" t="s">
        <v>1488</v>
      </c>
      <c r="F1961" s="0" t="s">
        <v>49</v>
      </c>
      <c r="G1961" s="0" t="s">
        <v>10506</v>
      </c>
      <c r="I1961" s="6" t="n">
        <v>0.819444444444444</v>
      </c>
      <c r="J1961" s="6" t="n">
        <v>0.833333333333333</v>
      </c>
      <c r="K1961" s="0" t="n">
        <v>0</v>
      </c>
      <c r="L1961" s="0" t="n">
        <v>170</v>
      </c>
      <c r="M1961" s="0" t="s">
        <v>10507</v>
      </c>
      <c r="N1961" s="0" t="s">
        <v>10508</v>
      </c>
      <c r="P1961" s="0" t="s">
        <v>10509</v>
      </c>
      <c r="Q1961" s="2" t="n">
        <v>43633</v>
      </c>
      <c r="S1961" s="0" t="n">
        <f aca="false">YEAR(Q1961)</f>
        <v>2019</v>
      </c>
      <c r="T1961" s="0" t="n">
        <f aca="false">MONTH(Q1961)</f>
        <v>6</v>
      </c>
    </row>
    <row r="1962" customFormat="false" ht="14.25" hidden="true" customHeight="false" outlineLevel="0" collapsed="false">
      <c r="A1962" s="0" t="n">
        <v>1967</v>
      </c>
      <c r="B1962" s="1" t="s">
        <v>1208</v>
      </c>
      <c r="C1962" s="1" t="s">
        <v>1479</v>
      </c>
      <c r="D1962" s="1" t="s">
        <v>1487</v>
      </c>
      <c r="E1962" s="0" t="s">
        <v>1488</v>
      </c>
      <c r="F1962" s="0" t="s">
        <v>48</v>
      </c>
      <c r="G1962" s="0" t="s">
        <v>10510</v>
      </c>
      <c r="I1962" s="6" t="n">
        <v>0.377777777777778</v>
      </c>
      <c r="J1962" s="6" t="n">
        <v>0.393055555555556</v>
      </c>
      <c r="L1962" s="0" t="n">
        <v>42</v>
      </c>
      <c r="M1962" s="0" t="s">
        <v>10511</v>
      </c>
      <c r="N1962" s="0" t="s">
        <v>10512</v>
      </c>
      <c r="P1962" s="0" t="s">
        <v>10513</v>
      </c>
      <c r="Q1962" s="2" t="n">
        <v>43634</v>
      </c>
      <c r="S1962" s="0" t="n">
        <f aca="false">YEAR(Q1962)</f>
        <v>2019</v>
      </c>
      <c r="T1962" s="0" t="n">
        <f aca="false">MONTH(Q1962)</f>
        <v>6</v>
      </c>
    </row>
    <row r="1963" customFormat="false" ht="14.25" hidden="true" customHeight="false" outlineLevel="0" collapsed="false">
      <c r="A1963" s="0" t="n">
        <v>1968</v>
      </c>
      <c r="B1963" s="1" t="s">
        <v>1208</v>
      </c>
      <c r="C1963" s="1" t="s">
        <v>1503</v>
      </c>
      <c r="D1963" s="1" t="s">
        <v>1535</v>
      </c>
      <c r="E1963" s="0" t="s">
        <v>44</v>
      </c>
      <c r="F1963" s="0" t="s">
        <v>49</v>
      </c>
      <c r="G1963" s="0" t="s">
        <v>10514</v>
      </c>
      <c r="I1963" s="6" t="n">
        <v>0.694444444444444</v>
      </c>
      <c r="J1963" s="6" t="n">
        <v>0.698611111111111</v>
      </c>
      <c r="L1963" s="0" t="n">
        <v>15</v>
      </c>
      <c r="M1963" s="0" t="s">
        <v>10515</v>
      </c>
      <c r="N1963" s="0" t="s">
        <v>10516</v>
      </c>
      <c r="P1963" s="0" t="s">
        <v>10517</v>
      </c>
      <c r="Q1963" s="2" t="n">
        <v>43634</v>
      </c>
      <c r="S1963" s="0" t="n">
        <f aca="false">YEAR(Q1963)</f>
        <v>2019</v>
      </c>
      <c r="T1963" s="0" t="n">
        <f aca="false">MONTH(Q1963)</f>
        <v>6</v>
      </c>
    </row>
    <row r="1964" customFormat="false" ht="14.25" hidden="true" customHeight="false" outlineLevel="0" collapsed="false">
      <c r="A1964" s="0" t="n">
        <v>1969</v>
      </c>
      <c r="B1964" s="1" t="s">
        <v>1210</v>
      </c>
      <c r="C1964" s="1" t="s">
        <v>1479</v>
      </c>
      <c r="D1964" s="1" t="s">
        <v>1535</v>
      </c>
      <c r="E1964" s="0" t="s">
        <v>39</v>
      </c>
      <c r="F1964" s="0" t="s">
        <v>48</v>
      </c>
      <c r="G1964" s="0" t="s">
        <v>8609</v>
      </c>
      <c r="J1964" s="6" t="n">
        <v>0.229166666666667</v>
      </c>
      <c r="M1964" s="0" t="s">
        <v>10518</v>
      </c>
      <c r="N1964" s="0" t="s">
        <v>10519</v>
      </c>
      <c r="P1964" s="0" t="s">
        <v>10520</v>
      </c>
      <c r="Q1964" s="2" t="n">
        <v>43640</v>
      </c>
      <c r="S1964" s="0" t="n">
        <f aca="false">YEAR(Q1964)</f>
        <v>2019</v>
      </c>
      <c r="T1964" s="0" t="n">
        <f aca="false">MONTH(Q1964)</f>
        <v>6</v>
      </c>
    </row>
    <row r="1965" customFormat="false" ht="14.25" hidden="true" customHeight="false" outlineLevel="0" collapsed="false">
      <c r="A1965" s="0" t="n">
        <v>1970</v>
      </c>
      <c r="B1965" s="1" t="s">
        <v>1210</v>
      </c>
      <c r="C1965" s="1" t="s">
        <v>1479</v>
      </c>
      <c r="D1965" s="1" t="s">
        <v>1487</v>
      </c>
      <c r="E1965" s="0" t="s">
        <v>1488</v>
      </c>
      <c r="F1965" s="0" t="s">
        <v>48</v>
      </c>
      <c r="G1965" s="0" t="s">
        <v>7914</v>
      </c>
      <c r="I1965" s="6" t="n">
        <v>0.354166666666667</v>
      </c>
      <c r="J1965" s="6" t="n">
        <v>0.359027777777778</v>
      </c>
      <c r="L1965" s="0" t="n">
        <v>30</v>
      </c>
      <c r="M1965" s="0" t="s">
        <v>10521</v>
      </c>
      <c r="N1965" s="0" t="s">
        <v>10522</v>
      </c>
      <c r="P1965" s="0" t="s">
        <v>10523</v>
      </c>
      <c r="Q1965" s="2" t="n">
        <v>43640</v>
      </c>
      <c r="S1965" s="0" t="n">
        <f aca="false">YEAR(Q1965)</f>
        <v>2019</v>
      </c>
      <c r="T1965" s="0" t="n">
        <f aca="false">MONTH(Q1965)</f>
        <v>6</v>
      </c>
    </row>
    <row r="1966" customFormat="false" ht="14.25" hidden="true" customHeight="false" outlineLevel="0" collapsed="false">
      <c r="A1966" s="0" t="n">
        <v>1971</v>
      </c>
      <c r="B1966" s="1" t="s">
        <v>1210</v>
      </c>
      <c r="C1966" s="1" t="s">
        <v>1503</v>
      </c>
      <c r="D1966" s="1" t="s">
        <v>1504</v>
      </c>
      <c r="E1966" s="0" t="s">
        <v>45</v>
      </c>
      <c r="F1966" s="0" t="s">
        <v>48</v>
      </c>
      <c r="G1966" s="0" t="s">
        <v>9978</v>
      </c>
      <c r="I1966" s="6" t="n">
        <v>0.1875</v>
      </c>
      <c r="J1966" s="6" t="n">
        <v>0.433333333333333</v>
      </c>
      <c r="L1966" s="0" t="n">
        <v>240</v>
      </c>
      <c r="M1966" s="0" t="s">
        <v>10524</v>
      </c>
      <c r="N1966" s="0" t="s">
        <v>10525</v>
      </c>
      <c r="P1966" s="0" t="s">
        <v>10526</v>
      </c>
      <c r="Q1966" s="2" t="n">
        <v>43640</v>
      </c>
      <c r="S1966" s="0" t="n">
        <f aca="false">YEAR(Q1966)</f>
        <v>2019</v>
      </c>
      <c r="T1966" s="0" t="n">
        <f aca="false">MONTH(Q1966)</f>
        <v>6</v>
      </c>
    </row>
    <row r="1967" customFormat="false" ht="14.25" hidden="true" customHeight="false" outlineLevel="0" collapsed="false">
      <c r="A1967" s="0" t="n">
        <v>1972</v>
      </c>
      <c r="B1967" s="1" t="s">
        <v>1210</v>
      </c>
      <c r="C1967" s="1" t="s">
        <v>1479</v>
      </c>
      <c r="D1967" s="1" t="s">
        <v>1863</v>
      </c>
      <c r="E1967" s="0" t="s">
        <v>1863</v>
      </c>
      <c r="F1967" s="0" t="s">
        <v>49</v>
      </c>
      <c r="G1967" s="0" t="s">
        <v>10527</v>
      </c>
      <c r="I1967" s="6" t="n">
        <v>0.541666666666667</v>
      </c>
      <c r="J1967" s="6" t="n">
        <v>0.6875</v>
      </c>
      <c r="L1967" s="0" t="n">
        <v>298</v>
      </c>
      <c r="M1967" s="0" t="s">
        <v>10528</v>
      </c>
      <c r="N1967" s="0" t="s">
        <v>10529</v>
      </c>
      <c r="P1967" s="0" t="s">
        <v>10530</v>
      </c>
      <c r="Q1967" s="2" t="n">
        <v>43640</v>
      </c>
      <c r="S1967" s="0" t="n">
        <f aca="false">YEAR(Q1967)</f>
        <v>2019</v>
      </c>
      <c r="T1967" s="0" t="n">
        <f aca="false">MONTH(Q1967)</f>
        <v>6</v>
      </c>
    </row>
    <row r="1968" customFormat="false" ht="14.25" hidden="true" customHeight="false" outlineLevel="0" collapsed="false">
      <c r="A1968" s="0" t="n">
        <v>1973</v>
      </c>
      <c r="B1968" s="1" t="s">
        <v>1210</v>
      </c>
      <c r="C1968" s="1" t="s">
        <v>1503</v>
      </c>
      <c r="D1968" s="1" t="s">
        <v>1535</v>
      </c>
      <c r="E1968" s="0" t="s">
        <v>44</v>
      </c>
      <c r="F1968" s="0" t="s">
        <v>50</v>
      </c>
      <c r="G1968" s="0" t="s">
        <v>10531</v>
      </c>
      <c r="I1968" s="6" t="n">
        <v>0.918055555555556</v>
      </c>
      <c r="J1968" s="6" t="n">
        <v>0.944444444444444</v>
      </c>
      <c r="K1968" s="0" t="n">
        <v>30</v>
      </c>
      <c r="L1968" s="0" t="n">
        <v>60</v>
      </c>
      <c r="M1968" s="0" t="s">
        <v>10532</v>
      </c>
      <c r="N1968" s="0" t="s">
        <v>10533</v>
      </c>
      <c r="P1968" s="0" t="s">
        <v>10534</v>
      </c>
      <c r="Q1968" s="2" t="n">
        <v>43640</v>
      </c>
      <c r="S1968" s="0" t="n">
        <f aca="false">YEAR(Q1968)</f>
        <v>2019</v>
      </c>
      <c r="T1968" s="0" t="n">
        <f aca="false">MONTH(Q1968)</f>
        <v>6</v>
      </c>
    </row>
    <row r="1969" customFormat="false" ht="14.25" hidden="true" customHeight="false" outlineLevel="0" collapsed="false">
      <c r="A1969" s="0" t="n">
        <v>1974</v>
      </c>
      <c r="B1969" s="1" t="s">
        <v>1211</v>
      </c>
      <c r="C1969" s="1" t="s">
        <v>1503</v>
      </c>
      <c r="D1969" s="1" t="s">
        <v>1535</v>
      </c>
      <c r="E1969" s="0" t="s">
        <v>44</v>
      </c>
      <c r="F1969" s="0" t="s">
        <v>48</v>
      </c>
      <c r="G1969" s="0" t="s">
        <v>10535</v>
      </c>
      <c r="I1969" s="6" t="n">
        <v>0.25</v>
      </c>
      <c r="J1969" s="6" t="n">
        <v>0.291666666666667</v>
      </c>
      <c r="L1969" s="0" t="n">
        <v>29</v>
      </c>
      <c r="M1969" s="0" t="s">
        <v>10536</v>
      </c>
      <c r="N1969" s="0" t="s">
        <v>10537</v>
      </c>
      <c r="P1969" s="0" t="s">
        <v>10538</v>
      </c>
      <c r="Q1969" s="2" t="n">
        <v>43641</v>
      </c>
      <c r="S1969" s="0" t="n">
        <f aca="false">YEAR(Q1969)</f>
        <v>2019</v>
      </c>
      <c r="T1969" s="0" t="n">
        <f aca="false">MONTH(Q1969)</f>
        <v>6</v>
      </c>
    </row>
    <row r="1970" customFormat="false" ht="14.25" hidden="true" customHeight="false" outlineLevel="0" collapsed="false">
      <c r="A1970" s="0" t="n">
        <v>1975</v>
      </c>
      <c r="B1970" s="1" t="s">
        <v>1211</v>
      </c>
      <c r="C1970" s="1" t="s">
        <v>1479</v>
      </c>
      <c r="D1970" s="1" t="s">
        <v>1496</v>
      </c>
      <c r="E1970" s="0" t="s">
        <v>38</v>
      </c>
      <c r="F1970" s="0" t="s">
        <v>48</v>
      </c>
      <c r="G1970" s="0" t="s">
        <v>10539</v>
      </c>
      <c r="I1970" s="6" t="n">
        <v>0.434722222222222</v>
      </c>
      <c r="J1970" s="6" t="n">
        <v>0.434722222222222</v>
      </c>
      <c r="K1970" s="0" t="n">
        <v>69</v>
      </c>
      <c r="L1970" s="0" t="n">
        <v>120</v>
      </c>
      <c r="M1970" s="0" t="s">
        <v>10540</v>
      </c>
      <c r="N1970" s="0" t="s">
        <v>10541</v>
      </c>
      <c r="P1970" s="0" t="s">
        <v>10542</v>
      </c>
      <c r="Q1970" s="2" t="n">
        <v>43641</v>
      </c>
      <c r="S1970" s="0" t="n">
        <f aca="false">YEAR(Q1970)</f>
        <v>2019</v>
      </c>
      <c r="T1970" s="0" t="n">
        <f aca="false">MONTH(Q1970)</f>
        <v>6</v>
      </c>
    </row>
    <row r="1971" customFormat="false" ht="14.25" hidden="true" customHeight="false" outlineLevel="0" collapsed="false">
      <c r="A1971" s="0" t="n">
        <v>1976</v>
      </c>
      <c r="B1971" s="1" t="s">
        <v>1211</v>
      </c>
      <c r="E1971" s="0" t="s">
        <v>10543</v>
      </c>
      <c r="F1971" s="0" t="s">
        <v>49</v>
      </c>
      <c r="G1971" s="0" t="s">
        <v>10365</v>
      </c>
      <c r="I1971" s="6" t="n">
        <v>0.670833333333333</v>
      </c>
      <c r="J1971" s="6" t="n">
        <v>0.680555555555555</v>
      </c>
      <c r="K1971" s="0" t="n">
        <v>26</v>
      </c>
      <c r="L1971" s="0" t="n">
        <v>44</v>
      </c>
      <c r="M1971" s="0" t="s">
        <v>10544</v>
      </c>
      <c r="N1971" s="0" t="s">
        <v>10545</v>
      </c>
      <c r="P1971" s="0" t="s">
        <v>10546</v>
      </c>
      <c r="Q1971" s="2" t="n">
        <v>43641</v>
      </c>
      <c r="S1971" s="0" t="n">
        <f aca="false">YEAR(Q1971)</f>
        <v>2019</v>
      </c>
      <c r="T1971" s="0" t="n">
        <f aca="false">MONTH(Q1971)</f>
        <v>6</v>
      </c>
    </row>
    <row r="1972" customFormat="false" ht="14.25" hidden="true" customHeight="false" outlineLevel="0" collapsed="false">
      <c r="A1972" s="0" t="n">
        <v>1977</v>
      </c>
      <c r="B1972" s="1" t="s">
        <v>1212</v>
      </c>
      <c r="C1972" s="1" t="s">
        <v>1503</v>
      </c>
      <c r="D1972" s="1" t="s">
        <v>1535</v>
      </c>
      <c r="E1972" s="0" t="s">
        <v>44</v>
      </c>
      <c r="F1972" s="0" t="s">
        <v>48</v>
      </c>
      <c r="G1972" s="0" t="s">
        <v>10547</v>
      </c>
      <c r="J1972" s="6" t="n">
        <v>0.295833333333333</v>
      </c>
      <c r="M1972" s="0" t="s">
        <v>10548</v>
      </c>
      <c r="N1972" s="0" t="s">
        <v>10549</v>
      </c>
      <c r="P1972" s="0" t="s">
        <v>10550</v>
      </c>
      <c r="Q1972" s="2" t="n">
        <v>43642</v>
      </c>
      <c r="S1972" s="0" t="n">
        <f aca="false">YEAR(Q1972)</f>
        <v>2019</v>
      </c>
      <c r="T1972" s="0" t="n">
        <f aca="false">MONTH(Q1972)</f>
        <v>6</v>
      </c>
    </row>
    <row r="1973" customFormat="false" ht="14.25" hidden="true" customHeight="false" outlineLevel="0" collapsed="false">
      <c r="A1973" s="0" t="n">
        <v>1978</v>
      </c>
      <c r="B1973" s="1" t="s">
        <v>1212</v>
      </c>
      <c r="C1973" s="1" t="s">
        <v>1479</v>
      </c>
      <c r="D1973" s="1" t="s">
        <v>1487</v>
      </c>
      <c r="E1973" s="4" t="s">
        <v>1488</v>
      </c>
      <c r="F1973" s="0" t="s">
        <v>49</v>
      </c>
      <c r="G1973" s="0" t="s">
        <v>10551</v>
      </c>
      <c r="I1973" s="6" t="n">
        <v>0.791666666666667</v>
      </c>
      <c r="J1973" s="6" t="n">
        <v>0.797916666666667</v>
      </c>
      <c r="K1973" s="0" t="n">
        <v>20</v>
      </c>
      <c r="L1973" s="0" t="n">
        <v>40</v>
      </c>
      <c r="M1973" s="0" t="s">
        <v>10552</v>
      </c>
      <c r="N1973" s="0" t="s">
        <v>10553</v>
      </c>
      <c r="P1973" s="0" t="s">
        <v>10554</v>
      </c>
      <c r="Q1973" s="2" t="n">
        <v>43642</v>
      </c>
      <c r="S1973" s="0" t="n">
        <f aca="false">YEAR(Q1973)</f>
        <v>2019</v>
      </c>
      <c r="T1973" s="0" t="n">
        <f aca="false">MONTH(Q1973)</f>
        <v>6</v>
      </c>
    </row>
    <row r="1974" customFormat="false" ht="14.25" hidden="true" customHeight="false" outlineLevel="0" collapsed="false">
      <c r="A1974" s="0" t="n">
        <v>1979</v>
      </c>
      <c r="B1974" s="1" t="s">
        <v>1212</v>
      </c>
      <c r="C1974" s="1" t="s">
        <v>1479</v>
      </c>
      <c r="D1974" s="1" t="s">
        <v>1535</v>
      </c>
      <c r="E1974" s="0" t="s">
        <v>39</v>
      </c>
      <c r="F1974" s="0" t="s">
        <v>49</v>
      </c>
      <c r="G1974" s="0" t="s">
        <v>10555</v>
      </c>
      <c r="I1974" s="6" t="n">
        <v>0.875</v>
      </c>
      <c r="J1974" s="6" t="n">
        <v>0.88125</v>
      </c>
      <c r="L1974" s="0" t="n">
        <v>80</v>
      </c>
      <c r="M1974" s="0" t="s">
        <v>10556</v>
      </c>
      <c r="N1974" s="0" t="s">
        <v>4484</v>
      </c>
      <c r="P1974" s="0" t="s">
        <v>10557</v>
      </c>
      <c r="Q1974" s="2" t="n">
        <v>43642</v>
      </c>
      <c r="S1974" s="0" t="n">
        <f aca="false">YEAR(Q1974)</f>
        <v>2019</v>
      </c>
      <c r="T1974" s="0" t="n">
        <f aca="false">MONTH(Q1974)</f>
        <v>6</v>
      </c>
    </row>
    <row r="1975" customFormat="false" ht="14.25" hidden="true" customHeight="false" outlineLevel="0" collapsed="false">
      <c r="A1975" s="0" t="n">
        <v>1980</v>
      </c>
      <c r="B1975" s="1" t="s">
        <v>1213</v>
      </c>
      <c r="C1975" s="1" t="s">
        <v>1479</v>
      </c>
      <c r="D1975" s="1" t="s">
        <v>1496</v>
      </c>
      <c r="E1975" s="0" t="s">
        <v>38</v>
      </c>
      <c r="F1975" s="0" t="s">
        <v>48</v>
      </c>
      <c r="G1975" s="0" t="s">
        <v>10558</v>
      </c>
      <c r="J1975" s="6" t="n">
        <v>0.457638888888889</v>
      </c>
      <c r="L1975" s="0" t="n">
        <v>0</v>
      </c>
      <c r="M1975" s="0" t="s">
        <v>10559</v>
      </c>
      <c r="N1975" s="0" t="s">
        <v>10560</v>
      </c>
      <c r="P1975" s="0" t="s">
        <v>10561</v>
      </c>
      <c r="Q1975" s="2" t="n">
        <v>43643</v>
      </c>
      <c r="S1975" s="0" t="n">
        <f aca="false">YEAR(Q1975)</f>
        <v>2019</v>
      </c>
      <c r="T1975" s="0" t="n">
        <f aca="false">MONTH(Q1975)</f>
        <v>6</v>
      </c>
    </row>
    <row r="1976" customFormat="false" ht="14.25" hidden="true" customHeight="false" outlineLevel="0" collapsed="false">
      <c r="A1976" s="0" t="n">
        <v>1981</v>
      </c>
      <c r="B1976" s="1" t="s">
        <v>1215</v>
      </c>
      <c r="C1976" s="1" t="s">
        <v>1479</v>
      </c>
      <c r="D1976" s="1" t="s">
        <v>1496</v>
      </c>
      <c r="E1976" s="0" t="s">
        <v>38</v>
      </c>
      <c r="F1976" s="0" t="s">
        <v>48</v>
      </c>
      <c r="G1976" s="0" t="s">
        <v>10562</v>
      </c>
      <c r="I1976" s="6" t="n">
        <v>0.350694444444444</v>
      </c>
      <c r="K1976" s="0" t="n">
        <v>0</v>
      </c>
      <c r="L1976" s="0" t="n">
        <v>15</v>
      </c>
      <c r="M1976" s="0" t="s">
        <v>10563</v>
      </c>
      <c r="N1976" s="0" t="s">
        <v>3545</v>
      </c>
      <c r="P1976" s="0" t="s">
        <v>10564</v>
      </c>
      <c r="Q1976" s="2" t="n">
        <v>43647</v>
      </c>
      <c r="S1976" s="0" t="n">
        <f aca="false">YEAR(Q1976)</f>
        <v>2019</v>
      </c>
      <c r="T1976" s="0" t="n">
        <f aca="false">MONTH(Q1976)</f>
        <v>7</v>
      </c>
    </row>
    <row r="1977" customFormat="false" ht="14.25" hidden="true" customHeight="false" outlineLevel="0" collapsed="false">
      <c r="A1977" s="0" t="n">
        <v>1982</v>
      </c>
      <c r="B1977" s="1" t="s">
        <v>1215</v>
      </c>
      <c r="C1977" s="1" t="s">
        <v>1479</v>
      </c>
      <c r="D1977" s="1" t="s">
        <v>1487</v>
      </c>
      <c r="E1977" s="0" t="s">
        <v>1488</v>
      </c>
      <c r="F1977" s="0" t="s">
        <v>48</v>
      </c>
      <c r="G1977" s="0" t="s">
        <v>10565</v>
      </c>
      <c r="I1977" s="6" t="n">
        <v>0.415972222222222</v>
      </c>
      <c r="K1977" s="0" t="n">
        <v>0</v>
      </c>
      <c r="L1977" s="0" t="n">
        <v>14</v>
      </c>
      <c r="M1977" s="0" t="s">
        <v>10566</v>
      </c>
      <c r="N1977" s="0" t="s">
        <v>10567</v>
      </c>
      <c r="P1977" s="0" t="s">
        <v>10568</v>
      </c>
      <c r="Q1977" s="2" t="n">
        <v>43647</v>
      </c>
      <c r="S1977" s="0" t="n">
        <f aca="false">YEAR(Q1977)</f>
        <v>2019</v>
      </c>
      <c r="T1977" s="0" t="n">
        <f aca="false">MONTH(Q1977)</f>
        <v>7</v>
      </c>
    </row>
    <row r="1978" customFormat="false" ht="14.25" hidden="true" customHeight="false" outlineLevel="0" collapsed="false">
      <c r="A1978" s="0" t="n">
        <v>1983</v>
      </c>
      <c r="B1978" s="1" t="s">
        <v>1215</v>
      </c>
      <c r="C1978" s="1" t="s">
        <v>1503</v>
      </c>
      <c r="D1978" s="1" t="s">
        <v>1535</v>
      </c>
      <c r="E1978" s="0" t="s">
        <v>10569</v>
      </c>
      <c r="F1978" s="0" t="s">
        <v>48</v>
      </c>
      <c r="G1978" s="0" t="s">
        <v>10570</v>
      </c>
      <c r="I1978" s="6" t="n">
        <v>0.236111111111111</v>
      </c>
      <c r="J1978" s="6" t="n">
        <v>0</v>
      </c>
      <c r="K1978" s="0" t="n">
        <v>0</v>
      </c>
      <c r="L1978" s="0" t="n">
        <v>420</v>
      </c>
      <c r="M1978" s="0" t="s">
        <v>10571</v>
      </c>
      <c r="N1978" s="0" t="s">
        <v>10572</v>
      </c>
      <c r="P1978" s="0" t="s">
        <v>10573</v>
      </c>
      <c r="Q1978" s="2" t="n">
        <v>43647</v>
      </c>
      <c r="S1978" s="0" t="n">
        <f aca="false">YEAR(Q1978)</f>
        <v>2019</v>
      </c>
      <c r="T1978" s="0" t="n">
        <f aca="false">MONTH(Q1978)</f>
        <v>7</v>
      </c>
    </row>
    <row r="1979" customFormat="false" ht="14.25" hidden="true" customHeight="false" outlineLevel="0" collapsed="false">
      <c r="A1979" s="0" t="n">
        <v>1984</v>
      </c>
      <c r="B1979" s="1" t="s">
        <v>1215</v>
      </c>
      <c r="C1979" s="1" t="s">
        <v>1479</v>
      </c>
      <c r="D1979" s="1" t="s">
        <v>1487</v>
      </c>
      <c r="E1979" s="0" t="s">
        <v>1488</v>
      </c>
      <c r="F1979" s="0" t="s">
        <v>48</v>
      </c>
      <c r="G1979" s="0" t="s">
        <v>10574</v>
      </c>
      <c r="I1979" s="6" t="n">
        <v>0.523611111111111</v>
      </c>
      <c r="J1979" s="6" t="n">
        <v>0.527777777777778</v>
      </c>
      <c r="L1979" s="0" t="n">
        <v>120</v>
      </c>
      <c r="M1979" s="0" t="s">
        <v>4891</v>
      </c>
      <c r="N1979" s="0" t="s">
        <v>10575</v>
      </c>
      <c r="P1979" s="0" t="s">
        <v>10576</v>
      </c>
      <c r="Q1979" s="2" t="n">
        <v>43647</v>
      </c>
      <c r="S1979" s="0" t="n">
        <f aca="false">YEAR(Q1979)</f>
        <v>2019</v>
      </c>
      <c r="T1979" s="0" t="n">
        <f aca="false">MONTH(Q1979)</f>
        <v>7</v>
      </c>
    </row>
    <row r="1980" customFormat="false" ht="14.25" hidden="true" customHeight="false" outlineLevel="0" collapsed="false">
      <c r="A1980" s="0" t="n">
        <v>1985</v>
      </c>
      <c r="B1980" s="1" t="s">
        <v>1215</v>
      </c>
      <c r="C1980" s="1" t="s">
        <v>1479</v>
      </c>
      <c r="D1980" s="1" t="s">
        <v>1487</v>
      </c>
      <c r="E1980" s="0" t="s">
        <v>1488</v>
      </c>
      <c r="F1980" s="0" t="s">
        <v>49</v>
      </c>
      <c r="G1980" s="0" t="s">
        <v>10577</v>
      </c>
      <c r="I1980" s="6" t="n">
        <v>0.611111111111111</v>
      </c>
      <c r="J1980" s="6" t="n">
        <v>0.601388888888889</v>
      </c>
      <c r="L1980" s="0" t="n">
        <v>90</v>
      </c>
      <c r="M1980" s="0" t="s">
        <v>10578</v>
      </c>
      <c r="N1980" s="0" t="s">
        <v>10579</v>
      </c>
      <c r="P1980" s="0" t="s">
        <v>10580</v>
      </c>
      <c r="Q1980" s="2" t="n">
        <v>43647</v>
      </c>
      <c r="S1980" s="0" t="n">
        <f aca="false">YEAR(Q1980)</f>
        <v>2019</v>
      </c>
      <c r="T1980" s="0" t="n">
        <f aca="false">MONTH(Q1980)</f>
        <v>7</v>
      </c>
    </row>
    <row r="1981" customFormat="false" ht="14.25" hidden="true" customHeight="false" outlineLevel="0" collapsed="false">
      <c r="A1981" s="0" t="n">
        <v>1986</v>
      </c>
      <c r="B1981" s="1" t="s">
        <v>1216</v>
      </c>
      <c r="C1981" s="1" t="s">
        <v>1479</v>
      </c>
      <c r="D1981" s="1" t="s">
        <v>1487</v>
      </c>
      <c r="E1981" s="0" t="s">
        <v>1488</v>
      </c>
      <c r="F1981" s="0" t="s">
        <v>48</v>
      </c>
      <c r="G1981" s="0" t="s">
        <v>10581</v>
      </c>
      <c r="I1981" s="0" t="n">
        <v>0.315277777777778</v>
      </c>
      <c r="J1981" s="6" t="n">
        <v>0.290972222222222</v>
      </c>
      <c r="L1981" s="0" t="n">
        <v>70</v>
      </c>
      <c r="M1981" s="0" t="s">
        <v>10582</v>
      </c>
      <c r="N1981" s="0" t="s">
        <v>10583</v>
      </c>
      <c r="P1981" s="0" t="s">
        <v>10584</v>
      </c>
      <c r="Q1981" s="2" t="n">
        <v>43648</v>
      </c>
      <c r="S1981" s="0" t="n">
        <f aca="false">YEAR(Q1981)</f>
        <v>2019</v>
      </c>
      <c r="T1981" s="0" t="n">
        <f aca="false">MONTH(Q1981)</f>
        <v>7</v>
      </c>
    </row>
    <row r="1982" customFormat="false" ht="14.25" hidden="true" customHeight="false" outlineLevel="0" collapsed="false">
      <c r="A1982" s="0" t="n">
        <v>1987</v>
      </c>
      <c r="B1982" s="1" t="s">
        <v>1216</v>
      </c>
      <c r="C1982" s="1" t="s">
        <v>1503</v>
      </c>
      <c r="D1982" s="1" t="s">
        <v>1504</v>
      </c>
      <c r="E1982" s="0" t="s">
        <v>45</v>
      </c>
      <c r="F1982" s="0" t="s">
        <v>49</v>
      </c>
      <c r="G1982" s="0" t="s">
        <v>10585</v>
      </c>
      <c r="I1982" s="6" t="n">
        <v>0.597222222222222</v>
      </c>
      <c r="J1982" s="6" t="n">
        <v>0.666666666666667</v>
      </c>
      <c r="L1982" s="0" t="n">
        <v>200</v>
      </c>
      <c r="M1982" s="0" t="s">
        <v>10586</v>
      </c>
      <c r="N1982" s="0" t="s">
        <v>4484</v>
      </c>
      <c r="P1982" s="0" t="s">
        <v>10587</v>
      </c>
      <c r="Q1982" s="2" t="n">
        <v>43648</v>
      </c>
      <c r="S1982" s="0" t="n">
        <f aca="false">YEAR(Q1982)</f>
        <v>2019</v>
      </c>
      <c r="T1982" s="0" t="n">
        <f aca="false">MONTH(Q1982)</f>
        <v>7</v>
      </c>
    </row>
    <row r="1983" customFormat="false" ht="14.25" hidden="true" customHeight="false" outlineLevel="0" collapsed="false">
      <c r="A1983" s="0" t="n">
        <v>1988</v>
      </c>
      <c r="B1983" s="1" t="s">
        <v>1217</v>
      </c>
      <c r="C1983" s="1" t="s">
        <v>1479</v>
      </c>
      <c r="D1983" s="1" t="s">
        <v>1487</v>
      </c>
      <c r="E1983" s="0" t="s">
        <v>1488</v>
      </c>
      <c r="F1983" s="0" t="s">
        <v>48</v>
      </c>
      <c r="G1983" s="0" t="s">
        <v>10588</v>
      </c>
      <c r="I1983" s="6" t="n">
        <v>0.319444444444444</v>
      </c>
      <c r="J1983" s="6" t="n">
        <v>0.326388888888889</v>
      </c>
      <c r="L1983" s="0" t="n">
        <v>13</v>
      </c>
      <c r="M1983" s="0" t="s">
        <v>10589</v>
      </c>
      <c r="N1983" s="0" t="s">
        <v>10590</v>
      </c>
      <c r="P1983" s="0" t="s">
        <v>10591</v>
      </c>
      <c r="Q1983" s="2" t="n">
        <v>43649</v>
      </c>
      <c r="S1983" s="0" t="n">
        <f aca="false">YEAR(Q1983)</f>
        <v>2019</v>
      </c>
      <c r="T1983" s="0" t="n">
        <f aca="false">MONTH(Q1983)</f>
        <v>7</v>
      </c>
    </row>
    <row r="1984" customFormat="false" ht="14.25" hidden="true" customHeight="false" outlineLevel="0" collapsed="false">
      <c r="A1984" s="0" t="n">
        <v>1989</v>
      </c>
      <c r="B1984" s="1" t="s">
        <v>1217</v>
      </c>
      <c r="C1984" s="1" t="s">
        <v>1479</v>
      </c>
      <c r="D1984" s="1" t="s">
        <v>1487</v>
      </c>
      <c r="E1984" s="0" t="s">
        <v>1488</v>
      </c>
      <c r="F1984" s="0" t="s">
        <v>49</v>
      </c>
      <c r="G1984" s="0" t="s">
        <v>10592</v>
      </c>
      <c r="I1984" s="6" t="n">
        <v>0.65</v>
      </c>
      <c r="J1984" s="6" t="n">
        <v>0.654166666666667</v>
      </c>
      <c r="L1984" s="0" t="n">
        <v>10</v>
      </c>
      <c r="M1984" s="0" t="s">
        <v>10593</v>
      </c>
      <c r="N1984" s="0" t="s">
        <v>10594</v>
      </c>
      <c r="P1984" s="0" t="s">
        <v>10595</v>
      </c>
      <c r="Q1984" s="2" t="n">
        <v>43649</v>
      </c>
      <c r="S1984" s="0" t="n">
        <f aca="false">YEAR(Q1984)</f>
        <v>2019</v>
      </c>
      <c r="T1984" s="0" t="n">
        <f aca="false">MONTH(Q1984)</f>
        <v>7</v>
      </c>
    </row>
    <row r="1985" customFormat="false" ht="14.25" hidden="true" customHeight="false" outlineLevel="0" collapsed="false">
      <c r="A1985" s="0" t="n">
        <v>1990</v>
      </c>
      <c r="B1985" s="1" t="s">
        <v>1217</v>
      </c>
      <c r="C1985" s="1" t="s">
        <v>1503</v>
      </c>
      <c r="D1985" s="1" t="s">
        <v>1504</v>
      </c>
      <c r="E1985" s="0" t="s">
        <v>45</v>
      </c>
      <c r="F1985" s="0" t="s">
        <v>49</v>
      </c>
      <c r="G1985" s="0" t="s">
        <v>10596</v>
      </c>
      <c r="I1985" s="6" t="n">
        <v>0.791666666666667</v>
      </c>
      <c r="J1985" s="6" t="n">
        <v>0.833333333333333</v>
      </c>
      <c r="L1985" s="0" t="n">
        <v>120</v>
      </c>
      <c r="M1985" s="0" t="s">
        <v>10597</v>
      </c>
      <c r="N1985" s="0" t="s">
        <v>10598</v>
      </c>
      <c r="P1985" s="0" t="s">
        <v>10599</v>
      </c>
      <c r="Q1985" s="2" t="n">
        <v>43649</v>
      </c>
      <c r="S1985" s="0" t="n">
        <f aca="false">YEAR(Q1985)</f>
        <v>2019</v>
      </c>
      <c r="T1985" s="0" t="n">
        <f aca="false">MONTH(Q1985)</f>
        <v>7</v>
      </c>
    </row>
    <row r="1986" customFormat="false" ht="14.25" hidden="true" customHeight="false" outlineLevel="0" collapsed="false">
      <c r="A1986" s="0" t="n">
        <v>1991</v>
      </c>
      <c r="B1986" s="1" t="s">
        <v>1218</v>
      </c>
      <c r="C1986" s="1" t="s">
        <v>1479</v>
      </c>
      <c r="D1986" s="1" t="s">
        <v>1535</v>
      </c>
      <c r="E1986" s="0" t="s">
        <v>39</v>
      </c>
      <c r="F1986" s="0" t="s">
        <v>48</v>
      </c>
      <c r="G1986" s="0" t="s">
        <v>8322</v>
      </c>
      <c r="I1986" s="6" t="n">
        <v>0.444444444444444</v>
      </c>
      <c r="K1986" s="0" t="n">
        <v>0</v>
      </c>
      <c r="L1986" s="0" t="n">
        <v>25</v>
      </c>
      <c r="M1986" s="0" t="s">
        <v>10600</v>
      </c>
      <c r="N1986" s="0" t="s">
        <v>10601</v>
      </c>
      <c r="P1986" s="0" t="s">
        <v>10602</v>
      </c>
      <c r="Q1986" s="2" t="n">
        <v>43650</v>
      </c>
      <c r="S1986" s="0" t="n">
        <f aca="false">YEAR(Q1986)</f>
        <v>2019</v>
      </c>
      <c r="T1986" s="0" t="n">
        <f aca="false">MONTH(Q1986)</f>
        <v>7</v>
      </c>
    </row>
    <row r="1987" customFormat="false" ht="14.25" hidden="true" customHeight="false" outlineLevel="0" collapsed="false">
      <c r="A1987" s="0" t="n">
        <v>1992</v>
      </c>
      <c r="B1987" s="1" t="s">
        <v>1218</v>
      </c>
      <c r="C1987" s="1" t="s">
        <v>1479</v>
      </c>
      <c r="D1987" s="1" t="s">
        <v>1487</v>
      </c>
      <c r="E1987" s="0" t="s">
        <v>1488</v>
      </c>
      <c r="F1987" s="0" t="s">
        <v>49</v>
      </c>
      <c r="G1987" s="0" t="s">
        <v>10603</v>
      </c>
      <c r="I1987" s="6" t="n">
        <v>0.675</v>
      </c>
      <c r="J1987" s="6" t="n">
        <v>0.682638888888889</v>
      </c>
      <c r="L1987" s="0" t="n">
        <v>60</v>
      </c>
      <c r="M1987" s="0" t="s">
        <v>10604</v>
      </c>
      <c r="N1987" s="0" t="s">
        <v>10605</v>
      </c>
      <c r="P1987" s="0" t="s">
        <v>10606</v>
      </c>
      <c r="Q1987" s="2" t="n">
        <v>43650</v>
      </c>
      <c r="S1987" s="0" t="n">
        <f aca="false">YEAR(Q1987)</f>
        <v>2019</v>
      </c>
      <c r="T1987" s="0" t="n">
        <f aca="false">MONTH(Q1987)</f>
        <v>7</v>
      </c>
    </row>
    <row r="1988" customFormat="false" ht="14.25" hidden="true" customHeight="false" outlineLevel="0" collapsed="false">
      <c r="A1988" s="0" t="n">
        <v>1993</v>
      </c>
      <c r="B1988" s="1" t="s">
        <v>1219</v>
      </c>
      <c r="C1988" s="1" t="s">
        <v>1479</v>
      </c>
      <c r="D1988" s="1" t="s">
        <v>1487</v>
      </c>
      <c r="E1988" s="0" t="s">
        <v>1488</v>
      </c>
      <c r="F1988" s="0" t="s">
        <v>49</v>
      </c>
      <c r="G1988" s="0" t="s">
        <v>8294</v>
      </c>
      <c r="I1988" s="6" t="n">
        <v>0.604166666666667</v>
      </c>
      <c r="J1988" s="6" t="n">
        <v>0.608333333333333</v>
      </c>
      <c r="M1988" s="0" t="s">
        <v>10607</v>
      </c>
      <c r="N1988" s="0" t="s">
        <v>10608</v>
      </c>
      <c r="P1988" s="0" t="s">
        <v>10609</v>
      </c>
      <c r="Q1988" s="2" t="n">
        <v>43651</v>
      </c>
      <c r="S1988" s="0" t="n">
        <f aca="false">YEAR(Q1988)</f>
        <v>2019</v>
      </c>
      <c r="T1988" s="0" t="n">
        <f aca="false">MONTH(Q1988)</f>
        <v>7</v>
      </c>
    </row>
    <row r="1989" customFormat="false" ht="14.25" hidden="true" customHeight="false" outlineLevel="0" collapsed="false">
      <c r="A1989" s="0" t="n">
        <v>1994</v>
      </c>
      <c r="B1989" s="1" t="s">
        <v>1219</v>
      </c>
      <c r="C1989" s="1" t="s">
        <v>1479</v>
      </c>
      <c r="D1989" s="1" t="s">
        <v>1487</v>
      </c>
      <c r="E1989" s="0" t="s">
        <v>1488</v>
      </c>
      <c r="F1989" s="0" t="s">
        <v>49</v>
      </c>
      <c r="G1989" s="0" t="s">
        <v>10610</v>
      </c>
      <c r="I1989" s="6" t="n">
        <v>0.675694444444444</v>
      </c>
      <c r="J1989" s="6" t="n">
        <v>0.6875</v>
      </c>
      <c r="L1989" s="0" t="n">
        <v>39</v>
      </c>
      <c r="M1989" s="0" t="s">
        <v>10611</v>
      </c>
      <c r="N1989" s="0" t="s">
        <v>10612</v>
      </c>
      <c r="P1989" s="0" t="s">
        <v>10613</v>
      </c>
      <c r="Q1989" s="2" t="n">
        <v>43651</v>
      </c>
      <c r="S1989" s="0" t="n">
        <f aca="false">YEAR(Q1989)</f>
        <v>2019</v>
      </c>
      <c r="T1989" s="0" t="n">
        <f aca="false">MONTH(Q1989)</f>
        <v>7</v>
      </c>
    </row>
    <row r="1990" customFormat="false" ht="14.25" hidden="true" customHeight="false" outlineLevel="0" collapsed="false">
      <c r="A1990" s="0" t="n">
        <v>1995</v>
      </c>
      <c r="B1990" s="1" t="s">
        <v>1219</v>
      </c>
      <c r="C1990" s="1" t="s">
        <v>1479</v>
      </c>
      <c r="D1990" s="1" t="s">
        <v>1535</v>
      </c>
      <c r="E1990" s="0" t="s">
        <v>39</v>
      </c>
      <c r="F1990" s="0" t="s">
        <v>50</v>
      </c>
      <c r="G1990" s="0" t="s">
        <v>10614</v>
      </c>
      <c r="I1990" s="6" t="n">
        <v>0.0138888888888889</v>
      </c>
      <c r="J1990" s="6" t="n">
        <v>0.0416666666666667</v>
      </c>
      <c r="K1990" s="0" t="n">
        <v>0</v>
      </c>
      <c r="L1990" s="0" t="n">
        <v>8</v>
      </c>
      <c r="M1990" s="0" t="s">
        <v>10615</v>
      </c>
      <c r="N1990" s="0" t="s">
        <v>10616</v>
      </c>
      <c r="P1990" s="0" t="s">
        <v>10617</v>
      </c>
      <c r="Q1990" s="2" t="n">
        <v>43651</v>
      </c>
      <c r="S1990" s="0" t="n">
        <f aca="false">YEAR(Q1990)</f>
        <v>2019</v>
      </c>
      <c r="T1990" s="0" t="n">
        <f aca="false">MONTH(Q1990)</f>
        <v>7</v>
      </c>
    </row>
    <row r="1991" customFormat="false" ht="14.25" hidden="true" customHeight="false" outlineLevel="0" collapsed="false">
      <c r="A1991" s="0" t="n">
        <v>1996</v>
      </c>
      <c r="B1991" s="1" t="s">
        <v>1219</v>
      </c>
      <c r="C1991" s="1" t="s">
        <v>1479</v>
      </c>
      <c r="D1991" s="1" t="s">
        <v>1480</v>
      </c>
      <c r="E1991" s="0" t="s">
        <v>43</v>
      </c>
      <c r="F1991" s="0" t="s">
        <v>50</v>
      </c>
      <c r="G1991" s="0" t="s">
        <v>10618</v>
      </c>
      <c r="J1991" s="6" t="n">
        <v>0.108333333333333</v>
      </c>
      <c r="M1991" s="0" t="s">
        <v>10619</v>
      </c>
      <c r="N1991" s="0" t="s">
        <v>10620</v>
      </c>
      <c r="P1991" s="0" t="s">
        <v>10621</v>
      </c>
      <c r="Q1991" s="2" t="n">
        <v>43651</v>
      </c>
      <c r="S1991" s="0" t="n">
        <f aca="false">YEAR(Q1991)</f>
        <v>2019</v>
      </c>
      <c r="T1991" s="0" t="n">
        <f aca="false">MONTH(Q1991)</f>
        <v>7</v>
      </c>
    </row>
    <row r="1992" customFormat="false" ht="14.25" hidden="true" customHeight="false" outlineLevel="0" collapsed="false">
      <c r="A1992" s="0" t="n">
        <v>1997</v>
      </c>
      <c r="B1992" s="1" t="s">
        <v>1219</v>
      </c>
      <c r="C1992" s="1" t="s">
        <v>1479</v>
      </c>
      <c r="D1992" s="1" t="s">
        <v>1496</v>
      </c>
      <c r="E1992" s="0" t="s">
        <v>38</v>
      </c>
      <c r="F1992" s="0" t="s">
        <v>50</v>
      </c>
      <c r="G1992" s="0" t="s">
        <v>10622</v>
      </c>
      <c r="J1992" s="6" t="n">
        <v>0.229166666666667</v>
      </c>
      <c r="K1992" s="0" t="n">
        <v>2</v>
      </c>
      <c r="M1992" s="0" t="s">
        <v>10623</v>
      </c>
      <c r="N1992" s="0" t="s">
        <v>10624</v>
      </c>
      <c r="P1992" s="0" t="s">
        <v>10625</v>
      </c>
      <c r="Q1992" s="2" t="n">
        <v>43651</v>
      </c>
      <c r="S1992" s="0" t="n">
        <f aca="false">YEAR(Q1992)</f>
        <v>2019</v>
      </c>
      <c r="T1992" s="0" t="n">
        <f aca="false">MONTH(Q1992)</f>
        <v>7</v>
      </c>
    </row>
    <row r="1993" customFormat="false" ht="14.25" hidden="true" customHeight="false" outlineLevel="0" collapsed="false">
      <c r="A1993" s="0" t="n">
        <v>1998</v>
      </c>
      <c r="B1993" s="1" t="s">
        <v>1220</v>
      </c>
      <c r="C1993" s="1" t="s">
        <v>1479</v>
      </c>
      <c r="D1993" s="1" t="s">
        <v>1535</v>
      </c>
      <c r="E1993" s="0" t="s">
        <v>39</v>
      </c>
      <c r="F1993" s="0" t="s">
        <v>50</v>
      </c>
      <c r="G1993" s="0" t="s">
        <v>10626</v>
      </c>
      <c r="I1993" s="6" t="n">
        <v>0.900694444444444</v>
      </c>
      <c r="J1993" s="6" t="n">
        <v>0.900694444444444</v>
      </c>
      <c r="K1993" s="0" t="n">
        <v>6</v>
      </c>
      <c r="M1993" s="0" t="s">
        <v>10627</v>
      </c>
      <c r="N1993" s="0" t="s">
        <v>10628</v>
      </c>
      <c r="P1993" s="0" t="s">
        <v>10629</v>
      </c>
      <c r="Q1993" s="2" t="n">
        <v>43653</v>
      </c>
      <c r="S1993" s="0" t="n">
        <f aca="false">YEAR(Q1993)</f>
        <v>2019</v>
      </c>
      <c r="T1993" s="0" t="n">
        <f aca="false">MONTH(Q1993)</f>
        <v>7</v>
      </c>
    </row>
    <row r="1994" customFormat="false" ht="14.25" hidden="true" customHeight="false" outlineLevel="0" collapsed="false">
      <c r="A1994" s="0" t="n">
        <v>1999</v>
      </c>
      <c r="B1994" s="1" t="s">
        <v>1220</v>
      </c>
      <c r="C1994" s="1" t="s">
        <v>1479</v>
      </c>
      <c r="D1994" s="1" t="s">
        <v>1535</v>
      </c>
      <c r="E1994" s="0" t="s">
        <v>39</v>
      </c>
      <c r="F1994" s="0" t="s">
        <v>50</v>
      </c>
      <c r="G1994" s="0" t="s">
        <v>10630</v>
      </c>
      <c r="I1994" s="6" t="n">
        <v>0.930555555555555</v>
      </c>
      <c r="J1994" s="6" t="n">
        <v>0.9375</v>
      </c>
      <c r="K1994" s="0" t="n">
        <v>36</v>
      </c>
      <c r="L1994" s="0" t="n">
        <v>35</v>
      </c>
      <c r="M1994" s="0" t="s">
        <v>10631</v>
      </c>
      <c r="N1994" s="0" t="s">
        <v>10632</v>
      </c>
      <c r="P1994" s="0" t="s">
        <v>10633</v>
      </c>
      <c r="Q1994" s="2" t="n">
        <v>43653</v>
      </c>
      <c r="S1994" s="0" t="n">
        <f aca="false">YEAR(Q1994)</f>
        <v>2019</v>
      </c>
      <c r="T1994" s="0" t="n">
        <f aca="false">MONTH(Q1994)</f>
        <v>7</v>
      </c>
    </row>
    <row r="1995" customFormat="false" ht="14.25" hidden="true" customHeight="false" outlineLevel="0" collapsed="false">
      <c r="A1995" s="0" t="n">
        <v>2000</v>
      </c>
      <c r="B1995" s="1" t="s">
        <v>1220</v>
      </c>
      <c r="C1995" s="1" t="s">
        <v>1479</v>
      </c>
      <c r="D1995" s="1" t="s">
        <v>1487</v>
      </c>
      <c r="E1995" s="4" t="s">
        <v>1488</v>
      </c>
      <c r="F1995" s="0" t="s">
        <v>50</v>
      </c>
      <c r="G1995" s="0" t="s">
        <v>10634</v>
      </c>
      <c r="I1995" s="6" t="n">
        <v>0.979166666666667</v>
      </c>
      <c r="J1995" s="6" t="n">
        <v>0.993055555555555</v>
      </c>
      <c r="K1995" s="0" t="n">
        <v>20</v>
      </c>
      <c r="L1995" s="0" t="n">
        <v>20</v>
      </c>
      <c r="M1995" s="0" t="s">
        <v>10635</v>
      </c>
      <c r="N1995" s="0" t="s">
        <v>10636</v>
      </c>
      <c r="P1995" s="0" t="s">
        <v>10637</v>
      </c>
      <c r="Q1995" s="2" t="n">
        <v>43653</v>
      </c>
      <c r="S1995" s="0" t="n">
        <f aca="false">YEAR(Q1995)</f>
        <v>2019</v>
      </c>
      <c r="T1995" s="0" t="n">
        <f aca="false">MONTH(Q1995)</f>
        <v>7</v>
      </c>
    </row>
    <row r="1996" customFormat="false" ht="14.25" hidden="true" customHeight="false" outlineLevel="0" collapsed="false">
      <c r="A1996" s="0" t="n">
        <v>2001</v>
      </c>
      <c r="B1996" s="1" t="s">
        <v>1220</v>
      </c>
      <c r="C1996" s="1" t="s">
        <v>1479</v>
      </c>
      <c r="D1996" s="1" t="s">
        <v>1487</v>
      </c>
      <c r="E1996" s="4" t="s">
        <v>1488</v>
      </c>
      <c r="F1996" s="0" t="s">
        <v>50</v>
      </c>
      <c r="G1996" s="0" t="s">
        <v>10638</v>
      </c>
      <c r="I1996" s="6" t="n">
        <v>0.979166666666667</v>
      </c>
      <c r="K1996" s="0" t="n">
        <v>15</v>
      </c>
      <c r="L1996" s="0" t="n">
        <v>15</v>
      </c>
      <c r="M1996" s="0" t="s">
        <v>10639</v>
      </c>
      <c r="N1996" s="0" t="s">
        <v>10640</v>
      </c>
      <c r="P1996" s="0" t="s">
        <v>10641</v>
      </c>
      <c r="Q1996" s="2" t="n">
        <v>43653</v>
      </c>
      <c r="S1996" s="0" t="n">
        <f aca="false">YEAR(Q1996)</f>
        <v>2019</v>
      </c>
      <c r="T1996" s="0" t="n">
        <f aca="false">MONTH(Q1996)</f>
        <v>7</v>
      </c>
    </row>
    <row r="1997" customFormat="false" ht="42.75" hidden="true" customHeight="false" outlineLevel="0" collapsed="false">
      <c r="A1997" s="0" t="n">
        <v>2002</v>
      </c>
      <c r="B1997" s="1" t="s">
        <v>1220</v>
      </c>
      <c r="C1997" s="1" t="s">
        <v>1479</v>
      </c>
      <c r="D1997" s="1" t="s">
        <v>1487</v>
      </c>
      <c r="E1997" s="0" t="s">
        <v>1488</v>
      </c>
      <c r="F1997" s="0" t="s">
        <v>50</v>
      </c>
      <c r="G1997" s="0" t="s">
        <v>10642</v>
      </c>
      <c r="I1997" s="6" t="n">
        <v>0.00694444444444444</v>
      </c>
      <c r="K1997" s="0" t="n">
        <v>60</v>
      </c>
      <c r="L1997" s="0" t="n">
        <v>60</v>
      </c>
      <c r="M1997" s="0" t="s">
        <v>10643</v>
      </c>
      <c r="N1997" s="0" t="s">
        <v>10644</v>
      </c>
      <c r="P1997" s="7" t="s">
        <v>10645</v>
      </c>
      <c r="Q1997" s="2" t="n">
        <v>43653</v>
      </c>
      <c r="S1997" s="0" t="n">
        <f aca="false">YEAR(Q1997)</f>
        <v>2019</v>
      </c>
      <c r="T1997" s="0" t="n">
        <f aca="false">MONTH(Q1997)</f>
        <v>7</v>
      </c>
    </row>
    <row r="1998" customFormat="false" ht="14.25" hidden="true" customHeight="false" outlineLevel="0" collapsed="false">
      <c r="A1998" s="0" t="n">
        <v>2003</v>
      </c>
      <c r="B1998" s="1" t="s">
        <v>1221</v>
      </c>
      <c r="C1998" s="1" t="s">
        <v>1503</v>
      </c>
      <c r="D1998" s="1" t="s">
        <v>1504</v>
      </c>
      <c r="E1998" s="0" t="s">
        <v>45</v>
      </c>
      <c r="F1998" s="0" t="s">
        <v>48</v>
      </c>
      <c r="G1998" s="0" t="s">
        <v>10646</v>
      </c>
      <c r="J1998" s="6" t="n">
        <v>0.269444444444444</v>
      </c>
      <c r="K1998" s="0" t="n">
        <v>0</v>
      </c>
      <c r="M1998" s="0" t="s">
        <v>10647</v>
      </c>
      <c r="N1998" s="0" t="s">
        <v>10648</v>
      </c>
      <c r="P1998" s="0" t="s">
        <v>10649</v>
      </c>
      <c r="Q1998" s="2" t="n">
        <v>43654</v>
      </c>
      <c r="S1998" s="0" t="n">
        <f aca="false">YEAR(Q1998)</f>
        <v>2019</v>
      </c>
      <c r="T1998" s="0" t="n">
        <f aca="false">MONTH(Q1998)</f>
        <v>7</v>
      </c>
    </row>
    <row r="1999" customFormat="false" ht="14.25" hidden="true" customHeight="false" outlineLevel="0" collapsed="false">
      <c r="A1999" s="0" t="n">
        <v>2004</v>
      </c>
      <c r="B1999" s="1" t="s">
        <v>1221</v>
      </c>
      <c r="C1999" s="1" t="s">
        <v>1495</v>
      </c>
      <c r="D1999" s="1" t="s">
        <v>1496</v>
      </c>
      <c r="E1999" s="0" t="s">
        <v>41</v>
      </c>
      <c r="F1999" s="0" t="s">
        <v>48</v>
      </c>
      <c r="G1999" s="0" t="s">
        <v>10650</v>
      </c>
      <c r="I1999" s="6" t="n">
        <v>0</v>
      </c>
      <c r="J1999" s="6" t="n">
        <v>0.321527777777778</v>
      </c>
      <c r="K1999" s="0" t="n">
        <v>0</v>
      </c>
      <c r="M1999" s="0" t="s">
        <v>10651</v>
      </c>
      <c r="N1999" s="0" t="s">
        <v>10652</v>
      </c>
      <c r="P1999" s="0" t="s">
        <v>10653</v>
      </c>
      <c r="Q1999" s="2" t="n">
        <v>43654</v>
      </c>
      <c r="S1999" s="0" t="n">
        <f aca="false">YEAR(Q1999)</f>
        <v>2019</v>
      </c>
      <c r="T1999" s="0" t="n">
        <f aca="false">MONTH(Q1999)</f>
        <v>7</v>
      </c>
    </row>
    <row r="2000" customFormat="false" ht="14.25" hidden="true" customHeight="false" outlineLevel="0" collapsed="false">
      <c r="A2000" s="0" t="n">
        <v>2005</v>
      </c>
      <c r="B2000" s="1" t="s">
        <v>1221</v>
      </c>
      <c r="C2000" s="1" t="s">
        <v>1479</v>
      </c>
      <c r="D2000" s="1" t="s">
        <v>1480</v>
      </c>
      <c r="E2000" s="0" t="s">
        <v>43</v>
      </c>
      <c r="F2000" s="0" t="s">
        <v>48</v>
      </c>
      <c r="G2000" s="0" t="s">
        <v>10654</v>
      </c>
      <c r="I2000" s="6" t="n">
        <v>0.270833333333333</v>
      </c>
      <c r="J2000" s="6" t="n">
        <v>0.331944444444444</v>
      </c>
      <c r="L2000" s="0" t="n">
        <v>240</v>
      </c>
      <c r="M2000" s="0" t="s">
        <v>10655</v>
      </c>
      <c r="N2000" s="0" t="s">
        <v>10656</v>
      </c>
      <c r="P2000" s="0" t="s">
        <v>10657</v>
      </c>
      <c r="Q2000" s="2" t="n">
        <v>43654</v>
      </c>
      <c r="S2000" s="0" t="n">
        <f aca="false">YEAR(Q2000)</f>
        <v>2019</v>
      </c>
      <c r="T2000" s="0" t="n">
        <f aca="false">MONTH(Q2000)</f>
        <v>7</v>
      </c>
    </row>
    <row r="2001" customFormat="false" ht="14.25" hidden="true" customHeight="false" outlineLevel="0" collapsed="false">
      <c r="A2001" s="0" t="n">
        <v>2006</v>
      </c>
      <c r="B2001" s="1" t="s">
        <v>1221</v>
      </c>
      <c r="C2001" s="1" t="s">
        <v>1479</v>
      </c>
      <c r="D2001" s="1" t="s">
        <v>1496</v>
      </c>
      <c r="E2001" s="0" t="s">
        <v>38</v>
      </c>
      <c r="F2001" s="0" t="s">
        <v>49</v>
      </c>
      <c r="G2001" s="0" t="s">
        <v>10658</v>
      </c>
      <c r="I2001" s="6" t="n">
        <v>0.621527777777778</v>
      </c>
      <c r="J2001" s="6" t="n">
        <v>0.625</v>
      </c>
      <c r="K2001" s="0" t="n">
        <v>20</v>
      </c>
      <c r="L2001" s="0" t="n">
        <v>16</v>
      </c>
      <c r="M2001" s="0" t="s">
        <v>10659</v>
      </c>
      <c r="N2001" s="0" t="s">
        <v>10660</v>
      </c>
      <c r="P2001" s="0" t="s">
        <v>10661</v>
      </c>
      <c r="Q2001" s="2" t="n">
        <v>43654</v>
      </c>
      <c r="S2001" s="0" t="n">
        <f aca="false">YEAR(Q2001)</f>
        <v>2019</v>
      </c>
      <c r="T2001" s="0" t="n">
        <f aca="false">MONTH(Q2001)</f>
        <v>7</v>
      </c>
    </row>
    <row r="2002" customFormat="false" ht="57" hidden="true" customHeight="false" outlineLevel="0" collapsed="false">
      <c r="A2002" s="0" t="n">
        <v>2007</v>
      </c>
      <c r="B2002" s="1" t="s">
        <v>1221</v>
      </c>
      <c r="C2002" s="1" t="s">
        <v>1479</v>
      </c>
      <c r="D2002" s="1" t="s">
        <v>1535</v>
      </c>
      <c r="E2002" s="0" t="s">
        <v>39</v>
      </c>
      <c r="F2002" s="0" t="s">
        <v>50</v>
      </c>
      <c r="G2002" s="0" t="s">
        <v>10662</v>
      </c>
      <c r="I2002" s="6" t="n">
        <v>0</v>
      </c>
      <c r="J2002" s="6" t="n">
        <v>0.00347222222222222</v>
      </c>
      <c r="K2002" s="0" t="n">
        <v>14</v>
      </c>
      <c r="L2002" s="0" t="n">
        <v>20</v>
      </c>
      <c r="M2002" s="0" t="s">
        <v>10663</v>
      </c>
      <c r="N2002" s="0" t="s">
        <v>10664</v>
      </c>
      <c r="P2002" s="7" t="s">
        <v>10665</v>
      </c>
      <c r="Q2002" s="2" t="n">
        <v>43654</v>
      </c>
      <c r="S2002" s="0" t="n">
        <f aca="false">YEAR(Q2002)</f>
        <v>2019</v>
      </c>
      <c r="T2002" s="0" t="n">
        <f aca="false">MONTH(Q2002)</f>
        <v>7</v>
      </c>
    </row>
    <row r="2003" customFormat="false" ht="14.25" hidden="true" customHeight="false" outlineLevel="0" collapsed="false">
      <c r="A2003" s="0" t="n">
        <v>2008</v>
      </c>
      <c r="B2003" s="1" t="s">
        <v>1222</v>
      </c>
      <c r="C2003" s="1" t="s">
        <v>1503</v>
      </c>
      <c r="D2003" s="1" t="s">
        <v>1648</v>
      </c>
      <c r="E2003" s="0" t="s">
        <v>1648</v>
      </c>
      <c r="F2003" s="0" t="s">
        <v>48</v>
      </c>
      <c r="G2003" s="0" t="s">
        <v>10666</v>
      </c>
      <c r="I2003" s="6" t="n">
        <v>0.791666666666667</v>
      </c>
      <c r="J2003" s="6" t="n">
        <v>0.436111111111111</v>
      </c>
      <c r="L2003" s="0" t="n">
        <v>936</v>
      </c>
      <c r="M2003" s="0" t="s">
        <v>10667</v>
      </c>
      <c r="N2003" s="0" t="s">
        <v>10668</v>
      </c>
      <c r="P2003" s="0" t="s">
        <v>10669</v>
      </c>
      <c r="Q2003" s="2" t="n">
        <v>43655</v>
      </c>
      <c r="S2003" s="0" t="n">
        <f aca="false">YEAR(Q2003)</f>
        <v>2019</v>
      </c>
      <c r="T2003" s="0" t="n">
        <f aca="false">MONTH(Q2003)</f>
        <v>7</v>
      </c>
    </row>
    <row r="2004" customFormat="false" ht="14.25" hidden="true" customHeight="false" outlineLevel="0" collapsed="false">
      <c r="A2004" s="0" t="n">
        <v>2009</v>
      </c>
      <c r="B2004" s="1" t="s">
        <v>1222</v>
      </c>
      <c r="C2004" s="1" t="s">
        <v>1479</v>
      </c>
      <c r="D2004" s="1" t="s">
        <v>1535</v>
      </c>
      <c r="E2004" s="0" t="s">
        <v>39</v>
      </c>
      <c r="F2004" s="0" t="s">
        <v>49</v>
      </c>
      <c r="G2004" s="0" t="s">
        <v>10670</v>
      </c>
      <c r="I2004" s="6" t="n">
        <v>0.590277777777778</v>
      </c>
      <c r="J2004" s="6" t="n">
        <v>0.611111111111111</v>
      </c>
      <c r="K2004" s="0" t="n">
        <v>50</v>
      </c>
      <c r="L2004" s="0" t="n">
        <v>150</v>
      </c>
      <c r="M2004" s="0" t="s">
        <v>10671</v>
      </c>
      <c r="N2004" s="0" t="s">
        <v>10672</v>
      </c>
      <c r="P2004" s="0" t="s">
        <v>10673</v>
      </c>
      <c r="Q2004" s="2" t="n">
        <v>43655</v>
      </c>
      <c r="S2004" s="0" t="n">
        <f aca="false">YEAR(Q2004)</f>
        <v>2019</v>
      </c>
      <c r="T2004" s="0" t="n">
        <f aca="false">MONTH(Q2004)</f>
        <v>7</v>
      </c>
    </row>
    <row r="2005" customFormat="false" ht="14.25" hidden="true" customHeight="false" outlineLevel="0" collapsed="false">
      <c r="A2005" s="0" t="n">
        <v>2010</v>
      </c>
      <c r="B2005" s="1" t="s">
        <v>1222</v>
      </c>
      <c r="C2005" s="1" t="s">
        <v>1503</v>
      </c>
      <c r="D2005" s="1" t="s">
        <v>1504</v>
      </c>
      <c r="E2005" s="0" t="s">
        <v>45</v>
      </c>
      <c r="F2005" s="0" t="s">
        <v>49</v>
      </c>
      <c r="G2005" s="0" t="s">
        <v>10674</v>
      </c>
      <c r="I2005" s="6" t="n">
        <v>0.236111111111111</v>
      </c>
      <c r="J2005" s="6" t="n">
        <v>0.75</v>
      </c>
      <c r="M2005" s="0" t="s">
        <v>10675</v>
      </c>
      <c r="N2005" s="0" t="s">
        <v>10676</v>
      </c>
      <c r="P2005" s="0" t="s">
        <v>10677</v>
      </c>
      <c r="Q2005" s="2" t="n">
        <v>43655</v>
      </c>
      <c r="S2005" s="0" t="n">
        <f aca="false">YEAR(Q2005)</f>
        <v>2019</v>
      </c>
      <c r="T2005" s="0" t="n">
        <f aca="false">MONTH(Q2005)</f>
        <v>7</v>
      </c>
    </row>
    <row r="2006" customFormat="false" ht="14.25" hidden="true" customHeight="false" outlineLevel="0" collapsed="false">
      <c r="A2006" s="0" t="n">
        <v>2011</v>
      </c>
      <c r="B2006" s="1" t="s">
        <v>1223</v>
      </c>
      <c r="C2006" s="1" t="s">
        <v>1479</v>
      </c>
      <c r="D2006" s="1" t="s">
        <v>1487</v>
      </c>
      <c r="E2006" s="0" t="s">
        <v>1488</v>
      </c>
      <c r="F2006" s="0" t="s">
        <v>48</v>
      </c>
      <c r="G2006" s="0" t="s">
        <v>9081</v>
      </c>
      <c r="I2006" s="6" t="n">
        <v>0.484722222222222</v>
      </c>
      <c r="J2006" s="6" t="n">
        <v>0.491666666666667</v>
      </c>
      <c r="L2006" s="0" t="n">
        <v>37</v>
      </c>
      <c r="M2006" s="0" t="s">
        <v>10678</v>
      </c>
      <c r="N2006" s="0" t="s">
        <v>10679</v>
      </c>
      <c r="P2006" s="0" t="s">
        <v>10680</v>
      </c>
      <c r="Q2006" s="2" t="n">
        <v>43656</v>
      </c>
      <c r="S2006" s="0" t="n">
        <f aca="false">YEAR(Q2006)</f>
        <v>2019</v>
      </c>
      <c r="T2006" s="0" t="n">
        <f aca="false">MONTH(Q2006)</f>
        <v>7</v>
      </c>
    </row>
    <row r="2007" customFormat="false" ht="14.25" hidden="true" customHeight="false" outlineLevel="0" collapsed="false">
      <c r="A2007" s="0" t="n">
        <v>2012</v>
      </c>
      <c r="B2007" s="1" t="s">
        <v>1223</v>
      </c>
      <c r="C2007" s="1" t="s">
        <v>1479</v>
      </c>
      <c r="D2007" s="1" t="s">
        <v>1487</v>
      </c>
      <c r="E2007" s="0" t="s">
        <v>1488</v>
      </c>
      <c r="F2007" s="0" t="s">
        <v>50</v>
      </c>
      <c r="G2007" s="0" t="s">
        <v>10681</v>
      </c>
      <c r="I2007" s="6" t="n">
        <v>0.131944444444444</v>
      </c>
      <c r="J2007" s="6" t="n">
        <v>0.146527777777778</v>
      </c>
      <c r="K2007" s="0" t="n">
        <v>0</v>
      </c>
      <c r="L2007" s="0" t="n">
        <v>35</v>
      </c>
      <c r="M2007" s="0" t="s">
        <v>10682</v>
      </c>
      <c r="N2007" s="0" t="s">
        <v>10683</v>
      </c>
      <c r="P2007" s="0" t="s">
        <v>10684</v>
      </c>
      <c r="Q2007" s="2" t="n">
        <v>43656</v>
      </c>
      <c r="S2007" s="0" t="n">
        <f aca="false">YEAR(Q2007)</f>
        <v>2019</v>
      </c>
      <c r="T2007" s="0" t="n">
        <f aca="false">MONTH(Q2007)</f>
        <v>7</v>
      </c>
    </row>
    <row r="2008" customFormat="false" ht="14.25" hidden="true" customHeight="false" outlineLevel="0" collapsed="false">
      <c r="A2008" s="0" t="n">
        <v>2013</v>
      </c>
      <c r="B2008" s="1" t="s">
        <v>1224</v>
      </c>
      <c r="C2008" s="1" t="s">
        <v>1479</v>
      </c>
      <c r="D2008" s="1" t="s">
        <v>1535</v>
      </c>
      <c r="E2008" s="0" t="s">
        <v>39</v>
      </c>
      <c r="F2008" s="0" t="s">
        <v>48</v>
      </c>
      <c r="G2008" s="0" t="s">
        <v>10685</v>
      </c>
      <c r="I2008" s="6" t="n">
        <v>0.229166666666667</v>
      </c>
      <c r="J2008" s="6" t="n">
        <v>0.286805555555556</v>
      </c>
      <c r="L2008" s="0" t="n">
        <v>90</v>
      </c>
      <c r="M2008" s="0" t="s">
        <v>10686</v>
      </c>
      <c r="N2008" s="0" t="s">
        <v>10687</v>
      </c>
      <c r="P2008" s="0" t="s">
        <v>10688</v>
      </c>
      <c r="Q2008" s="2" t="n">
        <v>43657</v>
      </c>
      <c r="S2008" s="0" t="n">
        <f aca="false">YEAR(Q2008)</f>
        <v>2019</v>
      </c>
      <c r="T2008" s="0" t="n">
        <f aca="false">MONTH(Q2008)</f>
        <v>7</v>
      </c>
    </row>
    <row r="2009" customFormat="false" ht="14.25" hidden="true" customHeight="false" outlineLevel="0" collapsed="false">
      <c r="A2009" s="0" t="n">
        <v>2014</v>
      </c>
      <c r="B2009" s="1" t="s">
        <v>1224</v>
      </c>
      <c r="C2009" s="1" t="s">
        <v>1479</v>
      </c>
      <c r="D2009" s="1" t="s">
        <v>1487</v>
      </c>
      <c r="E2009" s="0" t="s">
        <v>1488</v>
      </c>
      <c r="F2009" s="0" t="s">
        <v>48</v>
      </c>
      <c r="G2009" s="0" t="s">
        <v>10689</v>
      </c>
      <c r="I2009" s="6" t="n">
        <v>0.5625</v>
      </c>
      <c r="J2009" s="6" t="n">
        <v>0.570138888888889</v>
      </c>
      <c r="L2009" s="0" t="n">
        <v>70</v>
      </c>
      <c r="M2009" s="0" t="s">
        <v>10690</v>
      </c>
      <c r="N2009" s="0" t="s">
        <v>10691</v>
      </c>
      <c r="P2009" s="0" t="s">
        <v>10692</v>
      </c>
      <c r="Q2009" s="2" t="n">
        <v>43657</v>
      </c>
      <c r="S2009" s="0" t="n">
        <f aca="false">YEAR(Q2009)</f>
        <v>2019</v>
      </c>
      <c r="T2009" s="0" t="n">
        <f aca="false">MONTH(Q2009)</f>
        <v>7</v>
      </c>
    </row>
    <row r="2010" customFormat="false" ht="14.25" hidden="true" customHeight="false" outlineLevel="0" collapsed="false">
      <c r="A2010" s="0" t="n">
        <v>2015</v>
      </c>
      <c r="B2010" s="1" t="s">
        <v>1224</v>
      </c>
      <c r="C2010" s="1" t="s">
        <v>1479</v>
      </c>
      <c r="D2010" s="1" t="s">
        <v>1487</v>
      </c>
      <c r="E2010" s="0" t="s">
        <v>1488</v>
      </c>
      <c r="F2010" s="0" t="s">
        <v>49</v>
      </c>
      <c r="G2010" s="0" t="s">
        <v>10693</v>
      </c>
      <c r="I2010" s="6" t="n">
        <v>0.577777777777778</v>
      </c>
      <c r="J2010" s="6" t="n">
        <v>0.597222222222222</v>
      </c>
      <c r="L2010" s="0" t="n">
        <v>75</v>
      </c>
      <c r="M2010" s="0" t="s">
        <v>10694</v>
      </c>
      <c r="N2010" s="0" t="s">
        <v>10695</v>
      </c>
      <c r="P2010" s="0" t="s">
        <v>10696</v>
      </c>
      <c r="Q2010" s="2" t="n">
        <v>43657</v>
      </c>
      <c r="S2010" s="0" t="n">
        <f aca="false">YEAR(Q2010)</f>
        <v>2019</v>
      </c>
      <c r="T2010" s="0" t="n">
        <f aca="false">MONTH(Q2010)</f>
        <v>7</v>
      </c>
    </row>
    <row r="2011" customFormat="false" ht="14.25" hidden="true" customHeight="false" outlineLevel="0" collapsed="false">
      <c r="A2011" s="0" t="n">
        <v>2016</v>
      </c>
      <c r="B2011" s="1" t="s">
        <v>1225</v>
      </c>
      <c r="C2011" s="1" t="s">
        <v>1503</v>
      </c>
      <c r="D2011" s="1" t="s">
        <v>1504</v>
      </c>
      <c r="E2011" s="0" t="s">
        <v>45</v>
      </c>
      <c r="F2011" s="0" t="s">
        <v>48</v>
      </c>
      <c r="G2011" s="0" t="s">
        <v>10697</v>
      </c>
      <c r="J2011" s="6" t="n">
        <v>0.579861111111111</v>
      </c>
      <c r="M2011" s="0" t="s">
        <v>10698</v>
      </c>
      <c r="N2011" s="0" t="s">
        <v>10699</v>
      </c>
      <c r="P2011" s="0" t="s">
        <v>10700</v>
      </c>
      <c r="Q2011" s="2" t="n">
        <v>43658</v>
      </c>
      <c r="S2011" s="0" t="n">
        <f aca="false">YEAR(Q2011)</f>
        <v>2019</v>
      </c>
      <c r="T2011" s="0" t="n">
        <f aca="false">MONTH(Q2011)</f>
        <v>7</v>
      </c>
    </row>
    <row r="2012" customFormat="false" ht="14.25" hidden="true" customHeight="false" outlineLevel="0" collapsed="false">
      <c r="A2012" s="0" t="n">
        <v>2017</v>
      </c>
      <c r="B2012" s="1" t="s">
        <v>1226</v>
      </c>
      <c r="C2012" s="1" t="s">
        <v>1479</v>
      </c>
      <c r="D2012" s="1" t="s">
        <v>1496</v>
      </c>
      <c r="E2012" s="0" t="s">
        <v>38</v>
      </c>
      <c r="F2012" s="0" t="s">
        <v>50</v>
      </c>
      <c r="G2012" s="0" t="s">
        <v>10701</v>
      </c>
      <c r="I2012" s="6" t="n">
        <v>0.979166666666667</v>
      </c>
      <c r="J2012" s="6" t="n">
        <v>0</v>
      </c>
      <c r="K2012" s="0" t="n">
        <v>0</v>
      </c>
      <c r="L2012" s="0" t="n">
        <v>75</v>
      </c>
      <c r="M2012" s="0" t="s">
        <v>10702</v>
      </c>
      <c r="N2012" s="0" t="s">
        <v>10703</v>
      </c>
      <c r="P2012" s="0" t="s">
        <v>10704</v>
      </c>
      <c r="Q2012" s="2" t="n">
        <v>43660</v>
      </c>
      <c r="S2012" s="0" t="n">
        <f aca="false">YEAR(Q2012)</f>
        <v>2019</v>
      </c>
      <c r="T2012" s="0" t="n">
        <f aca="false">MONTH(Q2012)</f>
        <v>7</v>
      </c>
    </row>
    <row r="2013" customFormat="false" ht="14.25" hidden="true" customHeight="false" outlineLevel="0" collapsed="false">
      <c r="A2013" s="0" t="n">
        <v>2018</v>
      </c>
      <c r="B2013" s="1" t="s">
        <v>1226</v>
      </c>
      <c r="C2013" s="1" t="s">
        <v>1479</v>
      </c>
      <c r="D2013" s="1" t="s">
        <v>1535</v>
      </c>
      <c r="E2013" s="0" t="s">
        <v>39</v>
      </c>
      <c r="F2013" s="0" t="s">
        <v>50</v>
      </c>
      <c r="G2013" s="0" t="s">
        <v>10705</v>
      </c>
      <c r="I2013" s="6" t="n">
        <v>0.979166666666667</v>
      </c>
      <c r="J2013" s="6" t="n">
        <v>0.00694444444444444</v>
      </c>
      <c r="K2013" s="0" t="n">
        <v>2</v>
      </c>
      <c r="L2013" s="0" t="n">
        <v>5</v>
      </c>
      <c r="M2013" s="0" t="s">
        <v>10706</v>
      </c>
      <c r="N2013" s="0" t="s">
        <v>10707</v>
      </c>
      <c r="P2013" s="0" t="s">
        <v>10708</v>
      </c>
      <c r="Q2013" s="2" t="n">
        <v>43660</v>
      </c>
      <c r="S2013" s="0" t="n">
        <f aca="false">YEAR(Q2013)</f>
        <v>2019</v>
      </c>
      <c r="T2013" s="0" t="n">
        <f aca="false">MONTH(Q2013)</f>
        <v>7</v>
      </c>
    </row>
    <row r="2014" customFormat="false" ht="14.25" hidden="true" customHeight="false" outlineLevel="0" collapsed="false">
      <c r="A2014" s="0" t="n">
        <v>2019</v>
      </c>
      <c r="B2014" s="1" t="s">
        <v>1226</v>
      </c>
      <c r="C2014" s="1" t="s">
        <v>1479</v>
      </c>
      <c r="D2014" s="1" t="s">
        <v>1496</v>
      </c>
      <c r="E2014" s="0" t="s">
        <v>38</v>
      </c>
      <c r="F2014" s="0" t="s">
        <v>50</v>
      </c>
      <c r="G2014" s="0" t="s">
        <v>10412</v>
      </c>
      <c r="I2014" s="6" t="n">
        <v>0.03125</v>
      </c>
      <c r="J2014" s="6" t="n">
        <v>0.0375</v>
      </c>
      <c r="K2014" s="0" t="n">
        <v>15</v>
      </c>
      <c r="L2014" s="0" t="n">
        <v>40</v>
      </c>
      <c r="M2014" s="0" t="s">
        <v>10709</v>
      </c>
      <c r="N2014" s="0" t="s">
        <v>10710</v>
      </c>
      <c r="P2014" s="0" t="s">
        <v>10711</v>
      </c>
      <c r="Q2014" s="2" t="n">
        <v>43660</v>
      </c>
      <c r="S2014" s="0" t="n">
        <f aca="false">YEAR(Q2014)</f>
        <v>2019</v>
      </c>
      <c r="T2014" s="0" t="n">
        <f aca="false">MONTH(Q2014)</f>
        <v>7</v>
      </c>
    </row>
    <row r="2015" customFormat="false" ht="14.25" hidden="true" customHeight="false" outlineLevel="0" collapsed="false">
      <c r="A2015" s="0" t="n">
        <v>2020</v>
      </c>
      <c r="B2015" s="1" t="s">
        <v>1226</v>
      </c>
      <c r="C2015" s="1" t="s">
        <v>1479</v>
      </c>
      <c r="D2015" s="1" t="s">
        <v>1496</v>
      </c>
      <c r="E2015" s="0" t="s">
        <v>38</v>
      </c>
      <c r="F2015" s="0" t="s">
        <v>50</v>
      </c>
      <c r="G2015" s="0" t="s">
        <v>10712</v>
      </c>
      <c r="I2015" s="6" t="n">
        <v>0.993055555555555</v>
      </c>
      <c r="J2015" s="6" t="n">
        <v>0.0347222222222222</v>
      </c>
      <c r="L2015" s="0" t="n">
        <v>100</v>
      </c>
      <c r="M2015" s="0" t="s">
        <v>10713</v>
      </c>
      <c r="N2015" s="0" t="s">
        <v>10714</v>
      </c>
      <c r="P2015" s="0" t="s">
        <v>10715</v>
      </c>
      <c r="Q2015" s="2" t="n">
        <v>43660</v>
      </c>
      <c r="S2015" s="0" t="n">
        <f aca="false">YEAR(Q2015)</f>
        <v>2019</v>
      </c>
      <c r="T2015" s="0" t="n">
        <f aca="false">MONTH(Q2015)</f>
        <v>7</v>
      </c>
    </row>
    <row r="2016" customFormat="false" ht="14.25" hidden="true" customHeight="false" outlineLevel="0" collapsed="false">
      <c r="A2016" s="0" t="n">
        <v>2021</v>
      </c>
      <c r="B2016" s="1" t="s">
        <v>1226</v>
      </c>
      <c r="C2016" s="1" t="s">
        <v>1479</v>
      </c>
      <c r="D2016" s="1" t="s">
        <v>1496</v>
      </c>
      <c r="E2016" s="0" t="s">
        <v>38</v>
      </c>
      <c r="F2016" s="0" t="s">
        <v>50</v>
      </c>
      <c r="G2016" s="0" t="s">
        <v>10716</v>
      </c>
      <c r="I2016" s="6" t="n">
        <v>0</v>
      </c>
      <c r="J2016" s="6" t="n">
        <v>0</v>
      </c>
      <c r="M2016" s="0" t="s">
        <v>10717</v>
      </c>
      <c r="N2016" s="0" t="s">
        <v>10718</v>
      </c>
      <c r="P2016" s="0" t="s">
        <v>10719</v>
      </c>
      <c r="Q2016" s="2" t="n">
        <v>43660</v>
      </c>
      <c r="S2016" s="0" t="n">
        <f aca="false">YEAR(Q2016)</f>
        <v>2019</v>
      </c>
      <c r="T2016" s="0" t="n">
        <f aca="false">MONTH(Q2016)</f>
        <v>7</v>
      </c>
    </row>
    <row r="2017" customFormat="false" ht="14.25" hidden="true" customHeight="false" outlineLevel="0" collapsed="false">
      <c r="A2017" s="0" t="n">
        <v>2022</v>
      </c>
      <c r="B2017" s="1" t="s">
        <v>1226</v>
      </c>
      <c r="C2017" s="1" t="s">
        <v>1479</v>
      </c>
      <c r="D2017" s="1" t="s">
        <v>1535</v>
      </c>
      <c r="E2017" s="0" t="s">
        <v>39</v>
      </c>
      <c r="F2017" s="0" t="s">
        <v>50</v>
      </c>
      <c r="G2017" s="0" t="s">
        <v>10720</v>
      </c>
      <c r="I2017" s="6" t="n">
        <v>0.0625</v>
      </c>
      <c r="J2017" s="6" t="n">
        <v>0.0763888888888889</v>
      </c>
      <c r="M2017" s="0" t="s">
        <v>10721</v>
      </c>
      <c r="N2017" s="0" t="s">
        <v>10722</v>
      </c>
      <c r="P2017" s="0" t="s">
        <v>10723</v>
      </c>
      <c r="Q2017" s="2" t="n">
        <v>43660</v>
      </c>
      <c r="S2017" s="0" t="n">
        <f aca="false">YEAR(Q2017)</f>
        <v>2019</v>
      </c>
      <c r="T2017" s="0" t="n">
        <f aca="false">MONTH(Q2017)</f>
        <v>7</v>
      </c>
    </row>
    <row r="2018" customFormat="false" ht="14.25" hidden="true" customHeight="false" outlineLevel="0" collapsed="false">
      <c r="A2018" s="0" t="n">
        <v>2023</v>
      </c>
      <c r="B2018" s="1" t="s">
        <v>1229</v>
      </c>
      <c r="C2018" s="1" t="s">
        <v>1479</v>
      </c>
      <c r="D2018" s="1" t="s">
        <v>1487</v>
      </c>
      <c r="E2018" s="0" t="s">
        <v>1488</v>
      </c>
      <c r="F2018" s="0" t="s">
        <v>48</v>
      </c>
      <c r="G2018" s="0" t="s">
        <v>10724</v>
      </c>
      <c r="J2018" s="6" t="n">
        <v>0.340277777777778</v>
      </c>
      <c r="M2018" s="0" t="s">
        <v>10725</v>
      </c>
      <c r="N2018" s="0" t="s">
        <v>10726</v>
      </c>
      <c r="P2018" s="0" t="s">
        <v>10727</v>
      </c>
      <c r="Q2018" s="2" t="n">
        <v>43662</v>
      </c>
      <c r="S2018" s="0" t="n">
        <f aca="false">YEAR(Q2018)</f>
        <v>2019</v>
      </c>
      <c r="T2018" s="0" t="n">
        <f aca="false">MONTH(Q2018)</f>
        <v>7</v>
      </c>
    </row>
    <row r="2019" customFormat="false" ht="14.25" hidden="true" customHeight="false" outlineLevel="0" collapsed="false">
      <c r="A2019" s="0" t="n">
        <v>2024</v>
      </c>
      <c r="B2019" s="1" t="s">
        <v>1229</v>
      </c>
      <c r="C2019" s="1" t="s">
        <v>1479</v>
      </c>
      <c r="D2019" s="1" t="s">
        <v>1487</v>
      </c>
      <c r="E2019" s="0" t="s">
        <v>1488</v>
      </c>
      <c r="F2019" s="0" t="s">
        <v>50</v>
      </c>
      <c r="G2019" s="0" t="s">
        <v>10728</v>
      </c>
      <c r="I2019" s="6" t="n">
        <v>0.968055555555556</v>
      </c>
      <c r="J2019" s="6" t="n">
        <v>0.986111111111111</v>
      </c>
      <c r="L2019" s="0" t="n">
        <v>106</v>
      </c>
      <c r="M2019" s="0" t="s">
        <v>10729</v>
      </c>
      <c r="N2019" s="0" t="s">
        <v>10730</v>
      </c>
      <c r="P2019" s="0" t="s">
        <v>10731</v>
      </c>
      <c r="Q2019" s="2" t="n">
        <v>43662</v>
      </c>
      <c r="S2019" s="0" t="n">
        <f aca="false">YEAR(Q2019)</f>
        <v>2019</v>
      </c>
      <c r="T2019" s="0" t="n">
        <f aca="false">MONTH(Q2019)</f>
        <v>7</v>
      </c>
    </row>
    <row r="2020" customFormat="false" ht="14.25" hidden="true" customHeight="false" outlineLevel="0" collapsed="false">
      <c r="A2020" s="0" t="n">
        <v>2025</v>
      </c>
      <c r="B2020" s="1" t="s">
        <v>1229</v>
      </c>
      <c r="C2020" s="1" t="s">
        <v>1503</v>
      </c>
      <c r="D2020" s="1" t="s">
        <v>1648</v>
      </c>
      <c r="E2020" s="0" t="s">
        <v>10732</v>
      </c>
      <c r="F2020" s="0" t="s">
        <v>50</v>
      </c>
      <c r="G2020" s="0" t="s">
        <v>10733</v>
      </c>
      <c r="I2020" s="6" t="n">
        <v>0.0194444444444444</v>
      </c>
      <c r="J2020" s="6" t="n">
        <v>0.0416666666666667</v>
      </c>
      <c r="K2020" s="0" t="n">
        <v>0</v>
      </c>
      <c r="L2020" s="0" t="n">
        <v>60</v>
      </c>
      <c r="M2020" s="0" t="s">
        <v>10734</v>
      </c>
      <c r="N2020" s="0" t="s">
        <v>10735</v>
      </c>
      <c r="P2020" s="0" t="s">
        <v>10736</v>
      </c>
      <c r="Q2020" s="2" t="n">
        <v>43662</v>
      </c>
      <c r="S2020" s="0" t="n">
        <f aca="false">YEAR(Q2020)</f>
        <v>2019</v>
      </c>
      <c r="T2020" s="0" t="n">
        <f aca="false">MONTH(Q2020)</f>
        <v>7</v>
      </c>
    </row>
    <row r="2021" customFormat="false" ht="14.25" hidden="true" customHeight="false" outlineLevel="0" collapsed="false">
      <c r="A2021" s="0" t="n">
        <v>2026</v>
      </c>
      <c r="B2021" s="1" t="s">
        <v>1229</v>
      </c>
      <c r="C2021" s="1" t="s">
        <v>1479</v>
      </c>
      <c r="D2021" s="1" t="s">
        <v>1487</v>
      </c>
      <c r="E2021" s="4" t="s">
        <v>1488</v>
      </c>
      <c r="F2021" s="0" t="s">
        <v>50</v>
      </c>
      <c r="G2021" s="0" t="s">
        <v>10737</v>
      </c>
      <c r="I2021" s="6" t="n">
        <v>0.136805555555556</v>
      </c>
      <c r="J2021" s="6" t="n">
        <v>0.14375</v>
      </c>
      <c r="K2021" s="0" t="n">
        <v>15</v>
      </c>
      <c r="L2021" s="0" t="n">
        <v>16</v>
      </c>
      <c r="M2021" s="0" t="s">
        <v>10738</v>
      </c>
      <c r="N2021" s="0" t="s">
        <v>10739</v>
      </c>
      <c r="P2021" s="0" t="s">
        <v>10740</v>
      </c>
      <c r="Q2021" s="2" t="n">
        <v>43662</v>
      </c>
      <c r="S2021" s="0" t="n">
        <f aca="false">YEAR(Q2021)</f>
        <v>2019</v>
      </c>
      <c r="T2021" s="0" t="n">
        <f aca="false">MONTH(Q2021)</f>
        <v>7</v>
      </c>
    </row>
    <row r="2022" customFormat="false" ht="14.25" hidden="true" customHeight="false" outlineLevel="0" collapsed="false">
      <c r="A2022" s="0" t="n">
        <v>2027</v>
      </c>
      <c r="B2022" s="1" t="s">
        <v>1230</v>
      </c>
      <c r="C2022" s="1" t="s">
        <v>1479</v>
      </c>
      <c r="D2022" s="1" t="s">
        <v>1535</v>
      </c>
      <c r="E2022" s="0" t="s">
        <v>39</v>
      </c>
      <c r="F2022" s="0" t="s">
        <v>48</v>
      </c>
      <c r="G2022" s="0" t="s">
        <v>10741</v>
      </c>
      <c r="I2022" s="6" t="n">
        <v>0.328472222222222</v>
      </c>
      <c r="J2022" s="6" t="n">
        <v>0.331944444444444</v>
      </c>
      <c r="K2022" s="0" t="n">
        <v>23</v>
      </c>
      <c r="L2022" s="0" t="n">
        <v>60</v>
      </c>
      <c r="M2022" s="0" t="s">
        <v>10742</v>
      </c>
      <c r="N2022" s="0" t="s">
        <v>10743</v>
      </c>
      <c r="P2022" s="0" t="s">
        <v>10744</v>
      </c>
      <c r="Q2022" s="2" t="n">
        <v>43663</v>
      </c>
      <c r="S2022" s="0" t="n">
        <f aca="false">YEAR(Q2022)</f>
        <v>2019</v>
      </c>
      <c r="T2022" s="0" t="n">
        <f aca="false">MONTH(Q2022)</f>
        <v>7</v>
      </c>
    </row>
    <row r="2023" customFormat="false" ht="14.25" hidden="true" customHeight="false" outlineLevel="0" collapsed="false">
      <c r="A2023" s="0" t="n">
        <v>2028</v>
      </c>
      <c r="B2023" s="1" t="s">
        <v>1230</v>
      </c>
      <c r="C2023" s="1" t="s">
        <v>1479</v>
      </c>
      <c r="D2023" s="1" t="s">
        <v>1863</v>
      </c>
      <c r="E2023" s="0" t="s">
        <v>1863</v>
      </c>
      <c r="F2023" s="0" t="s">
        <v>48</v>
      </c>
      <c r="G2023" s="0" t="s">
        <v>10745</v>
      </c>
      <c r="I2023" s="6" t="n">
        <v>0.319444444444444</v>
      </c>
      <c r="J2023" s="6" t="n">
        <v>0.449305555555556</v>
      </c>
      <c r="L2023" s="0" t="n">
        <v>390</v>
      </c>
      <c r="M2023" s="0" t="s">
        <v>10746</v>
      </c>
      <c r="N2023" s="0" t="s">
        <v>10747</v>
      </c>
      <c r="P2023" s="0" t="s">
        <v>10748</v>
      </c>
      <c r="Q2023" s="2" t="n">
        <v>43663</v>
      </c>
      <c r="S2023" s="0" t="n">
        <f aca="false">YEAR(Q2023)</f>
        <v>2019</v>
      </c>
      <c r="T2023" s="0" t="n">
        <f aca="false">MONTH(Q2023)</f>
        <v>7</v>
      </c>
    </row>
    <row r="2024" customFormat="false" ht="14.25" hidden="true" customHeight="false" outlineLevel="0" collapsed="false">
      <c r="A2024" s="0" t="n">
        <v>2029</v>
      </c>
      <c r="B2024" s="1" t="s">
        <v>1230</v>
      </c>
      <c r="C2024" s="1" t="s">
        <v>1503</v>
      </c>
      <c r="D2024" s="1" t="s">
        <v>1504</v>
      </c>
      <c r="E2024" s="0" t="s">
        <v>45</v>
      </c>
      <c r="F2024" s="0" t="s">
        <v>49</v>
      </c>
      <c r="G2024" s="0" t="s">
        <v>10749</v>
      </c>
      <c r="J2024" s="6" t="n">
        <v>0.905555555555556</v>
      </c>
      <c r="M2024" s="0" t="s">
        <v>10750</v>
      </c>
      <c r="N2024" s="0" t="s">
        <v>3545</v>
      </c>
      <c r="P2024" s="0" t="s">
        <v>10751</v>
      </c>
      <c r="Q2024" s="2" t="n">
        <v>43663</v>
      </c>
      <c r="S2024" s="0" t="n">
        <f aca="false">YEAR(Q2024)</f>
        <v>2019</v>
      </c>
      <c r="T2024" s="0" t="n">
        <f aca="false">MONTH(Q2024)</f>
        <v>7</v>
      </c>
    </row>
    <row r="2025" customFormat="false" ht="14.25" hidden="true" customHeight="false" outlineLevel="0" collapsed="false">
      <c r="A2025" s="0" t="n">
        <v>2030</v>
      </c>
      <c r="B2025" s="1" t="s">
        <v>1230</v>
      </c>
      <c r="C2025" s="1" t="s">
        <v>1503</v>
      </c>
      <c r="D2025" s="1" t="s">
        <v>1535</v>
      </c>
      <c r="E2025" s="0" t="s">
        <v>44</v>
      </c>
      <c r="F2025" s="0" t="s">
        <v>50</v>
      </c>
      <c r="G2025" s="0" t="s">
        <v>8852</v>
      </c>
      <c r="M2025" s="0" t="s">
        <v>10752</v>
      </c>
      <c r="N2025" s="0" t="s">
        <v>10753</v>
      </c>
      <c r="P2025" s="0" t="s">
        <v>10754</v>
      </c>
      <c r="Q2025" s="2" t="n">
        <v>43663</v>
      </c>
      <c r="S2025" s="0" t="n">
        <f aca="false">YEAR(Q2025)</f>
        <v>2019</v>
      </c>
      <c r="T2025" s="0" t="n">
        <f aca="false">MONTH(Q2025)</f>
        <v>7</v>
      </c>
    </row>
    <row r="2026" customFormat="false" ht="14.25" hidden="true" customHeight="false" outlineLevel="0" collapsed="false">
      <c r="A2026" s="0" t="n">
        <v>2031</v>
      </c>
      <c r="B2026" s="1" t="s">
        <v>1231</v>
      </c>
      <c r="C2026" s="1" t="s">
        <v>1479</v>
      </c>
      <c r="D2026" s="1" t="s">
        <v>1863</v>
      </c>
      <c r="E2026" s="0" t="s">
        <v>10755</v>
      </c>
      <c r="F2026" s="0" t="s">
        <v>48</v>
      </c>
      <c r="G2026" s="0" t="s">
        <v>10756</v>
      </c>
      <c r="I2026" s="6" t="n">
        <v>0.236111111111111</v>
      </c>
      <c r="J2026" s="6" t="n">
        <v>0.277777777777778</v>
      </c>
      <c r="L2026" s="0" t="n">
        <v>90</v>
      </c>
      <c r="M2026" s="0" t="s">
        <v>10757</v>
      </c>
      <c r="N2026" s="0" t="s">
        <v>10758</v>
      </c>
      <c r="P2026" s="0" t="s">
        <v>10759</v>
      </c>
      <c r="Q2026" s="2" t="n">
        <v>43664</v>
      </c>
      <c r="S2026" s="0" t="n">
        <f aca="false">YEAR(Q2026)</f>
        <v>2019</v>
      </c>
      <c r="T2026" s="0" t="n">
        <f aca="false">MONTH(Q2026)</f>
        <v>7</v>
      </c>
    </row>
    <row r="2027" customFormat="false" ht="14.25" hidden="true" customHeight="false" outlineLevel="0" collapsed="false">
      <c r="A2027" s="0" t="n">
        <v>2032</v>
      </c>
      <c r="B2027" s="1" t="s">
        <v>1231</v>
      </c>
      <c r="C2027" s="1" t="s">
        <v>1479</v>
      </c>
      <c r="D2027" s="1" t="s">
        <v>1496</v>
      </c>
      <c r="E2027" s="0" t="s">
        <v>38</v>
      </c>
      <c r="F2027" s="0" t="s">
        <v>48</v>
      </c>
      <c r="G2027" s="0" t="s">
        <v>10558</v>
      </c>
      <c r="I2027" s="6" t="n">
        <v>0.517361111111111</v>
      </c>
      <c r="J2027" s="6" t="n">
        <v>0.534722222222222</v>
      </c>
      <c r="K2027" s="0" t="n">
        <v>0</v>
      </c>
      <c r="L2027" s="0" t="n">
        <v>30</v>
      </c>
      <c r="M2027" s="0" t="s">
        <v>10760</v>
      </c>
      <c r="N2027" s="0" t="s">
        <v>10761</v>
      </c>
      <c r="P2027" s="0" t="s">
        <v>10762</v>
      </c>
      <c r="Q2027" s="2" t="n">
        <v>43664</v>
      </c>
      <c r="S2027" s="0" t="n">
        <f aca="false">YEAR(Q2027)</f>
        <v>2019</v>
      </c>
      <c r="T2027" s="0" t="n">
        <f aca="false">MONTH(Q2027)</f>
        <v>7</v>
      </c>
    </row>
    <row r="2028" customFormat="false" ht="14.25" hidden="true" customHeight="false" outlineLevel="0" collapsed="false">
      <c r="A2028" s="0" t="n">
        <v>2033</v>
      </c>
      <c r="B2028" s="1" t="s">
        <v>1231</v>
      </c>
      <c r="C2028" s="1" t="s">
        <v>1503</v>
      </c>
      <c r="D2028" s="1" t="s">
        <v>1535</v>
      </c>
      <c r="E2028" s="0" t="s">
        <v>1503</v>
      </c>
      <c r="F2028" s="0" t="s">
        <v>50</v>
      </c>
      <c r="G2028" s="0" t="s">
        <v>4598</v>
      </c>
      <c r="I2028" s="6" t="n">
        <v>0.125</v>
      </c>
      <c r="J2028" s="6" t="n">
        <v>0.138888888888889</v>
      </c>
      <c r="M2028" s="0" t="s">
        <v>10763</v>
      </c>
      <c r="N2028" s="0" t="s">
        <v>10764</v>
      </c>
      <c r="P2028" s="0" t="s">
        <v>10765</v>
      </c>
      <c r="Q2028" s="2" t="n">
        <v>43664</v>
      </c>
      <c r="S2028" s="0" t="n">
        <f aca="false">YEAR(Q2028)</f>
        <v>2019</v>
      </c>
      <c r="T2028" s="0" t="n">
        <f aca="false">MONTH(Q2028)</f>
        <v>7</v>
      </c>
    </row>
    <row r="2029" customFormat="false" ht="14.25" hidden="true" customHeight="false" outlineLevel="0" collapsed="false">
      <c r="A2029" s="0" t="n">
        <v>2034</v>
      </c>
      <c r="B2029" s="1" t="s">
        <v>1233</v>
      </c>
      <c r="C2029" s="1" t="s">
        <v>1479</v>
      </c>
      <c r="D2029" s="1" t="s">
        <v>1487</v>
      </c>
      <c r="E2029" s="4" t="s">
        <v>1488</v>
      </c>
      <c r="F2029" s="0" t="s">
        <v>48</v>
      </c>
      <c r="G2029" s="0" t="s">
        <v>9170</v>
      </c>
      <c r="J2029" s="6" t="n">
        <v>0.284722222222222</v>
      </c>
      <c r="K2029" s="0" t="n">
        <v>61</v>
      </c>
      <c r="L2029" s="0" t="n">
        <v>90</v>
      </c>
      <c r="M2029" s="0" t="s">
        <v>10766</v>
      </c>
      <c r="N2029" s="0" t="s">
        <v>10767</v>
      </c>
      <c r="P2029" s="0" t="s">
        <v>10768</v>
      </c>
      <c r="Q2029" s="2" t="n">
        <v>43665</v>
      </c>
      <c r="S2029" s="0" t="n">
        <f aca="false">YEAR(Q2029)</f>
        <v>2019</v>
      </c>
      <c r="T2029" s="0" t="n">
        <f aca="false">MONTH(Q2029)</f>
        <v>7</v>
      </c>
    </row>
    <row r="2030" customFormat="false" ht="14.25" hidden="true" customHeight="false" outlineLevel="0" collapsed="false">
      <c r="A2030" s="0" t="n">
        <v>2035</v>
      </c>
      <c r="B2030" s="1" t="s">
        <v>1233</v>
      </c>
      <c r="C2030" s="1" t="s">
        <v>1503</v>
      </c>
      <c r="D2030" s="1" t="s">
        <v>1535</v>
      </c>
      <c r="E2030" s="0" t="s">
        <v>1503</v>
      </c>
      <c r="F2030" s="0" t="s">
        <v>49</v>
      </c>
      <c r="G2030" s="0" t="s">
        <v>10769</v>
      </c>
      <c r="I2030" s="6" t="n">
        <v>0.625</v>
      </c>
      <c r="J2030" s="6" t="n">
        <v>0.680555555555555</v>
      </c>
      <c r="K2030" s="0" t="n">
        <v>0</v>
      </c>
      <c r="M2030" s="0" t="s">
        <v>10770</v>
      </c>
      <c r="N2030" s="0" t="s">
        <v>7941</v>
      </c>
      <c r="P2030" s="0" t="s">
        <v>10771</v>
      </c>
      <c r="Q2030" s="2" t="n">
        <v>43665</v>
      </c>
      <c r="S2030" s="0" t="n">
        <f aca="false">YEAR(Q2030)</f>
        <v>2019</v>
      </c>
      <c r="T2030" s="0" t="n">
        <f aca="false">MONTH(Q2030)</f>
        <v>7</v>
      </c>
    </row>
    <row r="2031" customFormat="false" ht="14.25" hidden="true" customHeight="false" outlineLevel="0" collapsed="false">
      <c r="A2031" s="0" t="n">
        <v>2036</v>
      </c>
      <c r="B2031" s="1" t="s">
        <v>1233</v>
      </c>
      <c r="C2031" s="1" t="s">
        <v>1503</v>
      </c>
      <c r="D2031" s="1" t="s">
        <v>1535</v>
      </c>
      <c r="E2031" s="0" t="s">
        <v>1503</v>
      </c>
      <c r="F2031" s="0" t="s">
        <v>49</v>
      </c>
      <c r="G2031" s="0" t="s">
        <v>10772</v>
      </c>
      <c r="I2031" s="6" t="n">
        <v>0.361111111111111</v>
      </c>
      <c r="J2031" s="6" t="n">
        <v>0.375</v>
      </c>
      <c r="K2031" s="0" t="n">
        <v>0</v>
      </c>
      <c r="L2031" s="0" t="n">
        <v>60</v>
      </c>
      <c r="M2031" s="0" t="s">
        <v>10773</v>
      </c>
      <c r="N2031" s="0" t="s">
        <v>10774</v>
      </c>
      <c r="P2031" s="0" t="s">
        <v>10775</v>
      </c>
      <c r="Q2031" s="2" t="n">
        <v>43665</v>
      </c>
      <c r="S2031" s="0" t="n">
        <f aca="false">YEAR(Q2031)</f>
        <v>2019</v>
      </c>
      <c r="T2031" s="0" t="n">
        <f aca="false">MONTH(Q2031)</f>
        <v>7</v>
      </c>
    </row>
    <row r="2032" customFormat="false" ht="14.25" hidden="true" customHeight="false" outlineLevel="0" collapsed="false">
      <c r="A2032" s="0" t="n">
        <v>2037</v>
      </c>
      <c r="B2032" s="1" t="s">
        <v>1234</v>
      </c>
      <c r="C2032" s="1" t="s">
        <v>1479</v>
      </c>
      <c r="D2032" s="1" t="s">
        <v>1480</v>
      </c>
      <c r="E2032" s="0" t="s">
        <v>1479</v>
      </c>
      <c r="F2032" s="0" t="s">
        <v>48</v>
      </c>
      <c r="G2032" s="0" t="s">
        <v>10776</v>
      </c>
      <c r="I2032" s="6" t="n">
        <v>0.152777777777778</v>
      </c>
      <c r="J2032" s="6" t="n">
        <v>0.3125</v>
      </c>
      <c r="K2032" s="0" t="n">
        <v>0</v>
      </c>
      <c r="L2032" s="0" t="n">
        <v>320</v>
      </c>
      <c r="M2032" s="0" t="s">
        <v>10777</v>
      </c>
      <c r="N2032" s="0" t="s">
        <v>10778</v>
      </c>
      <c r="P2032" s="0" t="s">
        <v>10779</v>
      </c>
      <c r="Q2032" s="2" t="n">
        <v>43666</v>
      </c>
      <c r="S2032" s="0" t="n">
        <f aca="false">YEAR(Q2032)</f>
        <v>2019</v>
      </c>
      <c r="T2032" s="0" t="n">
        <f aca="false">MONTH(Q2032)</f>
        <v>7</v>
      </c>
    </row>
    <row r="2033" customFormat="false" ht="14.25" hidden="true" customHeight="false" outlineLevel="0" collapsed="false">
      <c r="A2033" s="0" t="n">
        <v>2038</v>
      </c>
      <c r="B2033" s="1" t="s">
        <v>1235</v>
      </c>
      <c r="C2033" s="1" t="s">
        <v>1479</v>
      </c>
      <c r="D2033" s="1" t="s">
        <v>1487</v>
      </c>
      <c r="E2033" s="0" t="s">
        <v>1488</v>
      </c>
      <c r="F2033" s="0" t="s">
        <v>48</v>
      </c>
      <c r="G2033" s="0" t="s">
        <v>7872</v>
      </c>
      <c r="K2033" s="0" t="n">
        <v>0</v>
      </c>
      <c r="M2033" s="0" t="s">
        <v>10780</v>
      </c>
      <c r="N2033" s="0" t="s">
        <v>10781</v>
      </c>
      <c r="P2033" s="0" t="s">
        <v>10782</v>
      </c>
      <c r="Q2033" s="2" t="n">
        <v>43668</v>
      </c>
      <c r="S2033" s="0" t="n">
        <f aca="false">YEAR(Q2033)</f>
        <v>2019</v>
      </c>
      <c r="T2033" s="0" t="n">
        <f aca="false">MONTH(Q2033)</f>
        <v>7</v>
      </c>
    </row>
    <row r="2034" customFormat="false" ht="14.25" hidden="true" customHeight="false" outlineLevel="0" collapsed="false">
      <c r="A2034" s="0" t="n">
        <v>2039</v>
      </c>
      <c r="B2034" s="1" t="s">
        <v>1235</v>
      </c>
      <c r="C2034" s="1" t="s">
        <v>1495</v>
      </c>
      <c r="D2034" s="1" t="s">
        <v>1487</v>
      </c>
      <c r="E2034" s="0" t="s">
        <v>1656</v>
      </c>
      <c r="F2034" s="0" t="s">
        <v>48</v>
      </c>
      <c r="G2034" s="0" t="s">
        <v>10783</v>
      </c>
      <c r="I2034" s="6" t="n">
        <v>0.488888888888889</v>
      </c>
      <c r="J2034" s="6" t="n">
        <v>0.538194444444444</v>
      </c>
      <c r="K2034" s="0" t="n">
        <v>6</v>
      </c>
      <c r="M2034" s="0" t="s">
        <v>10784</v>
      </c>
      <c r="N2034" s="0" t="s">
        <v>10785</v>
      </c>
      <c r="P2034" s="0" t="s">
        <v>10786</v>
      </c>
      <c r="Q2034" s="2" t="n">
        <v>43668</v>
      </c>
      <c r="S2034" s="0" t="n">
        <f aca="false">YEAR(Q2034)</f>
        <v>2019</v>
      </c>
      <c r="T2034" s="0" t="n">
        <f aca="false">MONTH(Q2034)</f>
        <v>7</v>
      </c>
    </row>
    <row r="2035" customFormat="false" ht="14.25" hidden="true" customHeight="false" outlineLevel="0" collapsed="false">
      <c r="A2035" s="0" t="n">
        <v>2040</v>
      </c>
      <c r="B2035" s="1" t="s">
        <v>1235</v>
      </c>
      <c r="C2035" s="1" t="s">
        <v>1503</v>
      </c>
      <c r="D2035" s="1" t="s">
        <v>1535</v>
      </c>
      <c r="E2035" s="0" t="s">
        <v>10787</v>
      </c>
      <c r="F2035" s="0" t="s">
        <v>49</v>
      </c>
      <c r="G2035" s="0" t="s">
        <v>10788</v>
      </c>
      <c r="J2035" s="6" t="n">
        <v>0.708333333333333</v>
      </c>
      <c r="L2035" s="0" t="n">
        <v>50</v>
      </c>
      <c r="M2035" s="0" t="s">
        <v>10789</v>
      </c>
      <c r="N2035" s="0" t="s">
        <v>10790</v>
      </c>
      <c r="P2035" s="0" t="s">
        <v>10791</v>
      </c>
      <c r="Q2035" s="2" t="n">
        <v>43668</v>
      </c>
      <c r="S2035" s="0" t="n">
        <f aca="false">YEAR(Q2035)</f>
        <v>2019</v>
      </c>
      <c r="T2035" s="0" t="n">
        <f aca="false">MONTH(Q2035)</f>
        <v>7</v>
      </c>
    </row>
    <row r="2036" customFormat="false" ht="14.25" hidden="true" customHeight="false" outlineLevel="0" collapsed="false">
      <c r="A2036" s="0" t="n">
        <v>2041</v>
      </c>
      <c r="B2036" s="1" t="s">
        <v>1235</v>
      </c>
      <c r="C2036" s="1" t="s">
        <v>1503</v>
      </c>
      <c r="D2036" s="1" t="s">
        <v>1535</v>
      </c>
      <c r="E2036" s="0" t="s">
        <v>1503</v>
      </c>
      <c r="F2036" s="0" t="s">
        <v>50</v>
      </c>
      <c r="G2036" s="0" t="s">
        <v>10792</v>
      </c>
      <c r="I2036" s="6" t="n">
        <v>0.9375</v>
      </c>
      <c r="J2036" s="6" t="n">
        <v>0.951388888888889</v>
      </c>
      <c r="M2036" s="0" t="s">
        <v>10793</v>
      </c>
      <c r="N2036" s="0" t="s">
        <v>10794</v>
      </c>
      <c r="P2036" s="0" t="s">
        <v>10795</v>
      </c>
      <c r="Q2036" s="2" t="n">
        <v>43668</v>
      </c>
      <c r="S2036" s="0" t="n">
        <f aca="false">YEAR(Q2036)</f>
        <v>2019</v>
      </c>
      <c r="T2036" s="0" t="n">
        <f aca="false">MONTH(Q2036)</f>
        <v>7</v>
      </c>
    </row>
    <row r="2037" customFormat="false" ht="14.25" hidden="true" customHeight="false" outlineLevel="0" collapsed="false">
      <c r="A2037" s="0" t="n">
        <v>2042</v>
      </c>
      <c r="B2037" s="1" t="s">
        <v>1235</v>
      </c>
      <c r="C2037" s="1" t="s">
        <v>1503</v>
      </c>
      <c r="D2037" s="1" t="s">
        <v>1535</v>
      </c>
      <c r="E2037" s="0" t="s">
        <v>1503</v>
      </c>
      <c r="F2037" s="0" t="s">
        <v>50</v>
      </c>
      <c r="G2037" s="0" t="s">
        <v>10796</v>
      </c>
      <c r="I2037" s="6" t="n">
        <v>0.9375</v>
      </c>
      <c r="J2037" s="6" t="n">
        <v>0.951388888888889</v>
      </c>
      <c r="M2037" s="0" t="s">
        <v>10797</v>
      </c>
      <c r="N2037" s="0" t="s">
        <v>10798</v>
      </c>
      <c r="P2037" s="0" t="s">
        <v>10799</v>
      </c>
      <c r="Q2037" s="2" t="n">
        <v>43668</v>
      </c>
      <c r="S2037" s="0" t="n">
        <f aca="false">YEAR(Q2037)</f>
        <v>2019</v>
      </c>
      <c r="T2037" s="0" t="n">
        <f aca="false">MONTH(Q2037)</f>
        <v>7</v>
      </c>
    </row>
    <row r="2038" customFormat="false" ht="14.25" hidden="true" customHeight="false" outlineLevel="0" collapsed="false">
      <c r="A2038" s="0" t="n">
        <v>2043</v>
      </c>
      <c r="B2038" s="1" t="s">
        <v>1236</v>
      </c>
      <c r="C2038" s="1" t="s">
        <v>1479</v>
      </c>
      <c r="D2038" s="1" t="s">
        <v>1535</v>
      </c>
      <c r="E2038" s="0" t="s">
        <v>39</v>
      </c>
      <c r="F2038" s="0" t="s">
        <v>49</v>
      </c>
      <c r="G2038" s="0" t="s">
        <v>10800</v>
      </c>
      <c r="J2038" s="6" t="n">
        <v>0.642361111111111</v>
      </c>
      <c r="K2038" s="0" t="n">
        <v>2</v>
      </c>
      <c r="L2038" s="0" t="n">
        <v>6</v>
      </c>
      <c r="M2038" s="0" t="s">
        <v>10801</v>
      </c>
      <c r="N2038" s="0" t="s">
        <v>10802</v>
      </c>
      <c r="P2038" s="0" t="s">
        <v>10803</v>
      </c>
      <c r="Q2038" s="2" t="n">
        <v>43669</v>
      </c>
      <c r="S2038" s="0" t="n">
        <f aca="false">YEAR(Q2038)</f>
        <v>2019</v>
      </c>
      <c r="T2038" s="0" t="n">
        <f aca="false">MONTH(Q2038)</f>
        <v>7</v>
      </c>
    </row>
    <row r="2039" customFormat="false" ht="14.25" hidden="true" customHeight="false" outlineLevel="0" collapsed="false">
      <c r="A2039" s="0" t="n">
        <v>2044</v>
      </c>
      <c r="B2039" s="1" t="s">
        <v>1236</v>
      </c>
      <c r="C2039" s="1" t="s">
        <v>1479</v>
      </c>
      <c r="D2039" s="1" t="s">
        <v>1487</v>
      </c>
      <c r="E2039" s="0" t="s">
        <v>1488</v>
      </c>
      <c r="F2039" s="0" t="s">
        <v>49</v>
      </c>
      <c r="G2039" s="0" t="s">
        <v>10804</v>
      </c>
      <c r="J2039" s="6" t="n">
        <v>0.826388888888889</v>
      </c>
      <c r="K2039" s="0" t="n">
        <v>37</v>
      </c>
      <c r="L2039" s="0" t="n">
        <v>45</v>
      </c>
      <c r="M2039" s="0" t="s">
        <v>10805</v>
      </c>
      <c r="N2039" s="0" t="s">
        <v>10806</v>
      </c>
      <c r="P2039" s="0" t="s">
        <v>10807</v>
      </c>
      <c r="Q2039" s="2" t="n">
        <v>43669</v>
      </c>
      <c r="S2039" s="0" t="n">
        <f aca="false">YEAR(Q2039)</f>
        <v>2019</v>
      </c>
      <c r="T2039" s="0" t="n">
        <f aca="false">MONTH(Q2039)</f>
        <v>7</v>
      </c>
    </row>
    <row r="2040" customFormat="false" ht="14.25" hidden="true" customHeight="false" outlineLevel="0" collapsed="false">
      <c r="A2040" s="0" t="n">
        <v>2045</v>
      </c>
      <c r="B2040" s="1" t="s">
        <v>1236</v>
      </c>
      <c r="C2040" s="1" t="s">
        <v>1479</v>
      </c>
      <c r="D2040" s="1" t="s">
        <v>1480</v>
      </c>
      <c r="E2040" s="0" t="s">
        <v>43</v>
      </c>
      <c r="F2040" s="0" t="s">
        <v>50</v>
      </c>
      <c r="G2040" s="0" t="s">
        <v>10808</v>
      </c>
      <c r="J2040" s="6" t="n">
        <v>0.0138888888888889</v>
      </c>
      <c r="M2040" s="0" t="s">
        <v>10809</v>
      </c>
      <c r="N2040" s="0" t="s">
        <v>10810</v>
      </c>
      <c r="P2040" s="0" t="s">
        <v>10811</v>
      </c>
      <c r="Q2040" s="2" t="n">
        <v>43669</v>
      </c>
      <c r="S2040" s="0" t="n">
        <f aca="false">YEAR(Q2040)</f>
        <v>2019</v>
      </c>
      <c r="T2040" s="0" t="n">
        <f aca="false">MONTH(Q2040)</f>
        <v>7</v>
      </c>
    </row>
    <row r="2041" customFormat="false" ht="14.25" hidden="true" customHeight="false" outlineLevel="0" collapsed="false">
      <c r="A2041" s="0" t="n">
        <v>2046</v>
      </c>
      <c r="B2041" s="1" t="s">
        <v>1236</v>
      </c>
      <c r="C2041" s="1" t="s">
        <v>1479</v>
      </c>
      <c r="D2041" s="1" t="s">
        <v>1487</v>
      </c>
      <c r="E2041" s="0" t="s">
        <v>1488</v>
      </c>
      <c r="F2041" s="0" t="s">
        <v>50</v>
      </c>
      <c r="G2041" s="0" t="s">
        <v>10812</v>
      </c>
      <c r="I2041" s="6" t="n">
        <v>0.0798611111111111</v>
      </c>
      <c r="J2041" s="6" t="n">
        <v>0.121527777777778</v>
      </c>
      <c r="M2041" s="0" t="s">
        <v>10813</v>
      </c>
      <c r="N2041" s="0" t="s">
        <v>10814</v>
      </c>
      <c r="P2041" s="0" t="s">
        <v>10815</v>
      </c>
      <c r="Q2041" s="2" t="n">
        <v>43669</v>
      </c>
      <c r="S2041" s="0" t="n">
        <f aca="false">YEAR(Q2041)</f>
        <v>2019</v>
      </c>
      <c r="T2041" s="0" t="n">
        <f aca="false">MONTH(Q2041)</f>
        <v>7</v>
      </c>
    </row>
    <row r="2042" customFormat="false" ht="14.25" hidden="true" customHeight="false" outlineLevel="0" collapsed="false">
      <c r="A2042" s="0" t="n">
        <v>2047</v>
      </c>
      <c r="B2042" s="1" t="s">
        <v>1237</v>
      </c>
      <c r="C2042" s="1" t="s">
        <v>1479</v>
      </c>
      <c r="D2042" s="1" t="s">
        <v>1480</v>
      </c>
      <c r="E2042" s="0" t="s">
        <v>43</v>
      </c>
      <c r="F2042" s="0" t="s">
        <v>48</v>
      </c>
      <c r="G2042" s="0" t="s">
        <v>10816</v>
      </c>
      <c r="I2042" s="6" t="n">
        <v>0.4375</v>
      </c>
      <c r="J2042" s="6" t="n">
        <v>0.458333333333333</v>
      </c>
      <c r="L2042" s="0" t="n">
        <v>90</v>
      </c>
      <c r="M2042" s="0" t="s">
        <v>10817</v>
      </c>
      <c r="N2042" s="0" t="s">
        <v>10818</v>
      </c>
      <c r="P2042" s="0" t="s">
        <v>10819</v>
      </c>
      <c r="Q2042" s="2" t="n">
        <v>43670</v>
      </c>
      <c r="S2042" s="0" t="n">
        <f aca="false">YEAR(Q2042)</f>
        <v>2019</v>
      </c>
      <c r="T2042" s="0" t="n">
        <f aca="false">MONTH(Q2042)</f>
        <v>7</v>
      </c>
    </row>
    <row r="2043" customFormat="false" ht="14.25" hidden="true" customHeight="false" outlineLevel="0" collapsed="false">
      <c r="A2043" s="0" t="n">
        <v>2048</v>
      </c>
      <c r="B2043" s="1" t="s">
        <v>1239</v>
      </c>
      <c r="C2043" s="1" t="s">
        <v>1503</v>
      </c>
      <c r="D2043" s="1" t="s">
        <v>1535</v>
      </c>
      <c r="E2043" s="0" t="s">
        <v>1503</v>
      </c>
      <c r="F2043" s="0" t="s">
        <v>49</v>
      </c>
      <c r="G2043" s="0" t="s">
        <v>10820</v>
      </c>
      <c r="J2043" s="6" t="n">
        <v>0.6875</v>
      </c>
      <c r="M2043" s="0" t="s">
        <v>10821</v>
      </c>
      <c r="N2043" s="0" t="s">
        <v>10822</v>
      </c>
      <c r="P2043" s="0" t="s">
        <v>10823</v>
      </c>
      <c r="Q2043" s="2" t="n">
        <v>43671</v>
      </c>
      <c r="S2043" s="0" t="n">
        <f aca="false">YEAR(Q2043)</f>
        <v>2019</v>
      </c>
      <c r="T2043" s="0" t="n">
        <f aca="false">MONTH(Q2043)</f>
        <v>7</v>
      </c>
    </row>
    <row r="2044" customFormat="false" ht="14.25" hidden="true" customHeight="false" outlineLevel="0" collapsed="false">
      <c r="A2044" s="0" t="n">
        <v>2049</v>
      </c>
      <c r="B2044" s="1" t="s">
        <v>1239</v>
      </c>
      <c r="C2044" s="1" t="s">
        <v>1479</v>
      </c>
      <c r="D2044" s="1" t="s">
        <v>1480</v>
      </c>
      <c r="E2044" s="0" t="s">
        <v>43</v>
      </c>
      <c r="F2044" s="0" t="s">
        <v>50</v>
      </c>
      <c r="G2044" s="0" t="s">
        <v>8795</v>
      </c>
      <c r="I2044" s="6" t="n">
        <v>0.184027777777778</v>
      </c>
      <c r="J2044" s="6" t="n">
        <v>0.208333333333333</v>
      </c>
      <c r="M2044" s="0" t="s">
        <v>10824</v>
      </c>
      <c r="N2044" s="0" t="s">
        <v>10825</v>
      </c>
      <c r="P2044" s="0" t="s">
        <v>10826</v>
      </c>
      <c r="Q2044" s="2" t="n">
        <v>43671</v>
      </c>
      <c r="S2044" s="0" t="n">
        <f aca="false">YEAR(Q2044)</f>
        <v>2019</v>
      </c>
      <c r="T2044" s="0" t="n">
        <f aca="false">MONTH(Q2044)</f>
        <v>7</v>
      </c>
    </row>
    <row r="2045" customFormat="false" ht="14.25" hidden="true" customHeight="false" outlineLevel="0" collapsed="false">
      <c r="A2045" s="0" t="n">
        <v>2050</v>
      </c>
      <c r="B2045" s="1" t="s">
        <v>1238</v>
      </c>
      <c r="C2045" s="1" t="s">
        <v>1479</v>
      </c>
      <c r="D2045" s="1" t="s">
        <v>1487</v>
      </c>
      <c r="E2045" s="4" t="s">
        <v>1488</v>
      </c>
      <c r="F2045" s="0" t="s">
        <v>48</v>
      </c>
      <c r="G2045" s="0" t="s">
        <v>10827</v>
      </c>
      <c r="I2045" s="6" t="n">
        <v>0.0416666666666667</v>
      </c>
      <c r="J2045" s="6" t="n">
        <v>0.138194444444444</v>
      </c>
      <c r="K2045" s="0" t="n">
        <v>50</v>
      </c>
      <c r="M2045" s="0" t="s">
        <v>10828</v>
      </c>
      <c r="N2045" s="0" t="s">
        <v>10829</v>
      </c>
      <c r="P2045" s="0" t="s">
        <v>10830</v>
      </c>
      <c r="Q2045" s="2" t="n">
        <v>43672</v>
      </c>
      <c r="S2045" s="0" t="n">
        <f aca="false">YEAR(Q2045)</f>
        <v>2019</v>
      </c>
      <c r="T2045" s="0" t="n">
        <f aca="false">MONTH(Q2045)</f>
        <v>7</v>
      </c>
    </row>
    <row r="2046" customFormat="false" ht="14.25" hidden="true" customHeight="false" outlineLevel="0" collapsed="false">
      <c r="A2046" s="0" t="n">
        <v>2051</v>
      </c>
      <c r="B2046" s="1" t="s">
        <v>1238</v>
      </c>
      <c r="C2046" s="1" t="s">
        <v>1503</v>
      </c>
      <c r="D2046" s="1" t="s">
        <v>1535</v>
      </c>
      <c r="E2046" s="0" t="s">
        <v>1503</v>
      </c>
      <c r="F2046" s="0" t="s">
        <v>49</v>
      </c>
      <c r="G2046" s="0" t="s">
        <v>9121</v>
      </c>
      <c r="J2046" s="6" t="n">
        <v>0.607638888888889</v>
      </c>
      <c r="L2046" s="0" t="n">
        <v>80</v>
      </c>
      <c r="M2046" s="0" t="s">
        <v>10831</v>
      </c>
      <c r="N2046" s="0" t="s">
        <v>10832</v>
      </c>
      <c r="P2046" s="0" t="s">
        <v>10833</v>
      </c>
      <c r="Q2046" s="2" t="n">
        <v>43672</v>
      </c>
      <c r="S2046" s="0" t="n">
        <f aca="false">YEAR(Q2046)</f>
        <v>2019</v>
      </c>
      <c r="T2046" s="0" t="n">
        <f aca="false">MONTH(Q2046)</f>
        <v>7</v>
      </c>
    </row>
    <row r="2047" customFormat="false" ht="14.25" hidden="true" customHeight="false" outlineLevel="0" collapsed="false">
      <c r="A2047" s="0" t="n">
        <v>2052</v>
      </c>
      <c r="B2047" s="1" t="s">
        <v>1238</v>
      </c>
      <c r="C2047" s="1" t="s">
        <v>1479</v>
      </c>
      <c r="D2047" s="1" t="s">
        <v>1487</v>
      </c>
      <c r="E2047" s="0" t="s">
        <v>1479</v>
      </c>
      <c r="F2047" s="0" t="s">
        <v>49</v>
      </c>
      <c r="G2047" s="0" t="s">
        <v>6447</v>
      </c>
      <c r="I2047" s="6" t="n">
        <v>0</v>
      </c>
      <c r="J2047" s="6" t="n">
        <v>0.697916666666667</v>
      </c>
      <c r="L2047" s="0" t="n">
        <v>20</v>
      </c>
      <c r="M2047" s="0" t="s">
        <v>10834</v>
      </c>
      <c r="N2047" s="0" t="s">
        <v>10835</v>
      </c>
      <c r="P2047" s="0" t="s">
        <v>10836</v>
      </c>
      <c r="Q2047" s="2" t="n">
        <v>43672</v>
      </c>
      <c r="S2047" s="0" t="n">
        <f aca="false">YEAR(Q2047)</f>
        <v>2019</v>
      </c>
      <c r="T2047" s="0" t="n">
        <f aca="false">MONTH(Q2047)</f>
        <v>7</v>
      </c>
    </row>
    <row r="2048" customFormat="false" ht="14.25" hidden="true" customHeight="false" outlineLevel="0" collapsed="false">
      <c r="A2048" s="0" t="n">
        <v>2053</v>
      </c>
      <c r="B2048" s="1" t="s">
        <v>1238</v>
      </c>
      <c r="C2048" s="1" t="s">
        <v>1479</v>
      </c>
      <c r="D2048" s="1" t="s">
        <v>1496</v>
      </c>
      <c r="E2048" s="0" t="s">
        <v>1479</v>
      </c>
      <c r="F2048" s="0" t="s">
        <v>49</v>
      </c>
      <c r="G2048" s="0" t="s">
        <v>10837</v>
      </c>
      <c r="J2048" s="6" t="n">
        <v>0.857638888888889</v>
      </c>
      <c r="L2048" s="0" t="n">
        <v>60</v>
      </c>
      <c r="M2048" s="0" t="s">
        <v>10838</v>
      </c>
      <c r="N2048" s="0" t="s">
        <v>10839</v>
      </c>
      <c r="P2048" s="0" t="s">
        <v>10840</v>
      </c>
      <c r="Q2048" s="2" t="n">
        <v>43672</v>
      </c>
      <c r="S2048" s="0" t="n">
        <f aca="false">YEAR(Q2048)</f>
        <v>2019</v>
      </c>
      <c r="T2048" s="0" t="n">
        <f aca="false">MONTH(Q2048)</f>
        <v>7</v>
      </c>
    </row>
    <row r="2049" customFormat="false" ht="14.25" hidden="true" customHeight="false" outlineLevel="0" collapsed="false">
      <c r="A2049" s="0" t="n">
        <v>2054</v>
      </c>
      <c r="B2049" s="1" t="s">
        <v>1238</v>
      </c>
      <c r="C2049" s="1" t="s">
        <v>1479</v>
      </c>
      <c r="D2049" s="1" t="s">
        <v>1487</v>
      </c>
      <c r="E2049" s="4" t="s">
        <v>1488</v>
      </c>
      <c r="F2049" s="0" t="s">
        <v>50</v>
      </c>
      <c r="G2049" s="0" t="s">
        <v>10841</v>
      </c>
      <c r="I2049" s="6" t="n">
        <v>0</v>
      </c>
      <c r="J2049" s="6" t="n">
        <v>0.00347222222222222</v>
      </c>
      <c r="K2049" s="0" t="n">
        <v>20</v>
      </c>
      <c r="L2049" s="0" t="n">
        <v>26</v>
      </c>
      <c r="M2049" s="0" t="s">
        <v>10842</v>
      </c>
      <c r="N2049" s="0" t="s">
        <v>10843</v>
      </c>
      <c r="P2049" s="0" t="s">
        <v>10844</v>
      </c>
      <c r="Q2049" s="2" t="n">
        <v>43672</v>
      </c>
      <c r="S2049" s="0" t="n">
        <f aca="false">YEAR(Q2049)</f>
        <v>2019</v>
      </c>
      <c r="T2049" s="0" t="n">
        <f aca="false">MONTH(Q2049)</f>
        <v>7</v>
      </c>
    </row>
    <row r="2050" customFormat="false" ht="14.25" hidden="true" customHeight="false" outlineLevel="0" collapsed="false">
      <c r="A2050" s="0" t="n">
        <v>2055</v>
      </c>
      <c r="B2050" s="1" t="s">
        <v>1241</v>
      </c>
      <c r="C2050" s="1" t="s">
        <v>1479</v>
      </c>
      <c r="D2050" s="1" t="s">
        <v>1535</v>
      </c>
      <c r="E2050" s="0" t="s">
        <v>39</v>
      </c>
      <c r="F2050" s="0" t="s">
        <v>48</v>
      </c>
      <c r="G2050" s="0" t="s">
        <v>10845</v>
      </c>
      <c r="I2050" s="6" t="n">
        <v>0.238888888888889</v>
      </c>
      <c r="J2050" s="6" t="n">
        <v>0.259027777777778</v>
      </c>
      <c r="K2050" s="0" t="n">
        <v>23</v>
      </c>
      <c r="L2050" s="0" t="n">
        <v>60</v>
      </c>
      <c r="M2050" s="0" t="s">
        <v>10846</v>
      </c>
      <c r="N2050" s="0" t="s">
        <v>10847</v>
      </c>
      <c r="P2050" s="0" t="s">
        <v>10848</v>
      </c>
      <c r="Q2050" s="2" t="n">
        <v>43675</v>
      </c>
      <c r="S2050" s="0" t="n">
        <f aca="false">YEAR(Q2050)</f>
        <v>2019</v>
      </c>
      <c r="T2050" s="0" t="n">
        <f aca="false">MONTH(Q2050)</f>
        <v>7</v>
      </c>
    </row>
    <row r="2051" customFormat="false" ht="14.25" hidden="true" customHeight="false" outlineLevel="0" collapsed="false">
      <c r="A2051" s="0" t="n">
        <v>2056</v>
      </c>
      <c r="B2051" s="1" t="s">
        <v>1241</v>
      </c>
      <c r="C2051" s="1" t="s">
        <v>1479</v>
      </c>
      <c r="D2051" s="1" t="s">
        <v>1535</v>
      </c>
      <c r="E2051" s="0" t="s">
        <v>39</v>
      </c>
      <c r="F2051" s="0" t="s">
        <v>48</v>
      </c>
      <c r="G2051" s="0" t="s">
        <v>10849</v>
      </c>
      <c r="I2051" s="6" t="n">
        <v>0.238888888888889</v>
      </c>
      <c r="J2051" s="6" t="n">
        <v>0.259027777777778</v>
      </c>
      <c r="K2051" s="0" t="n">
        <v>5</v>
      </c>
      <c r="M2051" s="0" t="s">
        <v>10850</v>
      </c>
      <c r="N2051" s="0" t="s">
        <v>10851</v>
      </c>
      <c r="P2051" s="0" t="s">
        <v>10852</v>
      </c>
      <c r="Q2051" s="2" t="n">
        <v>43675</v>
      </c>
      <c r="S2051" s="0" t="n">
        <f aca="false">YEAR(Q2051)</f>
        <v>2019</v>
      </c>
      <c r="T2051" s="0" t="n">
        <f aca="false">MONTH(Q2051)</f>
        <v>7</v>
      </c>
    </row>
    <row r="2052" customFormat="false" ht="14.25" hidden="true" customHeight="false" outlineLevel="0" collapsed="false">
      <c r="A2052" s="0" t="n">
        <v>2057</v>
      </c>
      <c r="B2052" s="1" t="s">
        <v>1241</v>
      </c>
      <c r="C2052" s="1" t="s">
        <v>1503</v>
      </c>
      <c r="D2052" s="1" t="s">
        <v>1535</v>
      </c>
      <c r="E2052" s="0" t="s">
        <v>1503</v>
      </c>
      <c r="F2052" s="0" t="s">
        <v>49</v>
      </c>
      <c r="G2052" s="0" t="s">
        <v>10853</v>
      </c>
      <c r="J2052" s="6" t="n">
        <v>0.729166666666667</v>
      </c>
      <c r="K2052" s="0" t="n">
        <v>0</v>
      </c>
      <c r="L2052" s="0" t="n">
        <v>250</v>
      </c>
      <c r="M2052" s="0" t="s">
        <v>10854</v>
      </c>
      <c r="N2052" s="0" t="s">
        <v>10855</v>
      </c>
      <c r="P2052" s="0" t="s">
        <v>10856</v>
      </c>
      <c r="Q2052" s="2" t="n">
        <v>43675</v>
      </c>
      <c r="S2052" s="0" t="n">
        <f aca="false">YEAR(Q2052)</f>
        <v>2019</v>
      </c>
      <c r="T2052" s="0" t="n">
        <f aca="false">MONTH(Q2052)</f>
        <v>7</v>
      </c>
    </row>
    <row r="2053" customFormat="false" ht="14.25" hidden="true" customHeight="false" outlineLevel="0" collapsed="false">
      <c r="A2053" s="0" t="n">
        <v>2058</v>
      </c>
      <c r="B2053" s="1" t="s">
        <v>1242</v>
      </c>
      <c r="C2053" s="1" t="s">
        <v>1503</v>
      </c>
      <c r="D2053" s="1" t="s">
        <v>1504</v>
      </c>
      <c r="E2053" s="0" t="s">
        <v>45</v>
      </c>
      <c r="F2053" s="0" t="s">
        <v>48</v>
      </c>
      <c r="G2053" s="0" t="s">
        <v>10857</v>
      </c>
      <c r="M2053" s="0" t="s">
        <v>10858</v>
      </c>
      <c r="N2053" s="0" t="s">
        <v>10859</v>
      </c>
      <c r="P2053" s="0" t="s">
        <v>10860</v>
      </c>
      <c r="Q2053" s="2" t="n">
        <v>43676</v>
      </c>
      <c r="S2053" s="0" t="n">
        <f aca="false">YEAR(Q2053)</f>
        <v>2019</v>
      </c>
      <c r="T2053" s="0" t="n">
        <f aca="false">MONTH(Q2053)</f>
        <v>7</v>
      </c>
    </row>
    <row r="2054" customFormat="false" ht="14.25" hidden="true" customHeight="false" outlineLevel="0" collapsed="false">
      <c r="A2054" s="0" t="n">
        <v>2059</v>
      </c>
      <c r="B2054" s="1" t="s">
        <v>1242</v>
      </c>
      <c r="C2054" s="1" t="s">
        <v>1479</v>
      </c>
      <c r="D2054" s="1" t="s">
        <v>1487</v>
      </c>
      <c r="E2054" s="4" t="s">
        <v>1488</v>
      </c>
      <c r="F2054" s="0" t="s">
        <v>48</v>
      </c>
      <c r="G2054" s="0" t="s">
        <v>3835</v>
      </c>
      <c r="I2054" s="6" t="n">
        <v>0.513194444444444</v>
      </c>
      <c r="J2054" s="6" t="n">
        <v>0.536111111111111</v>
      </c>
      <c r="K2054" s="0" t="n">
        <v>32</v>
      </c>
      <c r="L2054" s="0" t="n">
        <v>101</v>
      </c>
      <c r="M2054" s="0" t="s">
        <v>10861</v>
      </c>
      <c r="N2054" s="0" t="s">
        <v>10862</v>
      </c>
      <c r="P2054" s="0" t="s">
        <v>10863</v>
      </c>
      <c r="Q2054" s="2" t="n">
        <v>43676</v>
      </c>
      <c r="S2054" s="0" t="n">
        <f aca="false">YEAR(Q2054)</f>
        <v>2019</v>
      </c>
      <c r="T2054" s="0" t="n">
        <f aca="false">MONTH(Q2054)</f>
        <v>7</v>
      </c>
    </row>
    <row r="2055" customFormat="false" ht="14.25" hidden="true" customHeight="false" outlineLevel="0" collapsed="false">
      <c r="A2055" s="0" t="n">
        <v>2060</v>
      </c>
      <c r="B2055" s="1" t="s">
        <v>1243</v>
      </c>
      <c r="C2055" s="1" t="s">
        <v>1479</v>
      </c>
      <c r="D2055" s="1" t="s">
        <v>1487</v>
      </c>
      <c r="E2055" s="0" t="s">
        <v>1488</v>
      </c>
      <c r="F2055" s="0" t="s">
        <v>48</v>
      </c>
      <c r="G2055" s="0" t="s">
        <v>10693</v>
      </c>
      <c r="I2055" s="6" t="n">
        <v>0.2875</v>
      </c>
      <c r="J2055" s="6" t="n">
        <v>0.298611111111111</v>
      </c>
      <c r="L2055" s="0" t="n">
        <v>30</v>
      </c>
      <c r="M2055" s="0" t="s">
        <v>10864</v>
      </c>
      <c r="N2055" s="0" t="s">
        <v>10865</v>
      </c>
      <c r="P2055" s="0" t="s">
        <v>10866</v>
      </c>
      <c r="Q2055" s="2" t="n">
        <v>43677</v>
      </c>
      <c r="S2055" s="0" t="n">
        <f aca="false">YEAR(Q2055)</f>
        <v>2019</v>
      </c>
      <c r="T2055" s="0" t="n">
        <f aca="false">MONTH(Q2055)</f>
        <v>7</v>
      </c>
    </row>
    <row r="2056" customFormat="false" ht="14.25" hidden="true" customHeight="false" outlineLevel="0" collapsed="false">
      <c r="A2056" s="0" t="n">
        <v>2061</v>
      </c>
      <c r="B2056" s="1" t="s">
        <v>1244</v>
      </c>
      <c r="C2056" s="1" t="s">
        <v>1503</v>
      </c>
      <c r="D2056" s="1" t="s">
        <v>1504</v>
      </c>
      <c r="E2056" s="0" t="s">
        <v>45</v>
      </c>
      <c r="F2056" s="0" t="s">
        <v>48</v>
      </c>
      <c r="G2056" s="0" t="s">
        <v>10867</v>
      </c>
      <c r="I2056" s="6" t="n">
        <v>0.260416666666667</v>
      </c>
      <c r="J2056" s="6" t="n">
        <v>0</v>
      </c>
      <c r="L2056" s="0" t="n">
        <v>70</v>
      </c>
      <c r="M2056" s="0" t="s">
        <v>10868</v>
      </c>
      <c r="N2056" s="0" t="s">
        <v>10869</v>
      </c>
      <c r="P2056" s="0" t="s">
        <v>10870</v>
      </c>
      <c r="Q2056" s="2" t="n">
        <v>43679</v>
      </c>
      <c r="S2056" s="0" t="n">
        <f aca="false">YEAR(Q2056)</f>
        <v>2019</v>
      </c>
      <c r="T2056" s="0" t="n">
        <f aca="false">MONTH(Q2056)</f>
        <v>8</v>
      </c>
    </row>
    <row r="2057" customFormat="false" ht="14.25" hidden="true" customHeight="false" outlineLevel="0" collapsed="false">
      <c r="A2057" s="0" t="n">
        <v>2062</v>
      </c>
      <c r="B2057" s="1" t="s">
        <v>1244</v>
      </c>
      <c r="C2057" s="1" t="s">
        <v>1479</v>
      </c>
      <c r="D2057" s="1" t="s">
        <v>1480</v>
      </c>
      <c r="E2057" s="0" t="s">
        <v>43</v>
      </c>
      <c r="F2057" s="0" t="s">
        <v>48</v>
      </c>
      <c r="G2057" s="0" t="s">
        <v>10871</v>
      </c>
      <c r="I2057" s="6" t="n">
        <v>0.930555555555555</v>
      </c>
      <c r="J2057" s="6" t="n">
        <v>0.930555555555555</v>
      </c>
      <c r="L2057" s="0" t="n">
        <v>70</v>
      </c>
      <c r="M2057" s="0" t="s">
        <v>10872</v>
      </c>
      <c r="N2057" s="0" t="s">
        <v>10873</v>
      </c>
      <c r="P2057" s="0" t="s">
        <v>10874</v>
      </c>
      <c r="Q2057" s="2" t="n">
        <v>43679</v>
      </c>
      <c r="S2057" s="0" t="n">
        <f aca="false">YEAR(Q2057)</f>
        <v>2019</v>
      </c>
      <c r="T2057" s="0" t="n">
        <f aca="false">MONTH(Q2057)</f>
        <v>8</v>
      </c>
    </row>
    <row r="2058" customFormat="false" ht="14.25" hidden="true" customHeight="false" outlineLevel="0" collapsed="false">
      <c r="A2058" s="0" t="n">
        <v>2063</v>
      </c>
      <c r="B2058" s="1" t="s">
        <v>1246</v>
      </c>
      <c r="C2058" s="1" t="s">
        <v>1479</v>
      </c>
      <c r="D2058" s="1" t="s">
        <v>1535</v>
      </c>
      <c r="E2058" s="0" t="s">
        <v>39</v>
      </c>
      <c r="F2058" s="0" t="s">
        <v>49</v>
      </c>
      <c r="G2058" s="0" t="s">
        <v>10875</v>
      </c>
      <c r="I2058" s="6" t="n">
        <v>0.75</v>
      </c>
      <c r="J2058" s="6" t="n">
        <v>0.756944444444444</v>
      </c>
      <c r="L2058" s="0" t="n">
        <v>25</v>
      </c>
      <c r="M2058" s="0" t="s">
        <v>10876</v>
      </c>
      <c r="N2058" s="0" t="s">
        <v>10877</v>
      </c>
      <c r="P2058" s="0" t="s">
        <v>10878</v>
      </c>
      <c r="Q2058" s="2" t="n">
        <v>43678</v>
      </c>
      <c r="S2058" s="0" t="n">
        <f aca="false">YEAR(Q2058)</f>
        <v>2019</v>
      </c>
      <c r="T2058" s="0" t="n">
        <f aca="false">MONTH(Q2058)</f>
        <v>8</v>
      </c>
    </row>
    <row r="2059" customFormat="false" ht="14.25" hidden="true" customHeight="false" outlineLevel="0" collapsed="false">
      <c r="A2059" s="0" t="n">
        <v>2064</v>
      </c>
      <c r="B2059" s="1" t="s">
        <v>1247</v>
      </c>
      <c r="C2059" s="1" t="s">
        <v>1479</v>
      </c>
      <c r="D2059" s="1" t="s">
        <v>1535</v>
      </c>
      <c r="E2059" s="0" t="s">
        <v>39</v>
      </c>
      <c r="F2059" s="0" t="s">
        <v>48</v>
      </c>
      <c r="G2059" s="0" t="s">
        <v>8322</v>
      </c>
      <c r="I2059" s="6" t="n">
        <v>0.125</v>
      </c>
      <c r="J2059" s="6" t="n">
        <v>0.125</v>
      </c>
      <c r="K2059" s="0" t="n">
        <v>113</v>
      </c>
      <c r="M2059" s="0" t="s">
        <v>10879</v>
      </c>
      <c r="N2059" s="0" t="s">
        <v>10880</v>
      </c>
      <c r="P2059" s="0" t="s">
        <v>10881</v>
      </c>
      <c r="Q2059" s="2" t="n">
        <v>43682</v>
      </c>
      <c r="S2059" s="0" t="n">
        <f aca="false">YEAR(Q2059)</f>
        <v>2019</v>
      </c>
      <c r="T2059" s="0" t="n">
        <f aca="false">MONTH(Q2059)</f>
        <v>8</v>
      </c>
    </row>
    <row r="2060" customFormat="false" ht="14.25" hidden="true" customHeight="false" outlineLevel="0" collapsed="false">
      <c r="A2060" s="0" t="n">
        <v>2065</v>
      </c>
      <c r="B2060" s="1" t="s">
        <v>1247</v>
      </c>
      <c r="C2060" s="1" t="s">
        <v>1503</v>
      </c>
      <c r="D2060" s="1" t="s">
        <v>1504</v>
      </c>
      <c r="E2060" s="0" t="s">
        <v>45</v>
      </c>
      <c r="F2060" s="0" t="s">
        <v>48</v>
      </c>
      <c r="G2060" s="0" t="s">
        <v>10882</v>
      </c>
      <c r="J2060" s="6" t="n">
        <v>0.322916666666667</v>
      </c>
      <c r="M2060" s="0" t="s">
        <v>10883</v>
      </c>
      <c r="N2060" s="0" t="s">
        <v>10884</v>
      </c>
      <c r="P2060" s="0" t="s">
        <v>10885</v>
      </c>
      <c r="Q2060" s="2" t="n">
        <v>43682</v>
      </c>
      <c r="S2060" s="0" t="n">
        <f aca="false">YEAR(Q2060)</f>
        <v>2019</v>
      </c>
      <c r="T2060" s="0" t="n">
        <f aca="false">MONTH(Q2060)</f>
        <v>8</v>
      </c>
    </row>
    <row r="2061" customFormat="false" ht="14.25" hidden="true" customHeight="false" outlineLevel="0" collapsed="false">
      <c r="A2061" s="0" t="n">
        <v>2066</v>
      </c>
      <c r="B2061" s="1" t="s">
        <v>1247</v>
      </c>
      <c r="C2061" s="1" t="s">
        <v>1479</v>
      </c>
      <c r="D2061" s="1" t="s">
        <v>1487</v>
      </c>
      <c r="E2061" s="0" t="s">
        <v>1488</v>
      </c>
      <c r="F2061" s="0" t="s">
        <v>48</v>
      </c>
      <c r="G2061" s="0" t="s">
        <v>10886</v>
      </c>
      <c r="I2061" s="6" t="n">
        <v>0.511805555555555</v>
      </c>
      <c r="J2061" s="6" t="n">
        <v>0.524305555555556</v>
      </c>
      <c r="L2061" s="0" t="n">
        <v>59</v>
      </c>
      <c r="M2061" s="0" t="s">
        <v>10887</v>
      </c>
      <c r="N2061" s="0" t="s">
        <v>10888</v>
      </c>
      <c r="P2061" s="0" t="s">
        <v>10889</v>
      </c>
      <c r="Q2061" s="2" t="n">
        <v>43682</v>
      </c>
      <c r="S2061" s="0" t="n">
        <f aca="false">YEAR(Q2061)</f>
        <v>2019</v>
      </c>
      <c r="T2061" s="0" t="n">
        <f aca="false">MONTH(Q2061)</f>
        <v>8</v>
      </c>
    </row>
    <row r="2062" customFormat="false" ht="14.25" hidden="true" customHeight="false" outlineLevel="0" collapsed="false">
      <c r="A2062" s="0" t="n">
        <v>2067</v>
      </c>
      <c r="B2062" s="1" t="s">
        <v>1249</v>
      </c>
      <c r="C2062" s="1" t="s">
        <v>1495</v>
      </c>
      <c r="D2062" s="1" t="s">
        <v>1535</v>
      </c>
      <c r="E2062" s="0" t="s">
        <v>42</v>
      </c>
      <c r="F2062" s="0" t="s">
        <v>49</v>
      </c>
      <c r="G2062" s="0" t="s">
        <v>10890</v>
      </c>
      <c r="I2062" s="6" t="n">
        <v>0.625</v>
      </c>
      <c r="J2062" s="6" t="n">
        <v>0.666666666666667</v>
      </c>
      <c r="M2062" s="0" t="s">
        <v>10891</v>
      </c>
      <c r="N2062" s="0" t="s">
        <v>10892</v>
      </c>
      <c r="P2062" s="0" t="s">
        <v>10893</v>
      </c>
      <c r="Q2062" s="2" t="n">
        <v>43684</v>
      </c>
      <c r="S2062" s="0" t="n">
        <f aca="false">YEAR(Q2062)</f>
        <v>2019</v>
      </c>
      <c r="T2062" s="0" t="n">
        <f aca="false">MONTH(Q2062)</f>
        <v>8</v>
      </c>
    </row>
    <row r="2063" customFormat="false" ht="14.25" hidden="true" customHeight="false" outlineLevel="0" collapsed="false">
      <c r="A2063" s="0" t="n">
        <v>2068</v>
      </c>
      <c r="B2063" s="1" t="s">
        <v>1250</v>
      </c>
      <c r="C2063" s="1" t="s">
        <v>1479</v>
      </c>
      <c r="D2063" s="1" t="s">
        <v>1480</v>
      </c>
      <c r="E2063" s="0" t="s">
        <v>43</v>
      </c>
      <c r="F2063" s="0" t="s">
        <v>48</v>
      </c>
      <c r="G2063" s="0" t="s">
        <v>10894</v>
      </c>
      <c r="J2063" s="6" t="n">
        <v>0.472222222222222</v>
      </c>
      <c r="L2063" s="0" t="n">
        <v>330</v>
      </c>
      <c r="M2063" s="0" t="s">
        <v>10895</v>
      </c>
      <c r="N2063" s="0" t="s">
        <v>10896</v>
      </c>
      <c r="P2063" s="0" t="s">
        <v>10897</v>
      </c>
      <c r="Q2063" s="2" t="n">
        <v>43685</v>
      </c>
      <c r="S2063" s="0" t="n">
        <f aca="false">YEAR(Q2063)</f>
        <v>2019</v>
      </c>
      <c r="T2063" s="0" t="n">
        <f aca="false">MONTH(Q2063)</f>
        <v>8</v>
      </c>
    </row>
    <row r="2064" customFormat="false" ht="14.25" hidden="true" customHeight="false" outlineLevel="0" collapsed="false">
      <c r="A2064" s="0" t="n">
        <v>2069</v>
      </c>
      <c r="B2064" s="1" t="s">
        <v>1251</v>
      </c>
      <c r="C2064" s="1" t="s">
        <v>1479</v>
      </c>
      <c r="D2064" s="1" t="s">
        <v>1487</v>
      </c>
      <c r="E2064" s="0" t="s">
        <v>1488</v>
      </c>
      <c r="F2064" s="0" t="s">
        <v>48</v>
      </c>
      <c r="G2064" s="0" t="s">
        <v>10898</v>
      </c>
      <c r="I2064" s="6" t="n">
        <v>0.427083333333333</v>
      </c>
      <c r="J2064" s="6" t="n">
        <v>0.440972222222222</v>
      </c>
      <c r="L2064" s="0" t="n">
        <v>20</v>
      </c>
      <c r="M2064" s="0" t="s">
        <v>10899</v>
      </c>
      <c r="N2064" s="0" t="s">
        <v>10900</v>
      </c>
      <c r="P2064" s="0" t="s">
        <v>10901</v>
      </c>
      <c r="Q2064" s="2" t="n">
        <v>43686</v>
      </c>
      <c r="S2064" s="0" t="n">
        <f aca="false">YEAR(Q2064)</f>
        <v>2019</v>
      </c>
      <c r="T2064" s="0" t="n">
        <f aca="false">MONTH(Q2064)</f>
        <v>8</v>
      </c>
    </row>
    <row r="2065" customFormat="false" ht="14.25" hidden="true" customHeight="false" outlineLevel="0" collapsed="false">
      <c r="A2065" s="0" t="n">
        <v>2070</v>
      </c>
      <c r="B2065" s="1" t="s">
        <v>1251</v>
      </c>
      <c r="C2065" s="1" t="s">
        <v>1503</v>
      </c>
      <c r="D2065" s="1" t="s">
        <v>1504</v>
      </c>
      <c r="E2065" s="0" t="s">
        <v>10902</v>
      </c>
      <c r="F2065" s="0" t="s">
        <v>49</v>
      </c>
      <c r="G2065" s="0" t="s">
        <v>10903</v>
      </c>
      <c r="I2065" s="6" t="n">
        <v>0.597222222222222</v>
      </c>
      <c r="J2065" s="6" t="n">
        <v>0.8125</v>
      </c>
      <c r="L2065" s="0" t="n">
        <v>380</v>
      </c>
      <c r="M2065" s="0" t="s">
        <v>10904</v>
      </c>
      <c r="N2065" s="0" t="s">
        <v>10905</v>
      </c>
      <c r="P2065" s="0" t="s">
        <v>10906</v>
      </c>
      <c r="Q2065" s="2" t="n">
        <v>43686</v>
      </c>
      <c r="S2065" s="0" t="n">
        <f aca="false">YEAR(Q2065)</f>
        <v>2019</v>
      </c>
      <c r="T2065" s="0" t="n">
        <f aca="false">MONTH(Q2065)</f>
        <v>8</v>
      </c>
    </row>
    <row r="2066" customFormat="false" ht="14.25" hidden="true" customHeight="false" outlineLevel="0" collapsed="false">
      <c r="A2066" s="0" t="n">
        <v>2071</v>
      </c>
      <c r="B2066" s="1" t="s">
        <v>1252</v>
      </c>
      <c r="C2066" s="1" t="s">
        <v>1503</v>
      </c>
      <c r="D2066" s="1" t="s">
        <v>1504</v>
      </c>
      <c r="E2066" s="0" t="s">
        <v>45</v>
      </c>
      <c r="F2066" s="0" t="s">
        <v>48</v>
      </c>
      <c r="G2066" s="0" t="s">
        <v>9854</v>
      </c>
      <c r="J2066" s="6" t="n">
        <v>0.548611111111111</v>
      </c>
      <c r="M2066" s="0" t="s">
        <v>10907</v>
      </c>
      <c r="N2066" s="0" t="s">
        <v>10908</v>
      </c>
      <c r="P2066" s="0" t="s">
        <v>10909</v>
      </c>
      <c r="Q2066" s="2" t="n">
        <v>43689</v>
      </c>
      <c r="S2066" s="0" t="n">
        <f aca="false">YEAR(Q2066)</f>
        <v>2019</v>
      </c>
      <c r="T2066" s="0" t="n">
        <f aca="false">MONTH(Q2066)</f>
        <v>8</v>
      </c>
    </row>
    <row r="2067" customFormat="false" ht="14.25" hidden="true" customHeight="false" outlineLevel="0" collapsed="false">
      <c r="A2067" s="0" t="n">
        <v>2072</v>
      </c>
      <c r="B2067" s="1" t="s">
        <v>1252</v>
      </c>
      <c r="C2067" s="1" t="s">
        <v>1503</v>
      </c>
      <c r="D2067" s="1" t="s">
        <v>1504</v>
      </c>
      <c r="E2067" s="0" t="s">
        <v>45</v>
      </c>
      <c r="F2067" s="0" t="s">
        <v>48</v>
      </c>
      <c r="G2067" s="0" t="s">
        <v>4922</v>
      </c>
      <c r="I2067" s="6" t="n">
        <v>0</v>
      </c>
      <c r="J2067" s="6" t="n">
        <v>0.548611111111111</v>
      </c>
      <c r="M2067" s="0" t="s">
        <v>10910</v>
      </c>
      <c r="N2067" s="0" t="s">
        <v>10911</v>
      </c>
      <c r="P2067" s="0" t="s">
        <v>10912</v>
      </c>
      <c r="Q2067" s="2" t="n">
        <v>43689</v>
      </c>
      <c r="S2067" s="0" t="n">
        <f aca="false">YEAR(Q2067)</f>
        <v>2019</v>
      </c>
      <c r="T2067" s="0" t="n">
        <f aca="false">MONTH(Q2067)</f>
        <v>8</v>
      </c>
    </row>
    <row r="2068" customFormat="false" ht="14.25" hidden="true" customHeight="false" outlineLevel="0" collapsed="false">
      <c r="A2068" s="0" t="n">
        <v>2073</v>
      </c>
      <c r="B2068" s="1" t="s">
        <v>1253</v>
      </c>
      <c r="C2068" s="1" t="s">
        <v>1503</v>
      </c>
      <c r="D2068" s="1" t="s">
        <v>1504</v>
      </c>
      <c r="E2068" s="0" t="s">
        <v>45</v>
      </c>
      <c r="F2068" s="0" t="s">
        <v>48</v>
      </c>
      <c r="G2068" s="0" t="s">
        <v>10913</v>
      </c>
      <c r="I2068" s="6" t="n">
        <v>0.375</v>
      </c>
      <c r="J2068" s="6" t="n">
        <v>0.382638888888889</v>
      </c>
      <c r="L2068" s="0" t="n">
        <v>180</v>
      </c>
      <c r="M2068" s="0" t="s">
        <v>10914</v>
      </c>
      <c r="N2068" s="0" t="s">
        <v>10915</v>
      </c>
      <c r="P2068" s="0" t="s">
        <v>10916</v>
      </c>
      <c r="Q2068" s="2" t="n">
        <v>43690</v>
      </c>
      <c r="S2068" s="0" t="n">
        <f aca="false">YEAR(Q2068)</f>
        <v>2019</v>
      </c>
      <c r="T2068" s="0" t="n">
        <f aca="false">MONTH(Q2068)</f>
        <v>8</v>
      </c>
    </row>
    <row r="2069" customFormat="false" ht="14.25" hidden="true" customHeight="false" outlineLevel="0" collapsed="false">
      <c r="A2069" s="0" t="n">
        <v>2074</v>
      </c>
      <c r="B2069" s="1" t="s">
        <v>1253</v>
      </c>
      <c r="C2069" s="1" t="s">
        <v>1479</v>
      </c>
      <c r="D2069" s="1" t="s">
        <v>1496</v>
      </c>
      <c r="E2069" s="0" t="s">
        <v>38</v>
      </c>
      <c r="F2069" s="0" t="s">
        <v>49</v>
      </c>
      <c r="G2069" s="0" t="s">
        <v>10412</v>
      </c>
      <c r="I2069" s="6" t="n">
        <v>0.701388888888889</v>
      </c>
      <c r="J2069" s="6" t="n">
        <v>0.704861111111111</v>
      </c>
      <c r="K2069" s="0" t="n">
        <v>5</v>
      </c>
      <c r="L2069" s="0" t="n">
        <v>15</v>
      </c>
      <c r="M2069" s="0" t="s">
        <v>10917</v>
      </c>
      <c r="N2069" s="0" t="s">
        <v>10918</v>
      </c>
      <c r="P2069" s="0" t="s">
        <v>10919</v>
      </c>
      <c r="Q2069" s="2" t="n">
        <v>43690</v>
      </c>
      <c r="S2069" s="0" t="n">
        <f aca="false">YEAR(Q2069)</f>
        <v>2019</v>
      </c>
      <c r="T2069" s="0" t="n">
        <f aca="false">MONTH(Q2069)</f>
        <v>8</v>
      </c>
    </row>
    <row r="2070" customFormat="false" ht="14.25" hidden="true" customHeight="false" outlineLevel="0" collapsed="false">
      <c r="A2070" s="0" t="n">
        <v>2075</v>
      </c>
      <c r="B2070" s="1" t="s">
        <v>1253</v>
      </c>
      <c r="C2070" s="1" t="s">
        <v>1479</v>
      </c>
      <c r="D2070" s="1" t="s">
        <v>1487</v>
      </c>
      <c r="E2070" s="0" t="s">
        <v>1488</v>
      </c>
      <c r="F2070" s="0" t="s">
        <v>49</v>
      </c>
      <c r="G2070" s="0" t="s">
        <v>7939</v>
      </c>
      <c r="I2070" s="6" t="n">
        <v>0.881944444444444</v>
      </c>
      <c r="J2070" s="6" t="n">
        <v>0.895833333333333</v>
      </c>
      <c r="L2070" s="0" t="n">
        <v>30</v>
      </c>
      <c r="M2070" s="0" t="s">
        <v>10920</v>
      </c>
      <c r="N2070" s="0" t="s">
        <v>10921</v>
      </c>
      <c r="P2070" s="0" t="s">
        <v>10922</v>
      </c>
      <c r="Q2070" s="2" t="n">
        <v>43690</v>
      </c>
      <c r="S2070" s="0" t="n">
        <f aca="false">YEAR(Q2070)</f>
        <v>2019</v>
      </c>
      <c r="T2070" s="0" t="n">
        <f aca="false">MONTH(Q2070)</f>
        <v>8</v>
      </c>
    </row>
    <row r="2071" customFormat="false" ht="14.25" hidden="true" customHeight="false" outlineLevel="0" collapsed="false">
      <c r="A2071" s="0" t="n">
        <v>2076</v>
      </c>
      <c r="B2071" s="1" t="s">
        <v>1253</v>
      </c>
      <c r="C2071" s="1" t="s">
        <v>1479</v>
      </c>
      <c r="D2071" s="1" t="s">
        <v>1535</v>
      </c>
      <c r="E2071" s="0" t="s">
        <v>39</v>
      </c>
      <c r="F2071" s="0" t="s">
        <v>50</v>
      </c>
      <c r="G2071" s="0" t="s">
        <v>10175</v>
      </c>
      <c r="J2071" s="6" t="n">
        <v>0.958333333333333</v>
      </c>
      <c r="K2071" s="0" t="n">
        <v>0</v>
      </c>
      <c r="M2071" s="0" t="s">
        <v>10923</v>
      </c>
      <c r="N2071" s="0" t="s">
        <v>10924</v>
      </c>
      <c r="P2071" s="0" t="s">
        <v>10925</v>
      </c>
      <c r="Q2071" s="2" t="n">
        <v>43690</v>
      </c>
      <c r="S2071" s="0" t="n">
        <f aca="false">YEAR(Q2071)</f>
        <v>2019</v>
      </c>
      <c r="T2071" s="0" t="n">
        <f aca="false">MONTH(Q2071)</f>
        <v>8</v>
      </c>
    </row>
    <row r="2072" customFormat="false" ht="14.25" hidden="true" customHeight="false" outlineLevel="0" collapsed="false">
      <c r="A2072" s="0" t="n">
        <v>2077</v>
      </c>
      <c r="B2072" s="1" t="s">
        <v>1255</v>
      </c>
      <c r="C2072" s="1" t="s">
        <v>1503</v>
      </c>
      <c r="D2072" s="1" t="s">
        <v>1504</v>
      </c>
      <c r="E2072" s="0" t="s">
        <v>45</v>
      </c>
      <c r="F2072" s="0" t="s">
        <v>48</v>
      </c>
      <c r="G2072" s="0" t="s">
        <v>10926</v>
      </c>
      <c r="I2072" s="6" t="n">
        <v>0.236111111111111</v>
      </c>
      <c r="J2072" s="6" t="n">
        <v>0.274305555555555</v>
      </c>
      <c r="M2072" s="0" t="s">
        <v>10927</v>
      </c>
      <c r="N2072" s="0" t="s">
        <v>10928</v>
      </c>
      <c r="P2072" s="0" t="s">
        <v>10929</v>
      </c>
      <c r="Q2072" s="2" t="n">
        <v>43691</v>
      </c>
      <c r="S2072" s="0" t="n">
        <f aca="false">YEAR(Q2072)</f>
        <v>2019</v>
      </c>
      <c r="T2072" s="0" t="n">
        <f aca="false">MONTH(Q2072)</f>
        <v>8</v>
      </c>
    </row>
    <row r="2073" customFormat="false" ht="14.25" hidden="true" customHeight="false" outlineLevel="0" collapsed="false">
      <c r="A2073" s="0" t="n">
        <v>2078</v>
      </c>
      <c r="B2073" s="1" t="s">
        <v>1255</v>
      </c>
      <c r="C2073" s="1" t="s">
        <v>1479</v>
      </c>
      <c r="D2073" s="1" t="s">
        <v>1496</v>
      </c>
      <c r="E2073" s="0" t="s">
        <v>38</v>
      </c>
      <c r="F2073" s="0" t="s">
        <v>49</v>
      </c>
      <c r="G2073" s="0" t="s">
        <v>10930</v>
      </c>
      <c r="I2073" s="6" t="n">
        <v>0.621527777777778</v>
      </c>
      <c r="J2073" s="6" t="n">
        <v>0.624305555555556</v>
      </c>
      <c r="L2073" s="0" t="n">
        <v>12</v>
      </c>
      <c r="M2073" s="0" t="s">
        <v>10931</v>
      </c>
      <c r="N2073" s="0" t="s">
        <v>10932</v>
      </c>
      <c r="P2073" s="0" t="s">
        <v>10933</v>
      </c>
      <c r="Q2073" s="2" t="n">
        <v>43691</v>
      </c>
      <c r="S2073" s="0" t="n">
        <f aca="false">YEAR(Q2073)</f>
        <v>2019</v>
      </c>
      <c r="T2073" s="0" t="n">
        <f aca="false">MONTH(Q2073)</f>
        <v>8</v>
      </c>
    </row>
    <row r="2074" customFormat="false" ht="14.25" hidden="true" customHeight="false" outlineLevel="0" collapsed="false">
      <c r="A2074" s="0" t="n">
        <v>2079</v>
      </c>
      <c r="B2074" s="1" t="s">
        <v>1255</v>
      </c>
      <c r="C2074" s="1" t="s">
        <v>1479</v>
      </c>
      <c r="D2074" s="1" t="s">
        <v>1480</v>
      </c>
      <c r="E2074" s="0" t="s">
        <v>43</v>
      </c>
      <c r="F2074" s="0" t="s">
        <v>49</v>
      </c>
      <c r="G2074" s="0" t="s">
        <v>10934</v>
      </c>
      <c r="I2074" s="6" t="n">
        <v>0.5</v>
      </c>
      <c r="J2074" s="6" t="n">
        <v>0.784722222222222</v>
      </c>
      <c r="M2074" s="0" t="s">
        <v>10935</v>
      </c>
      <c r="N2074" s="0" t="s">
        <v>10936</v>
      </c>
      <c r="P2074" s="0" t="s">
        <v>10937</v>
      </c>
      <c r="Q2074" s="2" t="n">
        <v>43691</v>
      </c>
      <c r="S2074" s="0" t="n">
        <f aca="false">YEAR(Q2074)</f>
        <v>2019</v>
      </c>
      <c r="T2074" s="0" t="n">
        <f aca="false">MONTH(Q2074)</f>
        <v>8</v>
      </c>
    </row>
    <row r="2075" customFormat="false" ht="14.25" hidden="true" customHeight="false" outlineLevel="0" collapsed="false">
      <c r="A2075" s="0" t="n">
        <v>2080</v>
      </c>
      <c r="B2075" s="1" t="s">
        <v>1255</v>
      </c>
      <c r="C2075" s="1" t="s">
        <v>1479</v>
      </c>
      <c r="D2075" s="1" t="s">
        <v>1487</v>
      </c>
      <c r="E2075" s="0" t="s">
        <v>1488</v>
      </c>
      <c r="F2075" s="0" t="s">
        <v>49</v>
      </c>
      <c r="G2075" s="0" t="s">
        <v>10693</v>
      </c>
      <c r="I2075" s="6" t="n">
        <v>0.803472222222222</v>
      </c>
      <c r="J2075" s="6" t="n">
        <v>0.8125</v>
      </c>
      <c r="L2075" s="0" t="n">
        <v>66</v>
      </c>
      <c r="M2075" s="0" t="s">
        <v>10938</v>
      </c>
      <c r="N2075" s="0" t="s">
        <v>10939</v>
      </c>
      <c r="P2075" s="0" t="s">
        <v>10940</v>
      </c>
      <c r="Q2075" s="2" t="n">
        <v>43691</v>
      </c>
      <c r="S2075" s="0" t="n">
        <f aca="false">YEAR(Q2075)</f>
        <v>2019</v>
      </c>
      <c r="T2075" s="0" t="n">
        <f aca="false">MONTH(Q2075)</f>
        <v>8</v>
      </c>
    </row>
    <row r="2076" customFormat="false" ht="14.25" hidden="true" customHeight="false" outlineLevel="0" collapsed="false">
      <c r="A2076" s="0" t="n">
        <v>2081</v>
      </c>
      <c r="B2076" s="1" t="s">
        <v>1256</v>
      </c>
      <c r="C2076" s="1" t="s">
        <v>1503</v>
      </c>
      <c r="D2076" s="1" t="s">
        <v>1504</v>
      </c>
      <c r="E2076" s="0" t="s">
        <v>45</v>
      </c>
      <c r="F2076" s="0" t="s">
        <v>48</v>
      </c>
      <c r="G2076" s="0" t="s">
        <v>10941</v>
      </c>
      <c r="I2076" s="6" t="n">
        <v>0.25</v>
      </c>
      <c r="J2076" s="6" t="n">
        <v>0.274305555555555</v>
      </c>
      <c r="L2076" s="0" t="n">
        <v>88</v>
      </c>
      <c r="M2076" s="0" t="s">
        <v>10942</v>
      </c>
      <c r="N2076" s="0" t="s">
        <v>10943</v>
      </c>
      <c r="P2076" s="0" t="s">
        <v>10944</v>
      </c>
      <c r="Q2076" s="2" t="n">
        <v>43692</v>
      </c>
      <c r="S2076" s="0" t="n">
        <f aca="false">YEAR(Q2076)</f>
        <v>2019</v>
      </c>
      <c r="T2076" s="0" t="n">
        <f aca="false">MONTH(Q2076)</f>
        <v>8</v>
      </c>
    </row>
    <row r="2077" customFormat="false" ht="14.25" hidden="true" customHeight="false" outlineLevel="0" collapsed="false">
      <c r="A2077" s="0" t="n">
        <v>2082</v>
      </c>
      <c r="B2077" s="1" t="s">
        <v>1256</v>
      </c>
      <c r="C2077" s="1" t="s">
        <v>1503</v>
      </c>
      <c r="D2077" s="1" t="s">
        <v>1504</v>
      </c>
      <c r="E2077" s="0" t="s">
        <v>10902</v>
      </c>
      <c r="F2077" s="0" t="s">
        <v>48</v>
      </c>
      <c r="G2077" s="0" t="s">
        <v>10945</v>
      </c>
      <c r="I2077" s="6" t="n">
        <v>0.236111111111111</v>
      </c>
      <c r="J2077" s="6" t="n">
        <v>0.274305555555555</v>
      </c>
      <c r="M2077" s="0" t="s">
        <v>10946</v>
      </c>
      <c r="N2077" s="0" t="s">
        <v>10947</v>
      </c>
      <c r="P2077" s="0" t="s">
        <v>10948</v>
      </c>
      <c r="Q2077" s="2" t="n">
        <v>43692</v>
      </c>
      <c r="S2077" s="0" t="n">
        <f aca="false">YEAR(Q2077)</f>
        <v>2019</v>
      </c>
      <c r="T2077" s="0" t="n">
        <f aca="false">MONTH(Q2077)</f>
        <v>8</v>
      </c>
    </row>
    <row r="2078" customFormat="false" ht="14.25" hidden="true" customHeight="false" outlineLevel="0" collapsed="false">
      <c r="A2078" s="0" t="n">
        <v>2083</v>
      </c>
      <c r="B2078" s="1" t="s">
        <v>1256</v>
      </c>
      <c r="C2078" s="1" t="s">
        <v>1479</v>
      </c>
      <c r="D2078" s="1" t="s">
        <v>1487</v>
      </c>
      <c r="E2078" s="0" t="s">
        <v>1488</v>
      </c>
      <c r="F2078" s="0" t="s">
        <v>49</v>
      </c>
      <c r="G2078" s="0" t="s">
        <v>9596</v>
      </c>
      <c r="I2078" s="6" t="n">
        <v>0.704861111111111</v>
      </c>
      <c r="J2078" s="6" t="n">
        <v>0.710416666666667</v>
      </c>
      <c r="L2078" s="0" t="n">
        <v>70</v>
      </c>
      <c r="M2078" s="0" t="s">
        <v>10949</v>
      </c>
      <c r="N2078" s="0" t="s">
        <v>10950</v>
      </c>
      <c r="P2078" s="0" t="s">
        <v>10951</v>
      </c>
      <c r="Q2078" s="2" t="n">
        <v>43692</v>
      </c>
      <c r="S2078" s="0" t="n">
        <f aca="false">YEAR(Q2078)</f>
        <v>2019</v>
      </c>
      <c r="T2078" s="0" t="n">
        <f aca="false">MONTH(Q2078)</f>
        <v>8</v>
      </c>
    </row>
    <row r="2079" customFormat="false" ht="14.25" hidden="true" customHeight="false" outlineLevel="0" collapsed="false">
      <c r="A2079" s="0" t="n">
        <v>2084</v>
      </c>
      <c r="B2079" s="1" t="s">
        <v>1258</v>
      </c>
      <c r="C2079" s="1" t="s">
        <v>1479</v>
      </c>
      <c r="D2079" s="1" t="s">
        <v>1487</v>
      </c>
      <c r="E2079" s="0" t="s">
        <v>1488</v>
      </c>
      <c r="F2079" s="0" t="s">
        <v>48</v>
      </c>
      <c r="G2079" s="0" t="s">
        <v>10952</v>
      </c>
      <c r="I2079" s="6" t="n">
        <v>0.272222222222222</v>
      </c>
      <c r="J2079" s="6" t="n">
        <v>0.286805555555556</v>
      </c>
      <c r="L2079" s="0" t="n">
        <v>32</v>
      </c>
      <c r="M2079" s="0" t="s">
        <v>10953</v>
      </c>
      <c r="N2079" s="0" t="s">
        <v>10954</v>
      </c>
      <c r="P2079" s="0" t="s">
        <v>10955</v>
      </c>
      <c r="Q2079" s="2" t="n">
        <v>43693</v>
      </c>
      <c r="S2079" s="0" t="n">
        <f aca="false">YEAR(Q2079)</f>
        <v>2019</v>
      </c>
      <c r="T2079" s="0" t="n">
        <f aca="false">MONTH(Q2079)</f>
        <v>8</v>
      </c>
    </row>
    <row r="2080" customFormat="false" ht="14.25" hidden="true" customHeight="false" outlineLevel="0" collapsed="false">
      <c r="A2080" s="0" t="n">
        <v>2085</v>
      </c>
      <c r="B2080" s="1" t="s">
        <v>1258</v>
      </c>
      <c r="C2080" s="1" t="s">
        <v>1479</v>
      </c>
      <c r="D2080" s="1" t="s">
        <v>1487</v>
      </c>
      <c r="E2080" s="0" t="s">
        <v>1488</v>
      </c>
      <c r="F2080" s="0" t="s">
        <v>49</v>
      </c>
      <c r="G2080" s="0" t="s">
        <v>10956</v>
      </c>
      <c r="I2080" s="6" t="n">
        <v>0.865277777777778</v>
      </c>
      <c r="L2080" s="0" t="n">
        <v>300</v>
      </c>
      <c r="M2080" s="0" t="s">
        <v>10957</v>
      </c>
      <c r="N2080" s="0" t="s">
        <v>10958</v>
      </c>
      <c r="P2080" s="0" t="s">
        <v>10959</v>
      </c>
      <c r="Q2080" s="2" t="n">
        <v>43693</v>
      </c>
      <c r="S2080" s="0" t="n">
        <f aca="false">YEAR(Q2080)</f>
        <v>2019</v>
      </c>
      <c r="T2080" s="0" t="n">
        <f aca="false">MONTH(Q2080)</f>
        <v>8</v>
      </c>
    </row>
    <row r="2081" customFormat="false" ht="14.25" hidden="true" customHeight="false" outlineLevel="0" collapsed="false">
      <c r="A2081" s="0" t="n">
        <v>2086</v>
      </c>
      <c r="B2081" s="1" t="s">
        <v>1259</v>
      </c>
      <c r="C2081" s="1" t="s">
        <v>1479</v>
      </c>
      <c r="D2081" s="1" t="s">
        <v>1487</v>
      </c>
      <c r="E2081" s="0" t="s">
        <v>1488</v>
      </c>
      <c r="F2081" s="0" t="s">
        <v>49</v>
      </c>
      <c r="G2081" s="0" t="s">
        <v>6447</v>
      </c>
      <c r="I2081" s="6" t="n">
        <v>0.597222222222222</v>
      </c>
      <c r="J2081" s="6" t="n">
        <v>0.600694444444444</v>
      </c>
      <c r="L2081" s="0" t="n">
        <v>40</v>
      </c>
      <c r="M2081" s="0" t="s">
        <v>10960</v>
      </c>
      <c r="N2081" s="0" t="s">
        <v>10961</v>
      </c>
      <c r="P2081" s="0" t="s">
        <v>10962</v>
      </c>
      <c r="Q2081" s="2" t="n">
        <v>43694</v>
      </c>
      <c r="S2081" s="0" t="n">
        <f aca="false">YEAR(Q2081)</f>
        <v>2019</v>
      </c>
      <c r="T2081" s="0" t="n">
        <f aca="false">MONTH(Q2081)</f>
        <v>8</v>
      </c>
    </row>
    <row r="2082" customFormat="false" ht="14.25" hidden="true" customHeight="false" outlineLevel="0" collapsed="false">
      <c r="A2082" s="0" t="n">
        <v>2087</v>
      </c>
      <c r="B2082" s="1" t="s">
        <v>1260</v>
      </c>
      <c r="C2082" s="1" t="s">
        <v>1479</v>
      </c>
      <c r="D2082" s="1" t="s">
        <v>1535</v>
      </c>
      <c r="E2082" s="0" t="s">
        <v>39</v>
      </c>
      <c r="F2082" s="0" t="s">
        <v>50</v>
      </c>
      <c r="G2082" s="0" t="s">
        <v>10963</v>
      </c>
      <c r="J2082" s="6" t="n">
        <v>0.0625</v>
      </c>
      <c r="M2082" s="0" t="s">
        <v>10964</v>
      </c>
      <c r="N2082" s="0" t="s">
        <v>10965</v>
      </c>
      <c r="P2082" s="0" t="s">
        <v>10966</v>
      </c>
      <c r="Q2082" s="2" t="n">
        <v>43695</v>
      </c>
      <c r="S2082" s="0" t="n">
        <f aca="false">YEAR(Q2082)</f>
        <v>2019</v>
      </c>
      <c r="T2082" s="0" t="n">
        <f aca="false">MONTH(Q2082)</f>
        <v>8</v>
      </c>
    </row>
    <row r="2083" customFormat="false" ht="14.25" hidden="true" customHeight="false" outlineLevel="0" collapsed="false">
      <c r="A2083" s="0" t="n">
        <v>2088</v>
      </c>
      <c r="B2083" s="1" t="s">
        <v>1261</v>
      </c>
      <c r="C2083" s="1" t="s">
        <v>1479</v>
      </c>
      <c r="D2083" s="1" t="s">
        <v>1535</v>
      </c>
      <c r="E2083" s="0" t="s">
        <v>39</v>
      </c>
      <c r="F2083" s="0" t="s">
        <v>48</v>
      </c>
      <c r="G2083" s="0" t="s">
        <v>10967</v>
      </c>
      <c r="I2083" s="6" t="n">
        <v>0.239583333333333</v>
      </c>
      <c r="J2083" s="6" t="n">
        <v>0.249305555555556</v>
      </c>
      <c r="K2083" s="0" t="n">
        <v>0</v>
      </c>
      <c r="M2083" s="0" t="s">
        <v>10968</v>
      </c>
      <c r="N2083" s="0" t="s">
        <v>10969</v>
      </c>
      <c r="P2083" s="0" t="s">
        <v>10970</v>
      </c>
      <c r="Q2083" s="2" t="n">
        <v>43696</v>
      </c>
      <c r="S2083" s="0" t="n">
        <f aca="false">YEAR(Q2083)</f>
        <v>2019</v>
      </c>
      <c r="T2083" s="0" t="n">
        <f aca="false">MONTH(Q2083)</f>
        <v>8</v>
      </c>
    </row>
    <row r="2084" customFormat="false" ht="14.25" hidden="true" customHeight="false" outlineLevel="0" collapsed="false">
      <c r="A2084" s="0" t="n">
        <v>2089</v>
      </c>
      <c r="B2084" s="1" t="s">
        <v>1261</v>
      </c>
      <c r="C2084" s="1" t="s">
        <v>1503</v>
      </c>
      <c r="D2084" s="1" t="s">
        <v>1535</v>
      </c>
      <c r="E2084" s="0" t="s">
        <v>1503</v>
      </c>
      <c r="F2084" s="0" t="s">
        <v>48</v>
      </c>
      <c r="G2084" s="0" t="s">
        <v>10971</v>
      </c>
      <c r="J2084" s="6" t="n">
        <v>0.394444444444444</v>
      </c>
      <c r="K2084" s="0" t="n">
        <v>0</v>
      </c>
      <c r="L2084" s="0" t="n">
        <v>90</v>
      </c>
      <c r="M2084" s="0" t="s">
        <v>10972</v>
      </c>
      <c r="N2084" s="0" t="s">
        <v>10973</v>
      </c>
      <c r="P2084" s="0" t="s">
        <v>10974</v>
      </c>
      <c r="Q2084" s="2" t="n">
        <v>43696</v>
      </c>
      <c r="S2084" s="0" t="n">
        <f aca="false">YEAR(Q2084)</f>
        <v>2019</v>
      </c>
      <c r="T2084" s="0" t="n">
        <f aca="false">MONTH(Q2084)</f>
        <v>8</v>
      </c>
    </row>
    <row r="2085" customFormat="false" ht="14.25" hidden="true" customHeight="false" outlineLevel="0" collapsed="false">
      <c r="A2085" s="0" t="n">
        <v>2090</v>
      </c>
      <c r="B2085" s="1" t="s">
        <v>1261</v>
      </c>
      <c r="C2085" s="1" t="s">
        <v>1479</v>
      </c>
      <c r="D2085" s="1" t="s">
        <v>1496</v>
      </c>
      <c r="E2085" s="0" t="s">
        <v>38</v>
      </c>
      <c r="F2085" s="0" t="s">
        <v>48</v>
      </c>
      <c r="G2085" s="0" t="s">
        <v>10975</v>
      </c>
      <c r="I2085" s="6" t="n">
        <v>0.493055555555556</v>
      </c>
      <c r="J2085" s="6" t="n">
        <v>0.509722222222222</v>
      </c>
      <c r="K2085" s="0" t="n">
        <v>0</v>
      </c>
      <c r="M2085" s="0" t="s">
        <v>10976</v>
      </c>
      <c r="N2085" s="0" t="s">
        <v>10977</v>
      </c>
      <c r="P2085" s="0" t="s">
        <v>10974</v>
      </c>
      <c r="Q2085" s="2" t="n">
        <v>43696</v>
      </c>
      <c r="S2085" s="0" t="n">
        <f aca="false">YEAR(Q2085)</f>
        <v>2019</v>
      </c>
      <c r="T2085" s="0" t="n">
        <f aca="false">MONTH(Q2085)</f>
        <v>8</v>
      </c>
    </row>
    <row r="2086" customFormat="false" ht="14.25" hidden="true" customHeight="false" outlineLevel="0" collapsed="false">
      <c r="A2086" s="0" t="n">
        <v>2091</v>
      </c>
      <c r="B2086" s="1" t="s">
        <v>1261</v>
      </c>
      <c r="C2086" s="1" t="s">
        <v>1479</v>
      </c>
      <c r="D2086" s="1" t="s">
        <v>1535</v>
      </c>
      <c r="E2086" s="0" t="s">
        <v>39</v>
      </c>
      <c r="F2086" s="0" t="s">
        <v>49</v>
      </c>
      <c r="G2086" s="0" t="s">
        <v>10978</v>
      </c>
      <c r="I2086" s="6" t="n">
        <v>0.900694444444444</v>
      </c>
      <c r="J2086" s="6" t="n">
        <v>0.903472222222222</v>
      </c>
      <c r="K2086" s="0" t="n">
        <v>14</v>
      </c>
      <c r="L2086" s="0" t="n">
        <v>25</v>
      </c>
      <c r="M2086" s="0" t="s">
        <v>10979</v>
      </c>
      <c r="N2086" s="0" t="s">
        <v>10980</v>
      </c>
      <c r="P2086" s="0" t="s">
        <v>10981</v>
      </c>
      <c r="Q2086" s="2" t="n">
        <v>43696</v>
      </c>
      <c r="S2086" s="0" t="n">
        <f aca="false">YEAR(Q2086)</f>
        <v>2019</v>
      </c>
      <c r="T2086" s="0" t="n">
        <f aca="false">MONTH(Q2086)</f>
        <v>8</v>
      </c>
    </row>
    <row r="2087" customFormat="false" ht="14.25" hidden="true" customHeight="false" outlineLevel="0" collapsed="false">
      <c r="A2087" s="0" t="n">
        <v>2092</v>
      </c>
      <c r="B2087" s="1" t="s">
        <v>1263</v>
      </c>
      <c r="C2087" s="1" t="s">
        <v>1479</v>
      </c>
      <c r="D2087" s="1" t="s">
        <v>1535</v>
      </c>
      <c r="E2087" s="0" t="s">
        <v>39</v>
      </c>
      <c r="F2087" s="0" t="s">
        <v>48</v>
      </c>
      <c r="G2087" s="0" t="s">
        <v>10175</v>
      </c>
      <c r="I2087" s="6" t="n">
        <v>0.261805555555556</v>
      </c>
      <c r="J2087" s="6" t="n">
        <v>0.26875</v>
      </c>
      <c r="K2087" s="0" t="n">
        <v>10</v>
      </c>
      <c r="L2087" s="0" t="n">
        <v>10</v>
      </c>
      <c r="M2087" s="0" t="s">
        <v>10982</v>
      </c>
      <c r="N2087" s="0" t="s">
        <v>10983</v>
      </c>
      <c r="P2087" s="0" t="s">
        <v>10984</v>
      </c>
      <c r="Q2087" s="2" t="n">
        <v>43697</v>
      </c>
      <c r="S2087" s="0" t="n">
        <f aca="false">YEAR(Q2087)</f>
        <v>2019</v>
      </c>
      <c r="T2087" s="0" t="n">
        <f aca="false">MONTH(Q2087)</f>
        <v>8</v>
      </c>
    </row>
    <row r="2088" customFormat="false" ht="14.25" hidden="true" customHeight="false" outlineLevel="0" collapsed="false">
      <c r="A2088" s="0" t="n">
        <v>2093</v>
      </c>
      <c r="B2088" s="1" t="s">
        <v>1263</v>
      </c>
      <c r="C2088" s="1" t="s">
        <v>1479</v>
      </c>
      <c r="D2088" s="1" t="s">
        <v>1496</v>
      </c>
      <c r="E2088" s="0" t="s">
        <v>38</v>
      </c>
      <c r="F2088" s="0" t="s">
        <v>48</v>
      </c>
      <c r="G2088" s="0" t="s">
        <v>9358</v>
      </c>
      <c r="I2088" s="6" t="n">
        <v>0.277777777777778</v>
      </c>
      <c r="J2088" s="6" t="n">
        <v>0.291666666666667</v>
      </c>
      <c r="K2088" s="0" t="n">
        <v>0</v>
      </c>
      <c r="M2088" s="0" t="s">
        <v>10985</v>
      </c>
      <c r="N2088" s="0" t="s">
        <v>10986</v>
      </c>
      <c r="P2088" s="0" t="s">
        <v>10987</v>
      </c>
      <c r="Q2088" s="2" t="n">
        <v>43697</v>
      </c>
      <c r="S2088" s="0" t="n">
        <f aca="false">YEAR(Q2088)</f>
        <v>2019</v>
      </c>
      <c r="T2088" s="0" t="n">
        <f aca="false">MONTH(Q2088)</f>
        <v>8</v>
      </c>
    </row>
    <row r="2089" customFormat="false" ht="14.25" hidden="true" customHeight="false" outlineLevel="0" collapsed="false">
      <c r="A2089" s="0" t="n">
        <v>2094</v>
      </c>
      <c r="B2089" s="1" t="s">
        <v>1263</v>
      </c>
      <c r="C2089" s="1" t="s">
        <v>1479</v>
      </c>
      <c r="D2089" s="1" t="s">
        <v>1487</v>
      </c>
      <c r="E2089" s="4" t="s">
        <v>1488</v>
      </c>
      <c r="F2089" s="0" t="s">
        <v>50</v>
      </c>
      <c r="G2089" s="0" t="s">
        <v>9081</v>
      </c>
      <c r="I2089" s="6" t="n">
        <v>0.0798611111111111</v>
      </c>
      <c r="J2089" s="6" t="n">
        <v>0.0972222222222222</v>
      </c>
      <c r="K2089" s="0" t="n">
        <v>25</v>
      </c>
      <c r="L2089" s="0" t="n">
        <v>45</v>
      </c>
      <c r="M2089" s="0" t="s">
        <v>10988</v>
      </c>
      <c r="N2089" s="0" t="s">
        <v>10989</v>
      </c>
      <c r="P2089" s="0" t="s">
        <v>10990</v>
      </c>
      <c r="Q2089" s="2" t="n">
        <v>43697</v>
      </c>
      <c r="S2089" s="0" t="n">
        <f aca="false">YEAR(Q2089)</f>
        <v>2019</v>
      </c>
      <c r="T2089" s="0" t="n">
        <f aca="false">MONTH(Q2089)</f>
        <v>8</v>
      </c>
    </row>
    <row r="2090" customFormat="false" ht="14.25" hidden="true" customHeight="false" outlineLevel="0" collapsed="false">
      <c r="A2090" s="0" t="n">
        <v>2095</v>
      </c>
      <c r="B2090" s="1" t="s">
        <v>1264</v>
      </c>
      <c r="C2090" s="1" t="s">
        <v>1479</v>
      </c>
      <c r="D2090" s="1" t="s">
        <v>1535</v>
      </c>
      <c r="E2090" s="0" t="s">
        <v>39</v>
      </c>
      <c r="F2090" s="0" t="s">
        <v>49</v>
      </c>
      <c r="G2090" s="0" t="s">
        <v>10991</v>
      </c>
      <c r="I2090" s="6" t="n">
        <v>0.65625</v>
      </c>
      <c r="J2090" s="6" t="n">
        <v>0.663194444444444</v>
      </c>
      <c r="K2090" s="0" t="n">
        <v>0</v>
      </c>
      <c r="L2090" s="0" t="n">
        <v>40</v>
      </c>
      <c r="M2090" s="0" t="s">
        <v>10992</v>
      </c>
      <c r="N2090" s="0" t="s">
        <v>10993</v>
      </c>
      <c r="P2090" s="0" t="s">
        <v>10994</v>
      </c>
      <c r="Q2090" s="2" t="n">
        <v>43698</v>
      </c>
      <c r="S2090" s="0" t="n">
        <f aca="false">YEAR(Q2090)</f>
        <v>2019</v>
      </c>
      <c r="T2090" s="0" t="n">
        <f aca="false">MONTH(Q2090)</f>
        <v>8</v>
      </c>
    </row>
    <row r="2091" customFormat="false" ht="14.25" hidden="true" customHeight="false" outlineLevel="0" collapsed="false">
      <c r="A2091" s="0" t="n">
        <v>2096</v>
      </c>
      <c r="B2091" s="1" t="s">
        <v>1264</v>
      </c>
      <c r="C2091" s="1" t="s">
        <v>1479</v>
      </c>
      <c r="D2091" s="1" t="s">
        <v>1496</v>
      </c>
      <c r="E2091" s="0" t="s">
        <v>38</v>
      </c>
      <c r="F2091" s="0" t="s">
        <v>50</v>
      </c>
      <c r="G2091" s="0" t="s">
        <v>10995</v>
      </c>
      <c r="J2091" s="6" t="n">
        <v>0.0590277777777778</v>
      </c>
      <c r="K2091" s="0" t="n">
        <v>0</v>
      </c>
      <c r="L2091" s="0" t="n">
        <v>0</v>
      </c>
      <c r="M2091" s="0" t="s">
        <v>10996</v>
      </c>
      <c r="N2091" s="0" t="s">
        <v>10997</v>
      </c>
      <c r="P2091" s="0" t="s">
        <v>10998</v>
      </c>
      <c r="Q2091" s="2" t="n">
        <v>43698</v>
      </c>
      <c r="S2091" s="0" t="n">
        <f aca="false">YEAR(Q2091)</f>
        <v>2019</v>
      </c>
      <c r="T2091" s="0" t="n">
        <f aca="false">MONTH(Q2091)</f>
        <v>8</v>
      </c>
    </row>
    <row r="2092" customFormat="false" ht="14.25" hidden="true" customHeight="false" outlineLevel="0" collapsed="false">
      <c r="A2092" s="0" t="n">
        <v>2097</v>
      </c>
      <c r="B2092" s="1" t="s">
        <v>1265</v>
      </c>
      <c r="C2092" s="1" t="s">
        <v>1479</v>
      </c>
      <c r="D2092" s="1" t="s">
        <v>1496</v>
      </c>
      <c r="E2092" s="0" t="s">
        <v>38</v>
      </c>
      <c r="F2092" s="0" t="s">
        <v>48</v>
      </c>
      <c r="G2092" s="0" t="s">
        <v>8809</v>
      </c>
      <c r="I2092" s="6" t="n">
        <v>0.236111111111111</v>
      </c>
      <c r="J2092" s="6" t="n">
        <v>0.249305555555556</v>
      </c>
      <c r="K2092" s="0" t="n">
        <v>0</v>
      </c>
      <c r="L2092" s="0" t="n">
        <v>20</v>
      </c>
      <c r="M2092" s="0" t="s">
        <v>10999</v>
      </c>
      <c r="N2092" s="0" t="s">
        <v>11000</v>
      </c>
      <c r="P2092" s="0" t="s">
        <v>11001</v>
      </c>
      <c r="Q2092" s="2" t="n">
        <v>43699</v>
      </c>
      <c r="S2092" s="0" t="n">
        <f aca="false">YEAR(Q2092)</f>
        <v>2019</v>
      </c>
      <c r="T2092" s="0" t="n">
        <f aca="false">MONTH(Q2092)</f>
        <v>8</v>
      </c>
    </row>
    <row r="2093" customFormat="false" ht="14.25" hidden="true" customHeight="false" outlineLevel="0" collapsed="false">
      <c r="A2093" s="0" t="n">
        <v>2098</v>
      </c>
      <c r="B2093" s="1" t="s">
        <v>1265</v>
      </c>
      <c r="C2093" s="1" t="s">
        <v>1479</v>
      </c>
      <c r="D2093" s="1" t="s">
        <v>1535</v>
      </c>
      <c r="E2093" s="0" t="s">
        <v>39</v>
      </c>
      <c r="F2093" s="0" t="s">
        <v>48</v>
      </c>
      <c r="G2093" s="0" t="s">
        <v>11002</v>
      </c>
      <c r="I2093" s="6" t="n">
        <v>0.25</v>
      </c>
      <c r="J2093" s="6" t="n">
        <v>0.263194444444444</v>
      </c>
      <c r="K2093" s="0" t="n">
        <v>0</v>
      </c>
      <c r="M2093" s="0" t="s">
        <v>11003</v>
      </c>
      <c r="N2093" s="0" t="s">
        <v>7941</v>
      </c>
      <c r="P2093" s="0" t="s">
        <v>11004</v>
      </c>
      <c r="Q2093" s="2" t="n">
        <v>43699</v>
      </c>
      <c r="S2093" s="0" t="n">
        <f aca="false">YEAR(Q2093)</f>
        <v>2019</v>
      </c>
      <c r="T2093" s="0" t="n">
        <f aca="false">MONTH(Q2093)</f>
        <v>8</v>
      </c>
    </row>
    <row r="2094" customFormat="false" ht="14.25" hidden="true" customHeight="false" outlineLevel="0" collapsed="false">
      <c r="A2094" s="0" t="n">
        <v>2099</v>
      </c>
      <c r="B2094" s="1" t="s">
        <v>1265</v>
      </c>
      <c r="C2094" s="1" t="s">
        <v>1479</v>
      </c>
      <c r="D2094" s="1" t="s">
        <v>1487</v>
      </c>
      <c r="E2094" s="0" t="s">
        <v>1488</v>
      </c>
      <c r="F2094" s="0" t="s">
        <v>48</v>
      </c>
      <c r="G2094" s="0" t="s">
        <v>11005</v>
      </c>
      <c r="I2094" s="6" t="n">
        <v>0.40625</v>
      </c>
      <c r="J2094" s="6" t="n">
        <v>0.427777777777778</v>
      </c>
      <c r="L2094" s="0" t="n">
        <v>41</v>
      </c>
      <c r="M2094" s="0" t="s">
        <v>11006</v>
      </c>
      <c r="N2094" s="0" t="s">
        <v>11007</v>
      </c>
      <c r="P2094" s="0" t="s">
        <v>11008</v>
      </c>
      <c r="Q2094" s="2" t="n">
        <v>43699</v>
      </c>
      <c r="S2094" s="0" t="n">
        <f aca="false">YEAR(Q2094)</f>
        <v>2019</v>
      </c>
      <c r="T2094" s="0" t="n">
        <f aca="false">MONTH(Q2094)</f>
        <v>8</v>
      </c>
    </row>
    <row r="2095" customFormat="false" ht="14.25" hidden="true" customHeight="false" outlineLevel="0" collapsed="false">
      <c r="A2095" s="0" t="n">
        <v>2100</v>
      </c>
      <c r="B2095" s="1" t="s">
        <v>1266</v>
      </c>
      <c r="C2095" s="1" t="s">
        <v>1479</v>
      </c>
      <c r="D2095" s="1" t="s">
        <v>1487</v>
      </c>
      <c r="E2095" s="0" t="s">
        <v>1488</v>
      </c>
      <c r="F2095" s="0" t="s">
        <v>49</v>
      </c>
      <c r="G2095" s="0" t="s">
        <v>8294</v>
      </c>
      <c r="I2095" s="6" t="n">
        <v>0.895833333333333</v>
      </c>
      <c r="J2095" s="6" t="n">
        <v>0.897916666666667</v>
      </c>
      <c r="K2095" s="0" t="n">
        <v>0</v>
      </c>
      <c r="L2095" s="0" t="n">
        <v>10</v>
      </c>
      <c r="M2095" s="0" t="s">
        <v>11009</v>
      </c>
      <c r="N2095" s="0" t="s">
        <v>11010</v>
      </c>
      <c r="P2095" s="0" t="s">
        <v>11011</v>
      </c>
      <c r="Q2095" s="2" t="n">
        <v>43700</v>
      </c>
      <c r="S2095" s="0" t="n">
        <f aca="false">YEAR(Q2095)</f>
        <v>2019</v>
      </c>
      <c r="T2095" s="0" t="n">
        <f aca="false">MONTH(Q2095)</f>
        <v>8</v>
      </c>
    </row>
    <row r="2096" customFormat="false" ht="14.25" hidden="true" customHeight="false" outlineLevel="0" collapsed="false">
      <c r="A2096" s="0" t="n">
        <v>2101</v>
      </c>
      <c r="B2096" s="1" t="s">
        <v>1224</v>
      </c>
      <c r="C2096" s="1" t="s">
        <v>1479</v>
      </c>
      <c r="D2096" s="1" t="s">
        <v>1487</v>
      </c>
      <c r="E2096" s="4" t="s">
        <v>1488</v>
      </c>
      <c r="F2096" s="0" t="s">
        <v>50</v>
      </c>
      <c r="G2096" s="0" t="s">
        <v>11012</v>
      </c>
      <c r="I2096" s="6" t="n">
        <v>0.00277777777777778</v>
      </c>
      <c r="J2096" s="6" t="n">
        <v>0.0138888888888889</v>
      </c>
      <c r="K2096" s="0" t="n">
        <v>20</v>
      </c>
      <c r="L2096" s="0" t="n">
        <v>25</v>
      </c>
      <c r="M2096" s="0" t="s">
        <v>11013</v>
      </c>
      <c r="N2096" s="0" t="s">
        <v>11014</v>
      </c>
      <c r="P2096" s="0" t="s">
        <v>11015</v>
      </c>
      <c r="Q2096" s="2" t="n">
        <v>43657</v>
      </c>
      <c r="S2096" s="0" t="n">
        <f aca="false">YEAR(Q2096)</f>
        <v>2019</v>
      </c>
      <c r="T2096" s="0" t="n">
        <f aca="false">MONTH(Q2096)</f>
        <v>7</v>
      </c>
    </row>
    <row r="2097" customFormat="false" ht="14.25" hidden="true" customHeight="false" outlineLevel="0" collapsed="false">
      <c r="A2097" s="0" t="n">
        <v>2106</v>
      </c>
      <c r="B2097" s="1" t="s">
        <v>1268</v>
      </c>
      <c r="C2097" s="1" t="s">
        <v>1503</v>
      </c>
      <c r="D2097" s="1" t="s">
        <v>1535</v>
      </c>
      <c r="E2097" s="0" t="s">
        <v>1503</v>
      </c>
      <c r="F2097" s="0" t="s">
        <v>48</v>
      </c>
      <c r="G2097" s="0" t="s">
        <v>11016</v>
      </c>
      <c r="I2097" s="6" t="n">
        <v>0.25</v>
      </c>
      <c r="J2097" s="6" t="n">
        <v>0.381944444444444</v>
      </c>
      <c r="K2097" s="0" t="n">
        <v>0</v>
      </c>
      <c r="L2097" s="0" t="n">
        <v>310</v>
      </c>
      <c r="M2097" s="0" t="s">
        <v>11017</v>
      </c>
      <c r="N2097" s="0" t="s">
        <v>11018</v>
      </c>
      <c r="P2097" s="0" t="s">
        <v>11019</v>
      </c>
      <c r="Q2097" s="2" t="n">
        <v>43703</v>
      </c>
      <c r="S2097" s="0" t="n">
        <f aca="false">YEAR(Q2097)</f>
        <v>2019</v>
      </c>
      <c r="T2097" s="0" t="n">
        <f aca="false">MONTH(Q2097)</f>
        <v>8</v>
      </c>
    </row>
    <row r="2098" customFormat="false" ht="14.25" hidden="true" customHeight="false" outlineLevel="0" collapsed="false">
      <c r="A2098" s="0" t="n">
        <v>2107</v>
      </c>
      <c r="B2098" s="1" t="s">
        <v>1268</v>
      </c>
      <c r="C2098" s="1" t="s">
        <v>1479</v>
      </c>
      <c r="D2098" s="1" t="s">
        <v>1535</v>
      </c>
      <c r="E2098" s="0" t="s">
        <v>39</v>
      </c>
      <c r="F2098" s="0" t="s">
        <v>48</v>
      </c>
      <c r="G2098" s="0" t="s">
        <v>8322</v>
      </c>
      <c r="J2098" s="6" t="n">
        <v>0.227777777777778</v>
      </c>
      <c r="K2098" s="0" t="n">
        <v>38</v>
      </c>
      <c r="L2098" s="0" t="n">
        <v>270</v>
      </c>
      <c r="M2098" s="0" t="s">
        <v>11020</v>
      </c>
      <c r="N2098" s="0" t="s">
        <v>2801</v>
      </c>
      <c r="P2098" s="0" t="s">
        <v>11021</v>
      </c>
      <c r="Q2098" s="2" t="n">
        <v>43703</v>
      </c>
      <c r="S2098" s="0" t="n">
        <f aca="false">YEAR(Q2098)</f>
        <v>2019</v>
      </c>
      <c r="T2098" s="0" t="n">
        <f aca="false">MONTH(Q2098)</f>
        <v>8</v>
      </c>
    </row>
    <row r="2099" customFormat="false" ht="14.25" hidden="true" customHeight="false" outlineLevel="0" collapsed="false">
      <c r="A2099" s="0" t="n">
        <v>2108</v>
      </c>
      <c r="B2099" s="1" t="s">
        <v>1268</v>
      </c>
      <c r="C2099" s="1" t="s">
        <v>1479</v>
      </c>
      <c r="D2099" s="1" t="s">
        <v>1535</v>
      </c>
      <c r="E2099" s="0" t="s">
        <v>39</v>
      </c>
      <c r="F2099" s="0" t="s">
        <v>49</v>
      </c>
      <c r="G2099" s="0" t="s">
        <v>1468</v>
      </c>
      <c r="I2099" s="6" t="n">
        <v>0.625</v>
      </c>
      <c r="J2099" s="6" t="n">
        <v>0.628472222222222</v>
      </c>
      <c r="K2099" s="0" t="n">
        <v>0</v>
      </c>
      <c r="L2099" s="0" t="n">
        <v>30</v>
      </c>
      <c r="M2099" s="0" t="s">
        <v>11022</v>
      </c>
      <c r="N2099" s="0" t="s">
        <v>11023</v>
      </c>
      <c r="P2099" s="0" t="s">
        <v>11024</v>
      </c>
      <c r="Q2099" s="2" t="n">
        <v>43703</v>
      </c>
      <c r="S2099" s="0" t="n">
        <f aca="false">YEAR(Q2099)</f>
        <v>2019</v>
      </c>
      <c r="T2099" s="0" t="n">
        <f aca="false">MONTH(Q2099)</f>
        <v>8</v>
      </c>
    </row>
    <row r="2100" customFormat="false" ht="14.25" hidden="true" customHeight="false" outlineLevel="0" collapsed="false">
      <c r="A2100" s="0" t="n">
        <v>2109</v>
      </c>
      <c r="B2100" s="1" t="s">
        <v>1268</v>
      </c>
      <c r="C2100" s="1" t="s">
        <v>1479</v>
      </c>
      <c r="D2100" s="1" t="s">
        <v>1535</v>
      </c>
      <c r="E2100" s="0" t="s">
        <v>39</v>
      </c>
      <c r="F2100" s="0" t="s">
        <v>49</v>
      </c>
      <c r="G2100" s="0" t="s">
        <v>9454</v>
      </c>
      <c r="I2100" s="6" t="n">
        <v>0.682638888888889</v>
      </c>
      <c r="J2100" s="6" t="n">
        <v>0.684722222222222</v>
      </c>
      <c r="K2100" s="0" t="n">
        <v>3</v>
      </c>
      <c r="L2100" s="0" t="n">
        <v>23</v>
      </c>
      <c r="M2100" s="0" t="s">
        <v>11025</v>
      </c>
      <c r="N2100" s="0" t="s">
        <v>11026</v>
      </c>
      <c r="P2100" s="0" t="s">
        <v>11027</v>
      </c>
      <c r="Q2100" s="2" t="n">
        <v>43703</v>
      </c>
      <c r="S2100" s="0" t="n">
        <f aca="false">YEAR(Q2100)</f>
        <v>2019</v>
      </c>
      <c r="T2100" s="0" t="n">
        <f aca="false">MONTH(Q2100)</f>
        <v>8</v>
      </c>
    </row>
    <row r="2101" customFormat="false" ht="14.25" hidden="true" customHeight="false" outlineLevel="0" collapsed="false">
      <c r="A2101" s="0" t="n">
        <v>2110</v>
      </c>
      <c r="B2101" s="1" t="s">
        <v>1269</v>
      </c>
      <c r="C2101" s="1" t="s">
        <v>1479</v>
      </c>
      <c r="D2101" s="1" t="s">
        <v>1487</v>
      </c>
      <c r="E2101" s="0" t="s">
        <v>1488</v>
      </c>
      <c r="F2101" s="0" t="s">
        <v>48</v>
      </c>
      <c r="G2101" s="0" t="s">
        <v>11028</v>
      </c>
      <c r="J2101" s="6" t="n">
        <v>0.256944444444444</v>
      </c>
      <c r="M2101" s="0" t="s">
        <v>11029</v>
      </c>
      <c r="N2101" s="0" t="s">
        <v>11030</v>
      </c>
      <c r="P2101" s="0" t="s">
        <v>11031</v>
      </c>
      <c r="Q2101" s="2" t="n">
        <v>43704</v>
      </c>
      <c r="S2101" s="0" t="n">
        <f aca="false">YEAR(Q2101)</f>
        <v>2019</v>
      </c>
      <c r="T2101" s="0" t="n">
        <f aca="false">MONTH(Q2101)</f>
        <v>8</v>
      </c>
    </row>
    <row r="2102" customFormat="false" ht="14.25" hidden="true" customHeight="false" outlineLevel="0" collapsed="false">
      <c r="A2102" s="0" t="n">
        <v>2111</v>
      </c>
      <c r="B2102" s="1" t="s">
        <v>1269</v>
      </c>
      <c r="C2102" s="1" t="s">
        <v>1503</v>
      </c>
      <c r="D2102" s="1" t="s">
        <v>1535</v>
      </c>
      <c r="E2102" s="0" t="s">
        <v>1503</v>
      </c>
      <c r="F2102" s="0" t="s">
        <v>50</v>
      </c>
      <c r="G2102" s="0" t="s">
        <v>11032</v>
      </c>
      <c r="J2102" s="6" t="n">
        <v>0.991666666666667</v>
      </c>
      <c r="M2102" s="0" t="s">
        <v>11033</v>
      </c>
      <c r="N2102" s="0" t="s">
        <v>11034</v>
      </c>
      <c r="P2102" s="0" t="s">
        <v>11035</v>
      </c>
      <c r="Q2102" s="2" t="n">
        <v>43704</v>
      </c>
      <c r="S2102" s="0" t="n">
        <f aca="false">YEAR(Q2102)</f>
        <v>2019</v>
      </c>
      <c r="T2102" s="0" t="n">
        <f aca="false">MONTH(Q2102)</f>
        <v>8</v>
      </c>
    </row>
    <row r="2103" customFormat="false" ht="14.25" hidden="true" customHeight="false" outlineLevel="0" collapsed="false">
      <c r="A2103" s="0" t="n">
        <v>2112</v>
      </c>
      <c r="B2103" s="1" t="s">
        <v>1269</v>
      </c>
      <c r="C2103" s="1" t="s">
        <v>1479</v>
      </c>
      <c r="D2103" s="1" t="s">
        <v>1535</v>
      </c>
      <c r="E2103" s="0" t="s">
        <v>39</v>
      </c>
      <c r="F2103" s="0" t="s">
        <v>50</v>
      </c>
      <c r="G2103" s="0" t="s">
        <v>11036</v>
      </c>
      <c r="J2103" s="6" t="n">
        <v>0.0722222222222222</v>
      </c>
      <c r="M2103" s="0" t="s">
        <v>11037</v>
      </c>
      <c r="N2103" s="0" t="s">
        <v>11038</v>
      </c>
      <c r="P2103" s="0" t="s">
        <v>11039</v>
      </c>
      <c r="Q2103" s="2" t="n">
        <v>43704</v>
      </c>
      <c r="S2103" s="0" t="n">
        <f aca="false">YEAR(Q2103)</f>
        <v>2019</v>
      </c>
      <c r="T2103" s="0" t="n">
        <f aca="false">MONTH(Q2103)</f>
        <v>8</v>
      </c>
    </row>
    <row r="2104" customFormat="false" ht="14.25" hidden="true" customHeight="false" outlineLevel="0" collapsed="false">
      <c r="A2104" s="0" t="n">
        <v>2113</v>
      </c>
      <c r="B2104" s="1" t="s">
        <v>1270</v>
      </c>
      <c r="C2104" s="1" t="s">
        <v>1503</v>
      </c>
      <c r="D2104" s="1" t="s">
        <v>1535</v>
      </c>
      <c r="E2104" s="0" t="s">
        <v>1503</v>
      </c>
      <c r="F2104" s="0" t="s">
        <v>48</v>
      </c>
      <c r="G2104" s="0" t="s">
        <v>11040</v>
      </c>
      <c r="I2104" s="6" t="n">
        <v>0.166666666666667</v>
      </c>
      <c r="J2104" s="6" t="n">
        <v>0.280555555555556</v>
      </c>
      <c r="L2104" s="0" t="n">
        <v>60</v>
      </c>
      <c r="M2104" s="0" t="s">
        <v>11041</v>
      </c>
      <c r="N2104" s="0" t="s">
        <v>11042</v>
      </c>
      <c r="P2104" s="0" t="s">
        <v>11043</v>
      </c>
      <c r="Q2104" s="2" t="n">
        <v>43705</v>
      </c>
      <c r="S2104" s="0" t="n">
        <f aca="false">YEAR(Q2104)</f>
        <v>2019</v>
      </c>
      <c r="T2104" s="0" t="n">
        <f aca="false">MONTH(Q2104)</f>
        <v>8</v>
      </c>
    </row>
    <row r="2105" customFormat="false" ht="14.25" hidden="true" customHeight="false" outlineLevel="0" collapsed="false">
      <c r="A2105" s="0" t="n">
        <v>2116</v>
      </c>
      <c r="B2105" s="1" t="s">
        <v>1270</v>
      </c>
      <c r="C2105" s="1" t="s">
        <v>1479</v>
      </c>
      <c r="D2105" s="1" t="s">
        <v>1487</v>
      </c>
      <c r="E2105" s="0" t="s">
        <v>1488</v>
      </c>
      <c r="F2105" s="0" t="s">
        <v>48</v>
      </c>
      <c r="G2105" s="0" t="s">
        <v>11044</v>
      </c>
      <c r="I2105" s="6" t="n">
        <v>0.472222222222222</v>
      </c>
      <c r="J2105" s="6" t="n">
        <v>0.480555555555556</v>
      </c>
      <c r="M2105" s="0" t="s">
        <v>11045</v>
      </c>
      <c r="N2105" s="0" t="s">
        <v>11046</v>
      </c>
      <c r="P2105" s="0" t="s">
        <v>11047</v>
      </c>
      <c r="Q2105" s="2" t="n">
        <v>43705</v>
      </c>
      <c r="S2105" s="0" t="n">
        <f aca="false">YEAR(Q2105)</f>
        <v>2019</v>
      </c>
      <c r="T2105" s="0" t="n">
        <f aca="false">MONTH(Q2105)</f>
        <v>8</v>
      </c>
    </row>
    <row r="2106" customFormat="false" ht="14.25" hidden="true" customHeight="false" outlineLevel="0" collapsed="false">
      <c r="A2106" s="0" t="n">
        <v>2117</v>
      </c>
      <c r="B2106" s="1" t="s">
        <v>1270</v>
      </c>
      <c r="C2106" s="1" t="s">
        <v>1479</v>
      </c>
      <c r="D2106" s="1" t="s">
        <v>1480</v>
      </c>
      <c r="E2106" s="0" t="s">
        <v>43</v>
      </c>
      <c r="F2106" s="0" t="s">
        <v>48</v>
      </c>
      <c r="G2106" s="0" t="s">
        <v>1568</v>
      </c>
      <c r="I2106" s="6" t="n">
        <v>0.291666666666667</v>
      </c>
      <c r="J2106" s="6" t="n">
        <v>0.326388888888889</v>
      </c>
      <c r="L2106" s="0" t="n">
        <v>135</v>
      </c>
      <c r="M2106" s="0" t="s">
        <v>11048</v>
      </c>
      <c r="N2106" s="0" t="s">
        <v>11049</v>
      </c>
      <c r="P2106" s="0" t="s">
        <v>11050</v>
      </c>
      <c r="Q2106" s="2" t="n">
        <v>43705</v>
      </c>
      <c r="S2106" s="0" t="n">
        <f aca="false">YEAR(Q2106)</f>
        <v>2019</v>
      </c>
      <c r="T2106" s="0" t="n">
        <f aca="false">MONTH(Q2106)</f>
        <v>8</v>
      </c>
    </row>
    <row r="2107" customFormat="false" ht="14.25" hidden="true" customHeight="false" outlineLevel="0" collapsed="false">
      <c r="A2107" s="0" t="n">
        <v>2118</v>
      </c>
      <c r="B2107" s="1" t="s">
        <v>1270</v>
      </c>
      <c r="C2107" s="1" t="s">
        <v>1479</v>
      </c>
      <c r="D2107" s="1" t="s">
        <v>1487</v>
      </c>
      <c r="E2107" s="0" t="s">
        <v>1488</v>
      </c>
      <c r="F2107" s="0" t="s">
        <v>48</v>
      </c>
      <c r="G2107" s="0" t="s">
        <v>11051</v>
      </c>
      <c r="I2107" s="6" t="n">
        <v>0.359722222222222</v>
      </c>
      <c r="J2107" s="6" t="n">
        <v>0.371527777777778</v>
      </c>
      <c r="L2107" s="0" t="n">
        <v>20</v>
      </c>
      <c r="M2107" s="0" t="s">
        <v>11052</v>
      </c>
      <c r="N2107" s="0" t="s">
        <v>11053</v>
      </c>
      <c r="P2107" s="0" t="s">
        <v>11054</v>
      </c>
      <c r="Q2107" s="2" t="n">
        <v>43705</v>
      </c>
      <c r="S2107" s="0" t="n">
        <f aca="false">YEAR(Q2107)</f>
        <v>2019</v>
      </c>
      <c r="T2107" s="0" t="n">
        <f aca="false">MONTH(Q2107)</f>
        <v>8</v>
      </c>
    </row>
    <row r="2108" customFormat="false" ht="14.25" hidden="true" customHeight="false" outlineLevel="0" collapsed="false">
      <c r="A2108" s="0" t="n">
        <v>2119</v>
      </c>
      <c r="B2108" s="1" t="s">
        <v>1270</v>
      </c>
      <c r="C2108" s="1" t="s">
        <v>1495</v>
      </c>
      <c r="D2108" s="1" t="s">
        <v>1487</v>
      </c>
      <c r="E2108" s="0" t="s">
        <v>1656</v>
      </c>
      <c r="F2108" s="0" t="s">
        <v>48</v>
      </c>
      <c r="G2108" s="0" t="s">
        <v>11055</v>
      </c>
      <c r="I2108" s="6" t="n">
        <v>0.504861111111111</v>
      </c>
      <c r="J2108" s="6" t="n">
        <v>0.513194444444444</v>
      </c>
      <c r="K2108" s="0" t="n">
        <v>5</v>
      </c>
      <c r="L2108" s="0" t="n">
        <v>60</v>
      </c>
      <c r="M2108" s="0" t="s">
        <v>11056</v>
      </c>
      <c r="N2108" s="0" t="s">
        <v>11057</v>
      </c>
      <c r="P2108" s="0" t="s">
        <v>11058</v>
      </c>
      <c r="Q2108" s="2" t="n">
        <v>43705</v>
      </c>
      <c r="S2108" s="0" t="n">
        <f aca="false">YEAR(Q2108)</f>
        <v>2019</v>
      </c>
      <c r="T2108" s="0" t="n">
        <f aca="false">MONTH(Q2108)</f>
        <v>8</v>
      </c>
    </row>
    <row r="2109" customFormat="false" ht="14.25" hidden="true" customHeight="false" outlineLevel="0" collapsed="false">
      <c r="A2109" s="0" t="n">
        <v>2120</v>
      </c>
      <c r="B2109" s="1" t="s">
        <v>1270</v>
      </c>
      <c r="C2109" s="1" t="s">
        <v>1495</v>
      </c>
      <c r="D2109" s="1" t="s">
        <v>1487</v>
      </c>
      <c r="E2109" s="0" t="s">
        <v>40</v>
      </c>
      <c r="F2109" s="0" t="s">
        <v>49</v>
      </c>
      <c r="G2109" s="0" t="s">
        <v>11059</v>
      </c>
      <c r="I2109" s="6" t="n">
        <v>0.583333333333333</v>
      </c>
      <c r="J2109" s="6" t="n">
        <v>0.604166666666667</v>
      </c>
      <c r="L2109" s="0" t="n">
        <v>120</v>
      </c>
      <c r="M2109" s="0" t="s">
        <v>11060</v>
      </c>
      <c r="N2109" s="0" t="s">
        <v>11061</v>
      </c>
      <c r="P2109" s="0" t="s">
        <v>11062</v>
      </c>
      <c r="Q2109" s="2" t="n">
        <v>43705</v>
      </c>
      <c r="S2109" s="0" t="n">
        <f aca="false">YEAR(Q2109)</f>
        <v>2019</v>
      </c>
      <c r="T2109" s="0" t="n">
        <f aca="false">MONTH(Q2109)</f>
        <v>8</v>
      </c>
    </row>
    <row r="2110" customFormat="false" ht="14.25" hidden="true" customHeight="false" outlineLevel="0" collapsed="false">
      <c r="A2110" s="0" t="n">
        <v>2121</v>
      </c>
      <c r="B2110" s="1" t="s">
        <v>1270</v>
      </c>
      <c r="C2110" s="1" t="s">
        <v>1479</v>
      </c>
      <c r="D2110" s="1" t="s">
        <v>1496</v>
      </c>
      <c r="E2110" s="0" t="s">
        <v>38</v>
      </c>
      <c r="F2110" s="0" t="s">
        <v>49</v>
      </c>
      <c r="G2110" s="0" t="s">
        <v>8638</v>
      </c>
      <c r="I2110" s="6" t="n">
        <v>0.625</v>
      </c>
      <c r="J2110" s="6" t="n">
        <v>0.629166666666667</v>
      </c>
      <c r="L2110" s="0" t="n">
        <v>15</v>
      </c>
      <c r="M2110" s="0" t="s">
        <v>11063</v>
      </c>
      <c r="N2110" s="0" t="s">
        <v>11064</v>
      </c>
      <c r="P2110" s="0" t="s">
        <v>11065</v>
      </c>
      <c r="Q2110" s="2" t="n">
        <v>43705</v>
      </c>
      <c r="S2110" s="0" t="n">
        <f aca="false">YEAR(Q2110)</f>
        <v>2019</v>
      </c>
      <c r="T2110" s="0" t="n">
        <f aca="false">MONTH(Q2110)</f>
        <v>8</v>
      </c>
    </row>
    <row r="2111" customFormat="false" ht="14.25" hidden="true" customHeight="false" outlineLevel="0" collapsed="false">
      <c r="A2111" s="0" t="n">
        <v>2122</v>
      </c>
      <c r="B2111" s="1" t="s">
        <v>1270</v>
      </c>
      <c r="C2111" s="1" t="s">
        <v>1479</v>
      </c>
      <c r="D2111" s="1" t="s">
        <v>1487</v>
      </c>
      <c r="E2111" s="0" t="s">
        <v>1488</v>
      </c>
      <c r="F2111" s="0" t="s">
        <v>49</v>
      </c>
      <c r="G2111" s="0" t="s">
        <v>11066</v>
      </c>
      <c r="I2111" s="6" t="n">
        <v>0.611111111111111</v>
      </c>
      <c r="J2111" s="6" t="n">
        <v>0.655555555555556</v>
      </c>
      <c r="L2111" s="0" t="n">
        <v>100</v>
      </c>
      <c r="M2111" s="0" t="s">
        <v>11067</v>
      </c>
      <c r="N2111" s="0" t="s">
        <v>11068</v>
      </c>
      <c r="P2111" s="0" t="s">
        <v>11069</v>
      </c>
      <c r="Q2111" s="2" t="n">
        <v>43705</v>
      </c>
      <c r="S2111" s="0" t="n">
        <f aca="false">YEAR(Q2111)</f>
        <v>2019</v>
      </c>
      <c r="T2111" s="0" t="n">
        <f aca="false">MONTH(Q2111)</f>
        <v>8</v>
      </c>
    </row>
    <row r="2112" customFormat="false" ht="14.25" hidden="true" customHeight="false" outlineLevel="0" collapsed="false">
      <c r="A2112" s="0" t="n">
        <v>2123</v>
      </c>
      <c r="B2112" s="1" t="s">
        <v>1270</v>
      </c>
      <c r="C2112" s="1" t="s">
        <v>1479</v>
      </c>
      <c r="D2112" s="1" t="s">
        <v>1496</v>
      </c>
      <c r="E2112" s="0" t="s">
        <v>38</v>
      </c>
      <c r="F2112" s="0" t="s">
        <v>50</v>
      </c>
      <c r="G2112" s="0" t="s">
        <v>11070</v>
      </c>
      <c r="I2112" s="6" t="n">
        <v>0</v>
      </c>
      <c r="J2112" s="6" t="n">
        <v>0.969444444444444</v>
      </c>
      <c r="L2112" s="0" t="n">
        <v>0</v>
      </c>
      <c r="M2112" s="0" t="s">
        <v>11071</v>
      </c>
      <c r="N2112" s="0" t="s">
        <v>4784</v>
      </c>
      <c r="P2112" s="0" t="s">
        <v>11072</v>
      </c>
      <c r="Q2112" s="2" t="n">
        <v>43705</v>
      </c>
      <c r="S2112" s="0" t="n">
        <f aca="false">YEAR(Q2112)</f>
        <v>2019</v>
      </c>
      <c r="T2112" s="0" t="n">
        <f aca="false">MONTH(Q2112)</f>
        <v>8</v>
      </c>
    </row>
    <row r="2113" customFormat="false" ht="14.25" hidden="true" customHeight="false" outlineLevel="0" collapsed="false">
      <c r="A2113" s="0" t="n">
        <v>2124</v>
      </c>
      <c r="B2113" s="1" t="s">
        <v>1270</v>
      </c>
      <c r="C2113" s="1" t="s">
        <v>1479</v>
      </c>
      <c r="D2113" s="1" t="s">
        <v>1487</v>
      </c>
      <c r="E2113" s="0" t="s">
        <v>1488</v>
      </c>
      <c r="F2113" s="0" t="s">
        <v>50</v>
      </c>
      <c r="G2113" s="0" t="s">
        <v>11073</v>
      </c>
      <c r="I2113" s="6" t="n">
        <v>0.0208333333333333</v>
      </c>
      <c r="J2113" s="6" t="n">
        <v>0.0277777777777778</v>
      </c>
      <c r="K2113" s="0" t="n">
        <v>0</v>
      </c>
      <c r="M2113" s="0" t="s">
        <v>11074</v>
      </c>
      <c r="N2113" s="0" t="s">
        <v>11075</v>
      </c>
      <c r="P2113" s="0" t="s">
        <v>11076</v>
      </c>
      <c r="Q2113" s="2" t="n">
        <v>43705</v>
      </c>
      <c r="S2113" s="0" t="n">
        <f aca="false">YEAR(Q2113)</f>
        <v>2019</v>
      </c>
      <c r="T2113" s="0" t="n">
        <f aca="false">MONTH(Q2113)</f>
        <v>8</v>
      </c>
    </row>
    <row r="2114" customFormat="false" ht="14.25" hidden="true" customHeight="false" outlineLevel="0" collapsed="false">
      <c r="A2114" s="0" t="n">
        <v>2125</v>
      </c>
      <c r="B2114" s="1" t="s">
        <v>1272</v>
      </c>
      <c r="C2114" s="1" t="s">
        <v>1503</v>
      </c>
      <c r="D2114" s="1" t="s">
        <v>1504</v>
      </c>
      <c r="E2114" s="0" t="s">
        <v>45</v>
      </c>
      <c r="F2114" s="0" t="s">
        <v>50</v>
      </c>
      <c r="G2114" s="0" t="s">
        <v>10498</v>
      </c>
      <c r="I2114" s="6" t="n">
        <v>0.940972222222222</v>
      </c>
      <c r="J2114" s="6" t="n">
        <v>0.967361111111111</v>
      </c>
      <c r="M2114" s="0" t="s">
        <v>11077</v>
      </c>
      <c r="N2114" s="0" t="s">
        <v>11078</v>
      </c>
      <c r="P2114" s="0" t="s">
        <v>11079</v>
      </c>
      <c r="Q2114" s="2" t="n">
        <v>43706</v>
      </c>
      <c r="S2114" s="0" t="n">
        <f aca="false">YEAR(Q2114)</f>
        <v>2019</v>
      </c>
      <c r="T2114" s="0" t="n">
        <f aca="false">MONTH(Q2114)</f>
        <v>8</v>
      </c>
    </row>
    <row r="2115" customFormat="false" ht="14.25" hidden="true" customHeight="false" outlineLevel="0" collapsed="false">
      <c r="A2115" s="0" t="n">
        <v>2126</v>
      </c>
      <c r="B2115" s="1" t="s">
        <v>1272</v>
      </c>
      <c r="C2115" s="1" t="s">
        <v>1503</v>
      </c>
      <c r="D2115" s="1" t="s">
        <v>1535</v>
      </c>
      <c r="E2115" s="0" t="s">
        <v>44</v>
      </c>
      <c r="F2115" s="0" t="s">
        <v>50</v>
      </c>
      <c r="G2115" s="0" t="s">
        <v>11080</v>
      </c>
      <c r="J2115" s="6" t="n">
        <v>0.0416666666666667</v>
      </c>
      <c r="L2115" s="0" t="n">
        <v>8</v>
      </c>
      <c r="M2115" s="0" t="s">
        <v>11081</v>
      </c>
      <c r="N2115" s="0" t="s">
        <v>11082</v>
      </c>
      <c r="P2115" s="0" t="s">
        <v>11083</v>
      </c>
      <c r="Q2115" s="2" t="n">
        <v>43706</v>
      </c>
      <c r="S2115" s="0" t="n">
        <f aca="false">YEAR(Q2115)</f>
        <v>2019</v>
      </c>
      <c r="T2115" s="0" t="n">
        <f aca="false">MONTH(Q2115)</f>
        <v>8</v>
      </c>
    </row>
    <row r="2116" customFormat="false" ht="14.25" hidden="true" customHeight="false" outlineLevel="0" collapsed="false">
      <c r="A2116" s="0" t="n">
        <v>2127</v>
      </c>
      <c r="B2116" s="1" t="s">
        <v>1272</v>
      </c>
      <c r="C2116" s="1" t="s">
        <v>1503</v>
      </c>
      <c r="D2116" s="1" t="s">
        <v>1535</v>
      </c>
      <c r="E2116" s="0" t="s">
        <v>1503</v>
      </c>
      <c r="F2116" s="0" t="s">
        <v>50</v>
      </c>
      <c r="G2116" s="0" t="s">
        <v>11084</v>
      </c>
      <c r="M2116" s="0" t="s">
        <v>11085</v>
      </c>
      <c r="N2116" s="0" t="s">
        <v>11086</v>
      </c>
      <c r="P2116" s="0" t="s">
        <v>11087</v>
      </c>
      <c r="Q2116" s="2" t="n">
        <v>43706</v>
      </c>
      <c r="S2116" s="0" t="n">
        <f aca="false">YEAR(Q2116)</f>
        <v>2019</v>
      </c>
      <c r="T2116" s="0" t="n">
        <f aca="false">MONTH(Q2116)</f>
        <v>8</v>
      </c>
    </row>
    <row r="2117" customFormat="false" ht="14.25" hidden="true" customHeight="false" outlineLevel="0" collapsed="false">
      <c r="A2117" s="0" t="n">
        <v>2128</v>
      </c>
      <c r="B2117" s="1" t="s">
        <v>1273</v>
      </c>
      <c r="C2117" s="1" t="s">
        <v>1503</v>
      </c>
      <c r="D2117" s="1" t="s">
        <v>1535</v>
      </c>
      <c r="E2117" s="0" t="s">
        <v>1503</v>
      </c>
      <c r="F2117" s="0" t="s">
        <v>50</v>
      </c>
      <c r="G2117" s="0" t="s">
        <v>11088</v>
      </c>
      <c r="K2117" s="0" t="n">
        <v>0</v>
      </c>
      <c r="M2117" s="0" t="s">
        <v>11089</v>
      </c>
      <c r="N2117" s="0" t="s">
        <v>11090</v>
      </c>
      <c r="P2117" s="0" t="s">
        <v>11091</v>
      </c>
      <c r="Q2117" s="2" t="n">
        <v>43707</v>
      </c>
      <c r="S2117" s="0" t="n">
        <f aca="false">YEAR(Q2117)</f>
        <v>2019</v>
      </c>
      <c r="T2117" s="0" t="n">
        <f aca="false">MONTH(Q2117)</f>
        <v>8</v>
      </c>
    </row>
    <row r="2118" customFormat="false" ht="14.25" hidden="true" customHeight="false" outlineLevel="0" collapsed="false">
      <c r="A2118" s="0" t="n">
        <v>2129</v>
      </c>
      <c r="B2118" s="1" t="s">
        <v>1273</v>
      </c>
      <c r="C2118" s="1" t="s">
        <v>1479</v>
      </c>
      <c r="D2118" s="1" t="s">
        <v>1535</v>
      </c>
      <c r="E2118" s="0" t="s">
        <v>39</v>
      </c>
      <c r="F2118" s="0" t="s">
        <v>50</v>
      </c>
      <c r="G2118" s="0" t="s">
        <v>11092</v>
      </c>
      <c r="I2118" s="6" t="n">
        <v>0.121527777777778</v>
      </c>
      <c r="J2118" s="6" t="n">
        <v>0.121527777777778</v>
      </c>
      <c r="K2118" s="0" t="n">
        <v>6</v>
      </c>
      <c r="L2118" s="0" t="n">
        <v>15</v>
      </c>
      <c r="M2118" s="0" t="s">
        <v>11093</v>
      </c>
      <c r="N2118" s="0" t="s">
        <v>11094</v>
      </c>
      <c r="P2118" s="0" t="s">
        <v>11095</v>
      </c>
      <c r="Q2118" s="2" t="n">
        <v>43707</v>
      </c>
      <c r="S2118" s="0" t="n">
        <f aca="false">YEAR(Q2118)</f>
        <v>2019</v>
      </c>
      <c r="T2118" s="0" t="n">
        <f aca="false">MONTH(Q2118)</f>
        <v>8</v>
      </c>
    </row>
    <row r="2119" customFormat="false" ht="14.25" hidden="true" customHeight="false" outlineLevel="0" collapsed="false">
      <c r="A2119" s="0" t="n">
        <v>2130</v>
      </c>
      <c r="B2119" s="1" t="s">
        <v>1275</v>
      </c>
      <c r="C2119" s="1" t="s">
        <v>1503</v>
      </c>
      <c r="D2119" s="1" t="s">
        <v>1535</v>
      </c>
      <c r="E2119" s="0" t="s">
        <v>44</v>
      </c>
      <c r="F2119" s="0" t="s">
        <v>50</v>
      </c>
      <c r="G2119" s="0" t="s">
        <v>11096</v>
      </c>
      <c r="J2119" s="6" t="n">
        <v>0.208333333333333</v>
      </c>
      <c r="M2119" s="0" t="s">
        <v>11097</v>
      </c>
      <c r="N2119" s="0" t="s">
        <v>11098</v>
      </c>
      <c r="P2119" s="0" t="s">
        <v>11099</v>
      </c>
      <c r="Q2119" s="2" t="n">
        <v>43709</v>
      </c>
      <c r="S2119" s="0" t="n">
        <f aca="false">YEAR(Q2119)</f>
        <v>2019</v>
      </c>
      <c r="T2119" s="0" t="n">
        <f aca="false">MONTH(Q2119)</f>
        <v>9</v>
      </c>
    </row>
    <row r="2120" customFormat="false" ht="14.25" hidden="true" customHeight="false" outlineLevel="0" collapsed="false">
      <c r="A2120" s="0" t="n">
        <v>2131</v>
      </c>
      <c r="B2120" s="1" t="s">
        <v>1266</v>
      </c>
      <c r="C2120" s="1" t="s">
        <v>1503</v>
      </c>
      <c r="D2120" s="1" t="s">
        <v>1535</v>
      </c>
      <c r="E2120" s="0" t="s">
        <v>1503</v>
      </c>
      <c r="F2120" s="0" t="s">
        <v>48</v>
      </c>
      <c r="G2120" s="0" t="s">
        <v>11100</v>
      </c>
      <c r="I2120" s="6" t="n">
        <v>0.236111111111111</v>
      </c>
      <c r="J2120" s="6" t="n">
        <v>0.25</v>
      </c>
      <c r="K2120" s="0" t="n">
        <v>0</v>
      </c>
      <c r="L2120" s="0" t="n">
        <v>76</v>
      </c>
      <c r="M2120" s="0" t="s">
        <v>11101</v>
      </c>
      <c r="N2120" s="0" t="s">
        <v>11102</v>
      </c>
      <c r="P2120" s="0" t="s">
        <v>11103</v>
      </c>
      <c r="Q2120" s="2" t="n">
        <v>43700</v>
      </c>
      <c r="S2120" s="0" t="n">
        <f aca="false">YEAR(Q2120)</f>
        <v>2019</v>
      </c>
      <c r="T2120" s="0" t="n">
        <f aca="false">MONTH(Q2120)</f>
        <v>8</v>
      </c>
    </row>
    <row r="2121" customFormat="false" ht="14.25" hidden="true" customHeight="false" outlineLevel="0" collapsed="false">
      <c r="A2121" s="0" t="n">
        <v>2132</v>
      </c>
      <c r="B2121" s="1" t="s">
        <v>1276</v>
      </c>
      <c r="C2121" s="1" t="s">
        <v>1495</v>
      </c>
      <c r="D2121" s="1" t="s">
        <v>1535</v>
      </c>
      <c r="E2121" s="0" t="s">
        <v>42</v>
      </c>
      <c r="F2121" s="0" t="s">
        <v>48</v>
      </c>
      <c r="G2121" s="0" t="s">
        <v>11104</v>
      </c>
      <c r="I2121" s="6" t="n">
        <v>0.243055555555556</v>
      </c>
      <c r="J2121" s="6" t="n">
        <v>0.317361111111111</v>
      </c>
      <c r="M2121" s="0" t="s">
        <v>11105</v>
      </c>
      <c r="N2121" s="0" t="s">
        <v>11106</v>
      </c>
      <c r="P2121" s="0" t="s">
        <v>11107</v>
      </c>
      <c r="Q2121" s="2" t="n">
        <v>43710</v>
      </c>
      <c r="S2121" s="0" t="n">
        <f aca="false">YEAR(Q2121)</f>
        <v>2019</v>
      </c>
      <c r="T2121" s="0" t="n">
        <f aca="false">MONTH(Q2121)</f>
        <v>9</v>
      </c>
    </row>
    <row r="2122" customFormat="false" ht="14.25" hidden="true" customHeight="false" outlineLevel="0" collapsed="false">
      <c r="A2122" s="0" t="n">
        <v>2133</v>
      </c>
      <c r="B2122" s="1" t="s">
        <v>1276</v>
      </c>
      <c r="C2122" s="1" t="s">
        <v>1495</v>
      </c>
      <c r="D2122" s="1" t="s">
        <v>1535</v>
      </c>
      <c r="E2122" s="0" t="s">
        <v>42</v>
      </c>
      <c r="F2122" s="0" t="s">
        <v>48</v>
      </c>
      <c r="G2122" s="0" t="s">
        <v>11108</v>
      </c>
      <c r="I2122" s="6" t="n">
        <v>0.397222222222222</v>
      </c>
      <c r="J2122" s="6" t="n">
        <v>0.416666666666667</v>
      </c>
      <c r="L2122" s="0" t="n">
        <v>35</v>
      </c>
      <c r="M2122" s="0" t="s">
        <v>11109</v>
      </c>
      <c r="N2122" s="0" t="s">
        <v>11110</v>
      </c>
      <c r="P2122" s="0" t="s">
        <v>11111</v>
      </c>
      <c r="Q2122" s="2" t="n">
        <v>43710</v>
      </c>
      <c r="S2122" s="0" t="n">
        <f aca="false">YEAR(Q2122)</f>
        <v>2019</v>
      </c>
      <c r="T2122" s="0" t="n">
        <f aca="false">MONTH(Q2122)</f>
        <v>9</v>
      </c>
    </row>
    <row r="2123" customFormat="false" ht="14.25" hidden="true" customHeight="false" outlineLevel="0" collapsed="false">
      <c r="A2123" s="0" t="n">
        <v>2134</v>
      </c>
      <c r="B2123" s="1" t="s">
        <v>1278</v>
      </c>
      <c r="C2123" s="1" t="s">
        <v>1495</v>
      </c>
      <c r="D2123" s="1" t="s">
        <v>1535</v>
      </c>
      <c r="E2123" s="0" t="s">
        <v>42</v>
      </c>
      <c r="F2123" s="0" t="s">
        <v>48</v>
      </c>
      <c r="G2123" s="0" t="s">
        <v>11112</v>
      </c>
      <c r="I2123" s="6" t="n">
        <v>0.507638888888889</v>
      </c>
      <c r="J2123" s="6" t="n">
        <v>0.527777777777778</v>
      </c>
      <c r="L2123" s="0" t="n">
        <v>70</v>
      </c>
      <c r="M2123" s="0" t="s">
        <v>11113</v>
      </c>
      <c r="N2123" s="0" t="s">
        <v>4434</v>
      </c>
      <c r="P2123" s="0" t="s">
        <v>11114</v>
      </c>
      <c r="Q2123" s="2" t="n">
        <v>43712</v>
      </c>
      <c r="S2123" s="0" t="n">
        <f aca="false">YEAR(Q2123)</f>
        <v>2019</v>
      </c>
      <c r="T2123" s="0" t="n">
        <f aca="false">MONTH(Q2123)</f>
        <v>9</v>
      </c>
    </row>
    <row r="2124" customFormat="false" ht="14.25" hidden="true" customHeight="false" outlineLevel="0" collapsed="false">
      <c r="A2124" s="0" t="n">
        <v>2135</v>
      </c>
      <c r="B2124" s="1" t="s">
        <v>1278</v>
      </c>
      <c r="C2124" s="1" t="s">
        <v>1479</v>
      </c>
      <c r="D2124" s="1" t="s">
        <v>1487</v>
      </c>
      <c r="E2124" s="4" t="s">
        <v>1488</v>
      </c>
      <c r="F2124" s="0" t="s">
        <v>50</v>
      </c>
      <c r="G2124" s="0" t="s">
        <v>11115</v>
      </c>
      <c r="J2124" s="6" t="n">
        <v>0</v>
      </c>
      <c r="K2124" s="0" t="n">
        <v>5</v>
      </c>
      <c r="M2124" s="0" t="s">
        <v>11116</v>
      </c>
      <c r="N2124" s="0" t="s">
        <v>11117</v>
      </c>
      <c r="P2124" s="0" t="s">
        <v>11118</v>
      </c>
      <c r="Q2124" s="2" t="n">
        <v>43712</v>
      </c>
      <c r="S2124" s="0" t="n">
        <f aca="false">YEAR(Q2124)</f>
        <v>2019</v>
      </c>
      <c r="T2124" s="0" t="n">
        <f aca="false">MONTH(Q2124)</f>
        <v>9</v>
      </c>
    </row>
    <row r="2125" customFormat="false" ht="14.25" hidden="true" customHeight="false" outlineLevel="0" collapsed="false">
      <c r="A2125" s="0" t="n">
        <v>2136</v>
      </c>
      <c r="B2125" s="1" t="s">
        <v>1278</v>
      </c>
      <c r="C2125" s="1" t="s">
        <v>1503</v>
      </c>
      <c r="D2125" s="1" t="s">
        <v>1535</v>
      </c>
      <c r="E2125" s="0" t="s">
        <v>44</v>
      </c>
      <c r="F2125" s="0" t="s">
        <v>50</v>
      </c>
      <c r="G2125" s="0" t="s">
        <v>8655</v>
      </c>
      <c r="J2125" s="6" t="n">
        <v>0.0902777777777778</v>
      </c>
      <c r="K2125" s="0" t="n">
        <v>2</v>
      </c>
      <c r="M2125" s="0" t="s">
        <v>11119</v>
      </c>
      <c r="N2125" s="0" t="s">
        <v>11120</v>
      </c>
      <c r="P2125" s="0" t="s">
        <v>11121</v>
      </c>
      <c r="Q2125" s="2" t="n">
        <v>43712</v>
      </c>
      <c r="S2125" s="0" t="n">
        <f aca="false">YEAR(Q2125)</f>
        <v>2019</v>
      </c>
      <c r="T2125" s="0" t="n">
        <f aca="false">MONTH(Q2125)</f>
        <v>9</v>
      </c>
    </row>
    <row r="2126" customFormat="false" ht="14.25" hidden="true" customHeight="false" outlineLevel="0" collapsed="false">
      <c r="A2126" s="0" t="n">
        <v>2137</v>
      </c>
      <c r="B2126" s="1" t="s">
        <v>1279</v>
      </c>
      <c r="C2126" s="1" t="s">
        <v>1479</v>
      </c>
      <c r="D2126" s="1" t="s">
        <v>1535</v>
      </c>
      <c r="E2126" s="0" t="s">
        <v>39</v>
      </c>
      <c r="F2126" s="0" t="s">
        <v>48</v>
      </c>
      <c r="G2126" s="0" t="s">
        <v>7876</v>
      </c>
      <c r="J2126" s="6" t="n">
        <v>0.370138888888889</v>
      </c>
      <c r="K2126" s="0" t="n">
        <v>0</v>
      </c>
      <c r="L2126" s="0" t="n">
        <v>33</v>
      </c>
      <c r="M2126" s="0" t="s">
        <v>11122</v>
      </c>
      <c r="N2126" s="0" t="s">
        <v>11123</v>
      </c>
      <c r="P2126" s="0" t="s">
        <v>11124</v>
      </c>
      <c r="Q2126" s="2" t="n">
        <v>43713</v>
      </c>
      <c r="S2126" s="0" t="n">
        <f aca="false">YEAR(Q2126)</f>
        <v>2019</v>
      </c>
      <c r="T2126" s="0" t="n">
        <f aca="false">MONTH(Q2126)</f>
        <v>9</v>
      </c>
    </row>
    <row r="2127" customFormat="false" ht="14.25" hidden="true" customHeight="false" outlineLevel="0" collapsed="false">
      <c r="A2127" s="0" t="n">
        <v>2138</v>
      </c>
      <c r="B2127" s="1" t="s">
        <v>1279</v>
      </c>
      <c r="C2127" s="1" t="s">
        <v>1479</v>
      </c>
      <c r="D2127" s="1" t="s">
        <v>1496</v>
      </c>
      <c r="E2127" s="0" t="s">
        <v>38</v>
      </c>
      <c r="F2127" s="0" t="s">
        <v>49</v>
      </c>
      <c r="G2127" s="0" t="s">
        <v>11125</v>
      </c>
      <c r="I2127" s="6" t="n">
        <v>0.875</v>
      </c>
      <c r="J2127" s="6" t="n">
        <v>0.875</v>
      </c>
      <c r="L2127" s="0" t="n">
        <v>60</v>
      </c>
      <c r="M2127" s="0" t="s">
        <v>11126</v>
      </c>
      <c r="N2127" s="0" t="s">
        <v>11127</v>
      </c>
      <c r="Q2127" s="2" t="n">
        <v>43713</v>
      </c>
      <c r="S2127" s="0" t="n">
        <f aca="false">YEAR(Q2127)</f>
        <v>2019</v>
      </c>
      <c r="T2127" s="0" t="n">
        <f aca="false">MONTH(Q2127)</f>
        <v>9</v>
      </c>
    </row>
    <row r="2128" customFormat="false" ht="14.25" hidden="true" customHeight="false" outlineLevel="0" collapsed="false">
      <c r="A2128" s="0" t="n">
        <v>2139</v>
      </c>
      <c r="B2128" s="1" t="s">
        <v>1282</v>
      </c>
      <c r="C2128" s="1" t="s">
        <v>1495</v>
      </c>
      <c r="D2128" s="1" t="s">
        <v>1487</v>
      </c>
      <c r="E2128" s="0" t="s">
        <v>40</v>
      </c>
      <c r="F2128" s="0" t="s">
        <v>48</v>
      </c>
      <c r="G2128" s="0" t="s">
        <v>11128</v>
      </c>
      <c r="I2128" s="6" t="n">
        <v>0.222222222222222</v>
      </c>
      <c r="J2128" s="6" t="n">
        <v>0.236111111111111</v>
      </c>
      <c r="M2128" s="0" t="s">
        <v>11129</v>
      </c>
      <c r="N2128" s="0" t="s">
        <v>11130</v>
      </c>
      <c r="P2128" s="0" t="s">
        <v>11131</v>
      </c>
      <c r="Q2128" s="2" t="n">
        <v>43717</v>
      </c>
      <c r="S2128" s="0" t="n">
        <f aca="false">YEAR(Q2128)</f>
        <v>2019</v>
      </c>
      <c r="T2128" s="0" t="n">
        <f aca="false">MONTH(Q2128)</f>
        <v>9</v>
      </c>
    </row>
    <row r="2129" customFormat="false" ht="14.25" hidden="true" customHeight="false" outlineLevel="0" collapsed="false">
      <c r="A2129" s="0" t="n">
        <v>2140</v>
      </c>
      <c r="B2129" s="1" t="s">
        <v>1282</v>
      </c>
      <c r="C2129" s="1" t="s">
        <v>1479</v>
      </c>
      <c r="D2129" s="1" t="s">
        <v>1487</v>
      </c>
      <c r="E2129" s="0" t="s">
        <v>1488</v>
      </c>
      <c r="F2129" s="0" t="s">
        <v>48</v>
      </c>
      <c r="G2129" s="0" t="s">
        <v>9326</v>
      </c>
      <c r="I2129" s="6" t="n">
        <v>0.222222222222222</v>
      </c>
      <c r="J2129" s="6" t="n">
        <v>0.25</v>
      </c>
      <c r="K2129" s="0" t="n">
        <v>0</v>
      </c>
      <c r="L2129" s="0" t="n">
        <v>0</v>
      </c>
      <c r="M2129" s="0" t="s">
        <v>11132</v>
      </c>
      <c r="N2129" s="0" t="s">
        <v>11133</v>
      </c>
      <c r="P2129" s="0" t="s">
        <v>11134</v>
      </c>
      <c r="Q2129" s="2" t="n">
        <v>43717</v>
      </c>
      <c r="S2129" s="0" t="n">
        <f aca="false">YEAR(Q2129)</f>
        <v>2019</v>
      </c>
      <c r="T2129" s="0" t="n">
        <f aca="false">MONTH(Q2129)</f>
        <v>9</v>
      </c>
    </row>
    <row r="2130" customFormat="false" ht="14.25" hidden="true" customHeight="false" outlineLevel="0" collapsed="false">
      <c r="A2130" s="0" t="n">
        <v>2141</v>
      </c>
      <c r="B2130" s="1" t="s">
        <v>1282</v>
      </c>
      <c r="C2130" s="1" t="s">
        <v>1479</v>
      </c>
      <c r="D2130" s="1" t="s">
        <v>1535</v>
      </c>
      <c r="E2130" s="0" t="s">
        <v>39</v>
      </c>
      <c r="F2130" s="0" t="s">
        <v>48</v>
      </c>
      <c r="G2130" s="0" t="s">
        <v>11135</v>
      </c>
      <c r="I2130" s="6" t="n">
        <v>0.222222222222222</v>
      </c>
      <c r="J2130" s="6" t="n">
        <v>0.25</v>
      </c>
      <c r="K2130" s="0" t="n">
        <v>5</v>
      </c>
      <c r="M2130" s="0" t="s">
        <v>11136</v>
      </c>
      <c r="N2130" s="0" t="s">
        <v>11137</v>
      </c>
      <c r="P2130" s="0" t="s">
        <v>11138</v>
      </c>
      <c r="Q2130" s="2" t="n">
        <v>43717</v>
      </c>
      <c r="S2130" s="0" t="n">
        <f aca="false">YEAR(Q2130)</f>
        <v>2019</v>
      </c>
      <c r="T2130" s="0" t="n">
        <f aca="false">MONTH(Q2130)</f>
        <v>9</v>
      </c>
    </row>
    <row r="2131" customFormat="false" ht="14.25" hidden="true" customHeight="false" outlineLevel="0" collapsed="false">
      <c r="A2131" s="0" t="n">
        <v>2142</v>
      </c>
      <c r="B2131" s="1" t="s">
        <v>1282</v>
      </c>
      <c r="C2131" s="1" t="s">
        <v>1479</v>
      </c>
      <c r="D2131" s="1" t="s">
        <v>1480</v>
      </c>
      <c r="E2131" s="0" t="s">
        <v>43</v>
      </c>
      <c r="F2131" s="0" t="s">
        <v>49</v>
      </c>
      <c r="G2131" s="0" t="s">
        <v>11139</v>
      </c>
      <c r="J2131" s="6" t="n">
        <v>0.541666666666667</v>
      </c>
      <c r="M2131" s="0" t="s">
        <v>11140</v>
      </c>
      <c r="P2131" s="0" t="s">
        <v>11141</v>
      </c>
      <c r="Q2131" s="2" t="n">
        <v>43717</v>
      </c>
      <c r="S2131" s="0" t="n">
        <f aca="false">YEAR(Q2131)</f>
        <v>2019</v>
      </c>
      <c r="T2131" s="0" t="n">
        <f aca="false">MONTH(Q2131)</f>
        <v>9</v>
      </c>
    </row>
    <row r="2132" customFormat="false" ht="14.25" hidden="true" customHeight="false" outlineLevel="0" collapsed="false">
      <c r="A2132" s="0" t="n">
        <v>2143</v>
      </c>
      <c r="B2132" s="1" t="s">
        <v>1282</v>
      </c>
      <c r="C2132" s="1" t="s">
        <v>1479</v>
      </c>
      <c r="D2132" s="1" t="s">
        <v>1487</v>
      </c>
      <c r="E2132" s="4" t="s">
        <v>1488</v>
      </c>
      <c r="F2132" s="0" t="s">
        <v>50</v>
      </c>
      <c r="G2132" s="0" t="s">
        <v>9826</v>
      </c>
      <c r="I2132" s="6" t="n">
        <v>0.155555555555556</v>
      </c>
      <c r="J2132" s="6" t="n">
        <v>0.155555555555556</v>
      </c>
      <c r="K2132" s="0" t="n">
        <v>40</v>
      </c>
      <c r="L2132" s="0" t="n">
        <v>62</v>
      </c>
      <c r="M2132" s="0" t="s">
        <v>11142</v>
      </c>
      <c r="N2132" s="0" t="s">
        <v>11143</v>
      </c>
      <c r="P2132" s="0" t="s">
        <v>11144</v>
      </c>
      <c r="Q2132" s="2" t="n">
        <v>43717</v>
      </c>
      <c r="S2132" s="0" t="n">
        <f aca="false">YEAR(Q2132)</f>
        <v>2019</v>
      </c>
      <c r="T2132" s="0" t="n">
        <f aca="false">MONTH(Q2132)</f>
        <v>9</v>
      </c>
    </row>
    <row r="2133" customFormat="false" ht="14.25" hidden="true" customHeight="false" outlineLevel="0" collapsed="false">
      <c r="A2133" s="0" t="n">
        <v>2144</v>
      </c>
      <c r="B2133" s="1" t="s">
        <v>1282</v>
      </c>
      <c r="C2133" s="1" t="s">
        <v>1479</v>
      </c>
      <c r="D2133" s="1" t="s">
        <v>1496</v>
      </c>
      <c r="E2133" s="0" t="s">
        <v>38</v>
      </c>
      <c r="F2133" s="0" t="s">
        <v>50</v>
      </c>
      <c r="G2133" s="0" t="s">
        <v>11145</v>
      </c>
      <c r="J2133" s="6" t="n">
        <v>0.211805555555556</v>
      </c>
      <c r="K2133" s="0" t="n">
        <v>0</v>
      </c>
      <c r="L2133" s="0" t="n">
        <v>0</v>
      </c>
      <c r="M2133" s="0" t="s">
        <v>11146</v>
      </c>
      <c r="N2133" s="0" t="s">
        <v>11147</v>
      </c>
      <c r="P2133" s="0" t="s">
        <v>11148</v>
      </c>
      <c r="Q2133" s="2" t="n">
        <v>43717</v>
      </c>
      <c r="S2133" s="0" t="n">
        <f aca="false">YEAR(Q2133)</f>
        <v>2019</v>
      </c>
      <c r="T2133" s="0" t="n">
        <f aca="false">MONTH(Q2133)</f>
        <v>9</v>
      </c>
    </row>
    <row r="2134" customFormat="false" ht="14.25" hidden="true" customHeight="false" outlineLevel="0" collapsed="false">
      <c r="A2134" s="0" t="n">
        <v>2145</v>
      </c>
      <c r="B2134" s="1" t="s">
        <v>1283</v>
      </c>
      <c r="C2134" s="1" t="s">
        <v>1495</v>
      </c>
      <c r="D2134" s="1" t="s">
        <v>1535</v>
      </c>
      <c r="E2134" s="0" t="s">
        <v>42</v>
      </c>
      <c r="F2134" s="0" t="s">
        <v>48</v>
      </c>
      <c r="G2134" s="0" t="s">
        <v>11149</v>
      </c>
      <c r="I2134" s="6" t="n">
        <v>0.208333333333333</v>
      </c>
      <c r="J2134" s="6" t="n">
        <v>0.247222222222222</v>
      </c>
      <c r="M2134" s="0" t="s">
        <v>11150</v>
      </c>
      <c r="N2134" s="0" t="s">
        <v>11151</v>
      </c>
      <c r="P2134" s="0" t="s">
        <v>11152</v>
      </c>
      <c r="Q2134" s="2" t="n">
        <v>43718</v>
      </c>
      <c r="S2134" s="0" t="n">
        <f aca="false">YEAR(Q2134)</f>
        <v>2019</v>
      </c>
      <c r="T2134" s="0" t="n">
        <f aca="false">MONTH(Q2134)</f>
        <v>9</v>
      </c>
    </row>
    <row r="2135" customFormat="false" ht="14.25" hidden="true" customHeight="false" outlineLevel="0" collapsed="false">
      <c r="A2135" s="0" t="n">
        <v>2146</v>
      </c>
      <c r="B2135" s="1" t="s">
        <v>1283</v>
      </c>
      <c r="C2135" s="1" t="s">
        <v>1479</v>
      </c>
      <c r="D2135" s="1" t="s">
        <v>1496</v>
      </c>
      <c r="E2135" s="0" t="s">
        <v>38</v>
      </c>
      <c r="F2135" s="0" t="s">
        <v>49</v>
      </c>
      <c r="I2135" s="6" t="n">
        <v>0.645833333333333</v>
      </c>
      <c r="J2135" s="6" t="n">
        <v>0.651388888888889</v>
      </c>
      <c r="K2135" s="0" t="n">
        <v>7</v>
      </c>
      <c r="L2135" s="0" t="n">
        <v>10</v>
      </c>
      <c r="M2135" s="0" t="s">
        <v>11153</v>
      </c>
      <c r="N2135" s="0" t="s">
        <v>11154</v>
      </c>
      <c r="P2135" s="0" t="s">
        <v>11155</v>
      </c>
      <c r="Q2135" s="2" t="n">
        <v>43718</v>
      </c>
      <c r="S2135" s="0" t="n">
        <f aca="false">YEAR(Q2135)</f>
        <v>2019</v>
      </c>
      <c r="T2135" s="0" t="n">
        <f aca="false">MONTH(Q2135)</f>
        <v>9</v>
      </c>
    </row>
    <row r="2136" customFormat="false" ht="14.25" hidden="true" customHeight="false" outlineLevel="0" collapsed="false">
      <c r="A2136" s="0" t="n">
        <v>2147</v>
      </c>
      <c r="B2136" s="1" t="s">
        <v>1283</v>
      </c>
      <c r="C2136" s="1" t="s">
        <v>1479</v>
      </c>
      <c r="D2136" s="1" t="s">
        <v>1535</v>
      </c>
      <c r="E2136" s="0" t="s">
        <v>39</v>
      </c>
      <c r="F2136" s="0" t="s">
        <v>49</v>
      </c>
      <c r="G2136" s="0" t="s">
        <v>8322</v>
      </c>
      <c r="I2136" s="6" t="n">
        <v>0.854166666666667</v>
      </c>
      <c r="J2136" s="6" t="n">
        <v>0.864583333333333</v>
      </c>
      <c r="K2136" s="0" t="n">
        <v>0</v>
      </c>
      <c r="L2136" s="0" t="n">
        <v>40</v>
      </c>
      <c r="M2136" s="0" t="s">
        <v>11156</v>
      </c>
      <c r="N2136" s="0" t="s">
        <v>11157</v>
      </c>
      <c r="P2136" s="0" t="s">
        <v>11158</v>
      </c>
      <c r="Q2136" s="2" t="n">
        <v>43718</v>
      </c>
      <c r="S2136" s="0" t="n">
        <f aca="false">YEAR(Q2136)</f>
        <v>2019</v>
      </c>
      <c r="T2136" s="0" t="n">
        <f aca="false">MONTH(Q2136)</f>
        <v>9</v>
      </c>
    </row>
    <row r="2137" customFormat="false" ht="14.25" hidden="true" customHeight="false" outlineLevel="0" collapsed="false">
      <c r="A2137" s="0" t="n">
        <v>2148</v>
      </c>
      <c r="B2137" s="1" t="s">
        <v>1284</v>
      </c>
      <c r="C2137" s="1" t="s">
        <v>1479</v>
      </c>
      <c r="D2137" s="1" t="s">
        <v>1496</v>
      </c>
      <c r="E2137" s="0" t="s">
        <v>38</v>
      </c>
      <c r="F2137" s="0" t="s">
        <v>48</v>
      </c>
      <c r="G2137" s="0" t="s">
        <v>11159</v>
      </c>
      <c r="I2137" s="6" t="n">
        <v>0.313888888888889</v>
      </c>
      <c r="J2137" s="6" t="n">
        <v>0.319444444444444</v>
      </c>
      <c r="K2137" s="0" t="n">
        <v>19</v>
      </c>
      <c r="L2137" s="0" t="n">
        <v>20</v>
      </c>
      <c r="M2137" s="0" t="s">
        <v>11160</v>
      </c>
      <c r="N2137" s="0" t="s">
        <v>11161</v>
      </c>
      <c r="P2137" s="0" t="s">
        <v>11162</v>
      </c>
      <c r="Q2137" s="2" t="n">
        <v>43719</v>
      </c>
      <c r="S2137" s="0" t="n">
        <f aca="false">YEAR(Q2137)</f>
        <v>2019</v>
      </c>
      <c r="T2137" s="0" t="n">
        <f aca="false">MONTH(Q2137)</f>
        <v>9</v>
      </c>
    </row>
    <row r="2138" customFormat="false" ht="14.25" hidden="true" customHeight="false" outlineLevel="0" collapsed="false">
      <c r="A2138" s="0" t="n">
        <v>2149</v>
      </c>
      <c r="B2138" s="1" t="s">
        <v>1284</v>
      </c>
      <c r="C2138" s="1" t="s">
        <v>1479</v>
      </c>
      <c r="D2138" s="1" t="s">
        <v>1487</v>
      </c>
      <c r="E2138" s="0" t="s">
        <v>1488</v>
      </c>
      <c r="F2138" s="0" t="s">
        <v>50</v>
      </c>
      <c r="G2138" s="0" t="s">
        <v>11163</v>
      </c>
      <c r="I2138" s="6" t="n">
        <v>0.128472222222222</v>
      </c>
      <c r="J2138" s="6" t="n">
        <v>0.1875</v>
      </c>
      <c r="K2138" s="0" t="n">
        <v>0</v>
      </c>
      <c r="M2138" s="0" t="s">
        <v>11164</v>
      </c>
      <c r="N2138" s="0" t="s">
        <v>11165</v>
      </c>
      <c r="P2138" s="0" t="s">
        <v>11166</v>
      </c>
      <c r="Q2138" s="2" t="n">
        <v>43719</v>
      </c>
      <c r="S2138" s="0" t="n">
        <f aca="false">YEAR(Q2138)</f>
        <v>2019</v>
      </c>
      <c r="T2138" s="0" t="n">
        <f aca="false">MONTH(Q2138)</f>
        <v>9</v>
      </c>
    </row>
    <row r="2139" customFormat="false" ht="14.25" hidden="true" customHeight="false" outlineLevel="0" collapsed="false">
      <c r="A2139" s="0" t="n">
        <v>2150</v>
      </c>
      <c r="B2139" s="1" t="s">
        <v>1285</v>
      </c>
      <c r="C2139" s="1" t="s">
        <v>1479</v>
      </c>
      <c r="D2139" s="1" t="s">
        <v>1496</v>
      </c>
      <c r="E2139" s="0" t="s">
        <v>38</v>
      </c>
      <c r="F2139" s="0" t="s">
        <v>48</v>
      </c>
      <c r="G2139" s="0" t="s">
        <v>11167</v>
      </c>
      <c r="I2139" s="6" t="n">
        <v>0.583333333333333</v>
      </c>
      <c r="J2139" s="6" t="n">
        <v>0.597222222222222</v>
      </c>
      <c r="K2139" s="0" t="n">
        <v>6</v>
      </c>
      <c r="L2139" s="0" t="n">
        <v>10</v>
      </c>
      <c r="M2139" s="0" t="s">
        <v>11168</v>
      </c>
      <c r="N2139" s="0" t="s">
        <v>11169</v>
      </c>
      <c r="P2139" s="0" t="s">
        <v>11170</v>
      </c>
      <c r="Q2139" s="2" t="n">
        <v>43720</v>
      </c>
      <c r="S2139" s="0" t="n">
        <f aca="false">YEAR(Q2139)</f>
        <v>2019</v>
      </c>
      <c r="T2139" s="0" t="n">
        <f aca="false">MONTH(Q2139)</f>
        <v>9</v>
      </c>
    </row>
    <row r="2140" customFormat="false" ht="14.25" hidden="true" customHeight="false" outlineLevel="0" collapsed="false">
      <c r="A2140" s="0" t="n">
        <v>2151</v>
      </c>
      <c r="B2140" s="1" t="s">
        <v>1285</v>
      </c>
      <c r="C2140" s="1" t="s">
        <v>1479</v>
      </c>
      <c r="D2140" s="1" t="s">
        <v>1496</v>
      </c>
      <c r="E2140" s="0" t="s">
        <v>38</v>
      </c>
      <c r="F2140" s="0" t="s">
        <v>49</v>
      </c>
      <c r="G2140" s="0" t="s">
        <v>10143</v>
      </c>
      <c r="I2140" s="6" t="n">
        <v>0.615277777777778</v>
      </c>
      <c r="J2140" s="6" t="n">
        <v>0.638194444444444</v>
      </c>
      <c r="K2140" s="0" t="n">
        <v>2</v>
      </c>
      <c r="L2140" s="0" t="n">
        <v>360</v>
      </c>
      <c r="M2140" s="0" t="s">
        <v>11171</v>
      </c>
      <c r="N2140" s="0" t="s">
        <v>11172</v>
      </c>
      <c r="P2140" s="0" t="s">
        <v>11170</v>
      </c>
      <c r="Q2140" s="2" t="n">
        <v>43720</v>
      </c>
      <c r="S2140" s="0" t="n">
        <f aca="false">YEAR(Q2140)</f>
        <v>2019</v>
      </c>
      <c r="T2140" s="0" t="n">
        <f aca="false">MONTH(Q2140)</f>
        <v>9</v>
      </c>
    </row>
    <row r="2141" customFormat="false" ht="14.25" hidden="true" customHeight="false" outlineLevel="0" collapsed="false">
      <c r="A2141" s="0" t="n">
        <v>2152</v>
      </c>
      <c r="B2141" s="1" t="s">
        <v>1285</v>
      </c>
      <c r="C2141" s="1" t="s">
        <v>1479</v>
      </c>
      <c r="D2141" s="1" t="s">
        <v>1480</v>
      </c>
      <c r="E2141" s="0" t="s">
        <v>43</v>
      </c>
      <c r="F2141" s="0" t="s">
        <v>49</v>
      </c>
      <c r="G2141" s="0" t="s">
        <v>11173</v>
      </c>
      <c r="I2141" s="6" t="n">
        <v>0.508333333333333</v>
      </c>
      <c r="J2141" s="6" t="n">
        <v>0.583333333333333</v>
      </c>
      <c r="M2141" s="0" t="s">
        <v>11174</v>
      </c>
      <c r="Q2141" s="2" t="n">
        <v>43720</v>
      </c>
      <c r="S2141" s="0" t="n">
        <f aca="false">YEAR(Q2141)</f>
        <v>2019</v>
      </c>
      <c r="T2141" s="0" t="n">
        <f aca="false">MONTH(Q2141)</f>
        <v>9</v>
      </c>
    </row>
    <row r="2142" customFormat="false" ht="14.25" hidden="true" customHeight="false" outlineLevel="0" collapsed="false">
      <c r="A2142" s="0" t="n">
        <v>2153</v>
      </c>
      <c r="B2142" s="1" t="s">
        <v>1287</v>
      </c>
      <c r="C2142" s="1" t="s">
        <v>1479</v>
      </c>
      <c r="D2142" s="1" t="s">
        <v>1480</v>
      </c>
      <c r="E2142" s="0" t="s">
        <v>43</v>
      </c>
      <c r="F2142" s="0" t="s">
        <v>48</v>
      </c>
      <c r="G2142" s="0" t="s">
        <v>11173</v>
      </c>
      <c r="I2142" s="6" t="n">
        <v>0.508333333333333</v>
      </c>
      <c r="J2142" s="6" t="n">
        <v>0.583333333333333</v>
      </c>
      <c r="M2142" s="0" t="s">
        <v>11174</v>
      </c>
      <c r="N2142" s="0" t="s">
        <v>11175</v>
      </c>
      <c r="P2142" s="0" t="s">
        <v>11176</v>
      </c>
      <c r="Q2142" s="2" t="n">
        <v>43721</v>
      </c>
      <c r="S2142" s="0" t="n">
        <f aca="false">YEAR(Q2142)</f>
        <v>2019</v>
      </c>
      <c r="T2142" s="0" t="n">
        <f aca="false">MONTH(Q2142)</f>
        <v>9</v>
      </c>
    </row>
    <row r="2143" customFormat="false" ht="14.25" hidden="true" customHeight="false" outlineLevel="0" collapsed="false">
      <c r="A2143" s="0" t="n">
        <v>2154</v>
      </c>
      <c r="B2143" s="1" t="s">
        <v>1287</v>
      </c>
      <c r="C2143" s="1" t="s">
        <v>1479</v>
      </c>
      <c r="D2143" s="1" t="s">
        <v>1487</v>
      </c>
      <c r="E2143" s="4" t="s">
        <v>1488</v>
      </c>
      <c r="F2143" s="0" t="s">
        <v>50</v>
      </c>
      <c r="G2143" s="0" t="s">
        <v>11177</v>
      </c>
      <c r="I2143" s="6" t="n">
        <v>0.0138888888888889</v>
      </c>
      <c r="J2143" s="6" t="n">
        <v>0.0277777777777778</v>
      </c>
      <c r="K2143" s="0" t="n">
        <v>30</v>
      </c>
      <c r="L2143" s="0" t="n">
        <v>55</v>
      </c>
      <c r="M2143" s="0" t="s">
        <v>11178</v>
      </c>
      <c r="N2143" s="0" t="s">
        <v>11179</v>
      </c>
      <c r="P2143" s="0" t="s">
        <v>11180</v>
      </c>
      <c r="Q2143" s="2" t="n">
        <v>43721</v>
      </c>
      <c r="S2143" s="0" t="n">
        <f aca="false">YEAR(Q2143)</f>
        <v>2019</v>
      </c>
      <c r="T2143" s="0" t="n">
        <f aca="false">MONTH(Q2143)</f>
        <v>9</v>
      </c>
    </row>
    <row r="2144" customFormat="false" ht="14.25" hidden="true" customHeight="false" outlineLevel="0" collapsed="false">
      <c r="A2144" s="0" t="n">
        <v>2155</v>
      </c>
      <c r="B2144" s="1" t="s">
        <v>1287</v>
      </c>
      <c r="C2144" s="1" t="s">
        <v>1479</v>
      </c>
      <c r="D2144" s="1" t="s">
        <v>1535</v>
      </c>
      <c r="E2144" s="0" t="s">
        <v>39</v>
      </c>
      <c r="F2144" s="0" t="s">
        <v>50</v>
      </c>
      <c r="G2144" s="0" t="s">
        <v>11181</v>
      </c>
      <c r="I2144" s="6" t="n">
        <v>0.111111111111111</v>
      </c>
      <c r="J2144" s="6" t="n">
        <v>0.118055555555556</v>
      </c>
      <c r="K2144" s="0" t="n">
        <v>39</v>
      </c>
      <c r="L2144" s="0" t="n">
        <v>200</v>
      </c>
      <c r="M2144" s="0" t="s">
        <v>11182</v>
      </c>
      <c r="N2144" s="0" t="s">
        <v>11183</v>
      </c>
      <c r="P2144" s="0" t="s">
        <v>11184</v>
      </c>
      <c r="Q2144" s="2" t="n">
        <v>43721</v>
      </c>
      <c r="S2144" s="0" t="n">
        <f aca="false">YEAR(Q2144)</f>
        <v>2019</v>
      </c>
      <c r="T2144" s="0" t="n">
        <f aca="false">MONTH(Q2144)</f>
        <v>9</v>
      </c>
    </row>
    <row r="2145" customFormat="false" ht="14.25" hidden="true" customHeight="false" outlineLevel="0" collapsed="false">
      <c r="A2145" s="0" t="n">
        <v>2156</v>
      </c>
      <c r="B2145" s="1" t="s">
        <v>1288</v>
      </c>
      <c r="C2145" s="1" t="s">
        <v>1479</v>
      </c>
      <c r="D2145" s="1" t="s">
        <v>1487</v>
      </c>
      <c r="E2145" s="4" t="s">
        <v>1488</v>
      </c>
      <c r="F2145" s="0" t="s">
        <v>50</v>
      </c>
      <c r="G2145" s="0" t="s">
        <v>11185</v>
      </c>
      <c r="I2145" s="6" t="n">
        <v>0.931944444444444</v>
      </c>
      <c r="J2145" s="6" t="n">
        <v>0.9375</v>
      </c>
      <c r="K2145" s="0" t="n">
        <v>2</v>
      </c>
      <c r="L2145" s="0" t="n">
        <v>20</v>
      </c>
      <c r="M2145" s="0" t="s">
        <v>11186</v>
      </c>
      <c r="N2145" s="0" t="s">
        <v>11187</v>
      </c>
      <c r="P2145" s="0" t="s">
        <v>11188</v>
      </c>
      <c r="Q2145" s="2" t="n">
        <v>43723</v>
      </c>
      <c r="S2145" s="0" t="n">
        <f aca="false">YEAR(Q2145)</f>
        <v>2019</v>
      </c>
      <c r="T2145" s="0" t="n">
        <f aca="false">MONTH(Q2145)</f>
        <v>9</v>
      </c>
    </row>
    <row r="2146" customFormat="false" ht="14.25" hidden="true" customHeight="false" outlineLevel="0" collapsed="false">
      <c r="A2146" s="0" t="n">
        <v>2157</v>
      </c>
      <c r="B2146" s="1" t="s">
        <v>1288</v>
      </c>
      <c r="C2146" s="1" t="s">
        <v>1479</v>
      </c>
      <c r="D2146" s="1" t="s">
        <v>1487</v>
      </c>
      <c r="E2146" s="0" t="s">
        <v>1488</v>
      </c>
      <c r="F2146" s="0" t="s">
        <v>50</v>
      </c>
      <c r="G2146" s="0" t="s">
        <v>1489</v>
      </c>
      <c r="I2146" s="6" t="n">
        <v>0.0145833333333333</v>
      </c>
      <c r="J2146" s="6" t="n">
        <v>0.0173611111111111</v>
      </c>
      <c r="M2146" s="0" t="s">
        <v>11189</v>
      </c>
      <c r="N2146" s="0" t="s">
        <v>11190</v>
      </c>
      <c r="P2146" s="0" t="s">
        <v>11191</v>
      </c>
      <c r="Q2146" s="2" t="n">
        <v>43723</v>
      </c>
      <c r="S2146" s="0" t="n">
        <f aca="false">YEAR(Q2146)</f>
        <v>2019</v>
      </c>
      <c r="T2146" s="0" t="n">
        <f aca="false">MONTH(Q2146)</f>
        <v>9</v>
      </c>
    </row>
    <row r="2147" customFormat="false" ht="14.25" hidden="true" customHeight="false" outlineLevel="0" collapsed="false">
      <c r="A2147" s="0" t="n">
        <v>2158</v>
      </c>
      <c r="B2147" s="1" t="s">
        <v>1289</v>
      </c>
      <c r="C2147" s="1" t="s">
        <v>1479</v>
      </c>
      <c r="D2147" s="1" t="s">
        <v>1535</v>
      </c>
      <c r="E2147" s="0" t="s">
        <v>39</v>
      </c>
      <c r="F2147" s="0" t="s">
        <v>48</v>
      </c>
      <c r="G2147" s="0" t="s">
        <v>11192</v>
      </c>
      <c r="I2147" s="6" t="n">
        <v>0.311111111111111</v>
      </c>
      <c r="J2147" s="6" t="n">
        <v>0.327777777777778</v>
      </c>
      <c r="K2147" s="0" t="n">
        <v>20</v>
      </c>
      <c r="L2147" s="0" t="n">
        <v>20</v>
      </c>
      <c r="M2147" s="0" t="s">
        <v>6061</v>
      </c>
      <c r="N2147" s="0" t="s">
        <v>11193</v>
      </c>
      <c r="P2147" s="0" t="s">
        <v>11194</v>
      </c>
      <c r="Q2147" s="2" t="n">
        <v>43724</v>
      </c>
      <c r="S2147" s="0" t="n">
        <f aca="false">YEAR(Q2147)</f>
        <v>2019</v>
      </c>
      <c r="T2147" s="0" t="n">
        <f aca="false">MONTH(Q2147)</f>
        <v>9</v>
      </c>
    </row>
    <row r="2148" customFormat="false" ht="14.25" hidden="true" customHeight="false" outlineLevel="0" collapsed="false">
      <c r="A2148" s="0" t="n">
        <v>2159</v>
      </c>
      <c r="B2148" s="1" t="s">
        <v>1289</v>
      </c>
      <c r="C2148" s="1" t="s">
        <v>1479</v>
      </c>
      <c r="D2148" s="1" t="s">
        <v>1487</v>
      </c>
      <c r="E2148" s="0" t="s">
        <v>1488</v>
      </c>
      <c r="F2148" s="0" t="s">
        <v>49</v>
      </c>
      <c r="G2148" s="0" t="s">
        <v>11195</v>
      </c>
      <c r="I2148" s="6" t="n">
        <v>0.583333333333333</v>
      </c>
      <c r="J2148" s="6" t="n">
        <v>0.631944444444444</v>
      </c>
      <c r="K2148" s="0" t="n">
        <v>0</v>
      </c>
      <c r="L2148" s="0" t="n">
        <v>190</v>
      </c>
      <c r="M2148" s="0" t="s">
        <v>11196</v>
      </c>
      <c r="N2148" s="0" t="s">
        <v>11197</v>
      </c>
      <c r="P2148" s="0" t="s">
        <v>11198</v>
      </c>
      <c r="Q2148" s="2" t="n">
        <v>43724</v>
      </c>
      <c r="S2148" s="0" t="n">
        <f aca="false">YEAR(Q2148)</f>
        <v>2019</v>
      </c>
      <c r="T2148" s="0" t="n">
        <f aca="false">MONTH(Q2148)</f>
        <v>9</v>
      </c>
    </row>
    <row r="2149" customFormat="false" ht="14.25" hidden="true" customHeight="false" outlineLevel="0" collapsed="false">
      <c r="A2149" s="0" t="n">
        <v>2160</v>
      </c>
      <c r="B2149" s="1" t="s">
        <v>1289</v>
      </c>
      <c r="C2149" s="1" t="s">
        <v>1479</v>
      </c>
      <c r="D2149" s="1" t="s">
        <v>1480</v>
      </c>
      <c r="E2149" s="0" t="s">
        <v>43</v>
      </c>
      <c r="F2149" s="0" t="s">
        <v>50</v>
      </c>
      <c r="G2149" s="0" t="s">
        <v>1568</v>
      </c>
      <c r="I2149" s="6" t="n">
        <v>0.0555555555555556</v>
      </c>
      <c r="J2149" s="6" t="n">
        <v>0.142361111111111</v>
      </c>
      <c r="M2149" s="0" t="s">
        <v>11199</v>
      </c>
      <c r="N2149" s="0" t="s">
        <v>11200</v>
      </c>
      <c r="Q2149" s="2" t="n">
        <v>43724</v>
      </c>
      <c r="S2149" s="0" t="n">
        <f aca="false">YEAR(Q2149)</f>
        <v>2019</v>
      </c>
      <c r="T2149" s="0" t="n">
        <f aca="false">MONTH(Q2149)</f>
        <v>9</v>
      </c>
    </row>
    <row r="2150" customFormat="false" ht="86.25" hidden="true" customHeight="false" outlineLevel="0" collapsed="false">
      <c r="A2150" s="0" t="n">
        <v>2161</v>
      </c>
      <c r="B2150" s="1" t="s">
        <v>1290</v>
      </c>
      <c r="C2150" s="1" t="s">
        <v>1479</v>
      </c>
      <c r="D2150" s="1" t="s">
        <v>1480</v>
      </c>
      <c r="E2150" s="0" t="s">
        <v>43</v>
      </c>
      <c r="F2150" s="0" t="s">
        <v>48</v>
      </c>
      <c r="G2150" s="0" t="s">
        <v>1568</v>
      </c>
      <c r="I2150" s="6" t="n">
        <v>0</v>
      </c>
      <c r="J2150" s="6" t="n">
        <v>0</v>
      </c>
      <c r="M2150" s="0" t="s">
        <v>11201</v>
      </c>
      <c r="P2150" s="7" t="s">
        <v>11202</v>
      </c>
      <c r="Q2150" s="2" t="n">
        <v>43725</v>
      </c>
      <c r="S2150" s="0" t="n">
        <f aca="false">YEAR(Q2150)</f>
        <v>2019</v>
      </c>
      <c r="T2150" s="0" t="n">
        <f aca="false">MONTH(Q2150)</f>
        <v>9</v>
      </c>
    </row>
    <row r="2151" customFormat="false" ht="14.25" hidden="true" customHeight="false" outlineLevel="0" collapsed="false">
      <c r="A2151" s="0" t="n">
        <v>2162</v>
      </c>
      <c r="B2151" s="1" t="s">
        <v>1290</v>
      </c>
      <c r="C2151" s="1" t="s">
        <v>1495</v>
      </c>
      <c r="D2151" s="1" t="s">
        <v>1496</v>
      </c>
      <c r="E2151" s="0" t="s">
        <v>41</v>
      </c>
      <c r="F2151" s="0" t="s">
        <v>48</v>
      </c>
      <c r="G2151" s="0" t="s">
        <v>11203</v>
      </c>
      <c r="I2151" s="6" t="n">
        <v>0.0555555555555556</v>
      </c>
      <c r="J2151" s="6" t="n">
        <v>0.304166666666667</v>
      </c>
      <c r="M2151" s="0" t="s">
        <v>11204</v>
      </c>
      <c r="N2151" s="0" t="s">
        <v>11205</v>
      </c>
      <c r="P2151" s="0" t="s">
        <v>11206</v>
      </c>
      <c r="Q2151" s="2" t="n">
        <v>43725</v>
      </c>
      <c r="S2151" s="0" t="n">
        <f aca="false">YEAR(Q2151)</f>
        <v>2019</v>
      </c>
      <c r="T2151" s="0" t="n">
        <f aca="false">MONTH(Q2151)</f>
        <v>9</v>
      </c>
    </row>
    <row r="2152" customFormat="false" ht="57" hidden="true" customHeight="false" outlineLevel="0" collapsed="false">
      <c r="A2152" s="0" t="n">
        <v>2163</v>
      </c>
      <c r="B2152" s="1" t="s">
        <v>1290</v>
      </c>
      <c r="C2152" s="1" t="s">
        <v>1479</v>
      </c>
      <c r="D2152" s="1" t="s">
        <v>1480</v>
      </c>
      <c r="E2152" s="0" t="s">
        <v>43</v>
      </c>
      <c r="F2152" s="0" t="s">
        <v>49</v>
      </c>
      <c r="G2152" s="0" t="s">
        <v>1568</v>
      </c>
      <c r="I2152" s="6" t="n">
        <v>0</v>
      </c>
      <c r="J2152" s="6" t="n">
        <v>0</v>
      </c>
      <c r="M2152" s="7" t="s">
        <v>11207</v>
      </c>
      <c r="P2152" s="7" t="s">
        <v>11208</v>
      </c>
      <c r="Q2152" s="2" t="n">
        <v>43725</v>
      </c>
      <c r="S2152" s="0" t="n">
        <f aca="false">YEAR(Q2152)</f>
        <v>2019</v>
      </c>
      <c r="T2152" s="0" t="n">
        <f aca="false">MONTH(Q2152)</f>
        <v>9</v>
      </c>
    </row>
    <row r="2153" customFormat="false" ht="14.25" hidden="true" customHeight="false" outlineLevel="0" collapsed="false">
      <c r="A2153" s="0" t="n">
        <v>2164</v>
      </c>
      <c r="B2153" s="1" t="s">
        <v>1290</v>
      </c>
      <c r="C2153" s="1" t="s">
        <v>1479</v>
      </c>
      <c r="D2153" s="1" t="s">
        <v>1480</v>
      </c>
      <c r="E2153" s="0" t="s">
        <v>43</v>
      </c>
      <c r="F2153" s="0" t="s">
        <v>50</v>
      </c>
      <c r="G2153" s="0" t="s">
        <v>1568</v>
      </c>
      <c r="I2153" s="6" t="n">
        <v>0.0555555555555556</v>
      </c>
      <c r="J2153" s="6" t="n">
        <v>0.142361111111111</v>
      </c>
      <c r="M2153" s="0" t="s">
        <v>11201</v>
      </c>
      <c r="N2153" s="0" t="s">
        <v>11209</v>
      </c>
      <c r="P2153" s="0" t="s">
        <v>11210</v>
      </c>
      <c r="Q2153" s="2" t="n">
        <v>43725</v>
      </c>
      <c r="S2153" s="0" t="n">
        <f aca="false">YEAR(Q2153)</f>
        <v>2019</v>
      </c>
      <c r="T2153" s="0" t="n">
        <f aca="false">MONTH(Q2153)</f>
        <v>9</v>
      </c>
    </row>
    <row r="2154" customFormat="false" ht="14.25" hidden="true" customHeight="false" outlineLevel="0" collapsed="false">
      <c r="A2154" s="0" t="n">
        <v>2165</v>
      </c>
      <c r="B2154" s="1" t="s">
        <v>1290</v>
      </c>
      <c r="C2154" s="1" t="s">
        <v>1479</v>
      </c>
      <c r="D2154" s="1" t="s">
        <v>1487</v>
      </c>
      <c r="E2154" s="0" t="s">
        <v>1488</v>
      </c>
      <c r="F2154" s="0" t="s">
        <v>50</v>
      </c>
      <c r="G2154" s="0" t="s">
        <v>11211</v>
      </c>
      <c r="I2154" s="6" t="n">
        <v>0.0694444444444444</v>
      </c>
      <c r="L2154" s="0" t="n">
        <v>65</v>
      </c>
      <c r="M2154" s="0" t="s">
        <v>11212</v>
      </c>
      <c r="N2154" s="0" t="s">
        <v>11213</v>
      </c>
      <c r="P2154" s="0" t="s">
        <v>11214</v>
      </c>
      <c r="Q2154" s="2" t="n">
        <v>43725</v>
      </c>
      <c r="S2154" s="0" t="n">
        <f aca="false">YEAR(Q2154)</f>
        <v>2019</v>
      </c>
      <c r="T2154" s="0" t="n">
        <f aca="false">MONTH(Q2154)</f>
        <v>9</v>
      </c>
    </row>
    <row r="2155" customFormat="false" ht="14.25" hidden="true" customHeight="false" outlineLevel="0" collapsed="false">
      <c r="A2155" s="0" t="n">
        <v>2166</v>
      </c>
      <c r="B2155" s="1" t="s">
        <v>1290</v>
      </c>
      <c r="C2155" s="1" t="s">
        <v>1503</v>
      </c>
      <c r="D2155" s="1" t="s">
        <v>1535</v>
      </c>
      <c r="E2155" s="0" t="s">
        <v>1503</v>
      </c>
      <c r="F2155" s="0" t="s">
        <v>50</v>
      </c>
      <c r="G2155" s="0" t="s">
        <v>11215</v>
      </c>
      <c r="I2155" s="6" t="n">
        <v>0.138888888888889</v>
      </c>
      <c r="J2155" s="6" t="n">
        <v>0.149305555555556</v>
      </c>
      <c r="L2155" s="0" t="n">
        <v>35</v>
      </c>
      <c r="M2155" s="0" t="s">
        <v>11216</v>
      </c>
      <c r="N2155" s="0" t="s">
        <v>11217</v>
      </c>
      <c r="P2155" s="0" t="s">
        <v>11218</v>
      </c>
      <c r="Q2155" s="2" t="n">
        <v>43725</v>
      </c>
      <c r="S2155" s="0" t="n">
        <f aca="false">YEAR(Q2155)</f>
        <v>2019</v>
      </c>
      <c r="T2155" s="0" t="n">
        <f aca="false">MONTH(Q2155)</f>
        <v>9</v>
      </c>
    </row>
    <row r="2156" customFormat="false" ht="14.25" hidden="true" customHeight="false" outlineLevel="0" collapsed="false">
      <c r="A2156" s="0" t="n">
        <v>2167</v>
      </c>
      <c r="B2156" s="1" t="s">
        <v>1291</v>
      </c>
      <c r="C2156" s="1" t="s">
        <v>1479</v>
      </c>
      <c r="D2156" s="1" t="s">
        <v>1535</v>
      </c>
      <c r="E2156" s="0" t="s">
        <v>39</v>
      </c>
      <c r="F2156" s="0" t="s">
        <v>50</v>
      </c>
      <c r="K2156" s="0" t="n">
        <v>17</v>
      </c>
      <c r="M2156" s="0" t="s">
        <v>11219</v>
      </c>
      <c r="P2156" s="0" t="s">
        <v>11220</v>
      </c>
      <c r="Q2156" s="2" t="n">
        <v>43726</v>
      </c>
      <c r="S2156" s="0" t="n">
        <f aca="false">YEAR(Q2156)</f>
        <v>2019</v>
      </c>
      <c r="T2156" s="0" t="n">
        <f aca="false">MONTH(Q2156)</f>
        <v>9</v>
      </c>
    </row>
    <row r="2157" customFormat="false" ht="57" hidden="true" customHeight="false" outlineLevel="0" collapsed="false">
      <c r="A2157" s="0" t="n">
        <v>2168</v>
      </c>
      <c r="B2157" s="1" t="s">
        <v>1291</v>
      </c>
      <c r="C2157" s="1" t="s">
        <v>1479</v>
      </c>
      <c r="D2157" s="1" t="s">
        <v>1487</v>
      </c>
      <c r="E2157" s="0" t="s">
        <v>1488</v>
      </c>
      <c r="F2157" s="0" t="s">
        <v>50</v>
      </c>
      <c r="M2157" s="0" t="s">
        <v>11221</v>
      </c>
      <c r="P2157" s="7" t="s">
        <v>11222</v>
      </c>
      <c r="Q2157" s="2" t="n">
        <v>43726</v>
      </c>
      <c r="S2157" s="0" t="n">
        <f aca="false">YEAR(Q2157)</f>
        <v>2019</v>
      </c>
      <c r="T2157" s="0" t="n">
        <f aca="false">MONTH(Q2157)</f>
        <v>9</v>
      </c>
    </row>
    <row r="2158" customFormat="false" ht="14.25" hidden="true" customHeight="false" outlineLevel="0" collapsed="false">
      <c r="A2158" s="0" t="n">
        <v>2169</v>
      </c>
      <c r="B2158" s="1" t="s">
        <v>1291</v>
      </c>
      <c r="C2158" s="1" t="s">
        <v>1503</v>
      </c>
      <c r="D2158" s="1" t="s">
        <v>1648</v>
      </c>
      <c r="E2158" s="0" t="s">
        <v>1648</v>
      </c>
      <c r="F2158" s="0" t="s">
        <v>50</v>
      </c>
      <c r="M2158" s="0" t="s">
        <v>11223</v>
      </c>
      <c r="P2158" s="0" t="s">
        <v>11224</v>
      </c>
      <c r="Q2158" s="2" t="n">
        <v>43726</v>
      </c>
      <c r="S2158" s="0" t="n">
        <f aca="false">YEAR(Q2158)</f>
        <v>2019</v>
      </c>
      <c r="T2158" s="0" t="n">
        <f aca="false">MONTH(Q2158)</f>
        <v>9</v>
      </c>
    </row>
    <row r="2159" customFormat="false" ht="14.25" hidden="true" customHeight="false" outlineLevel="0" collapsed="false">
      <c r="A2159" s="0" t="n">
        <v>2170</v>
      </c>
      <c r="B2159" s="1" t="s">
        <v>1292</v>
      </c>
      <c r="C2159" s="1" t="s">
        <v>1479</v>
      </c>
      <c r="D2159" s="1" t="s">
        <v>1535</v>
      </c>
      <c r="E2159" s="0" t="s">
        <v>11225</v>
      </c>
      <c r="F2159" s="0" t="s">
        <v>49</v>
      </c>
      <c r="G2159" s="0" t="s">
        <v>11226</v>
      </c>
      <c r="I2159" s="6" t="n">
        <v>0.659722222222222</v>
      </c>
      <c r="J2159" s="0" t="s">
        <v>11227</v>
      </c>
      <c r="K2159" s="0" t="n">
        <v>0</v>
      </c>
      <c r="L2159" s="0" t="s">
        <v>11228</v>
      </c>
      <c r="M2159" s="0" t="s">
        <v>11229</v>
      </c>
      <c r="N2159" s="0" t="s">
        <v>11230</v>
      </c>
      <c r="P2159" s="0" t="s">
        <v>11231</v>
      </c>
      <c r="Q2159" s="2" t="n">
        <v>43727</v>
      </c>
      <c r="S2159" s="0" t="n">
        <f aca="false">YEAR(Q2159)</f>
        <v>2019</v>
      </c>
      <c r="T2159" s="0" t="n">
        <f aca="false">MONTH(Q2159)</f>
        <v>9</v>
      </c>
    </row>
    <row r="2160" customFormat="false" ht="14.25" hidden="true" customHeight="false" outlineLevel="0" collapsed="false">
      <c r="A2160" s="0" t="n">
        <v>2171</v>
      </c>
      <c r="B2160" s="1" t="s">
        <v>1293</v>
      </c>
      <c r="C2160" s="1" t="s">
        <v>1503</v>
      </c>
      <c r="D2160" s="1" t="s">
        <v>1648</v>
      </c>
      <c r="E2160" s="0" t="s">
        <v>8391</v>
      </c>
      <c r="F2160" s="0" t="s">
        <v>50</v>
      </c>
      <c r="G2160" s="0" t="s">
        <v>11232</v>
      </c>
      <c r="J2160" s="6" t="n">
        <v>0.972222222222222</v>
      </c>
      <c r="L2160" s="0" t="n">
        <v>400</v>
      </c>
      <c r="M2160" s="0" t="s">
        <v>11233</v>
      </c>
      <c r="N2160" s="0" t="s">
        <v>11234</v>
      </c>
      <c r="P2160" s="0" t="s">
        <v>11235</v>
      </c>
      <c r="Q2160" s="2" t="n">
        <v>43728</v>
      </c>
      <c r="S2160" s="0" t="n">
        <f aca="false">YEAR(Q2160)</f>
        <v>2019</v>
      </c>
      <c r="T2160" s="0" t="n">
        <f aca="false">MONTH(Q2160)</f>
        <v>9</v>
      </c>
    </row>
    <row r="2161" customFormat="false" ht="14.25" hidden="true" customHeight="false" outlineLevel="0" collapsed="false">
      <c r="A2161" s="0" t="n">
        <v>2172</v>
      </c>
      <c r="B2161" s="1" t="s">
        <v>1294</v>
      </c>
      <c r="C2161" s="1" t="s">
        <v>1479</v>
      </c>
      <c r="D2161" s="1" t="s">
        <v>1535</v>
      </c>
      <c r="E2161" s="0" t="s">
        <v>39</v>
      </c>
      <c r="F2161" s="0" t="s">
        <v>50</v>
      </c>
      <c r="I2161" s="6" t="n">
        <v>0</v>
      </c>
      <c r="J2161" s="6" t="n">
        <v>0</v>
      </c>
      <c r="M2161" s="0" t="s">
        <v>11236</v>
      </c>
      <c r="N2161" s="0" t="s">
        <v>11237</v>
      </c>
      <c r="P2161" s="0" t="s">
        <v>11238</v>
      </c>
      <c r="Q2161" s="2" t="n">
        <v>43730</v>
      </c>
      <c r="S2161" s="0" t="n">
        <f aca="false">YEAR(Q2161)</f>
        <v>2019</v>
      </c>
      <c r="T2161" s="0" t="n">
        <f aca="false">MONTH(Q2161)</f>
        <v>9</v>
      </c>
    </row>
    <row r="2162" customFormat="false" ht="14.25" hidden="true" customHeight="false" outlineLevel="0" collapsed="false">
      <c r="A2162" s="0" t="n">
        <v>2173</v>
      </c>
      <c r="B2162" s="1" t="s">
        <v>1294</v>
      </c>
      <c r="C2162" s="1" t="s">
        <v>1479</v>
      </c>
      <c r="D2162" s="1" t="s">
        <v>1487</v>
      </c>
      <c r="E2162" s="0" t="s">
        <v>1488</v>
      </c>
      <c r="F2162" s="0" t="s">
        <v>50</v>
      </c>
      <c r="G2162" s="0" t="s">
        <v>11239</v>
      </c>
      <c r="I2162" s="6" t="n">
        <v>0.145833333333333</v>
      </c>
      <c r="J2162" s="6" t="n">
        <v>0.155555555555556</v>
      </c>
      <c r="L2162" s="0" t="n">
        <v>27</v>
      </c>
      <c r="M2162" s="0" t="s">
        <v>11240</v>
      </c>
      <c r="N2162" s="0" t="s">
        <v>11241</v>
      </c>
      <c r="P2162" s="0" t="s">
        <v>11242</v>
      </c>
      <c r="Q2162" s="2" t="n">
        <v>43730</v>
      </c>
      <c r="S2162" s="0" t="n">
        <f aca="false">YEAR(Q2162)</f>
        <v>2019</v>
      </c>
      <c r="T2162" s="0" t="n">
        <f aca="false">MONTH(Q2162)</f>
        <v>9</v>
      </c>
    </row>
    <row r="2163" customFormat="false" ht="14.25" hidden="true" customHeight="false" outlineLevel="0" collapsed="false">
      <c r="A2163" s="0" t="n">
        <v>2174</v>
      </c>
      <c r="B2163" s="1" t="s">
        <v>1294</v>
      </c>
      <c r="C2163" s="1" t="s">
        <v>1479</v>
      </c>
      <c r="D2163" s="1" t="s">
        <v>1487</v>
      </c>
      <c r="E2163" s="0" t="s">
        <v>1488</v>
      </c>
      <c r="F2163" s="0" t="s">
        <v>50</v>
      </c>
      <c r="G2163" s="0" t="s">
        <v>11243</v>
      </c>
      <c r="I2163" s="6" t="n">
        <v>0.170138888888889</v>
      </c>
      <c r="J2163" s="6" t="n">
        <v>0.204861111111111</v>
      </c>
      <c r="M2163" s="0" t="s">
        <v>11244</v>
      </c>
      <c r="N2163" s="0" t="s">
        <v>11245</v>
      </c>
      <c r="P2163" s="0" t="s">
        <v>11246</v>
      </c>
      <c r="Q2163" s="2" t="n">
        <v>43730</v>
      </c>
      <c r="S2163" s="0" t="n">
        <f aca="false">YEAR(Q2163)</f>
        <v>2019</v>
      </c>
      <c r="T2163" s="0" t="n">
        <f aca="false">MONTH(Q2163)</f>
        <v>9</v>
      </c>
    </row>
    <row r="2164" customFormat="false" ht="14.25" hidden="true" customHeight="false" outlineLevel="0" collapsed="false">
      <c r="A2164" s="0" t="n">
        <v>2175</v>
      </c>
      <c r="B2164" s="1" t="s">
        <v>1295</v>
      </c>
      <c r="C2164" s="1" t="s">
        <v>1479</v>
      </c>
      <c r="D2164" s="1" t="s">
        <v>1535</v>
      </c>
      <c r="E2164" s="0" t="s">
        <v>39</v>
      </c>
      <c r="F2164" s="0" t="s">
        <v>48</v>
      </c>
      <c r="G2164" s="0" t="s">
        <v>7876</v>
      </c>
      <c r="J2164" s="6" t="n">
        <v>0.375</v>
      </c>
      <c r="K2164" s="0" t="n">
        <v>0</v>
      </c>
      <c r="L2164" s="0" t="n">
        <v>0</v>
      </c>
      <c r="M2164" s="0" t="s">
        <v>11247</v>
      </c>
      <c r="N2164" s="0" t="s">
        <v>11248</v>
      </c>
      <c r="P2164" s="0" t="s">
        <v>11249</v>
      </c>
      <c r="Q2164" s="2" t="n">
        <v>43731</v>
      </c>
      <c r="S2164" s="0" t="n">
        <f aca="false">YEAR(Q2164)</f>
        <v>2019</v>
      </c>
      <c r="T2164" s="0" t="n">
        <f aca="false">MONTH(Q2164)</f>
        <v>9</v>
      </c>
    </row>
    <row r="2165" customFormat="false" ht="14.25" hidden="true" customHeight="false" outlineLevel="0" collapsed="false">
      <c r="A2165" s="0" t="n">
        <v>2176</v>
      </c>
      <c r="B2165" s="1" t="s">
        <v>1295</v>
      </c>
      <c r="C2165" s="1" t="s">
        <v>1503</v>
      </c>
      <c r="D2165" s="1" t="s">
        <v>1535</v>
      </c>
      <c r="E2165" s="0" t="s">
        <v>1503</v>
      </c>
      <c r="F2165" s="0" t="s">
        <v>49</v>
      </c>
      <c r="G2165" s="0" t="s">
        <v>11250</v>
      </c>
      <c r="I2165" s="6" t="n">
        <v>0.423611111111111</v>
      </c>
      <c r="J2165" s="6" t="n">
        <v>0.4375</v>
      </c>
      <c r="M2165" s="0" t="s">
        <v>11251</v>
      </c>
      <c r="N2165" s="0" t="s">
        <v>3545</v>
      </c>
      <c r="P2165" s="0" t="s">
        <v>11252</v>
      </c>
      <c r="Q2165" s="2" t="n">
        <v>43731</v>
      </c>
      <c r="S2165" s="0" t="n">
        <f aca="false">YEAR(Q2165)</f>
        <v>2019</v>
      </c>
      <c r="T2165" s="0" t="n">
        <f aca="false">MONTH(Q2165)</f>
        <v>9</v>
      </c>
    </row>
    <row r="2166" customFormat="false" ht="14.25" hidden="true" customHeight="false" outlineLevel="0" collapsed="false">
      <c r="A2166" s="0" t="n">
        <v>2177</v>
      </c>
      <c r="B2166" s="1" t="s">
        <v>1296</v>
      </c>
      <c r="C2166" s="1" t="s">
        <v>1479</v>
      </c>
      <c r="D2166" s="1" t="s">
        <v>1487</v>
      </c>
      <c r="E2166" s="0" t="s">
        <v>1488</v>
      </c>
      <c r="F2166" s="0" t="s">
        <v>48</v>
      </c>
      <c r="G2166" s="0" t="s">
        <v>11253</v>
      </c>
      <c r="I2166" s="6" t="n">
        <v>0.196527777777778</v>
      </c>
      <c r="J2166" s="6" t="n">
        <v>0.222222222222222</v>
      </c>
      <c r="K2166" s="0" t="n">
        <v>89</v>
      </c>
      <c r="L2166" s="0" t="n">
        <v>110</v>
      </c>
      <c r="M2166" s="0" t="s">
        <v>11254</v>
      </c>
      <c r="N2166" s="0" t="s">
        <v>11255</v>
      </c>
      <c r="P2166" s="0" t="s">
        <v>11256</v>
      </c>
      <c r="Q2166" s="2" t="n">
        <v>43732</v>
      </c>
      <c r="S2166" s="0" t="n">
        <f aca="false">YEAR(Q2166)</f>
        <v>2019</v>
      </c>
      <c r="T2166" s="0" t="n">
        <f aca="false">MONTH(Q2166)</f>
        <v>9</v>
      </c>
    </row>
    <row r="2167" customFormat="false" ht="14.25" hidden="true" customHeight="false" outlineLevel="0" collapsed="false">
      <c r="A2167" s="0" t="n">
        <v>2178</v>
      </c>
      <c r="B2167" s="1" t="s">
        <v>1296</v>
      </c>
      <c r="C2167" s="1" t="s">
        <v>1479</v>
      </c>
      <c r="D2167" s="1" t="s">
        <v>1535</v>
      </c>
      <c r="E2167" s="0" t="s">
        <v>39</v>
      </c>
      <c r="F2167" s="0" t="s">
        <v>48</v>
      </c>
      <c r="G2167" s="0" t="s">
        <v>11257</v>
      </c>
      <c r="M2167" s="0" t="s">
        <v>11258</v>
      </c>
      <c r="N2167" s="0" t="s">
        <v>7941</v>
      </c>
      <c r="P2167" s="0" t="s">
        <v>11259</v>
      </c>
      <c r="Q2167" s="2" t="n">
        <v>43732</v>
      </c>
      <c r="S2167" s="0" t="n">
        <f aca="false">YEAR(Q2167)</f>
        <v>2019</v>
      </c>
      <c r="T2167" s="0" t="n">
        <f aca="false">MONTH(Q2167)</f>
        <v>9</v>
      </c>
    </row>
    <row r="2168" customFormat="false" ht="14.25" hidden="true" customHeight="false" outlineLevel="0" collapsed="false">
      <c r="A2168" s="0" t="n">
        <v>2179</v>
      </c>
      <c r="B2168" s="1" t="s">
        <v>1296</v>
      </c>
      <c r="C2168" s="1" t="s">
        <v>1479</v>
      </c>
      <c r="D2168" s="1" t="s">
        <v>1496</v>
      </c>
      <c r="E2168" s="0" t="s">
        <v>38</v>
      </c>
      <c r="F2168" s="0" t="s">
        <v>48</v>
      </c>
      <c r="G2168" s="0" t="s">
        <v>11260</v>
      </c>
      <c r="I2168" s="6" t="n">
        <v>0.500694444444444</v>
      </c>
      <c r="J2168" s="6" t="n">
        <v>0.504861111111111</v>
      </c>
      <c r="L2168" s="0" t="n">
        <v>30</v>
      </c>
      <c r="M2168" s="0" t="s">
        <v>11261</v>
      </c>
      <c r="N2168" s="0" t="s">
        <v>11262</v>
      </c>
      <c r="P2168" s="0" t="s">
        <v>11263</v>
      </c>
      <c r="Q2168" s="2" t="n">
        <v>43732</v>
      </c>
      <c r="S2168" s="0" t="n">
        <f aca="false">YEAR(Q2168)</f>
        <v>2019</v>
      </c>
      <c r="T2168" s="0" t="n">
        <f aca="false">MONTH(Q2168)</f>
        <v>9</v>
      </c>
    </row>
    <row r="2169" customFormat="false" ht="14.25" hidden="true" customHeight="false" outlineLevel="0" collapsed="false">
      <c r="A2169" s="0" t="n">
        <v>2180</v>
      </c>
      <c r="B2169" s="1" t="s">
        <v>1296</v>
      </c>
      <c r="C2169" s="1" t="s">
        <v>1479</v>
      </c>
      <c r="D2169" s="1" t="s">
        <v>1535</v>
      </c>
      <c r="E2169" s="0" t="s">
        <v>39</v>
      </c>
      <c r="F2169" s="0" t="s">
        <v>50</v>
      </c>
      <c r="G2169" s="0" t="s">
        <v>9454</v>
      </c>
      <c r="I2169" s="6" t="n">
        <v>0.201388888888889</v>
      </c>
      <c r="J2169" s="6" t="n">
        <v>0.208333333333333</v>
      </c>
      <c r="K2169" s="0" t="n">
        <v>0</v>
      </c>
      <c r="L2169" s="0" t="n">
        <v>90</v>
      </c>
      <c r="M2169" s="0" t="s">
        <v>11264</v>
      </c>
      <c r="N2169" s="0" t="s">
        <v>11265</v>
      </c>
      <c r="P2169" s="0" t="s">
        <v>11266</v>
      </c>
      <c r="Q2169" s="2" t="n">
        <v>43732</v>
      </c>
      <c r="S2169" s="0" t="n">
        <f aca="false">YEAR(Q2169)</f>
        <v>2019</v>
      </c>
      <c r="T2169" s="0" t="n">
        <f aca="false">MONTH(Q2169)</f>
        <v>9</v>
      </c>
    </row>
    <row r="2170" customFormat="false" ht="14.25" hidden="true" customHeight="false" outlineLevel="0" collapsed="false">
      <c r="A2170" s="0" t="n">
        <v>2181</v>
      </c>
      <c r="B2170" s="1" t="s">
        <v>1297</v>
      </c>
      <c r="C2170" s="1" t="s">
        <v>1479</v>
      </c>
      <c r="D2170" s="1" t="s">
        <v>1487</v>
      </c>
      <c r="E2170" s="4" t="s">
        <v>1488</v>
      </c>
      <c r="F2170" s="0" t="s">
        <v>48</v>
      </c>
      <c r="G2170" s="0" t="s">
        <v>11267</v>
      </c>
      <c r="J2170" s="6" t="n">
        <v>0.413194444444444</v>
      </c>
      <c r="K2170" s="0" t="n">
        <v>20</v>
      </c>
      <c r="L2170" s="0" t="n">
        <v>29</v>
      </c>
      <c r="M2170" s="0" t="s">
        <v>11268</v>
      </c>
      <c r="N2170" s="0" t="s">
        <v>11269</v>
      </c>
      <c r="P2170" s="0" t="s">
        <v>11270</v>
      </c>
      <c r="Q2170" s="2" t="n">
        <v>43733</v>
      </c>
      <c r="S2170" s="0" t="n">
        <f aca="false">YEAR(Q2170)</f>
        <v>2019</v>
      </c>
      <c r="T2170" s="0" t="n">
        <f aca="false">MONTH(Q2170)</f>
        <v>9</v>
      </c>
    </row>
    <row r="2171" customFormat="false" ht="14.25" hidden="true" customHeight="false" outlineLevel="0" collapsed="false">
      <c r="A2171" s="0" t="n">
        <v>2182</v>
      </c>
      <c r="B2171" s="1" t="s">
        <v>1297</v>
      </c>
      <c r="C2171" s="1" t="s">
        <v>1495</v>
      </c>
      <c r="D2171" s="1" t="s">
        <v>1487</v>
      </c>
      <c r="E2171" s="0" t="s">
        <v>40</v>
      </c>
      <c r="F2171" s="0" t="s">
        <v>48</v>
      </c>
      <c r="G2171" s="0" t="s">
        <v>11271</v>
      </c>
      <c r="I2171" s="6" t="n">
        <v>0.416666666666667</v>
      </c>
      <c r="J2171" s="6" t="n">
        <v>0.451388888888889</v>
      </c>
      <c r="M2171" s="0" t="s">
        <v>11272</v>
      </c>
      <c r="N2171" s="0" t="s">
        <v>11273</v>
      </c>
      <c r="P2171" s="0" t="s">
        <v>11274</v>
      </c>
      <c r="Q2171" s="2" t="n">
        <v>43733</v>
      </c>
      <c r="S2171" s="0" t="n">
        <f aca="false">YEAR(Q2171)</f>
        <v>2019</v>
      </c>
      <c r="T2171" s="0" t="n">
        <f aca="false">MONTH(Q2171)</f>
        <v>9</v>
      </c>
    </row>
    <row r="2172" customFormat="false" ht="14.25" hidden="true" customHeight="false" outlineLevel="0" collapsed="false">
      <c r="A2172" s="0" t="n">
        <v>2183</v>
      </c>
      <c r="B2172" s="1" t="s">
        <v>1297</v>
      </c>
      <c r="C2172" s="1" t="s">
        <v>1479</v>
      </c>
      <c r="D2172" s="1" t="s">
        <v>1535</v>
      </c>
      <c r="E2172" s="0" t="s">
        <v>39</v>
      </c>
      <c r="F2172" s="0" t="s">
        <v>49</v>
      </c>
      <c r="G2172" s="0" t="s">
        <v>11275</v>
      </c>
      <c r="I2172" s="6" t="n">
        <v>0.760416666666667</v>
      </c>
      <c r="J2172" s="6" t="n">
        <v>0.763888888888889</v>
      </c>
      <c r="K2172" s="0" t="n">
        <v>0</v>
      </c>
      <c r="L2172" s="0" t="n">
        <v>10</v>
      </c>
      <c r="M2172" s="0" t="s">
        <v>11276</v>
      </c>
      <c r="N2172" s="0" t="s">
        <v>11277</v>
      </c>
      <c r="P2172" s="0" t="s">
        <v>11278</v>
      </c>
      <c r="Q2172" s="2" t="n">
        <v>43733</v>
      </c>
      <c r="S2172" s="0" t="n">
        <f aca="false">YEAR(Q2172)</f>
        <v>2019</v>
      </c>
      <c r="T2172" s="0" t="n">
        <f aca="false">MONTH(Q2172)</f>
        <v>9</v>
      </c>
    </row>
    <row r="2173" customFormat="false" ht="14.25" hidden="true" customHeight="false" outlineLevel="0" collapsed="false">
      <c r="A2173" s="0" t="n">
        <v>2184</v>
      </c>
      <c r="B2173" s="1" t="s">
        <v>1297</v>
      </c>
      <c r="C2173" s="1" t="s">
        <v>1479</v>
      </c>
      <c r="D2173" s="1" t="s">
        <v>1496</v>
      </c>
      <c r="E2173" s="0" t="s">
        <v>38</v>
      </c>
      <c r="F2173" s="0" t="s">
        <v>49</v>
      </c>
      <c r="G2173" s="0" t="s">
        <v>11279</v>
      </c>
      <c r="I2173" s="6" t="n">
        <v>0.847222222222222</v>
      </c>
      <c r="J2173" s="6" t="n">
        <v>0.850694444444444</v>
      </c>
      <c r="M2173" s="0" t="s">
        <v>11280</v>
      </c>
      <c r="N2173" s="0" t="s">
        <v>11281</v>
      </c>
      <c r="P2173" s="0" t="s">
        <v>11282</v>
      </c>
      <c r="Q2173" s="2" t="n">
        <v>43733</v>
      </c>
      <c r="S2173" s="0" t="n">
        <f aca="false">YEAR(Q2173)</f>
        <v>2019</v>
      </c>
      <c r="T2173" s="0" t="n">
        <f aca="false">MONTH(Q2173)</f>
        <v>9</v>
      </c>
    </row>
    <row r="2174" customFormat="false" ht="14.25" hidden="true" customHeight="false" outlineLevel="0" collapsed="false">
      <c r="A2174" s="0" t="n">
        <v>2185</v>
      </c>
      <c r="B2174" s="1" t="s">
        <v>1298</v>
      </c>
      <c r="C2174" s="1" t="s">
        <v>1479</v>
      </c>
      <c r="D2174" s="1" t="s">
        <v>1535</v>
      </c>
      <c r="E2174" s="0" t="s">
        <v>39</v>
      </c>
      <c r="F2174" s="0" t="s">
        <v>48</v>
      </c>
      <c r="G2174" s="0" t="s">
        <v>11283</v>
      </c>
      <c r="I2174" s="6" t="n">
        <v>0.282638888888889</v>
      </c>
      <c r="J2174" s="6" t="n">
        <v>0.309722222222222</v>
      </c>
      <c r="K2174" s="0" t="n">
        <v>45</v>
      </c>
      <c r="L2174" s="0" t="n">
        <v>50</v>
      </c>
      <c r="M2174" s="0" t="s">
        <v>11284</v>
      </c>
      <c r="N2174" s="0" t="s">
        <v>11285</v>
      </c>
      <c r="P2174" s="0" t="s">
        <v>11286</v>
      </c>
      <c r="Q2174" s="2" t="n">
        <v>43734</v>
      </c>
      <c r="S2174" s="0" t="n">
        <f aca="false">YEAR(Q2174)</f>
        <v>2019</v>
      </c>
      <c r="T2174" s="0" t="n">
        <f aca="false">MONTH(Q2174)</f>
        <v>9</v>
      </c>
    </row>
    <row r="2175" customFormat="false" ht="42.75" hidden="true" customHeight="false" outlineLevel="0" collapsed="false">
      <c r="A2175" s="0" t="n">
        <v>2186</v>
      </c>
      <c r="B2175" s="1" t="s">
        <v>1298</v>
      </c>
      <c r="C2175" s="1" t="s">
        <v>1479</v>
      </c>
      <c r="D2175" s="1" t="s">
        <v>1480</v>
      </c>
      <c r="E2175" s="0" t="s">
        <v>43</v>
      </c>
      <c r="F2175" s="0" t="s">
        <v>48</v>
      </c>
      <c r="G2175" s="0" t="s">
        <v>11287</v>
      </c>
      <c r="I2175" s="6" t="n">
        <v>0.285416666666667</v>
      </c>
      <c r="J2175" s="6" t="n">
        <v>0.302083333333333</v>
      </c>
      <c r="L2175" s="0" t="n">
        <v>62</v>
      </c>
      <c r="M2175" s="0" t="s">
        <v>11288</v>
      </c>
      <c r="N2175" s="0" t="s">
        <v>11289</v>
      </c>
      <c r="P2175" s="7" t="s">
        <v>11290</v>
      </c>
      <c r="Q2175" s="2" t="n">
        <v>43734</v>
      </c>
      <c r="S2175" s="0" t="n">
        <f aca="false">YEAR(Q2175)</f>
        <v>2019</v>
      </c>
      <c r="T2175" s="0" t="n">
        <f aca="false">MONTH(Q2175)</f>
        <v>9</v>
      </c>
    </row>
    <row r="2176" customFormat="false" ht="14.25" hidden="true" customHeight="false" outlineLevel="0" collapsed="false">
      <c r="A2176" s="0" t="n">
        <v>2187</v>
      </c>
      <c r="B2176" s="1" t="s">
        <v>1298</v>
      </c>
      <c r="C2176" s="1" t="s">
        <v>1479</v>
      </c>
      <c r="D2176" s="1" t="s">
        <v>1480</v>
      </c>
      <c r="E2176" s="0" t="s">
        <v>43</v>
      </c>
      <c r="F2176" s="0" t="s">
        <v>48</v>
      </c>
      <c r="G2176" s="0" t="s">
        <v>11291</v>
      </c>
      <c r="I2176" s="6" t="n">
        <v>0.503472222222222</v>
      </c>
      <c r="J2176" s="6" t="n">
        <v>0.541666666666667</v>
      </c>
      <c r="L2176" s="0" t="n">
        <v>165</v>
      </c>
      <c r="M2176" s="0" t="s">
        <v>11292</v>
      </c>
      <c r="N2176" s="0" t="s">
        <v>11293</v>
      </c>
      <c r="P2176" s="0" t="s">
        <v>11294</v>
      </c>
      <c r="Q2176" s="2" t="n">
        <v>43734</v>
      </c>
      <c r="S2176" s="0" t="n">
        <f aca="false">YEAR(Q2176)</f>
        <v>2019</v>
      </c>
      <c r="T2176" s="0" t="n">
        <f aca="false">MONTH(Q2176)</f>
        <v>9</v>
      </c>
    </row>
    <row r="2177" customFormat="false" ht="14.25" hidden="true" customHeight="false" outlineLevel="0" collapsed="false">
      <c r="A2177" s="0" t="n">
        <v>2188</v>
      </c>
      <c r="B2177" s="1" t="s">
        <v>1298</v>
      </c>
      <c r="C2177" s="1" t="s">
        <v>1503</v>
      </c>
      <c r="D2177" s="1" t="s">
        <v>1504</v>
      </c>
      <c r="E2177" s="0" t="s">
        <v>45</v>
      </c>
      <c r="F2177" s="0" t="s">
        <v>49</v>
      </c>
      <c r="G2177" s="0" t="s">
        <v>11295</v>
      </c>
      <c r="J2177" s="6" t="n">
        <v>0.691666666666667</v>
      </c>
      <c r="M2177" s="0" t="s">
        <v>11296</v>
      </c>
      <c r="N2177" s="0" t="s">
        <v>11297</v>
      </c>
      <c r="P2177" s="0" t="s">
        <v>11298</v>
      </c>
      <c r="Q2177" s="2" t="n">
        <v>43734</v>
      </c>
      <c r="S2177" s="0" t="n">
        <f aca="false">YEAR(Q2177)</f>
        <v>2019</v>
      </c>
      <c r="T2177" s="0" t="n">
        <f aca="false">MONTH(Q2177)</f>
        <v>9</v>
      </c>
    </row>
    <row r="2178" customFormat="false" ht="57" hidden="true" customHeight="false" outlineLevel="0" collapsed="false">
      <c r="A2178" s="0" t="n">
        <v>2189</v>
      </c>
      <c r="B2178" s="1" t="s">
        <v>1298</v>
      </c>
      <c r="C2178" s="1" t="s">
        <v>1503</v>
      </c>
      <c r="D2178" s="1" t="s">
        <v>1535</v>
      </c>
      <c r="E2178" s="0" t="s">
        <v>44</v>
      </c>
      <c r="F2178" s="0" t="s">
        <v>50</v>
      </c>
      <c r="G2178" s="0" t="s">
        <v>11299</v>
      </c>
      <c r="I2178" s="6" t="n">
        <v>0.0590277777777778</v>
      </c>
      <c r="J2178" s="6" t="n">
        <v>0.0694444444444444</v>
      </c>
      <c r="L2178" s="0" t="n">
        <v>200</v>
      </c>
      <c r="M2178" s="0" t="s">
        <v>11300</v>
      </c>
      <c r="N2178" s="0" t="s">
        <v>11301</v>
      </c>
      <c r="P2178" s="7" t="s">
        <v>11302</v>
      </c>
      <c r="Q2178" s="2" t="n">
        <v>43734</v>
      </c>
      <c r="S2178" s="0" t="n">
        <f aca="false">YEAR(Q2178)</f>
        <v>2019</v>
      </c>
      <c r="T2178" s="0" t="n">
        <f aca="false">MONTH(Q2178)</f>
        <v>9</v>
      </c>
    </row>
    <row r="2179" customFormat="false" ht="42.75" hidden="true" customHeight="false" outlineLevel="0" collapsed="false">
      <c r="A2179" s="0" t="n">
        <v>2190</v>
      </c>
      <c r="B2179" s="1" t="s">
        <v>1299</v>
      </c>
      <c r="C2179" s="1" t="s">
        <v>1503</v>
      </c>
      <c r="D2179" s="1" t="s">
        <v>1535</v>
      </c>
      <c r="E2179" s="0" t="s">
        <v>44</v>
      </c>
      <c r="F2179" s="0" t="s">
        <v>48</v>
      </c>
      <c r="G2179" s="0" t="s">
        <v>11303</v>
      </c>
      <c r="I2179" s="6" t="n">
        <v>0.269444444444444</v>
      </c>
      <c r="J2179" s="6" t="n">
        <v>0.270833333333333</v>
      </c>
      <c r="L2179" s="0" t="n">
        <v>170</v>
      </c>
      <c r="M2179" s="0" t="s">
        <v>11304</v>
      </c>
      <c r="N2179" s="0" t="s">
        <v>11305</v>
      </c>
      <c r="P2179" s="7" t="s">
        <v>11306</v>
      </c>
      <c r="Q2179" s="2" t="n">
        <v>43735</v>
      </c>
      <c r="S2179" s="0" t="n">
        <f aca="false">YEAR(Q2179)</f>
        <v>2019</v>
      </c>
      <c r="T2179" s="0" t="n">
        <f aca="false">MONTH(Q2179)</f>
        <v>9</v>
      </c>
    </row>
    <row r="2180" customFormat="false" ht="14.25" hidden="true" customHeight="false" outlineLevel="0" collapsed="false">
      <c r="A2180" s="0" t="n">
        <v>2191</v>
      </c>
      <c r="B2180" s="1" t="s">
        <v>1299</v>
      </c>
      <c r="C2180" s="1" t="s">
        <v>1479</v>
      </c>
      <c r="D2180" s="1" t="s">
        <v>1863</v>
      </c>
      <c r="E2180" s="0" t="s">
        <v>10372</v>
      </c>
      <c r="F2180" s="0" t="s">
        <v>49</v>
      </c>
      <c r="G2180" s="0" t="s">
        <v>11307</v>
      </c>
      <c r="I2180" s="6" t="n">
        <v>0.708333333333333</v>
      </c>
      <c r="J2180" s="6" t="n">
        <v>0.736111111111111</v>
      </c>
      <c r="M2180" s="0" t="s">
        <v>11308</v>
      </c>
      <c r="N2180" s="0" t="s">
        <v>11309</v>
      </c>
      <c r="P2180" s="0" t="s">
        <v>11310</v>
      </c>
      <c r="Q2180" s="2" t="n">
        <v>43735</v>
      </c>
      <c r="S2180" s="0" t="n">
        <f aca="false">YEAR(Q2180)</f>
        <v>2019</v>
      </c>
      <c r="T2180" s="0" t="n">
        <f aca="false">MONTH(Q2180)</f>
        <v>9</v>
      </c>
    </row>
    <row r="2181" customFormat="false" ht="14.25" hidden="true" customHeight="false" outlineLevel="0" collapsed="false">
      <c r="A2181" s="0" t="n">
        <v>2192</v>
      </c>
      <c r="B2181" s="1" t="s">
        <v>1299</v>
      </c>
      <c r="C2181" s="1" t="s">
        <v>1479</v>
      </c>
      <c r="D2181" s="1" t="s">
        <v>1487</v>
      </c>
      <c r="E2181" s="0" t="s">
        <v>1488</v>
      </c>
      <c r="F2181" s="0" t="s">
        <v>49</v>
      </c>
      <c r="G2181" s="0" t="s">
        <v>11311</v>
      </c>
      <c r="I2181" s="6" t="n">
        <v>0.802083333333333</v>
      </c>
      <c r="J2181" s="6" t="n">
        <v>0.822916666666667</v>
      </c>
      <c r="K2181" s="0" t="n">
        <v>0</v>
      </c>
      <c r="L2181" s="0" t="n">
        <v>60</v>
      </c>
      <c r="M2181" s="0" t="s">
        <v>11312</v>
      </c>
      <c r="N2181" s="0" t="s">
        <v>11313</v>
      </c>
      <c r="P2181" s="0" t="s">
        <v>11314</v>
      </c>
      <c r="Q2181" s="2" t="n">
        <v>43735</v>
      </c>
      <c r="S2181" s="0" t="n">
        <f aca="false">YEAR(Q2181)</f>
        <v>2019</v>
      </c>
      <c r="T2181" s="0" t="n">
        <f aca="false">MONTH(Q2181)</f>
        <v>9</v>
      </c>
    </row>
    <row r="2182" customFormat="false" ht="14.25" hidden="true" customHeight="false" outlineLevel="0" collapsed="false">
      <c r="A2182" s="0" t="n">
        <v>2193</v>
      </c>
      <c r="B2182" s="1" t="s">
        <v>1300</v>
      </c>
      <c r="C2182" s="1" t="s">
        <v>1479</v>
      </c>
      <c r="D2182" s="1" t="s">
        <v>1487</v>
      </c>
      <c r="E2182" s="4" t="s">
        <v>1488</v>
      </c>
      <c r="F2182" s="0" t="s">
        <v>50</v>
      </c>
      <c r="G2182" s="0" t="s">
        <v>9136</v>
      </c>
      <c r="I2182" s="6" t="n">
        <v>0.902777777777778</v>
      </c>
      <c r="J2182" s="6" t="n">
        <v>0.920138888888889</v>
      </c>
      <c r="K2182" s="0" t="n">
        <v>40</v>
      </c>
      <c r="M2182" s="0" t="s">
        <v>11315</v>
      </c>
      <c r="N2182" s="0" t="s">
        <v>11316</v>
      </c>
      <c r="P2182" s="0" t="s">
        <v>11317</v>
      </c>
      <c r="Q2182" s="2" t="n">
        <v>43737</v>
      </c>
      <c r="S2182" s="0" t="n">
        <f aca="false">YEAR(Q2182)</f>
        <v>2019</v>
      </c>
      <c r="T2182" s="0" t="n">
        <f aca="false">MONTH(Q2182)</f>
        <v>9</v>
      </c>
    </row>
    <row r="2183" customFormat="false" ht="14.25" hidden="true" customHeight="false" outlineLevel="0" collapsed="false">
      <c r="A2183" s="0" t="n">
        <v>2194</v>
      </c>
      <c r="B2183" s="1" t="s">
        <v>1300</v>
      </c>
      <c r="C2183" s="1" t="s">
        <v>1479</v>
      </c>
      <c r="D2183" s="1" t="s">
        <v>1535</v>
      </c>
      <c r="E2183" s="0" t="s">
        <v>39</v>
      </c>
      <c r="F2183" s="0" t="s">
        <v>50</v>
      </c>
      <c r="G2183" s="0" t="s">
        <v>11318</v>
      </c>
      <c r="I2183" s="6" t="n">
        <v>0.958333333333333</v>
      </c>
      <c r="J2183" s="6" t="n">
        <v>0.96875</v>
      </c>
      <c r="L2183" s="0" t="n">
        <v>120</v>
      </c>
      <c r="M2183" s="0" t="s">
        <v>11319</v>
      </c>
      <c r="N2183" s="0" t="s">
        <v>11320</v>
      </c>
      <c r="P2183" s="0" t="s">
        <v>11321</v>
      </c>
      <c r="Q2183" s="2" t="n">
        <v>43737</v>
      </c>
      <c r="S2183" s="0" t="n">
        <f aca="false">YEAR(Q2183)</f>
        <v>2019</v>
      </c>
      <c r="T2183" s="0" t="n">
        <f aca="false">MONTH(Q2183)</f>
        <v>9</v>
      </c>
    </row>
    <row r="2184" customFormat="false" ht="14.25" hidden="true" customHeight="false" outlineLevel="0" collapsed="false">
      <c r="A2184" s="0" t="n">
        <v>2195</v>
      </c>
      <c r="B2184" s="1" t="s">
        <v>1300</v>
      </c>
      <c r="C2184" s="1" t="s">
        <v>1479</v>
      </c>
      <c r="D2184" s="1" t="s">
        <v>1535</v>
      </c>
      <c r="E2184" s="0" t="s">
        <v>39</v>
      </c>
      <c r="F2184" s="0" t="s">
        <v>50</v>
      </c>
      <c r="G2184" s="0" t="s">
        <v>11322</v>
      </c>
      <c r="I2184" s="6" t="n">
        <v>0.992361111111111</v>
      </c>
      <c r="K2184" s="0" t="n">
        <v>3</v>
      </c>
      <c r="L2184" s="0" t="n">
        <v>13</v>
      </c>
      <c r="M2184" s="0" t="s">
        <v>11323</v>
      </c>
      <c r="N2184" s="0" t="s">
        <v>11324</v>
      </c>
      <c r="P2184" s="0" t="s">
        <v>11325</v>
      </c>
      <c r="Q2184" s="2" t="n">
        <v>43737</v>
      </c>
      <c r="S2184" s="0" t="n">
        <f aca="false">YEAR(Q2184)</f>
        <v>2019</v>
      </c>
      <c r="T2184" s="0" t="n">
        <f aca="false">MONTH(Q2184)</f>
        <v>9</v>
      </c>
    </row>
    <row r="2185" customFormat="false" ht="14.25" hidden="true" customHeight="false" outlineLevel="0" collapsed="false">
      <c r="A2185" s="0" t="n">
        <v>2196</v>
      </c>
      <c r="B2185" s="1" t="s">
        <v>1300</v>
      </c>
      <c r="C2185" s="1" t="s">
        <v>1479</v>
      </c>
      <c r="D2185" s="1" t="s">
        <v>1535</v>
      </c>
      <c r="E2185" s="0" t="s">
        <v>39</v>
      </c>
      <c r="F2185" s="0" t="s">
        <v>50</v>
      </c>
      <c r="G2185" s="0" t="s">
        <v>11326</v>
      </c>
      <c r="I2185" s="6" t="n">
        <v>0.00486111111111111</v>
      </c>
      <c r="J2185" s="6" t="n">
        <v>0</v>
      </c>
      <c r="L2185" s="0" t="n">
        <v>15</v>
      </c>
      <c r="M2185" s="0" t="s">
        <v>11327</v>
      </c>
      <c r="N2185" s="0" t="s">
        <v>11328</v>
      </c>
      <c r="P2185" s="0" t="s">
        <v>11329</v>
      </c>
      <c r="Q2185" s="2" t="n">
        <v>43737</v>
      </c>
      <c r="S2185" s="0" t="n">
        <f aca="false">YEAR(Q2185)</f>
        <v>2019</v>
      </c>
      <c r="T2185" s="0" t="n">
        <f aca="false">MONTH(Q2185)</f>
        <v>9</v>
      </c>
    </row>
    <row r="2186" customFormat="false" ht="14.25" hidden="true" customHeight="false" outlineLevel="0" collapsed="false">
      <c r="A2186" s="0" t="n">
        <v>2197</v>
      </c>
      <c r="B2186" s="1" t="s">
        <v>1300</v>
      </c>
      <c r="C2186" s="1" t="s">
        <v>1503</v>
      </c>
      <c r="D2186" s="1" t="s">
        <v>1535</v>
      </c>
      <c r="E2186" s="0" t="s">
        <v>44</v>
      </c>
      <c r="F2186" s="0" t="s">
        <v>50</v>
      </c>
      <c r="G2186" s="0" t="s">
        <v>11330</v>
      </c>
      <c r="I2186" s="6" t="n">
        <v>0.0555555555555556</v>
      </c>
      <c r="J2186" s="6" t="n">
        <v>0.0590277777777778</v>
      </c>
      <c r="L2186" s="0" t="n">
        <v>40</v>
      </c>
      <c r="M2186" s="0" t="s">
        <v>11331</v>
      </c>
      <c r="N2186" s="0" t="s">
        <v>11332</v>
      </c>
      <c r="P2186" s="0" t="s">
        <v>11333</v>
      </c>
      <c r="Q2186" s="2" t="n">
        <v>43737</v>
      </c>
      <c r="S2186" s="0" t="n">
        <f aca="false">YEAR(Q2186)</f>
        <v>2019</v>
      </c>
      <c r="T2186" s="0" t="n">
        <f aca="false">MONTH(Q2186)</f>
        <v>9</v>
      </c>
    </row>
    <row r="2187" customFormat="false" ht="14.25" hidden="true" customHeight="false" outlineLevel="0" collapsed="false">
      <c r="A2187" s="0" t="n">
        <v>2198</v>
      </c>
      <c r="B2187" s="1" t="s">
        <v>1300</v>
      </c>
      <c r="C2187" s="1" t="s">
        <v>1479</v>
      </c>
      <c r="D2187" s="1" t="s">
        <v>1487</v>
      </c>
      <c r="E2187" s="4" t="s">
        <v>1488</v>
      </c>
      <c r="F2187" s="0" t="s">
        <v>50</v>
      </c>
      <c r="G2187" s="0" t="s">
        <v>11334</v>
      </c>
      <c r="I2187" s="6" t="n">
        <v>0.945138888888889</v>
      </c>
      <c r="K2187" s="0" t="n">
        <v>20</v>
      </c>
      <c r="L2187" s="0" t="n">
        <v>25</v>
      </c>
      <c r="M2187" s="0" t="s">
        <v>11335</v>
      </c>
      <c r="N2187" s="0" t="s">
        <v>11336</v>
      </c>
      <c r="P2187" s="0" t="s">
        <v>11337</v>
      </c>
      <c r="Q2187" s="2" t="n">
        <v>43737</v>
      </c>
      <c r="S2187" s="0" t="n">
        <f aca="false">YEAR(Q2187)</f>
        <v>2019</v>
      </c>
      <c r="T2187" s="0" t="n">
        <f aca="false">MONTH(Q2187)</f>
        <v>9</v>
      </c>
    </row>
    <row r="2188" customFormat="false" ht="14.25" hidden="true" customHeight="false" outlineLevel="0" collapsed="false">
      <c r="A2188" s="0" t="n">
        <v>2199</v>
      </c>
      <c r="B2188" s="1" t="s">
        <v>1302</v>
      </c>
      <c r="C2188" s="1" t="s">
        <v>1479</v>
      </c>
      <c r="D2188" s="1" t="s">
        <v>1487</v>
      </c>
      <c r="E2188" s="4" t="s">
        <v>1488</v>
      </c>
      <c r="F2188" s="0" t="s">
        <v>49</v>
      </c>
      <c r="G2188" s="0" t="s">
        <v>11338</v>
      </c>
      <c r="I2188" s="6" t="n">
        <v>0.567361111111111</v>
      </c>
      <c r="J2188" s="6" t="n">
        <v>0.597222222222222</v>
      </c>
      <c r="K2188" s="0" t="n">
        <v>24</v>
      </c>
      <c r="L2188" s="0" t="n">
        <v>45</v>
      </c>
      <c r="M2188" s="0" t="s">
        <v>11339</v>
      </c>
      <c r="N2188" s="0" t="s">
        <v>11340</v>
      </c>
      <c r="P2188" s="0" t="s">
        <v>11341</v>
      </c>
      <c r="Q2188" s="2" t="n">
        <v>40553</v>
      </c>
      <c r="S2188" s="0" t="n">
        <f aca="false">YEAR(Q2188)</f>
        <v>2011</v>
      </c>
      <c r="T2188" s="0" t="n">
        <f aca="false">MONTH(Q2188)</f>
        <v>1</v>
      </c>
    </row>
    <row r="2189" customFormat="false" ht="14.25" hidden="true" customHeight="false" outlineLevel="0" collapsed="false">
      <c r="A2189" s="0" t="n">
        <v>2200</v>
      </c>
      <c r="B2189" s="1" t="s">
        <v>1302</v>
      </c>
      <c r="C2189" s="1" t="s">
        <v>1479</v>
      </c>
      <c r="D2189" s="1" t="s">
        <v>1487</v>
      </c>
      <c r="E2189" s="0" t="s">
        <v>1488</v>
      </c>
      <c r="F2189" s="0" t="s">
        <v>49</v>
      </c>
      <c r="G2189" s="0" t="s">
        <v>11342</v>
      </c>
      <c r="I2189" s="6" t="n">
        <v>0.784722222222222</v>
      </c>
      <c r="J2189" s="6" t="n">
        <v>0.788194444444444</v>
      </c>
      <c r="K2189" s="0" t="n">
        <v>0</v>
      </c>
      <c r="M2189" s="0" t="s">
        <v>11343</v>
      </c>
      <c r="N2189" s="0" t="s">
        <v>11344</v>
      </c>
      <c r="P2189" s="0" t="s">
        <v>11345</v>
      </c>
      <c r="Q2189" s="2" t="n">
        <v>40553</v>
      </c>
      <c r="S2189" s="0" t="n">
        <f aca="false">YEAR(Q2189)</f>
        <v>2011</v>
      </c>
      <c r="T2189" s="0" t="n">
        <f aca="false">MONTH(Q2189)</f>
        <v>1</v>
      </c>
    </row>
    <row r="2190" customFormat="false" ht="42.75" hidden="true" customHeight="false" outlineLevel="0" collapsed="false">
      <c r="A2190" s="0" t="n">
        <v>2201</v>
      </c>
      <c r="B2190" s="1" t="s">
        <v>1304</v>
      </c>
      <c r="C2190" s="1" t="s">
        <v>1479</v>
      </c>
      <c r="D2190" s="1" t="s">
        <v>1487</v>
      </c>
      <c r="E2190" s="4" t="s">
        <v>1488</v>
      </c>
      <c r="F2190" s="0" t="s">
        <v>49</v>
      </c>
      <c r="G2190" s="0" t="s">
        <v>11338</v>
      </c>
      <c r="I2190" s="6" t="n">
        <v>0.567361111111111</v>
      </c>
      <c r="J2190" s="6" t="n">
        <v>0.597222222222222</v>
      </c>
      <c r="K2190" s="0" t="n">
        <v>24</v>
      </c>
      <c r="L2190" s="0" t="n">
        <v>45</v>
      </c>
      <c r="M2190" s="0" t="s">
        <v>11339</v>
      </c>
      <c r="N2190" s="0" t="s">
        <v>11346</v>
      </c>
      <c r="P2190" s="7" t="s">
        <v>11347</v>
      </c>
      <c r="Q2190" s="2" t="n">
        <v>40553</v>
      </c>
      <c r="S2190" s="0" t="n">
        <f aca="false">YEAR(Q2190)</f>
        <v>2011</v>
      </c>
      <c r="T2190" s="0" t="n">
        <f aca="false">MONTH(Q2190)</f>
        <v>1</v>
      </c>
    </row>
    <row r="2191" customFormat="false" ht="14.25" hidden="true" customHeight="false" outlineLevel="0" collapsed="false">
      <c r="A2191" s="0" t="n">
        <v>2202</v>
      </c>
      <c r="B2191" s="1" t="s">
        <v>1304</v>
      </c>
      <c r="C2191" s="1" t="s">
        <v>1479</v>
      </c>
      <c r="D2191" s="1" t="s">
        <v>1487</v>
      </c>
      <c r="E2191" s="0" t="s">
        <v>1488</v>
      </c>
      <c r="F2191" s="0" t="s">
        <v>49</v>
      </c>
      <c r="G2191" s="0" t="s">
        <v>11342</v>
      </c>
      <c r="I2191" s="6" t="n">
        <v>0.784722222222222</v>
      </c>
      <c r="J2191" s="6" t="n">
        <v>0.788194444444444</v>
      </c>
      <c r="K2191" s="0" t="n">
        <v>0</v>
      </c>
      <c r="M2191" s="0" t="s">
        <v>11343</v>
      </c>
      <c r="N2191" s="0" t="s">
        <v>11348</v>
      </c>
      <c r="P2191" s="0" t="s">
        <v>11345</v>
      </c>
      <c r="Q2191" s="2" t="n">
        <v>40553</v>
      </c>
      <c r="S2191" s="0" t="n">
        <f aca="false">YEAR(Q2191)</f>
        <v>2011</v>
      </c>
      <c r="T2191" s="0" t="n">
        <f aca="false">MONTH(Q2191)</f>
        <v>1</v>
      </c>
    </row>
    <row r="2192" customFormat="false" ht="14.25" hidden="true" customHeight="false" outlineLevel="0" collapsed="false">
      <c r="A2192" s="0" t="n">
        <v>2203</v>
      </c>
      <c r="B2192" s="1" t="s">
        <v>1306</v>
      </c>
      <c r="C2192" s="1" t="s">
        <v>1503</v>
      </c>
      <c r="D2192" s="1" t="s">
        <v>1535</v>
      </c>
      <c r="E2192" s="0" t="s">
        <v>44</v>
      </c>
      <c r="F2192" s="0" t="s">
        <v>48</v>
      </c>
      <c r="G2192" s="0" t="s">
        <v>11349</v>
      </c>
      <c r="I2192" s="6" t="n">
        <v>0.506944444444444</v>
      </c>
      <c r="J2192" s="6" t="n">
        <v>0.511111111111111</v>
      </c>
      <c r="L2192" s="0" t="n">
        <v>180</v>
      </c>
      <c r="M2192" s="0" t="s">
        <v>11350</v>
      </c>
      <c r="N2192" s="0" t="s">
        <v>11351</v>
      </c>
      <c r="P2192" s="0" t="s">
        <v>11352</v>
      </c>
      <c r="Q2192" s="2" t="n">
        <v>43740</v>
      </c>
      <c r="S2192" s="0" t="n">
        <f aca="false">YEAR(Q2192)</f>
        <v>2019</v>
      </c>
      <c r="T2192" s="0" t="n">
        <f aca="false">MONTH(Q2192)</f>
        <v>10</v>
      </c>
    </row>
    <row r="2193" customFormat="false" ht="14.25" hidden="true" customHeight="false" outlineLevel="0" collapsed="false">
      <c r="A2193" s="0" t="n">
        <v>2204</v>
      </c>
      <c r="B2193" s="1" t="s">
        <v>1306</v>
      </c>
      <c r="C2193" s="1" t="s">
        <v>1479</v>
      </c>
      <c r="D2193" s="1" t="s">
        <v>1535</v>
      </c>
      <c r="E2193" s="0" t="s">
        <v>39</v>
      </c>
      <c r="F2193" s="0" t="s">
        <v>50</v>
      </c>
      <c r="G2193" s="0" t="s">
        <v>11353</v>
      </c>
      <c r="J2193" s="6" t="n">
        <v>0.125</v>
      </c>
      <c r="K2193" s="0" t="n">
        <v>0</v>
      </c>
      <c r="L2193" s="0" t="n">
        <v>50</v>
      </c>
      <c r="M2193" s="0" t="s">
        <v>11354</v>
      </c>
      <c r="N2193" s="0" t="s">
        <v>11355</v>
      </c>
      <c r="P2193" s="0" t="s">
        <v>11356</v>
      </c>
      <c r="Q2193" s="2" t="n">
        <v>43740</v>
      </c>
      <c r="S2193" s="0" t="n">
        <f aca="false">YEAR(Q2193)</f>
        <v>2019</v>
      </c>
      <c r="T2193" s="0" t="n">
        <f aca="false">MONTH(Q2193)</f>
        <v>10</v>
      </c>
    </row>
    <row r="2194" customFormat="false" ht="14.25" hidden="true" customHeight="false" outlineLevel="0" collapsed="false">
      <c r="A2194" s="0" t="n">
        <v>2205</v>
      </c>
      <c r="B2194" s="1" t="s">
        <v>1307</v>
      </c>
      <c r="C2194" s="1" t="s">
        <v>1479</v>
      </c>
      <c r="D2194" s="1" t="s">
        <v>1487</v>
      </c>
      <c r="E2194" s="4" t="s">
        <v>1488</v>
      </c>
      <c r="F2194" s="0" t="s">
        <v>49</v>
      </c>
      <c r="G2194" s="0" t="s">
        <v>11338</v>
      </c>
      <c r="I2194" s="6" t="n">
        <v>0.567361111111111</v>
      </c>
      <c r="J2194" s="6" t="n">
        <v>0.597222222222222</v>
      </c>
      <c r="K2194" s="0" t="n">
        <v>24</v>
      </c>
      <c r="L2194" s="0" t="n">
        <v>45</v>
      </c>
      <c r="M2194" s="0" t="s">
        <v>11357</v>
      </c>
      <c r="N2194" s="0" t="s">
        <v>11346</v>
      </c>
      <c r="P2194" s="0" t="s">
        <v>11358</v>
      </c>
      <c r="Q2194" s="2" t="n">
        <v>43739</v>
      </c>
      <c r="S2194" s="0" t="n">
        <f aca="false">YEAR(Q2194)</f>
        <v>2019</v>
      </c>
      <c r="T2194" s="0" t="n">
        <f aca="false">MONTH(Q2194)</f>
        <v>10</v>
      </c>
    </row>
    <row r="2195" customFormat="false" ht="14.25" hidden="true" customHeight="false" outlineLevel="0" collapsed="false">
      <c r="A2195" s="0" t="n">
        <v>2206</v>
      </c>
      <c r="B2195" s="1" t="s">
        <v>1307</v>
      </c>
      <c r="C2195" s="1" t="s">
        <v>1479</v>
      </c>
      <c r="D2195" s="1" t="s">
        <v>1487</v>
      </c>
      <c r="E2195" s="0" t="s">
        <v>1488</v>
      </c>
      <c r="F2195" s="0" t="s">
        <v>49</v>
      </c>
      <c r="G2195" s="0" t="s">
        <v>11342</v>
      </c>
      <c r="I2195" s="6" t="n">
        <v>0.784722222222222</v>
      </c>
      <c r="J2195" s="6" t="n">
        <v>0.788194444444444</v>
      </c>
      <c r="K2195" s="0" t="n">
        <v>0</v>
      </c>
      <c r="M2195" s="0" t="s">
        <v>11343</v>
      </c>
      <c r="N2195" s="0" t="s">
        <v>11348</v>
      </c>
      <c r="P2195" s="0" t="s">
        <v>11345</v>
      </c>
      <c r="Q2195" s="2" t="n">
        <v>43739</v>
      </c>
      <c r="S2195" s="0" t="n">
        <f aca="false">YEAR(Q2195)</f>
        <v>2019</v>
      </c>
      <c r="T2195" s="0" t="n">
        <f aca="false">MONTH(Q2195)</f>
        <v>10</v>
      </c>
    </row>
    <row r="2196" customFormat="false" ht="14.25" hidden="true" customHeight="false" outlineLevel="0" collapsed="false">
      <c r="A2196" s="0" t="n">
        <v>2207</v>
      </c>
      <c r="B2196" s="1" t="s">
        <v>1308</v>
      </c>
      <c r="C2196" s="1" t="s">
        <v>1479</v>
      </c>
      <c r="D2196" s="1" t="s">
        <v>1487</v>
      </c>
      <c r="E2196" s="0" t="s">
        <v>1488</v>
      </c>
      <c r="F2196" s="0" t="s">
        <v>48</v>
      </c>
      <c r="G2196" s="0" t="s">
        <v>11359</v>
      </c>
      <c r="I2196" s="6" t="n">
        <v>0.315972222222222</v>
      </c>
      <c r="J2196" s="6" t="n">
        <v>0.334027777777778</v>
      </c>
      <c r="L2196" s="0" t="n">
        <v>81</v>
      </c>
      <c r="M2196" s="0" t="s">
        <v>11360</v>
      </c>
      <c r="N2196" s="0" t="s">
        <v>11361</v>
      </c>
      <c r="P2196" s="0" t="s">
        <v>11362</v>
      </c>
      <c r="Q2196" s="2" t="n">
        <v>43741</v>
      </c>
      <c r="S2196" s="0" t="n">
        <f aca="false">YEAR(Q2196)</f>
        <v>2019</v>
      </c>
      <c r="T2196" s="0" t="n">
        <f aca="false">MONTH(Q2196)</f>
        <v>10</v>
      </c>
    </row>
    <row r="2197" customFormat="false" ht="14.25" hidden="true" customHeight="false" outlineLevel="0" collapsed="false">
      <c r="A2197" s="0" t="n">
        <v>2208</v>
      </c>
      <c r="B2197" s="1" t="s">
        <v>1308</v>
      </c>
      <c r="C2197" s="1" t="s">
        <v>1495</v>
      </c>
      <c r="D2197" s="1" t="s">
        <v>1487</v>
      </c>
      <c r="E2197" s="0" t="s">
        <v>1495</v>
      </c>
      <c r="F2197" s="0" t="s">
        <v>48</v>
      </c>
      <c r="G2197" s="0" t="s">
        <v>11363</v>
      </c>
      <c r="I2197" s="6" t="n">
        <v>0.541666666666667</v>
      </c>
      <c r="K2197" s="0" t="n">
        <v>0</v>
      </c>
      <c r="M2197" s="0" t="s">
        <v>11364</v>
      </c>
      <c r="N2197" s="0" t="s">
        <v>11365</v>
      </c>
      <c r="P2197" s="0" t="s">
        <v>11366</v>
      </c>
      <c r="Q2197" s="2" t="n">
        <v>43741</v>
      </c>
      <c r="S2197" s="0" t="n">
        <f aca="false">YEAR(Q2197)</f>
        <v>2019</v>
      </c>
      <c r="T2197" s="0" t="n">
        <f aca="false">MONTH(Q2197)</f>
        <v>10</v>
      </c>
    </row>
    <row r="2198" customFormat="false" ht="14.25" hidden="true" customHeight="false" outlineLevel="0" collapsed="false">
      <c r="A2198" s="0" t="n">
        <v>2209</v>
      </c>
      <c r="B2198" s="1" t="s">
        <v>1308</v>
      </c>
      <c r="C2198" s="1" t="s">
        <v>1479</v>
      </c>
      <c r="D2198" s="1" t="s">
        <v>1487</v>
      </c>
      <c r="E2198" s="0" t="s">
        <v>1488</v>
      </c>
      <c r="F2198" s="0" t="s">
        <v>50</v>
      </c>
      <c r="G2198" s="0" t="s">
        <v>11367</v>
      </c>
      <c r="I2198" s="6" t="n">
        <v>0.943055555555556</v>
      </c>
      <c r="J2198" s="6" t="n">
        <v>0.979166666666667</v>
      </c>
      <c r="K2198" s="0" t="n">
        <v>0</v>
      </c>
      <c r="L2198" s="0" t="n">
        <v>115</v>
      </c>
      <c r="M2198" s="0" t="s">
        <v>11368</v>
      </c>
      <c r="N2198" s="0" t="s">
        <v>11369</v>
      </c>
      <c r="P2198" s="0" t="s">
        <v>11370</v>
      </c>
      <c r="Q2198" s="2" t="n">
        <v>43741</v>
      </c>
      <c r="S2198" s="0" t="n">
        <f aca="false">YEAR(Q2198)</f>
        <v>2019</v>
      </c>
      <c r="T2198" s="0" t="n">
        <f aca="false">MONTH(Q2198)</f>
        <v>10</v>
      </c>
    </row>
    <row r="2199" customFormat="false" ht="14.25" hidden="true" customHeight="false" outlineLevel="0" collapsed="false">
      <c r="A2199" s="0" t="n">
        <v>2210</v>
      </c>
      <c r="B2199" s="1" t="s">
        <v>1308</v>
      </c>
      <c r="C2199" s="1" t="s">
        <v>1479</v>
      </c>
      <c r="D2199" s="1" t="s">
        <v>1535</v>
      </c>
      <c r="E2199" s="0" t="s">
        <v>39</v>
      </c>
      <c r="F2199" s="0" t="s">
        <v>50</v>
      </c>
      <c r="G2199" s="0" t="s">
        <v>4428</v>
      </c>
      <c r="I2199" s="6" t="n">
        <v>0.0472222222222222</v>
      </c>
      <c r="J2199" s="6" t="n">
        <v>0.0520833333333333</v>
      </c>
      <c r="K2199" s="0" t="n">
        <v>10</v>
      </c>
      <c r="L2199" s="0" t="n">
        <v>20</v>
      </c>
      <c r="M2199" s="0" t="s">
        <v>11371</v>
      </c>
      <c r="N2199" s="0" t="s">
        <v>11372</v>
      </c>
      <c r="P2199" s="0" t="s">
        <v>11373</v>
      </c>
      <c r="Q2199" s="2" t="n">
        <v>43741</v>
      </c>
      <c r="S2199" s="0" t="n">
        <f aca="false">YEAR(Q2199)</f>
        <v>2019</v>
      </c>
      <c r="T2199" s="0" t="n">
        <f aca="false">MONTH(Q2199)</f>
        <v>10</v>
      </c>
    </row>
    <row r="2200" customFormat="false" ht="57" hidden="true" customHeight="false" outlineLevel="0" collapsed="false">
      <c r="A2200" s="0" t="n">
        <v>2211</v>
      </c>
      <c r="B2200" s="1" t="s">
        <v>1308</v>
      </c>
      <c r="C2200" s="1" t="s">
        <v>1479</v>
      </c>
      <c r="D2200" s="1" t="s">
        <v>1535</v>
      </c>
      <c r="E2200" s="0" t="s">
        <v>39</v>
      </c>
      <c r="F2200" s="0" t="s">
        <v>50</v>
      </c>
      <c r="G2200" s="0" t="s">
        <v>11374</v>
      </c>
      <c r="I2200" s="6" t="n">
        <v>0.148611111111111</v>
      </c>
      <c r="J2200" s="6" t="n">
        <v>0.15625</v>
      </c>
      <c r="K2200" s="0" t="n">
        <v>22</v>
      </c>
      <c r="L2200" s="0" t="n">
        <v>25</v>
      </c>
      <c r="M2200" s="0" t="s">
        <v>11375</v>
      </c>
      <c r="N2200" s="0" t="s">
        <v>11376</v>
      </c>
      <c r="P2200" s="7" t="s">
        <v>11377</v>
      </c>
      <c r="Q2200" s="2" t="n">
        <v>43741</v>
      </c>
      <c r="S2200" s="0" t="n">
        <f aca="false">YEAR(Q2200)</f>
        <v>2019</v>
      </c>
      <c r="T2200" s="0" t="n">
        <f aca="false">MONTH(Q2200)</f>
        <v>10</v>
      </c>
    </row>
    <row r="2201" customFormat="false" ht="14.25" hidden="true" customHeight="false" outlineLevel="0" collapsed="false">
      <c r="A2201" s="0" t="n">
        <v>2212</v>
      </c>
      <c r="B2201" s="1" t="s">
        <v>1309</v>
      </c>
      <c r="C2201" s="1" t="s">
        <v>1479</v>
      </c>
      <c r="D2201" s="1" t="s">
        <v>1487</v>
      </c>
      <c r="E2201" s="0" t="s">
        <v>1488</v>
      </c>
      <c r="G2201" s="0" t="s">
        <v>11378</v>
      </c>
      <c r="I2201" s="6" t="n">
        <v>0.521527777777778</v>
      </c>
      <c r="J2201" s="6" t="n">
        <v>0.529166666666667</v>
      </c>
      <c r="K2201" s="0" t="n">
        <v>49</v>
      </c>
      <c r="L2201" s="0" t="n">
        <v>80</v>
      </c>
      <c r="M2201" s="0" t="s">
        <v>11379</v>
      </c>
      <c r="N2201" s="0" t="s">
        <v>11380</v>
      </c>
      <c r="P2201" s="0" t="s">
        <v>11381</v>
      </c>
      <c r="Q2201" s="2" t="n">
        <v>43742</v>
      </c>
      <c r="S2201" s="0" t="n">
        <f aca="false">YEAR(Q2201)</f>
        <v>2019</v>
      </c>
      <c r="T2201" s="0" t="n">
        <f aca="false">MONTH(Q2201)</f>
        <v>10</v>
      </c>
    </row>
    <row r="2202" customFormat="false" ht="14.25" hidden="true" customHeight="false" outlineLevel="0" collapsed="false">
      <c r="A2202" s="0" t="n">
        <v>2213</v>
      </c>
      <c r="B2202" s="1" t="s">
        <v>1310</v>
      </c>
      <c r="C2202" s="1" t="s">
        <v>1479</v>
      </c>
      <c r="D2202" s="1" t="s">
        <v>1487</v>
      </c>
      <c r="E2202" s="4" t="s">
        <v>1488</v>
      </c>
      <c r="F2202" s="0" t="s">
        <v>48</v>
      </c>
      <c r="G2202" s="0" t="s">
        <v>11382</v>
      </c>
      <c r="I2202" s="6" t="n">
        <v>0.286805555555556</v>
      </c>
      <c r="J2202" s="6" t="n">
        <v>0.302777777777778</v>
      </c>
      <c r="K2202" s="0" t="n">
        <v>33</v>
      </c>
      <c r="L2202" s="0" t="n">
        <v>50</v>
      </c>
      <c r="M2202" s="0" t="s">
        <v>11383</v>
      </c>
      <c r="N2202" s="0" t="s">
        <v>11384</v>
      </c>
      <c r="P2202" s="0" t="s">
        <v>11385</v>
      </c>
      <c r="Q2202" s="2" t="n">
        <v>43743</v>
      </c>
      <c r="S2202" s="0" t="n">
        <f aca="false">YEAR(Q2202)</f>
        <v>2019</v>
      </c>
      <c r="T2202" s="0" t="n">
        <f aca="false">MONTH(Q2202)</f>
        <v>10</v>
      </c>
    </row>
    <row r="2203" customFormat="false" ht="14.25" hidden="true" customHeight="false" outlineLevel="0" collapsed="false">
      <c r="A2203" s="0" t="n">
        <v>2214</v>
      </c>
      <c r="B2203" s="1" t="s">
        <v>1310</v>
      </c>
      <c r="C2203" s="1" t="s">
        <v>1479</v>
      </c>
      <c r="D2203" s="1" t="s">
        <v>1487</v>
      </c>
      <c r="E2203" s="0" t="s">
        <v>1488</v>
      </c>
      <c r="F2203" s="0" t="s">
        <v>49</v>
      </c>
      <c r="G2203" s="0" t="s">
        <v>11386</v>
      </c>
      <c r="I2203" s="6" t="n">
        <v>0.529861111111111</v>
      </c>
      <c r="J2203" s="6" t="n">
        <v>0.536805555555556</v>
      </c>
      <c r="L2203" s="0" t="n">
        <v>15</v>
      </c>
      <c r="M2203" s="0" t="s">
        <v>11387</v>
      </c>
      <c r="N2203" s="0" t="s">
        <v>11388</v>
      </c>
      <c r="P2203" s="0" t="s">
        <v>11389</v>
      </c>
      <c r="Q2203" s="2" t="n">
        <v>43743</v>
      </c>
      <c r="S2203" s="0" t="n">
        <f aca="false">YEAR(Q2203)</f>
        <v>2019</v>
      </c>
      <c r="T2203" s="0" t="n">
        <f aca="false">MONTH(Q2203)</f>
        <v>10</v>
      </c>
    </row>
    <row r="2204" customFormat="false" ht="14.25" hidden="true" customHeight="false" outlineLevel="0" collapsed="false">
      <c r="A2204" s="0" t="n">
        <v>2215</v>
      </c>
      <c r="B2204" s="1" t="s">
        <v>1310</v>
      </c>
      <c r="C2204" s="1" t="s">
        <v>1479</v>
      </c>
      <c r="D2204" s="1" t="s">
        <v>1487</v>
      </c>
      <c r="E2204" s="0" t="s">
        <v>1488</v>
      </c>
      <c r="F2204" s="0" t="s">
        <v>49</v>
      </c>
      <c r="G2204" s="0" t="s">
        <v>11390</v>
      </c>
      <c r="I2204" s="6" t="n">
        <v>0.653472222222222</v>
      </c>
      <c r="J2204" s="6" t="n">
        <v>0.659722222222222</v>
      </c>
      <c r="L2204" s="0" t="n">
        <v>120</v>
      </c>
      <c r="M2204" s="0" t="s">
        <v>11391</v>
      </c>
      <c r="N2204" s="0" t="s">
        <v>11392</v>
      </c>
      <c r="P2204" s="0" t="s">
        <v>11393</v>
      </c>
      <c r="Q2204" s="2" t="n">
        <v>43743</v>
      </c>
      <c r="S2204" s="0" t="n">
        <f aca="false">YEAR(Q2204)</f>
        <v>2019</v>
      </c>
      <c r="T2204" s="0" t="n">
        <f aca="false">MONTH(Q2204)</f>
        <v>10</v>
      </c>
    </row>
    <row r="2205" customFormat="false" ht="14.25" hidden="true" customHeight="false" outlineLevel="0" collapsed="false">
      <c r="A2205" s="0" t="n">
        <v>2216</v>
      </c>
      <c r="B2205" s="1" t="s">
        <v>1311</v>
      </c>
      <c r="C2205" s="1" t="s">
        <v>1479</v>
      </c>
      <c r="D2205" s="1" t="s">
        <v>1487</v>
      </c>
      <c r="E2205" s="0" t="s">
        <v>1488</v>
      </c>
      <c r="F2205" s="0" t="s">
        <v>48</v>
      </c>
      <c r="G2205" s="0" t="s">
        <v>11394</v>
      </c>
      <c r="I2205" s="6" t="n">
        <v>0.264583333333333</v>
      </c>
      <c r="J2205" s="6" t="n">
        <v>0.264583333333333</v>
      </c>
      <c r="L2205" s="0" t="n">
        <v>21</v>
      </c>
      <c r="M2205" s="0" t="s">
        <v>11395</v>
      </c>
      <c r="N2205" s="0" t="s">
        <v>11396</v>
      </c>
      <c r="P2205" s="0" t="s">
        <v>11397</v>
      </c>
      <c r="Q2205" s="2" t="n">
        <v>43745</v>
      </c>
      <c r="S2205" s="0" t="n">
        <f aca="false">YEAR(Q2205)</f>
        <v>2019</v>
      </c>
      <c r="T2205" s="0" t="n">
        <f aca="false">MONTH(Q2205)</f>
        <v>10</v>
      </c>
    </row>
    <row r="2206" customFormat="false" ht="14.25" hidden="true" customHeight="false" outlineLevel="0" collapsed="false">
      <c r="A2206" s="0" t="n">
        <v>2217</v>
      </c>
      <c r="B2206" s="1" t="s">
        <v>1311</v>
      </c>
      <c r="C2206" s="1" t="s">
        <v>1503</v>
      </c>
      <c r="D2206" s="1" t="s">
        <v>1504</v>
      </c>
      <c r="E2206" s="0" t="s">
        <v>45</v>
      </c>
      <c r="F2206" s="0" t="s">
        <v>48</v>
      </c>
      <c r="G2206" s="0" t="s">
        <v>11398</v>
      </c>
      <c r="I2206" s="6" t="n">
        <v>0.25</v>
      </c>
      <c r="J2206" s="6" t="n">
        <v>0.3125</v>
      </c>
      <c r="M2206" s="0" t="s">
        <v>11399</v>
      </c>
      <c r="N2206" s="0" t="s">
        <v>11400</v>
      </c>
      <c r="P2206" s="0" t="s">
        <v>11401</v>
      </c>
      <c r="Q2206" s="2" t="n">
        <v>43745</v>
      </c>
      <c r="S2206" s="0" t="n">
        <f aca="false">YEAR(Q2206)</f>
        <v>2019</v>
      </c>
      <c r="T2206" s="0" t="n">
        <f aca="false">MONTH(Q2206)</f>
        <v>10</v>
      </c>
    </row>
    <row r="2207" customFormat="false" ht="14.25" hidden="true" customHeight="false" outlineLevel="0" collapsed="false">
      <c r="A2207" s="0" t="n">
        <v>2218</v>
      </c>
      <c r="B2207" s="1" t="s">
        <v>1311</v>
      </c>
      <c r="C2207" s="1" t="s">
        <v>1503</v>
      </c>
      <c r="D2207" s="1" t="s">
        <v>1504</v>
      </c>
      <c r="E2207" s="0" t="s">
        <v>45</v>
      </c>
      <c r="F2207" s="0" t="s">
        <v>50</v>
      </c>
      <c r="G2207" s="0" t="s">
        <v>11402</v>
      </c>
      <c r="J2207" s="6" t="n">
        <v>0.965277777777778</v>
      </c>
      <c r="M2207" s="0" t="s">
        <v>11403</v>
      </c>
      <c r="N2207" s="0" t="s">
        <v>11404</v>
      </c>
      <c r="P2207" s="0" t="s">
        <v>11405</v>
      </c>
      <c r="Q2207" s="2" t="n">
        <v>43745</v>
      </c>
      <c r="S2207" s="0" t="n">
        <f aca="false">YEAR(Q2207)</f>
        <v>2019</v>
      </c>
      <c r="T2207" s="0" t="n">
        <f aca="false">MONTH(Q2207)</f>
        <v>10</v>
      </c>
    </row>
    <row r="2208" customFormat="false" ht="14.25" hidden="true" customHeight="false" outlineLevel="0" collapsed="false">
      <c r="A2208" s="0" t="n">
        <v>2219</v>
      </c>
      <c r="B2208" s="1" t="s">
        <v>1311</v>
      </c>
      <c r="C2208" s="1" t="s">
        <v>1503</v>
      </c>
      <c r="D2208" s="1" t="s">
        <v>1504</v>
      </c>
      <c r="E2208" s="0" t="s">
        <v>45</v>
      </c>
      <c r="F2208" s="0" t="s">
        <v>50</v>
      </c>
      <c r="G2208" s="0" t="s">
        <v>11406</v>
      </c>
      <c r="J2208" s="6" t="n">
        <v>0.0597222222222222</v>
      </c>
      <c r="M2208" s="0" t="s">
        <v>11407</v>
      </c>
      <c r="N2208" s="0" t="s">
        <v>11408</v>
      </c>
      <c r="P2208" s="0" t="s">
        <v>11409</v>
      </c>
      <c r="Q2208" s="2" t="n">
        <v>43745</v>
      </c>
      <c r="S2208" s="0" t="n">
        <f aca="false">YEAR(Q2208)</f>
        <v>2019</v>
      </c>
      <c r="T2208" s="0" t="n">
        <f aca="false">MONTH(Q2208)</f>
        <v>10</v>
      </c>
    </row>
    <row r="2209" customFormat="false" ht="14.25" hidden="true" customHeight="false" outlineLevel="0" collapsed="false">
      <c r="A2209" s="0" t="n">
        <v>2220</v>
      </c>
      <c r="B2209" s="1" t="s">
        <v>1312</v>
      </c>
      <c r="C2209" s="1" t="s">
        <v>1503</v>
      </c>
      <c r="D2209" s="1" t="s">
        <v>1504</v>
      </c>
      <c r="E2209" s="0" t="s">
        <v>45</v>
      </c>
      <c r="F2209" s="0" t="s">
        <v>48</v>
      </c>
      <c r="G2209" s="0" t="s">
        <v>11402</v>
      </c>
      <c r="I2209" s="6" t="n">
        <v>0.895833333333333</v>
      </c>
      <c r="J2209" s="6" t="n">
        <v>0.291666666666667</v>
      </c>
      <c r="L2209" s="0" t="n">
        <v>220</v>
      </c>
      <c r="M2209" s="0" t="s">
        <v>11403</v>
      </c>
      <c r="N2209" s="0" t="s">
        <v>11410</v>
      </c>
      <c r="P2209" s="0" t="s">
        <v>11411</v>
      </c>
      <c r="Q2209" s="2" t="n">
        <v>43746</v>
      </c>
      <c r="S2209" s="0" t="n">
        <f aca="false">YEAR(Q2209)</f>
        <v>2019</v>
      </c>
      <c r="T2209" s="0" t="n">
        <f aca="false">MONTH(Q2209)</f>
        <v>10</v>
      </c>
    </row>
    <row r="2210" customFormat="false" ht="14.25" hidden="true" customHeight="false" outlineLevel="0" collapsed="false">
      <c r="A2210" s="0" t="n">
        <v>2221</v>
      </c>
      <c r="B2210" s="1" t="s">
        <v>1312</v>
      </c>
      <c r="C2210" s="1" t="s">
        <v>1503</v>
      </c>
      <c r="D2210" s="1" t="s">
        <v>1504</v>
      </c>
      <c r="E2210" s="0" t="s">
        <v>45</v>
      </c>
      <c r="F2210" s="0" t="s">
        <v>48</v>
      </c>
      <c r="G2210" s="0" t="s">
        <v>11406</v>
      </c>
      <c r="I2210" s="6" t="n">
        <v>0.306944444444444</v>
      </c>
      <c r="J2210" s="6" t="n">
        <v>0.340277777777778</v>
      </c>
      <c r="L2210" s="0" t="n">
        <v>78</v>
      </c>
      <c r="M2210" s="0" t="s">
        <v>11412</v>
      </c>
      <c r="N2210" s="0" t="s">
        <v>11413</v>
      </c>
      <c r="P2210" s="0" t="s">
        <v>11414</v>
      </c>
      <c r="Q2210" s="2" t="n">
        <v>43746</v>
      </c>
      <c r="S2210" s="0" t="n">
        <f aca="false">YEAR(Q2210)</f>
        <v>2019</v>
      </c>
      <c r="T2210" s="0" t="n">
        <f aca="false">MONTH(Q2210)</f>
        <v>10</v>
      </c>
    </row>
    <row r="2211" customFormat="false" ht="14.25" hidden="true" customHeight="false" outlineLevel="0" collapsed="false">
      <c r="A2211" s="0" t="n">
        <v>2222</v>
      </c>
      <c r="B2211" s="1" t="s">
        <v>1312</v>
      </c>
      <c r="C2211" s="1" t="s">
        <v>1479</v>
      </c>
      <c r="D2211" s="1" t="s">
        <v>1487</v>
      </c>
      <c r="E2211" s="0" t="s">
        <v>1488</v>
      </c>
      <c r="F2211" s="0" t="s">
        <v>48</v>
      </c>
      <c r="G2211" s="0" t="s">
        <v>11415</v>
      </c>
      <c r="I2211" s="6" t="n">
        <v>0.390277777777778</v>
      </c>
      <c r="J2211" s="6" t="n">
        <v>0.403472222222222</v>
      </c>
      <c r="L2211" s="0" t="n">
        <v>25</v>
      </c>
      <c r="M2211" s="0" t="s">
        <v>11416</v>
      </c>
      <c r="N2211" s="0" t="s">
        <v>11417</v>
      </c>
      <c r="P2211" s="0" t="s">
        <v>11418</v>
      </c>
      <c r="Q2211" s="2" t="n">
        <v>43746</v>
      </c>
      <c r="S2211" s="0" t="n">
        <f aca="false">YEAR(Q2211)</f>
        <v>2019</v>
      </c>
      <c r="T2211" s="0" t="n">
        <f aca="false">MONTH(Q2211)</f>
        <v>10</v>
      </c>
    </row>
    <row r="2212" customFormat="false" ht="14.25" hidden="true" customHeight="false" outlineLevel="0" collapsed="false">
      <c r="A2212" s="0" t="n">
        <v>2223</v>
      </c>
      <c r="B2212" s="1" t="s">
        <v>1312</v>
      </c>
      <c r="C2212" s="1" t="s">
        <v>1503</v>
      </c>
      <c r="D2212" s="1" t="s">
        <v>1504</v>
      </c>
      <c r="E2212" s="0" t="s">
        <v>45</v>
      </c>
      <c r="F2212" s="0" t="s">
        <v>48</v>
      </c>
      <c r="G2212" s="0" t="s">
        <v>11419</v>
      </c>
      <c r="J2212" s="6" t="n">
        <v>0.475694444444444</v>
      </c>
      <c r="M2212" s="0" t="s">
        <v>11420</v>
      </c>
      <c r="N2212" s="0" t="s">
        <v>11421</v>
      </c>
      <c r="P2212" s="0" t="s">
        <v>11422</v>
      </c>
      <c r="Q2212" s="2" t="n">
        <v>43746</v>
      </c>
      <c r="S2212" s="0" t="n">
        <f aca="false">YEAR(Q2212)</f>
        <v>2019</v>
      </c>
      <c r="T2212" s="0" t="n">
        <f aca="false">MONTH(Q2212)</f>
        <v>10</v>
      </c>
    </row>
    <row r="2213" customFormat="false" ht="14.25" hidden="true" customHeight="false" outlineLevel="0" collapsed="false">
      <c r="A2213" s="0" t="n">
        <v>2224</v>
      </c>
      <c r="B2213" s="1" t="s">
        <v>1312</v>
      </c>
      <c r="C2213" s="1" t="s">
        <v>1503</v>
      </c>
      <c r="D2213" s="1" t="s">
        <v>1504</v>
      </c>
      <c r="E2213" s="0" t="s">
        <v>45</v>
      </c>
      <c r="F2213" s="0" t="s">
        <v>48</v>
      </c>
      <c r="G2213" s="0" t="s">
        <v>11402</v>
      </c>
      <c r="I2213" s="6" t="n">
        <v>0.5</v>
      </c>
      <c r="J2213" s="6" t="n">
        <v>0.543055555555555</v>
      </c>
      <c r="M2213" s="0" t="s">
        <v>11423</v>
      </c>
      <c r="N2213" s="0" t="s">
        <v>11424</v>
      </c>
      <c r="P2213" s="0" t="s">
        <v>11425</v>
      </c>
      <c r="Q2213" s="2" t="n">
        <v>43746</v>
      </c>
      <c r="S2213" s="0" t="n">
        <f aca="false">YEAR(Q2213)</f>
        <v>2019</v>
      </c>
      <c r="T2213" s="0" t="n">
        <f aca="false">MONTH(Q2213)</f>
        <v>10</v>
      </c>
    </row>
    <row r="2214" customFormat="false" ht="14.25" hidden="true" customHeight="false" outlineLevel="0" collapsed="false">
      <c r="A2214" s="0" t="n">
        <v>2225</v>
      </c>
      <c r="B2214" s="1" t="s">
        <v>1312</v>
      </c>
      <c r="C2214" s="1" t="s">
        <v>1479</v>
      </c>
      <c r="D2214" s="1" t="s">
        <v>1496</v>
      </c>
      <c r="E2214" s="0" t="s">
        <v>38</v>
      </c>
      <c r="F2214" s="0" t="s">
        <v>49</v>
      </c>
      <c r="G2214" s="0" t="s">
        <v>11426</v>
      </c>
      <c r="I2214" s="6" t="n">
        <v>0.581944444444444</v>
      </c>
      <c r="J2214" s="6" t="n">
        <v>0.595138888888889</v>
      </c>
      <c r="K2214" s="0" t="n">
        <v>33</v>
      </c>
      <c r="L2214" s="0" t="n">
        <v>70</v>
      </c>
      <c r="M2214" s="0" t="s">
        <v>11427</v>
      </c>
      <c r="N2214" s="0" t="s">
        <v>11428</v>
      </c>
      <c r="P2214" s="0" t="s">
        <v>11429</v>
      </c>
      <c r="Q2214" s="2" t="n">
        <v>43746</v>
      </c>
      <c r="S2214" s="0" t="n">
        <f aca="false">YEAR(Q2214)</f>
        <v>2019</v>
      </c>
      <c r="T2214" s="0" t="n">
        <f aca="false">MONTH(Q2214)</f>
        <v>10</v>
      </c>
    </row>
    <row r="2215" customFormat="false" ht="14.25" hidden="true" customHeight="false" outlineLevel="0" collapsed="false">
      <c r="A2215" s="0" t="n">
        <v>2226</v>
      </c>
      <c r="B2215" s="1" t="s">
        <v>1312</v>
      </c>
      <c r="C2215" s="1" t="s">
        <v>1479</v>
      </c>
      <c r="D2215" s="1" t="s">
        <v>1535</v>
      </c>
      <c r="E2215" s="0" t="s">
        <v>39</v>
      </c>
      <c r="F2215" s="0" t="s">
        <v>49</v>
      </c>
      <c r="G2215" s="0" t="s">
        <v>11430</v>
      </c>
      <c r="I2215" s="6" t="n">
        <v>0.857638888888889</v>
      </c>
      <c r="J2215" s="6" t="n">
        <v>0.861111111111111</v>
      </c>
      <c r="K2215" s="0" t="n">
        <v>24</v>
      </c>
      <c r="L2215" s="0" t="n">
        <v>25</v>
      </c>
      <c r="M2215" s="0" t="s">
        <v>11431</v>
      </c>
      <c r="N2215" s="0" t="s">
        <v>11432</v>
      </c>
      <c r="P2215" s="0" t="s">
        <v>11433</v>
      </c>
      <c r="Q2215" s="2" t="n">
        <v>43746</v>
      </c>
      <c r="S2215" s="0" t="n">
        <f aca="false">YEAR(Q2215)</f>
        <v>2019</v>
      </c>
      <c r="T2215" s="0" t="n">
        <f aca="false">MONTH(Q2215)</f>
        <v>10</v>
      </c>
    </row>
    <row r="2216" customFormat="false" ht="14.25" hidden="true" customHeight="false" outlineLevel="0" collapsed="false">
      <c r="A2216" s="0" t="n">
        <v>2227</v>
      </c>
      <c r="B2216" s="1" t="s">
        <v>1312</v>
      </c>
      <c r="C2216" s="1" t="s">
        <v>1503</v>
      </c>
      <c r="D2216" s="1" t="s">
        <v>1535</v>
      </c>
      <c r="E2216" s="0" t="s">
        <v>1503</v>
      </c>
      <c r="F2216" s="0" t="s">
        <v>50</v>
      </c>
      <c r="G2216" s="0" t="s">
        <v>4786</v>
      </c>
      <c r="I2216" s="6" t="n">
        <v>0.0555555555555556</v>
      </c>
      <c r="J2216" s="6" t="n">
        <v>0.0625</v>
      </c>
      <c r="L2216" s="0" t="n">
        <v>40</v>
      </c>
      <c r="M2216" s="0" t="s">
        <v>11434</v>
      </c>
      <c r="N2216" s="0" t="s">
        <v>11435</v>
      </c>
      <c r="P2216" s="0" t="s">
        <v>11436</v>
      </c>
      <c r="Q2216" s="2" t="n">
        <v>43746</v>
      </c>
      <c r="S2216" s="0" t="n">
        <f aca="false">YEAR(Q2216)</f>
        <v>2019</v>
      </c>
      <c r="T2216" s="0" t="n">
        <f aca="false">MONTH(Q2216)</f>
        <v>10</v>
      </c>
    </row>
    <row r="2217" customFormat="false" ht="14.25" hidden="true" customHeight="false" outlineLevel="0" collapsed="false">
      <c r="A2217" s="0" t="n">
        <v>2228</v>
      </c>
      <c r="B2217" s="1" t="s">
        <v>1313</v>
      </c>
      <c r="C2217" s="1" t="s">
        <v>1503</v>
      </c>
      <c r="D2217" s="1" t="s">
        <v>1504</v>
      </c>
      <c r="E2217" s="0" t="s">
        <v>45</v>
      </c>
      <c r="F2217" s="0" t="s">
        <v>48</v>
      </c>
      <c r="G2217" s="0" t="s">
        <v>11437</v>
      </c>
      <c r="L2217" s="0" t="n">
        <v>78</v>
      </c>
      <c r="M2217" s="0" t="s">
        <v>11438</v>
      </c>
      <c r="N2217" s="0" t="s">
        <v>11439</v>
      </c>
      <c r="P2217" s="0" t="s">
        <v>11440</v>
      </c>
      <c r="Q2217" s="2" t="n">
        <v>43747</v>
      </c>
      <c r="S2217" s="0" t="n">
        <f aca="false">YEAR(Q2217)</f>
        <v>2019</v>
      </c>
      <c r="T2217" s="0" t="n">
        <f aca="false">MONTH(Q2217)</f>
        <v>10</v>
      </c>
    </row>
    <row r="2218" customFormat="false" ht="14.25" hidden="true" customHeight="false" outlineLevel="0" collapsed="false">
      <c r="A2218" s="0" t="n">
        <v>2229</v>
      </c>
      <c r="B2218" s="1" t="s">
        <v>1313</v>
      </c>
      <c r="C2218" s="1" t="s">
        <v>1479</v>
      </c>
      <c r="D2218" s="1" t="s">
        <v>1480</v>
      </c>
      <c r="E2218" s="0" t="s">
        <v>43</v>
      </c>
      <c r="F2218" s="0" t="s">
        <v>50</v>
      </c>
      <c r="G2218" s="0" t="s">
        <v>11441</v>
      </c>
      <c r="I2218" s="6" t="n">
        <v>0.1875</v>
      </c>
      <c r="J2218" s="6" t="n">
        <v>0.197222222222222</v>
      </c>
      <c r="L2218" s="0" t="n">
        <v>180</v>
      </c>
      <c r="M2218" s="0" t="s">
        <v>11442</v>
      </c>
      <c r="N2218" s="0" t="s">
        <v>7941</v>
      </c>
      <c r="P2218" s="0" t="s">
        <v>11443</v>
      </c>
      <c r="Q2218" s="2" t="n">
        <v>43747</v>
      </c>
      <c r="S2218" s="0" t="n">
        <f aca="false">YEAR(Q2218)</f>
        <v>2019</v>
      </c>
      <c r="T2218" s="0" t="n">
        <f aca="false">MONTH(Q2218)</f>
        <v>10</v>
      </c>
    </row>
    <row r="2219" customFormat="false" ht="14.25" hidden="true" customHeight="false" outlineLevel="0" collapsed="false">
      <c r="A2219" s="0" t="n">
        <v>2230</v>
      </c>
      <c r="B2219" s="1" t="s">
        <v>1316</v>
      </c>
      <c r="C2219" s="1" t="s">
        <v>1479</v>
      </c>
      <c r="D2219" s="1" t="s">
        <v>1496</v>
      </c>
      <c r="E2219" s="0" t="s">
        <v>38</v>
      </c>
      <c r="F2219" s="0" t="s">
        <v>50</v>
      </c>
      <c r="G2219" s="0" t="s">
        <v>11444</v>
      </c>
      <c r="I2219" s="6" t="n">
        <v>0.895833333333333</v>
      </c>
      <c r="J2219" s="6" t="n">
        <v>0.895833333333333</v>
      </c>
      <c r="K2219" s="0" t="n">
        <v>0</v>
      </c>
      <c r="L2219" s="0" t="n">
        <v>120</v>
      </c>
      <c r="M2219" s="0" t="s">
        <v>11445</v>
      </c>
      <c r="N2219" s="0" t="s">
        <v>11446</v>
      </c>
      <c r="P2219" s="0" t="s">
        <v>11447</v>
      </c>
      <c r="Q2219" s="2" t="n">
        <v>43751</v>
      </c>
      <c r="S2219" s="0" t="n">
        <f aca="false">YEAR(Q2219)</f>
        <v>2019</v>
      </c>
      <c r="T2219" s="0" t="n">
        <f aca="false">MONTH(Q2219)</f>
        <v>10</v>
      </c>
    </row>
    <row r="2220" customFormat="false" ht="14.25" hidden="true" customHeight="false" outlineLevel="0" collapsed="false">
      <c r="A2220" s="0" t="n">
        <v>2231</v>
      </c>
      <c r="B2220" s="1" t="s">
        <v>1316</v>
      </c>
      <c r="C2220" s="1" t="s">
        <v>1479</v>
      </c>
      <c r="D2220" s="1" t="s">
        <v>1535</v>
      </c>
      <c r="E2220" s="0" t="s">
        <v>39</v>
      </c>
      <c r="F2220" s="0" t="s">
        <v>50</v>
      </c>
      <c r="G2220" s="0" t="s">
        <v>11448</v>
      </c>
      <c r="I2220" s="6" t="n">
        <v>0.916666666666667</v>
      </c>
      <c r="J2220" s="6" t="n">
        <v>0.916666666666667</v>
      </c>
      <c r="K2220" s="0" t="n">
        <v>0</v>
      </c>
      <c r="L2220" s="0" t="n">
        <v>30</v>
      </c>
      <c r="M2220" s="0" t="s">
        <v>11449</v>
      </c>
      <c r="N2220" s="0" t="s">
        <v>11450</v>
      </c>
      <c r="P2220" s="0" t="s">
        <v>11451</v>
      </c>
      <c r="Q2220" s="2" t="n">
        <v>43751</v>
      </c>
      <c r="S2220" s="0" t="n">
        <f aca="false">YEAR(Q2220)</f>
        <v>2019</v>
      </c>
      <c r="T2220" s="0" t="n">
        <f aca="false">MONTH(Q2220)</f>
        <v>10</v>
      </c>
    </row>
    <row r="2221" customFormat="false" ht="14.25" hidden="true" customHeight="false" outlineLevel="0" collapsed="false">
      <c r="A2221" s="0" t="n">
        <v>2232</v>
      </c>
      <c r="B2221" s="1" t="s">
        <v>1317</v>
      </c>
      <c r="C2221" s="1" t="s">
        <v>1479</v>
      </c>
      <c r="D2221" s="1" t="s">
        <v>1487</v>
      </c>
      <c r="E2221" s="4" t="s">
        <v>1488</v>
      </c>
      <c r="F2221" s="0" t="s">
        <v>48</v>
      </c>
      <c r="G2221" s="0" t="s">
        <v>11452</v>
      </c>
      <c r="I2221" s="6" t="n">
        <v>0.252777777777778</v>
      </c>
      <c r="J2221" s="6" t="n">
        <v>0.259722222222222</v>
      </c>
      <c r="K2221" s="0" t="n">
        <v>30</v>
      </c>
      <c r="L2221" s="0" t="n">
        <v>35</v>
      </c>
      <c r="M2221" s="0" t="s">
        <v>11453</v>
      </c>
      <c r="N2221" s="0" t="s">
        <v>11454</v>
      </c>
      <c r="P2221" s="0" t="s">
        <v>11455</v>
      </c>
      <c r="Q2221" s="2" t="n">
        <v>43752</v>
      </c>
      <c r="S2221" s="0" t="n">
        <f aca="false">YEAR(Q2221)</f>
        <v>2019</v>
      </c>
      <c r="T2221" s="0" t="n">
        <f aca="false">MONTH(Q2221)</f>
        <v>10</v>
      </c>
    </row>
    <row r="2222" customFormat="false" ht="14.25" hidden="true" customHeight="false" outlineLevel="0" collapsed="false">
      <c r="A2222" s="0" t="n">
        <v>2233</v>
      </c>
      <c r="B2222" s="1" t="s">
        <v>1317</v>
      </c>
      <c r="C2222" s="1" t="s">
        <v>1503</v>
      </c>
      <c r="D2222" s="1" t="s">
        <v>1504</v>
      </c>
      <c r="E2222" s="0" t="s">
        <v>45</v>
      </c>
      <c r="F2222" s="0" t="s">
        <v>48</v>
      </c>
      <c r="G2222" s="0" t="s">
        <v>11456</v>
      </c>
      <c r="I2222" s="6" t="n">
        <v>0.472222222222222</v>
      </c>
      <c r="J2222" s="6" t="n">
        <v>0.522222222222222</v>
      </c>
      <c r="L2222" s="0" t="n">
        <v>121</v>
      </c>
      <c r="M2222" s="0" t="s">
        <v>11457</v>
      </c>
      <c r="N2222" s="0" t="s">
        <v>11458</v>
      </c>
      <c r="P2222" s="0" t="s">
        <v>11459</v>
      </c>
      <c r="Q2222" s="2" t="n">
        <v>43752</v>
      </c>
      <c r="S2222" s="0" t="n">
        <f aca="false">YEAR(Q2222)</f>
        <v>2019</v>
      </c>
      <c r="T2222" s="0" t="n">
        <f aca="false">MONTH(Q2222)</f>
        <v>10</v>
      </c>
    </row>
    <row r="2223" customFormat="false" ht="14.25" hidden="true" customHeight="false" outlineLevel="0" collapsed="false">
      <c r="A2223" s="0" t="n">
        <v>2234</v>
      </c>
      <c r="B2223" s="1" t="s">
        <v>1317</v>
      </c>
      <c r="C2223" s="1" t="s">
        <v>1479</v>
      </c>
      <c r="D2223" s="1" t="s">
        <v>1535</v>
      </c>
      <c r="E2223" s="0" t="s">
        <v>39</v>
      </c>
      <c r="F2223" s="0" t="s">
        <v>49</v>
      </c>
      <c r="G2223" s="0" t="s">
        <v>11460</v>
      </c>
      <c r="I2223" s="6" t="n">
        <v>0.597222222222222</v>
      </c>
      <c r="J2223" s="6" t="n">
        <v>0.600694444444444</v>
      </c>
      <c r="K2223" s="0" t="n">
        <v>7</v>
      </c>
      <c r="L2223" s="0" t="n">
        <v>10</v>
      </c>
      <c r="M2223" s="0" t="s">
        <v>11461</v>
      </c>
      <c r="N2223" s="0" t="s">
        <v>11462</v>
      </c>
      <c r="P2223" s="0" t="s">
        <v>11463</v>
      </c>
      <c r="Q2223" s="2" t="n">
        <v>43752</v>
      </c>
      <c r="S2223" s="0" t="n">
        <f aca="false">YEAR(Q2223)</f>
        <v>2019</v>
      </c>
      <c r="T2223" s="0" t="n">
        <f aca="false">MONTH(Q2223)</f>
        <v>10</v>
      </c>
    </row>
    <row r="2224" customFormat="false" ht="14.25" hidden="true" customHeight="false" outlineLevel="0" collapsed="false">
      <c r="A2224" s="0" t="n">
        <v>2235</v>
      </c>
      <c r="B2224" s="1" t="s">
        <v>1317</v>
      </c>
      <c r="C2224" s="1" t="s">
        <v>1479</v>
      </c>
      <c r="D2224" s="1" t="s">
        <v>1496</v>
      </c>
      <c r="E2224" s="0" t="s">
        <v>38</v>
      </c>
      <c r="F2224" s="0" t="s">
        <v>50</v>
      </c>
      <c r="G2224" s="0" t="s">
        <v>11464</v>
      </c>
      <c r="J2224" s="6" t="n">
        <v>0.979166666666667</v>
      </c>
      <c r="M2224" s="0" t="s">
        <v>11465</v>
      </c>
      <c r="N2224" s="0" t="s">
        <v>11466</v>
      </c>
      <c r="P2224" s="0" t="s">
        <v>11467</v>
      </c>
      <c r="Q2224" s="2" t="n">
        <v>43752</v>
      </c>
      <c r="S2224" s="0" t="n">
        <f aca="false">YEAR(Q2224)</f>
        <v>2019</v>
      </c>
      <c r="T2224" s="0" t="n">
        <f aca="false">MONTH(Q2224)</f>
        <v>10</v>
      </c>
    </row>
    <row r="2225" customFormat="false" ht="14.25" hidden="true" customHeight="false" outlineLevel="0" collapsed="false">
      <c r="A2225" s="0" t="n">
        <v>2236</v>
      </c>
      <c r="B2225" s="1" t="s">
        <v>1318</v>
      </c>
      <c r="C2225" s="1" t="s">
        <v>1479</v>
      </c>
      <c r="D2225" s="1" t="s">
        <v>1480</v>
      </c>
      <c r="E2225" s="0" t="s">
        <v>43</v>
      </c>
      <c r="F2225" s="0" t="s">
        <v>48</v>
      </c>
      <c r="G2225" s="0" t="s">
        <v>11468</v>
      </c>
      <c r="I2225" s="6" t="n">
        <v>0.551388888888889</v>
      </c>
      <c r="J2225" s="6" t="n">
        <v>0.560416666666667</v>
      </c>
      <c r="K2225" s="0" t="n">
        <v>0</v>
      </c>
      <c r="L2225" s="0" t="n">
        <v>80</v>
      </c>
      <c r="M2225" s="0" t="s">
        <v>11469</v>
      </c>
      <c r="N2225" s="0" t="s">
        <v>11470</v>
      </c>
      <c r="P2225" s="0" t="s">
        <v>11471</v>
      </c>
      <c r="Q2225" s="2" t="n">
        <v>43753</v>
      </c>
      <c r="S2225" s="0" t="n">
        <f aca="false">YEAR(Q2225)</f>
        <v>2019</v>
      </c>
      <c r="T2225" s="0" t="n">
        <f aca="false">MONTH(Q2225)</f>
        <v>10</v>
      </c>
    </row>
    <row r="2226" customFormat="false" ht="14.25" hidden="true" customHeight="false" outlineLevel="0" collapsed="false">
      <c r="A2226" s="0" t="n">
        <v>2237</v>
      </c>
      <c r="B2226" s="1" t="s">
        <v>1319</v>
      </c>
      <c r="C2226" s="1" t="s">
        <v>1479</v>
      </c>
      <c r="D2226" s="1" t="s">
        <v>1535</v>
      </c>
      <c r="E2226" s="0" t="s">
        <v>39</v>
      </c>
      <c r="F2226" s="0" t="s">
        <v>48</v>
      </c>
      <c r="G2226" s="0" t="s">
        <v>11472</v>
      </c>
      <c r="I2226" s="6" t="n">
        <v>0.5</v>
      </c>
      <c r="J2226" s="6" t="n">
        <v>0.520833333333333</v>
      </c>
      <c r="L2226" s="0" t="n">
        <v>0</v>
      </c>
      <c r="M2226" s="0" t="s">
        <v>11473</v>
      </c>
      <c r="N2226" s="0" t="s">
        <v>11474</v>
      </c>
      <c r="P2226" s="0" t="s">
        <v>11475</v>
      </c>
      <c r="Q2226" s="2" t="n">
        <v>43754</v>
      </c>
      <c r="S2226" s="0" t="n">
        <f aca="false">YEAR(Q2226)</f>
        <v>2019</v>
      </c>
      <c r="T2226" s="0" t="n">
        <f aca="false">MONTH(Q2226)</f>
        <v>10</v>
      </c>
    </row>
    <row r="2227" customFormat="false" ht="14.25" hidden="true" customHeight="false" outlineLevel="0" collapsed="false">
      <c r="A2227" s="0" t="n">
        <v>2238</v>
      </c>
      <c r="B2227" s="1" t="s">
        <v>1320</v>
      </c>
      <c r="C2227" s="1" t="s">
        <v>1503</v>
      </c>
      <c r="D2227" s="1" t="s">
        <v>1504</v>
      </c>
      <c r="E2227" s="0" t="s">
        <v>45</v>
      </c>
      <c r="F2227" s="0" t="s">
        <v>48</v>
      </c>
      <c r="G2227" s="0" t="s">
        <v>11476</v>
      </c>
      <c r="I2227" s="6" t="n">
        <v>0.380555555555556</v>
      </c>
      <c r="J2227" s="6" t="n">
        <v>0.422222222222222</v>
      </c>
      <c r="L2227" s="0" t="n">
        <v>120</v>
      </c>
      <c r="M2227" s="0" t="s">
        <v>11477</v>
      </c>
      <c r="N2227" s="0" t="s">
        <v>11478</v>
      </c>
      <c r="P2227" s="0" t="s">
        <v>11479</v>
      </c>
      <c r="Q2227" s="2" t="n">
        <v>43755</v>
      </c>
      <c r="S2227" s="0" t="n">
        <f aca="false">YEAR(Q2227)</f>
        <v>2019</v>
      </c>
      <c r="T2227" s="0" t="n">
        <f aca="false">MONTH(Q2227)</f>
        <v>10</v>
      </c>
    </row>
    <row r="2228" customFormat="false" ht="14.25" hidden="true" customHeight="false" outlineLevel="0" collapsed="false">
      <c r="A2228" s="0" t="n">
        <v>2239</v>
      </c>
      <c r="B2228" s="1" t="s">
        <v>1320</v>
      </c>
      <c r="C2228" s="1" t="s">
        <v>1479</v>
      </c>
      <c r="D2228" s="1" t="s">
        <v>1487</v>
      </c>
      <c r="E2228" s="0" t="s">
        <v>1488</v>
      </c>
      <c r="F2228" s="0" t="s">
        <v>50</v>
      </c>
      <c r="G2228" s="0" t="s">
        <v>11480</v>
      </c>
      <c r="I2228" s="6" t="n">
        <v>0.933333333333333</v>
      </c>
      <c r="J2228" s="6" t="n">
        <v>0.9375</v>
      </c>
      <c r="K2228" s="0" t="n">
        <v>70</v>
      </c>
      <c r="L2228" s="0" t="n">
        <v>120</v>
      </c>
      <c r="M2228" s="0" t="s">
        <v>11481</v>
      </c>
      <c r="N2228" s="0" t="s">
        <v>11482</v>
      </c>
      <c r="P2228" s="0" t="s">
        <v>11483</v>
      </c>
      <c r="Q2228" s="2" t="n">
        <v>43755</v>
      </c>
      <c r="S2228" s="0" t="n">
        <f aca="false">YEAR(Q2228)</f>
        <v>2019</v>
      </c>
      <c r="T2228" s="0" t="n">
        <f aca="false">MONTH(Q2228)</f>
        <v>10</v>
      </c>
    </row>
    <row r="2229" customFormat="false" ht="14.25" hidden="true" customHeight="false" outlineLevel="0" collapsed="false">
      <c r="A2229" s="0" t="n">
        <v>2240</v>
      </c>
      <c r="B2229" s="1" t="s">
        <v>1321</v>
      </c>
      <c r="C2229" s="1" t="s">
        <v>1479</v>
      </c>
      <c r="D2229" s="1" t="s">
        <v>1535</v>
      </c>
      <c r="E2229" s="0" t="s">
        <v>39</v>
      </c>
      <c r="F2229" s="0" t="s">
        <v>50</v>
      </c>
      <c r="G2229" s="0" t="s">
        <v>11484</v>
      </c>
      <c r="I2229" s="6" t="n">
        <v>0</v>
      </c>
      <c r="J2229" s="6" t="n">
        <v>0.0138888888888889</v>
      </c>
      <c r="K2229" s="0" t="n">
        <v>100</v>
      </c>
      <c r="M2229" s="0" t="s">
        <v>11485</v>
      </c>
      <c r="N2229" s="0" t="s">
        <v>11486</v>
      </c>
      <c r="P2229" s="0" t="s">
        <v>11487</v>
      </c>
      <c r="Q2229" s="2" t="n">
        <v>43756</v>
      </c>
      <c r="S2229" s="0" t="n">
        <f aca="false">YEAR(Q2229)</f>
        <v>2019</v>
      </c>
      <c r="T2229" s="0" t="n">
        <f aca="false">MONTH(Q2229)</f>
        <v>10</v>
      </c>
    </row>
    <row r="2230" customFormat="false" ht="14.25" hidden="true" customHeight="false" outlineLevel="0" collapsed="false">
      <c r="A2230" s="0" t="n">
        <v>2241</v>
      </c>
      <c r="B2230" s="1" t="s">
        <v>1322</v>
      </c>
      <c r="C2230" s="1" t="s">
        <v>1503</v>
      </c>
      <c r="D2230" s="1" t="s">
        <v>1535</v>
      </c>
      <c r="E2230" s="0" t="s">
        <v>44</v>
      </c>
      <c r="F2230" s="0" t="s">
        <v>48</v>
      </c>
      <c r="G2230" s="0" t="s">
        <v>11488</v>
      </c>
      <c r="I2230" s="6" t="n">
        <v>0.236111111111111</v>
      </c>
      <c r="J2230" s="6" t="n">
        <v>0.252083333333333</v>
      </c>
      <c r="L2230" s="0" t="n">
        <v>83</v>
      </c>
      <c r="M2230" s="0" t="s">
        <v>11489</v>
      </c>
      <c r="N2230" s="0" t="s">
        <v>11490</v>
      </c>
      <c r="P2230" s="0" t="s">
        <v>11491</v>
      </c>
      <c r="Q2230" s="2" t="n">
        <v>43759</v>
      </c>
      <c r="S2230" s="0" t="n">
        <f aca="false">YEAR(Q2230)</f>
        <v>2019</v>
      </c>
      <c r="T2230" s="0" t="n">
        <f aca="false">MONTH(Q2230)</f>
        <v>10</v>
      </c>
    </row>
    <row r="2231" customFormat="false" ht="14.25" hidden="true" customHeight="false" outlineLevel="0" collapsed="false">
      <c r="A2231" s="0" t="n">
        <v>2242</v>
      </c>
      <c r="B2231" s="1" t="s">
        <v>1322</v>
      </c>
      <c r="C2231" s="1" t="s">
        <v>1503</v>
      </c>
      <c r="D2231" s="1" t="s">
        <v>1535</v>
      </c>
      <c r="E2231" s="0" t="s">
        <v>44</v>
      </c>
      <c r="F2231" s="0" t="s">
        <v>48</v>
      </c>
      <c r="G2231" s="0" t="s">
        <v>11080</v>
      </c>
      <c r="J2231" s="6" t="n">
        <v>0.267361111111111</v>
      </c>
      <c r="L2231" s="0" t="n">
        <v>44</v>
      </c>
      <c r="M2231" s="0" t="s">
        <v>11492</v>
      </c>
      <c r="N2231" s="0" t="s">
        <v>11493</v>
      </c>
      <c r="P2231" s="0" t="s">
        <v>11494</v>
      </c>
      <c r="Q2231" s="2" t="n">
        <v>43759</v>
      </c>
      <c r="S2231" s="0" t="n">
        <f aca="false">YEAR(Q2231)</f>
        <v>2019</v>
      </c>
      <c r="T2231" s="0" t="n">
        <f aca="false">MONTH(Q2231)</f>
        <v>10</v>
      </c>
    </row>
    <row r="2232" customFormat="false" ht="14.25" hidden="true" customHeight="false" outlineLevel="0" collapsed="false">
      <c r="A2232" s="0" t="n">
        <v>2243</v>
      </c>
      <c r="B2232" s="1" t="s">
        <v>1322</v>
      </c>
      <c r="C2232" s="1" t="s">
        <v>1479</v>
      </c>
      <c r="D2232" s="1" t="s">
        <v>1863</v>
      </c>
      <c r="E2232" s="0" t="s">
        <v>10755</v>
      </c>
      <c r="F2232" s="0" t="s">
        <v>48</v>
      </c>
      <c r="G2232" s="0" t="s">
        <v>4697</v>
      </c>
      <c r="I2232" s="6" t="n">
        <v>0.259027777777778</v>
      </c>
      <c r="J2232" s="6" t="n">
        <v>0.336111111111111</v>
      </c>
      <c r="M2232" s="0" t="s">
        <v>11495</v>
      </c>
      <c r="N2232" s="0" t="s">
        <v>11496</v>
      </c>
      <c r="P2232" s="0" t="s">
        <v>11497</v>
      </c>
      <c r="Q2232" s="2" t="n">
        <v>43759</v>
      </c>
      <c r="S2232" s="0" t="n">
        <f aca="false">YEAR(Q2232)</f>
        <v>2019</v>
      </c>
      <c r="T2232" s="0" t="n">
        <f aca="false">MONTH(Q2232)</f>
        <v>10</v>
      </c>
    </row>
    <row r="2233" customFormat="false" ht="14.25" hidden="true" customHeight="false" outlineLevel="0" collapsed="false">
      <c r="A2233" s="0" t="n">
        <v>2244</v>
      </c>
      <c r="B2233" s="1" t="s">
        <v>1322</v>
      </c>
      <c r="C2233" s="1" t="s">
        <v>1495</v>
      </c>
      <c r="D2233" s="1" t="s">
        <v>1487</v>
      </c>
      <c r="E2233" s="0" t="s">
        <v>40</v>
      </c>
      <c r="F2233" s="0" t="s">
        <v>48</v>
      </c>
      <c r="G2233" s="0" t="s">
        <v>11498</v>
      </c>
      <c r="I2233" s="6" t="n">
        <v>0.451388888888889</v>
      </c>
      <c r="J2233" s="6" t="n">
        <v>0.451388888888889</v>
      </c>
      <c r="L2233" s="0" t="n">
        <v>56</v>
      </c>
      <c r="M2233" s="0" t="s">
        <v>11499</v>
      </c>
      <c r="N2233" s="0" t="s">
        <v>11500</v>
      </c>
      <c r="P2233" s="0" t="s">
        <v>11501</v>
      </c>
      <c r="Q2233" s="2" t="n">
        <v>43759</v>
      </c>
      <c r="S2233" s="0" t="n">
        <f aca="false">YEAR(Q2233)</f>
        <v>2019</v>
      </c>
      <c r="T2233" s="0" t="n">
        <f aca="false">MONTH(Q2233)</f>
        <v>10</v>
      </c>
    </row>
    <row r="2234" customFormat="false" ht="14.25" hidden="true" customHeight="false" outlineLevel="0" collapsed="false">
      <c r="A2234" s="0" t="n">
        <v>2245</v>
      </c>
      <c r="B2234" s="1" t="s">
        <v>1322</v>
      </c>
      <c r="C2234" s="1" t="s">
        <v>1503</v>
      </c>
      <c r="D2234" s="1" t="s">
        <v>1535</v>
      </c>
      <c r="E2234" s="0" t="s">
        <v>1503</v>
      </c>
      <c r="F2234" s="0" t="s">
        <v>50</v>
      </c>
      <c r="G2234" s="0" t="s">
        <v>11502</v>
      </c>
      <c r="J2234" s="6" t="n">
        <v>0.979166666666667</v>
      </c>
      <c r="L2234" s="0" t="n">
        <v>180</v>
      </c>
      <c r="M2234" s="0" t="s">
        <v>11503</v>
      </c>
      <c r="N2234" s="0" t="s">
        <v>11504</v>
      </c>
      <c r="P2234" s="0" t="s">
        <v>11505</v>
      </c>
      <c r="Q2234" s="2" t="n">
        <v>43759</v>
      </c>
      <c r="S2234" s="0" t="n">
        <f aca="false">YEAR(Q2234)</f>
        <v>2019</v>
      </c>
      <c r="T2234" s="0" t="n">
        <f aca="false">MONTH(Q2234)</f>
        <v>10</v>
      </c>
    </row>
    <row r="2235" customFormat="false" ht="14.25" hidden="true" customHeight="false" outlineLevel="0" collapsed="false">
      <c r="A2235" s="0" t="n">
        <v>2246</v>
      </c>
      <c r="B2235" s="1" t="s">
        <v>1323</v>
      </c>
      <c r="C2235" s="1" t="s">
        <v>1479</v>
      </c>
      <c r="D2235" s="1" t="s">
        <v>1487</v>
      </c>
      <c r="E2235" s="4" t="s">
        <v>1488</v>
      </c>
      <c r="F2235" s="0" t="s">
        <v>49</v>
      </c>
      <c r="G2235" s="0" t="s">
        <v>4859</v>
      </c>
      <c r="I2235" s="6" t="n">
        <v>0.777777777777778</v>
      </c>
      <c r="J2235" s="6" t="n">
        <v>0.808333333333333</v>
      </c>
      <c r="K2235" s="0" t="n">
        <v>20</v>
      </c>
      <c r="L2235" s="0" t="n">
        <v>60</v>
      </c>
      <c r="M2235" s="0" t="s">
        <v>11506</v>
      </c>
      <c r="N2235" s="0" t="s">
        <v>11507</v>
      </c>
      <c r="P2235" s="0" t="s">
        <v>11508</v>
      </c>
      <c r="Q2235" s="2" t="n">
        <v>43760</v>
      </c>
      <c r="S2235" s="0" t="n">
        <f aca="false">YEAR(Q2235)</f>
        <v>2019</v>
      </c>
      <c r="T2235" s="0" t="n">
        <f aca="false">MONTH(Q2235)</f>
        <v>10</v>
      </c>
    </row>
    <row r="2236" customFormat="false" ht="14.25" hidden="true" customHeight="false" outlineLevel="0" collapsed="false">
      <c r="A2236" s="0" t="n">
        <v>2247</v>
      </c>
      <c r="B2236" s="1" t="s">
        <v>1323</v>
      </c>
      <c r="C2236" s="1" t="s">
        <v>1479</v>
      </c>
      <c r="D2236" s="1" t="s">
        <v>1535</v>
      </c>
      <c r="E2236" s="0" t="s">
        <v>39</v>
      </c>
      <c r="F2236" s="0" t="s">
        <v>50</v>
      </c>
      <c r="G2236" s="0" t="s">
        <v>11509</v>
      </c>
      <c r="J2236" s="6" t="n">
        <v>0.204861111111111</v>
      </c>
      <c r="K2236" s="0" t="n">
        <v>22</v>
      </c>
      <c r="M2236" s="0" t="s">
        <v>11510</v>
      </c>
      <c r="N2236" s="0" t="s">
        <v>11511</v>
      </c>
      <c r="P2236" s="0" t="s">
        <v>11512</v>
      </c>
      <c r="Q2236" s="2" t="n">
        <v>43760</v>
      </c>
      <c r="S2236" s="0" t="n">
        <f aca="false">YEAR(Q2236)</f>
        <v>2019</v>
      </c>
      <c r="T2236" s="0" t="n">
        <f aca="false">MONTH(Q2236)</f>
        <v>10</v>
      </c>
    </row>
    <row r="2237" customFormat="false" ht="14.25" hidden="true" customHeight="false" outlineLevel="0" collapsed="false">
      <c r="A2237" s="0" t="n">
        <v>2248</v>
      </c>
      <c r="B2237" s="1" t="s">
        <v>1324</v>
      </c>
      <c r="C2237" s="1" t="s">
        <v>1479</v>
      </c>
      <c r="D2237" s="1" t="s">
        <v>1535</v>
      </c>
      <c r="E2237" s="0" t="s">
        <v>39</v>
      </c>
      <c r="F2237" s="0" t="s">
        <v>49</v>
      </c>
      <c r="G2237" s="0" t="s">
        <v>11513</v>
      </c>
      <c r="I2237" s="6" t="n">
        <v>0.597222222222222</v>
      </c>
      <c r="J2237" s="6" t="n">
        <v>0.708333333333333</v>
      </c>
      <c r="K2237" s="0" t="n">
        <v>0</v>
      </c>
      <c r="M2237" s="0" t="s">
        <v>11514</v>
      </c>
      <c r="N2237" s="0" t="s">
        <v>11515</v>
      </c>
      <c r="P2237" s="0" t="s">
        <v>11516</v>
      </c>
      <c r="Q2237" s="2" t="n">
        <v>43761</v>
      </c>
      <c r="S2237" s="0" t="n">
        <f aca="false">YEAR(Q2237)</f>
        <v>2019</v>
      </c>
      <c r="T2237" s="0" t="n">
        <f aca="false">MONTH(Q2237)</f>
        <v>10</v>
      </c>
    </row>
    <row r="2238" customFormat="false" ht="14.25" hidden="true" customHeight="false" outlineLevel="0" collapsed="false">
      <c r="A2238" s="0" t="n">
        <v>2249</v>
      </c>
      <c r="B2238" s="1" t="s">
        <v>1325</v>
      </c>
      <c r="C2238" s="1" t="s">
        <v>1479</v>
      </c>
      <c r="D2238" s="1" t="s">
        <v>1535</v>
      </c>
      <c r="E2238" s="0" t="s">
        <v>39</v>
      </c>
      <c r="F2238" s="0" t="s">
        <v>49</v>
      </c>
      <c r="G2238" s="0" t="s">
        <v>11517</v>
      </c>
      <c r="J2238" s="6" t="n">
        <v>0.880555555555556</v>
      </c>
      <c r="K2238" s="0" t="n">
        <v>0</v>
      </c>
      <c r="M2238" s="0" t="s">
        <v>11518</v>
      </c>
      <c r="N2238" s="0" t="s">
        <v>11519</v>
      </c>
      <c r="P2238" s="0" t="s">
        <v>11520</v>
      </c>
      <c r="Q2238" s="2" t="n">
        <v>43762</v>
      </c>
      <c r="S2238" s="0" t="n">
        <f aca="false">YEAR(Q2238)</f>
        <v>2019</v>
      </c>
      <c r="T2238" s="0" t="n">
        <f aca="false">MONTH(Q2238)</f>
        <v>10</v>
      </c>
    </row>
    <row r="2239" customFormat="false" ht="14.25" hidden="true" customHeight="false" outlineLevel="0" collapsed="false">
      <c r="A2239" s="0" t="n">
        <v>2250</v>
      </c>
      <c r="B2239" s="1" t="s">
        <v>1325</v>
      </c>
      <c r="C2239" s="1" t="s">
        <v>1479</v>
      </c>
      <c r="D2239" s="1" t="s">
        <v>1535</v>
      </c>
      <c r="E2239" s="0" t="s">
        <v>39</v>
      </c>
      <c r="F2239" s="0" t="s">
        <v>50</v>
      </c>
      <c r="G2239" s="0" t="s">
        <v>11521</v>
      </c>
      <c r="I2239" s="6" t="n">
        <v>0.168055555555556</v>
      </c>
      <c r="K2239" s="0" t="n">
        <v>35</v>
      </c>
      <c r="L2239" s="0" t="n">
        <v>40</v>
      </c>
      <c r="M2239" s="0" t="s">
        <v>11522</v>
      </c>
      <c r="N2239" s="0" t="s">
        <v>3545</v>
      </c>
      <c r="P2239" s="0" t="s">
        <v>11523</v>
      </c>
      <c r="Q2239" s="2" t="n">
        <v>43762</v>
      </c>
      <c r="S2239" s="0" t="n">
        <f aca="false">YEAR(Q2239)</f>
        <v>2019</v>
      </c>
      <c r="T2239" s="0" t="n">
        <f aca="false">MONTH(Q2239)</f>
        <v>10</v>
      </c>
    </row>
    <row r="2240" customFormat="false" ht="14.25" hidden="true" customHeight="false" outlineLevel="0" collapsed="false">
      <c r="A2240" s="0" t="n">
        <v>2251</v>
      </c>
      <c r="B2240" s="1" t="s">
        <v>1327</v>
      </c>
      <c r="C2240" s="1" t="s">
        <v>1479</v>
      </c>
      <c r="D2240" s="1" t="s">
        <v>1496</v>
      </c>
      <c r="E2240" s="0" t="s">
        <v>38</v>
      </c>
      <c r="F2240" s="0" t="s">
        <v>50</v>
      </c>
      <c r="G2240" s="0" t="s">
        <v>11524</v>
      </c>
      <c r="I2240" s="6" t="n">
        <v>0</v>
      </c>
      <c r="J2240" s="6" t="n">
        <v>0.875</v>
      </c>
      <c r="K2240" s="0" t="n">
        <v>0</v>
      </c>
      <c r="L2240" s="0" t="n">
        <v>0</v>
      </c>
      <c r="M2240" s="0" t="s">
        <v>11525</v>
      </c>
      <c r="N2240" s="0" t="s">
        <v>11526</v>
      </c>
      <c r="P2240" s="0" t="s">
        <v>11527</v>
      </c>
      <c r="Q2240" s="2" t="n">
        <v>43765</v>
      </c>
      <c r="S2240" s="0" t="n">
        <f aca="false">YEAR(Q2240)</f>
        <v>2019</v>
      </c>
      <c r="T2240" s="0" t="n">
        <f aca="false">MONTH(Q2240)</f>
        <v>10</v>
      </c>
    </row>
    <row r="2241" customFormat="false" ht="14.25" hidden="true" customHeight="false" outlineLevel="0" collapsed="false">
      <c r="A2241" s="0" t="n">
        <v>2252</v>
      </c>
      <c r="B2241" s="1" t="s">
        <v>1327</v>
      </c>
      <c r="C2241" s="1" t="s">
        <v>1479</v>
      </c>
      <c r="D2241" s="1" t="s">
        <v>1496</v>
      </c>
      <c r="E2241" s="0" t="s">
        <v>38</v>
      </c>
      <c r="F2241" s="0" t="s">
        <v>50</v>
      </c>
      <c r="G2241" s="0" t="s">
        <v>11528</v>
      </c>
      <c r="J2241" s="6" t="n">
        <v>0.895833333333333</v>
      </c>
      <c r="K2241" s="0" t="n">
        <v>0</v>
      </c>
      <c r="L2241" s="0" t="n">
        <v>0</v>
      </c>
      <c r="M2241" s="0" t="s">
        <v>11529</v>
      </c>
      <c r="N2241" s="0" t="s">
        <v>11530</v>
      </c>
      <c r="P2241" s="0" t="s">
        <v>11531</v>
      </c>
      <c r="Q2241" s="2" t="n">
        <v>43765</v>
      </c>
      <c r="S2241" s="0" t="n">
        <f aca="false">YEAR(Q2241)</f>
        <v>2019</v>
      </c>
      <c r="T2241" s="0" t="n">
        <f aca="false">MONTH(Q2241)</f>
        <v>10</v>
      </c>
    </row>
    <row r="2242" customFormat="false" ht="14.25" hidden="true" customHeight="false" outlineLevel="0" collapsed="false">
      <c r="A2242" s="0" t="n">
        <v>2253</v>
      </c>
      <c r="B2242" s="1" t="s">
        <v>1328</v>
      </c>
      <c r="C2242" s="1" t="s">
        <v>1479</v>
      </c>
      <c r="D2242" s="1" t="s">
        <v>1535</v>
      </c>
      <c r="E2242" s="0" t="s">
        <v>39</v>
      </c>
      <c r="F2242" s="0" t="s">
        <v>50</v>
      </c>
      <c r="G2242" s="0" t="s">
        <v>10043</v>
      </c>
      <c r="I2242" s="6" t="n">
        <v>0.1875</v>
      </c>
      <c r="J2242" s="6" t="n">
        <v>0.193055555555556</v>
      </c>
      <c r="K2242" s="0" t="n">
        <v>32</v>
      </c>
      <c r="L2242" s="0" t="n">
        <v>35</v>
      </c>
      <c r="M2242" s="0" t="s">
        <v>11532</v>
      </c>
      <c r="N2242" s="0" t="s">
        <v>11533</v>
      </c>
      <c r="P2242" s="0" t="s">
        <v>11534</v>
      </c>
      <c r="Q2242" s="2" t="n">
        <v>43766</v>
      </c>
      <c r="S2242" s="0" t="n">
        <f aca="false">YEAR(Q2242)</f>
        <v>2019</v>
      </c>
      <c r="T2242" s="0" t="n">
        <f aca="false">MONTH(Q2242)</f>
        <v>10</v>
      </c>
    </row>
    <row r="2243" customFormat="false" ht="14.25" hidden="true" customHeight="false" outlineLevel="0" collapsed="false">
      <c r="A2243" s="0" t="n">
        <v>2254</v>
      </c>
      <c r="B2243" s="1" t="s">
        <v>1328</v>
      </c>
      <c r="C2243" s="1" t="s">
        <v>1479</v>
      </c>
      <c r="D2243" s="1" t="s">
        <v>1496</v>
      </c>
      <c r="E2243" s="0" t="s">
        <v>38</v>
      </c>
      <c r="F2243" s="0" t="s">
        <v>48</v>
      </c>
      <c r="G2243" s="0" t="s">
        <v>11535</v>
      </c>
      <c r="I2243" s="6" t="n">
        <v>0.236111111111111</v>
      </c>
      <c r="J2243" s="6" t="n">
        <v>0.25</v>
      </c>
      <c r="K2243" s="0" t="n">
        <v>18</v>
      </c>
      <c r="L2243" s="0" t="n">
        <v>90</v>
      </c>
      <c r="M2243" s="0" t="s">
        <v>11536</v>
      </c>
      <c r="N2243" s="0" t="s">
        <v>11537</v>
      </c>
      <c r="P2243" s="0" t="s">
        <v>11538</v>
      </c>
      <c r="Q2243" s="2" t="n">
        <v>43766</v>
      </c>
      <c r="S2243" s="0" t="n">
        <f aca="false">YEAR(Q2243)</f>
        <v>2019</v>
      </c>
      <c r="T2243" s="0" t="n">
        <f aca="false">MONTH(Q2243)</f>
        <v>10</v>
      </c>
    </row>
    <row r="2244" customFormat="false" ht="14.25" hidden="true" customHeight="false" outlineLevel="0" collapsed="false">
      <c r="A2244" s="0" t="n">
        <v>2255</v>
      </c>
      <c r="B2244" s="1" t="s">
        <v>1328</v>
      </c>
      <c r="C2244" s="1" t="s">
        <v>1479</v>
      </c>
      <c r="D2244" s="1" t="s">
        <v>1487</v>
      </c>
      <c r="E2244" s="0" t="s">
        <v>1488</v>
      </c>
      <c r="F2244" s="0" t="s">
        <v>49</v>
      </c>
      <c r="G2244" s="0" t="s">
        <v>11539</v>
      </c>
      <c r="I2244" s="6" t="n">
        <v>0.572916666666667</v>
      </c>
      <c r="J2244" s="6" t="n">
        <v>0.583333333333333</v>
      </c>
      <c r="L2244" s="0" t="n">
        <v>306</v>
      </c>
      <c r="M2244" s="0" t="s">
        <v>11540</v>
      </c>
      <c r="N2244" s="0" t="s">
        <v>11541</v>
      </c>
      <c r="P2244" s="0" t="s">
        <v>11542</v>
      </c>
      <c r="Q2244" s="2" t="n">
        <v>43766</v>
      </c>
      <c r="S2244" s="0" t="n">
        <f aca="false">YEAR(Q2244)</f>
        <v>2019</v>
      </c>
      <c r="T2244" s="0" t="n">
        <f aca="false">MONTH(Q2244)</f>
        <v>10</v>
      </c>
    </row>
    <row r="2245" customFormat="false" ht="14.25" hidden="true" customHeight="false" outlineLevel="0" collapsed="false">
      <c r="A2245" s="0" t="n">
        <v>2256</v>
      </c>
      <c r="B2245" s="1" t="s">
        <v>1328</v>
      </c>
      <c r="C2245" s="1" t="s">
        <v>1479</v>
      </c>
      <c r="D2245" s="1" t="s">
        <v>1487</v>
      </c>
      <c r="E2245" s="0" t="s">
        <v>1488</v>
      </c>
      <c r="F2245" s="0" t="s">
        <v>50</v>
      </c>
      <c r="I2245" s="6" t="n">
        <v>0.0555555555555556</v>
      </c>
      <c r="J2245" s="6" t="n">
        <v>0.0590277777777778</v>
      </c>
      <c r="K2245" s="0" t="n">
        <v>0</v>
      </c>
      <c r="M2245" s="0" t="s">
        <v>4595</v>
      </c>
      <c r="N2245" s="0" t="s">
        <v>11543</v>
      </c>
      <c r="P2245" s="0" t="s">
        <v>11544</v>
      </c>
      <c r="Q2245" s="2" t="n">
        <v>43766</v>
      </c>
      <c r="S2245" s="0" t="n">
        <f aca="false">YEAR(Q2245)</f>
        <v>2019</v>
      </c>
      <c r="T2245" s="0" t="n">
        <f aca="false">MONTH(Q2245)</f>
        <v>10</v>
      </c>
    </row>
    <row r="2246" customFormat="false" ht="14.25" hidden="true" customHeight="false" outlineLevel="0" collapsed="false">
      <c r="A2246" s="0" t="n">
        <v>2257</v>
      </c>
      <c r="B2246" s="1" t="s">
        <v>1329</v>
      </c>
      <c r="C2246" s="1" t="s">
        <v>1479</v>
      </c>
      <c r="D2246" s="1" t="s">
        <v>1480</v>
      </c>
      <c r="E2246" s="0" t="s">
        <v>43</v>
      </c>
      <c r="F2246" s="0" t="s">
        <v>48</v>
      </c>
      <c r="G2246" s="0" t="s">
        <v>11545</v>
      </c>
      <c r="I2246" s="6" t="n">
        <v>0.361111111111111</v>
      </c>
      <c r="J2246" s="6" t="n">
        <v>0.368055555555556</v>
      </c>
      <c r="K2246" s="0" t="n">
        <v>0</v>
      </c>
      <c r="L2246" s="0" t="n">
        <v>45</v>
      </c>
      <c r="M2246" s="0" t="s">
        <v>11546</v>
      </c>
      <c r="N2246" s="0" t="s">
        <v>11547</v>
      </c>
      <c r="P2246" s="0" t="s">
        <v>11548</v>
      </c>
      <c r="Q2246" s="2" t="n">
        <v>43767</v>
      </c>
      <c r="S2246" s="0" t="n">
        <f aca="false">YEAR(Q2246)</f>
        <v>2019</v>
      </c>
      <c r="T2246" s="0" t="n">
        <f aca="false">MONTH(Q2246)</f>
        <v>10</v>
      </c>
    </row>
    <row r="2247" customFormat="false" ht="14.25" hidden="true" customHeight="false" outlineLevel="0" collapsed="false">
      <c r="A2247" s="0" t="n">
        <v>2258</v>
      </c>
      <c r="B2247" s="1" t="s">
        <v>1329</v>
      </c>
      <c r="C2247" s="1" t="s">
        <v>1479</v>
      </c>
      <c r="D2247" s="1" t="s">
        <v>1535</v>
      </c>
      <c r="E2247" s="0" t="s">
        <v>39</v>
      </c>
      <c r="F2247" s="0" t="s">
        <v>48</v>
      </c>
      <c r="G2247" s="0" t="s">
        <v>11549</v>
      </c>
      <c r="I2247" s="6" t="n">
        <v>0.479166666666667</v>
      </c>
      <c r="J2247" s="6" t="n">
        <v>0.497916666666667</v>
      </c>
      <c r="K2247" s="0" t="n">
        <v>0</v>
      </c>
      <c r="L2247" s="0" t="n">
        <v>25</v>
      </c>
      <c r="M2247" s="0" t="s">
        <v>11550</v>
      </c>
      <c r="N2247" s="0" t="s">
        <v>11551</v>
      </c>
      <c r="P2247" s="0" t="s">
        <v>11552</v>
      </c>
      <c r="Q2247" s="2" t="n">
        <v>43767</v>
      </c>
      <c r="S2247" s="0" t="n">
        <f aca="false">YEAR(Q2247)</f>
        <v>2019</v>
      </c>
      <c r="T2247" s="0" t="n">
        <f aca="false">MONTH(Q2247)</f>
        <v>10</v>
      </c>
    </row>
    <row r="2248" customFormat="false" ht="14.25" hidden="true" customHeight="false" outlineLevel="0" collapsed="false">
      <c r="A2248" s="0" t="n">
        <v>2259</v>
      </c>
      <c r="B2248" s="1" t="s">
        <v>1329</v>
      </c>
      <c r="C2248" s="1" t="s">
        <v>1479</v>
      </c>
      <c r="D2248" s="1" t="s">
        <v>1535</v>
      </c>
      <c r="E2248" s="0" t="s">
        <v>39</v>
      </c>
      <c r="F2248" s="0" t="s">
        <v>48</v>
      </c>
      <c r="G2248" s="0" t="s">
        <v>11553</v>
      </c>
      <c r="I2248" s="6" t="n">
        <v>0.479166666666667</v>
      </c>
      <c r="K2248" s="0" t="n">
        <v>19</v>
      </c>
      <c r="L2248" s="0" t="n">
        <v>19</v>
      </c>
      <c r="M2248" s="0" t="s">
        <v>11554</v>
      </c>
      <c r="N2248" s="0" t="s">
        <v>11555</v>
      </c>
      <c r="P2248" s="0" t="s">
        <v>11556</v>
      </c>
      <c r="Q2248" s="2" t="n">
        <v>43767</v>
      </c>
      <c r="S2248" s="0" t="n">
        <f aca="false">YEAR(Q2248)</f>
        <v>2019</v>
      </c>
      <c r="T2248" s="0" t="n">
        <f aca="false">MONTH(Q2248)</f>
        <v>10</v>
      </c>
    </row>
    <row r="2249" customFormat="false" ht="14.25" hidden="true" customHeight="false" outlineLevel="0" collapsed="false">
      <c r="A2249" s="0" t="n">
        <v>2260</v>
      </c>
      <c r="B2249" s="1" t="s">
        <v>1329</v>
      </c>
      <c r="C2249" s="1" t="s">
        <v>1479</v>
      </c>
      <c r="D2249" s="1" t="s">
        <v>1496</v>
      </c>
      <c r="E2249" s="0" t="s">
        <v>38</v>
      </c>
      <c r="F2249" s="0" t="s">
        <v>49</v>
      </c>
      <c r="G2249" s="0" t="s">
        <v>11557</v>
      </c>
      <c r="I2249" s="6" t="n">
        <v>0.71875</v>
      </c>
      <c r="J2249" s="6" t="n">
        <v>0.722222222222222</v>
      </c>
      <c r="L2249" s="0" t="n">
        <v>80</v>
      </c>
      <c r="M2249" s="0" t="s">
        <v>11558</v>
      </c>
      <c r="N2249" s="0" t="s">
        <v>11559</v>
      </c>
      <c r="P2249" s="0" t="s">
        <v>11560</v>
      </c>
      <c r="Q2249" s="2" t="n">
        <v>43767</v>
      </c>
      <c r="S2249" s="0" t="n">
        <f aca="false">YEAR(Q2249)</f>
        <v>2019</v>
      </c>
      <c r="T2249" s="0" t="n">
        <f aca="false">MONTH(Q2249)</f>
        <v>10</v>
      </c>
    </row>
    <row r="2250" customFormat="false" ht="14.25" hidden="true" customHeight="false" outlineLevel="0" collapsed="false">
      <c r="A2250" s="0" t="n">
        <v>2261</v>
      </c>
      <c r="B2250" s="1" t="s">
        <v>1329</v>
      </c>
      <c r="C2250" s="1" t="s">
        <v>1479</v>
      </c>
      <c r="D2250" s="1" t="s">
        <v>1480</v>
      </c>
      <c r="E2250" s="0" t="s">
        <v>43</v>
      </c>
      <c r="F2250" s="0" t="s">
        <v>49</v>
      </c>
      <c r="G2250" s="0" t="s">
        <v>11561</v>
      </c>
      <c r="I2250" s="6" t="n">
        <v>0.75</v>
      </c>
      <c r="J2250" s="6" t="n">
        <v>0.833333333333333</v>
      </c>
      <c r="K2250" s="0" t="n">
        <v>0</v>
      </c>
      <c r="M2250" s="0" t="s">
        <v>11562</v>
      </c>
      <c r="N2250" s="0" t="s">
        <v>11563</v>
      </c>
      <c r="P2250" s="0" t="s">
        <v>11564</v>
      </c>
      <c r="Q2250" s="2" t="n">
        <v>43767</v>
      </c>
      <c r="S2250" s="0" t="n">
        <f aca="false">YEAR(Q2250)</f>
        <v>2019</v>
      </c>
      <c r="T2250" s="0" t="n">
        <f aca="false">MONTH(Q2250)</f>
        <v>10</v>
      </c>
    </row>
    <row r="2251" customFormat="false" ht="14.25" hidden="true" customHeight="false" outlineLevel="0" collapsed="false">
      <c r="A2251" s="0" t="n">
        <v>2262</v>
      </c>
      <c r="B2251" s="1" t="s">
        <v>1329</v>
      </c>
      <c r="C2251" s="1" t="s">
        <v>1503</v>
      </c>
      <c r="D2251" s="1" t="s">
        <v>1535</v>
      </c>
      <c r="E2251" s="0" t="s">
        <v>44</v>
      </c>
      <c r="F2251" s="0" t="s">
        <v>49</v>
      </c>
      <c r="G2251" s="0" t="s">
        <v>4087</v>
      </c>
      <c r="I2251" s="6" t="n">
        <v>0.888888888888889</v>
      </c>
      <c r="J2251" s="6" t="n">
        <v>0.902777777777778</v>
      </c>
      <c r="K2251" s="0" t="n">
        <v>0</v>
      </c>
      <c r="M2251" s="0" t="s">
        <v>11565</v>
      </c>
      <c r="N2251" s="0" t="s">
        <v>11566</v>
      </c>
      <c r="P2251" s="0" t="s">
        <v>11567</v>
      </c>
      <c r="Q2251" s="2" t="n">
        <v>43767</v>
      </c>
      <c r="S2251" s="0" t="n">
        <f aca="false">YEAR(Q2251)</f>
        <v>2019</v>
      </c>
      <c r="T2251" s="0" t="n">
        <f aca="false">MONTH(Q2251)</f>
        <v>10</v>
      </c>
    </row>
    <row r="2252" customFormat="false" ht="14.25" hidden="true" customHeight="false" outlineLevel="0" collapsed="false">
      <c r="A2252" s="0" t="n">
        <v>2263</v>
      </c>
      <c r="B2252" s="1" t="s">
        <v>1330</v>
      </c>
      <c r="C2252" s="1" t="s">
        <v>1503</v>
      </c>
      <c r="D2252" s="1" t="s">
        <v>1535</v>
      </c>
      <c r="E2252" s="0" t="s">
        <v>44</v>
      </c>
      <c r="F2252" s="0" t="s">
        <v>49</v>
      </c>
      <c r="G2252" s="0" t="s">
        <v>11100</v>
      </c>
      <c r="I2252" s="6" t="n">
        <v>0.583333333333333</v>
      </c>
      <c r="J2252" s="6" t="n">
        <v>0.59375</v>
      </c>
      <c r="L2252" s="0" t="n">
        <v>50</v>
      </c>
      <c r="M2252" s="0" t="s">
        <v>11568</v>
      </c>
      <c r="N2252" s="0" t="s">
        <v>11569</v>
      </c>
      <c r="P2252" s="0" t="s">
        <v>11570</v>
      </c>
      <c r="Q2252" s="2" t="n">
        <v>43768</v>
      </c>
      <c r="S2252" s="0" t="n">
        <f aca="false">YEAR(Q2252)</f>
        <v>2019</v>
      </c>
      <c r="T2252" s="0" t="n">
        <f aca="false">MONTH(Q2252)</f>
        <v>10</v>
      </c>
    </row>
    <row r="2253" customFormat="false" ht="14.25" hidden="true" customHeight="false" outlineLevel="0" collapsed="false">
      <c r="A2253" s="0" t="n">
        <v>2264</v>
      </c>
      <c r="B2253" s="1" t="s">
        <v>1330</v>
      </c>
      <c r="C2253" s="1" t="s">
        <v>1503</v>
      </c>
      <c r="D2253" s="1" t="s">
        <v>1535</v>
      </c>
      <c r="E2253" s="0" t="s">
        <v>44</v>
      </c>
      <c r="F2253" s="0" t="s">
        <v>49</v>
      </c>
      <c r="G2253" s="0" t="s">
        <v>11571</v>
      </c>
      <c r="I2253" s="6" t="n">
        <v>0.623611111111111</v>
      </c>
      <c r="J2253" s="6" t="n">
        <v>0.625</v>
      </c>
      <c r="L2253" s="0" t="n">
        <v>8</v>
      </c>
      <c r="M2253" s="0" t="s">
        <v>11572</v>
      </c>
      <c r="N2253" s="0" t="s">
        <v>11573</v>
      </c>
      <c r="P2253" s="0" t="s">
        <v>11574</v>
      </c>
      <c r="Q2253" s="2" t="n">
        <v>43768</v>
      </c>
      <c r="S2253" s="0" t="n">
        <f aca="false">YEAR(Q2253)</f>
        <v>2019</v>
      </c>
      <c r="T2253" s="0" t="n">
        <f aca="false">MONTH(Q2253)</f>
        <v>10</v>
      </c>
    </row>
    <row r="2254" customFormat="false" ht="14.25" hidden="true" customHeight="false" outlineLevel="0" collapsed="false">
      <c r="A2254" s="0" t="n">
        <v>2265</v>
      </c>
      <c r="B2254" s="1" t="s">
        <v>1330</v>
      </c>
      <c r="C2254" s="1" t="s">
        <v>1479</v>
      </c>
      <c r="D2254" s="1" t="s">
        <v>1496</v>
      </c>
      <c r="E2254" s="0" t="s">
        <v>38</v>
      </c>
      <c r="F2254" s="0" t="s">
        <v>49</v>
      </c>
      <c r="G2254" s="0" t="s">
        <v>11575</v>
      </c>
      <c r="K2254" s="0" t="n">
        <v>28</v>
      </c>
      <c r="M2254" s="0" t="s">
        <v>11576</v>
      </c>
      <c r="N2254" s="0" t="s">
        <v>11577</v>
      </c>
      <c r="P2254" s="0" t="s">
        <v>11578</v>
      </c>
      <c r="Q2254" s="2" t="n">
        <v>43768</v>
      </c>
      <c r="S2254" s="0" t="n">
        <f aca="false">YEAR(Q2254)</f>
        <v>2019</v>
      </c>
      <c r="T2254" s="0" t="n">
        <f aca="false">MONTH(Q2254)</f>
        <v>10</v>
      </c>
    </row>
    <row r="2255" customFormat="false" ht="14.25" hidden="true" customHeight="false" outlineLevel="0" collapsed="false">
      <c r="A2255" s="0" t="n">
        <v>2266</v>
      </c>
      <c r="B2255" s="1" t="s">
        <v>1331</v>
      </c>
      <c r="C2255" s="1" t="s">
        <v>1503</v>
      </c>
      <c r="D2255" s="1" t="s">
        <v>1535</v>
      </c>
      <c r="E2255" s="0" t="s">
        <v>1503</v>
      </c>
      <c r="F2255" s="0" t="s">
        <v>48</v>
      </c>
      <c r="G2255" s="0" t="s">
        <v>11579</v>
      </c>
      <c r="I2255" s="6" t="n">
        <v>0.25</v>
      </c>
      <c r="J2255" s="6" t="n">
        <v>0.276388888888889</v>
      </c>
      <c r="K2255" s="0" t="n">
        <v>0</v>
      </c>
      <c r="L2255" s="0" t="n">
        <v>50</v>
      </c>
      <c r="M2255" s="0" t="s">
        <v>11580</v>
      </c>
      <c r="N2255" s="0" t="s">
        <v>11581</v>
      </c>
      <c r="P2255" s="0" t="s">
        <v>11582</v>
      </c>
      <c r="Q2255" s="2" t="n">
        <v>43769</v>
      </c>
      <c r="S2255" s="0" t="n">
        <f aca="false">YEAR(Q2255)</f>
        <v>2019</v>
      </c>
      <c r="T2255" s="0" t="n">
        <f aca="false">MONTH(Q2255)</f>
        <v>10</v>
      </c>
    </row>
    <row r="2256" customFormat="false" ht="14.25" hidden="true" customHeight="false" outlineLevel="0" collapsed="false">
      <c r="A2256" s="0" t="n">
        <v>2267</v>
      </c>
      <c r="B2256" s="1" t="s">
        <v>1331</v>
      </c>
      <c r="C2256" s="1" t="s">
        <v>1479</v>
      </c>
      <c r="D2256" s="1" t="s">
        <v>1535</v>
      </c>
      <c r="E2256" s="0" t="s">
        <v>39</v>
      </c>
      <c r="F2256" s="0" t="s">
        <v>48</v>
      </c>
      <c r="G2256" s="0" t="s">
        <v>11583</v>
      </c>
      <c r="I2256" s="6" t="n">
        <v>0.518055555555556</v>
      </c>
      <c r="J2256" s="6" t="n">
        <v>0.526388888888889</v>
      </c>
      <c r="K2256" s="0" t="n">
        <v>13</v>
      </c>
      <c r="L2256" s="0" t="n">
        <v>40</v>
      </c>
      <c r="M2256" s="0" t="s">
        <v>11584</v>
      </c>
      <c r="N2256" s="0" t="s">
        <v>7941</v>
      </c>
      <c r="P2256" s="0" t="s">
        <v>11585</v>
      </c>
      <c r="Q2256" s="2" t="n">
        <v>43769</v>
      </c>
      <c r="S2256" s="0" t="n">
        <f aca="false">YEAR(Q2256)</f>
        <v>2019</v>
      </c>
      <c r="T2256" s="0" t="n">
        <f aca="false">MONTH(Q2256)</f>
        <v>10</v>
      </c>
    </row>
    <row r="2257" customFormat="false" ht="14.25" hidden="true" customHeight="false" outlineLevel="0" collapsed="false">
      <c r="A2257" s="0" t="n">
        <v>2268</v>
      </c>
      <c r="B2257" s="1" t="s">
        <v>1333</v>
      </c>
      <c r="C2257" s="1" t="s">
        <v>1479</v>
      </c>
      <c r="D2257" s="1" t="s">
        <v>1535</v>
      </c>
      <c r="E2257" s="0" t="s">
        <v>39</v>
      </c>
      <c r="F2257" s="0" t="s">
        <v>48</v>
      </c>
      <c r="G2257" s="0" t="s">
        <v>11586</v>
      </c>
      <c r="I2257" s="6" t="n">
        <v>0.253472222222222</v>
      </c>
      <c r="J2257" s="6" t="n">
        <v>0.260416666666667</v>
      </c>
      <c r="K2257" s="0" t="n">
        <v>0</v>
      </c>
      <c r="M2257" s="0" t="s">
        <v>11587</v>
      </c>
      <c r="N2257" s="0" t="s">
        <v>11588</v>
      </c>
      <c r="P2257" s="0" t="s">
        <v>11589</v>
      </c>
      <c r="Q2257" s="2" t="n">
        <v>43773</v>
      </c>
      <c r="S2257" s="0" t="n">
        <f aca="false">YEAR(Q2257)</f>
        <v>2019</v>
      </c>
      <c r="T2257" s="0" t="n">
        <f aca="false">MONTH(Q2257)</f>
        <v>11</v>
      </c>
    </row>
    <row r="2258" customFormat="false" ht="14.25" hidden="true" customHeight="false" outlineLevel="0" collapsed="false">
      <c r="A2258" s="0" t="n">
        <v>2269</v>
      </c>
      <c r="B2258" s="1" t="s">
        <v>1333</v>
      </c>
      <c r="C2258" s="1" t="s">
        <v>1495</v>
      </c>
      <c r="D2258" s="1" t="s">
        <v>1535</v>
      </c>
      <c r="E2258" s="0" t="s">
        <v>11590</v>
      </c>
      <c r="F2258" s="0" t="s">
        <v>48</v>
      </c>
      <c r="G2258" s="0" t="s">
        <v>11591</v>
      </c>
      <c r="I2258" s="6" t="n">
        <v>0.253472222222222</v>
      </c>
      <c r="J2258" s="6" t="n">
        <v>0.260416666666667</v>
      </c>
      <c r="K2258" s="0" t="n">
        <v>0</v>
      </c>
      <c r="L2258" s="0" t="n">
        <v>160</v>
      </c>
      <c r="M2258" s="0" t="s">
        <v>11592</v>
      </c>
      <c r="N2258" s="0" t="s">
        <v>11593</v>
      </c>
      <c r="P2258" s="0" t="s">
        <v>11594</v>
      </c>
      <c r="Q2258" s="2" t="n">
        <v>43773</v>
      </c>
      <c r="S2258" s="0" t="n">
        <f aca="false">YEAR(Q2258)</f>
        <v>2019</v>
      </c>
      <c r="T2258" s="0" t="n">
        <f aca="false">MONTH(Q2258)</f>
        <v>11</v>
      </c>
    </row>
    <row r="2259" customFormat="false" ht="14.25" hidden="true" customHeight="false" outlineLevel="0" collapsed="false">
      <c r="A2259" s="0" t="n">
        <v>2270</v>
      </c>
      <c r="B2259" s="1" t="s">
        <v>1333</v>
      </c>
      <c r="C2259" s="1" t="s">
        <v>1479</v>
      </c>
      <c r="D2259" s="1" t="s">
        <v>1496</v>
      </c>
      <c r="E2259" s="0" t="s">
        <v>38</v>
      </c>
      <c r="F2259" s="0" t="s">
        <v>48</v>
      </c>
      <c r="G2259" s="0" t="s">
        <v>11595</v>
      </c>
      <c r="I2259" s="6" t="n">
        <v>0.291666666666667</v>
      </c>
      <c r="J2259" s="6" t="n">
        <v>0.306944444444444</v>
      </c>
      <c r="K2259" s="0" t="n">
        <v>20</v>
      </c>
      <c r="L2259" s="0" t="n">
        <v>60</v>
      </c>
      <c r="M2259" s="0" t="s">
        <v>11596</v>
      </c>
      <c r="N2259" s="0" t="s">
        <v>11597</v>
      </c>
      <c r="P2259" s="0" t="s">
        <v>11598</v>
      </c>
      <c r="Q2259" s="2" t="n">
        <v>43773</v>
      </c>
      <c r="S2259" s="0" t="n">
        <f aca="false">YEAR(Q2259)</f>
        <v>2019</v>
      </c>
      <c r="T2259" s="0" t="n">
        <f aca="false">MONTH(Q2259)</f>
        <v>11</v>
      </c>
    </row>
    <row r="2260" customFormat="false" ht="14.25" hidden="true" customHeight="false" outlineLevel="0" collapsed="false">
      <c r="A2260" s="0" t="n">
        <v>2271</v>
      </c>
      <c r="B2260" s="1" t="s">
        <v>1333</v>
      </c>
      <c r="C2260" s="1" t="s">
        <v>1479</v>
      </c>
      <c r="D2260" s="1" t="s">
        <v>1487</v>
      </c>
      <c r="E2260" s="0" t="s">
        <v>1488</v>
      </c>
      <c r="F2260" s="0" t="s">
        <v>49</v>
      </c>
      <c r="G2260" s="0" t="s">
        <v>11599</v>
      </c>
      <c r="I2260" s="6" t="n">
        <v>0.638194444444444</v>
      </c>
      <c r="J2260" s="6" t="n">
        <v>0.650694444444444</v>
      </c>
      <c r="L2260" s="0" t="n">
        <v>25</v>
      </c>
      <c r="M2260" s="0" t="s">
        <v>10420</v>
      </c>
      <c r="N2260" s="0" t="s">
        <v>11600</v>
      </c>
      <c r="P2260" s="0" t="s">
        <v>11601</v>
      </c>
      <c r="Q2260" s="2" t="n">
        <v>43773</v>
      </c>
      <c r="S2260" s="0" t="n">
        <f aca="false">YEAR(Q2260)</f>
        <v>2019</v>
      </c>
      <c r="T2260" s="0" t="n">
        <f aca="false">MONTH(Q2260)</f>
        <v>11</v>
      </c>
    </row>
    <row r="2261" customFormat="false" ht="14.25" hidden="true" customHeight="false" outlineLevel="0" collapsed="false">
      <c r="A2261" s="0" t="n">
        <v>2272</v>
      </c>
      <c r="B2261" s="1" t="s">
        <v>1333</v>
      </c>
      <c r="C2261" s="1" t="s">
        <v>1479</v>
      </c>
      <c r="D2261" s="1" t="s">
        <v>1496</v>
      </c>
      <c r="E2261" s="0" t="s">
        <v>38</v>
      </c>
      <c r="F2261" s="0" t="s">
        <v>50</v>
      </c>
      <c r="G2261" s="0" t="s">
        <v>7963</v>
      </c>
      <c r="I2261" s="6" t="n">
        <v>0.923611111111111</v>
      </c>
      <c r="J2261" s="6" t="n">
        <v>0.951388888888889</v>
      </c>
      <c r="M2261" s="0" t="s">
        <v>11602</v>
      </c>
      <c r="N2261" s="0" t="s">
        <v>11603</v>
      </c>
      <c r="P2261" s="0" t="s">
        <v>11604</v>
      </c>
      <c r="Q2261" s="2" t="n">
        <v>43773</v>
      </c>
      <c r="S2261" s="0" t="n">
        <f aca="false">YEAR(Q2261)</f>
        <v>2019</v>
      </c>
      <c r="T2261" s="0" t="n">
        <f aca="false">MONTH(Q2261)</f>
        <v>11</v>
      </c>
    </row>
    <row r="2262" customFormat="false" ht="14.25" hidden="true" customHeight="false" outlineLevel="0" collapsed="false">
      <c r="A2262" s="0" t="n">
        <v>2273</v>
      </c>
      <c r="B2262" s="1" t="s">
        <v>1333</v>
      </c>
      <c r="C2262" s="1" t="s">
        <v>1479</v>
      </c>
      <c r="D2262" s="1" t="s">
        <v>1487</v>
      </c>
      <c r="E2262" s="0" t="s">
        <v>1488</v>
      </c>
      <c r="F2262" s="0" t="s">
        <v>50</v>
      </c>
      <c r="G2262" s="0" t="s">
        <v>11605</v>
      </c>
      <c r="I2262" s="6" t="n">
        <v>0.986111111111111</v>
      </c>
      <c r="J2262" s="6" t="n">
        <v>0.5125</v>
      </c>
      <c r="K2262" s="0" t="n">
        <v>190</v>
      </c>
      <c r="L2262" s="0" t="n">
        <v>432</v>
      </c>
      <c r="M2262" s="0" t="s">
        <v>11606</v>
      </c>
      <c r="N2262" s="0" t="s">
        <v>11607</v>
      </c>
      <c r="P2262" s="0" t="s">
        <v>11608</v>
      </c>
      <c r="Q2262" s="2" t="n">
        <v>43773</v>
      </c>
      <c r="S2262" s="0" t="n">
        <f aca="false">YEAR(Q2262)</f>
        <v>2019</v>
      </c>
      <c r="T2262" s="0" t="n">
        <f aca="false">MONTH(Q2262)</f>
        <v>11</v>
      </c>
    </row>
    <row r="2263" customFormat="false" ht="14.25" hidden="true" customHeight="false" outlineLevel="0" collapsed="false">
      <c r="A2263" s="0" t="n">
        <v>2274</v>
      </c>
      <c r="B2263" s="1" t="s">
        <v>1335</v>
      </c>
      <c r="C2263" s="1" t="s">
        <v>1479</v>
      </c>
      <c r="D2263" s="1" t="s">
        <v>1496</v>
      </c>
      <c r="E2263" s="0" t="s">
        <v>38</v>
      </c>
      <c r="F2263" s="0" t="s">
        <v>48</v>
      </c>
      <c r="G2263" s="0" t="s">
        <v>7963</v>
      </c>
      <c r="I2263" s="6" t="n">
        <v>0.923611111111111</v>
      </c>
      <c r="J2263" s="6" t="n">
        <v>0.951388888888889</v>
      </c>
      <c r="M2263" s="0" t="s">
        <v>11602</v>
      </c>
      <c r="N2263" s="0" t="s">
        <v>11603</v>
      </c>
      <c r="P2263" s="0" t="s">
        <v>11609</v>
      </c>
      <c r="Q2263" s="2" t="n">
        <v>43774</v>
      </c>
      <c r="S2263" s="0" t="n">
        <f aca="false">YEAR(Q2263)</f>
        <v>2019</v>
      </c>
      <c r="T2263" s="0" t="n">
        <f aca="false">MONTH(Q2263)</f>
        <v>11</v>
      </c>
    </row>
    <row r="2264" customFormat="false" ht="14.25" hidden="true" customHeight="false" outlineLevel="0" collapsed="false">
      <c r="A2264" s="0" t="n">
        <v>2275</v>
      </c>
      <c r="B2264" s="1" t="s">
        <v>1335</v>
      </c>
      <c r="C2264" s="1" t="s">
        <v>1503</v>
      </c>
      <c r="D2264" s="1" t="s">
        <v>1504</v>
      </c>
      <c r="E2264" s="0" t="s">
        <v>45</v>
      </c>
      <c r="F2264" s="0" t="s">
        <v>48</v>
      </c>
      <c r="G2264" s="0" t="s">
        <v>11610</v>
      </c>
      <c r="I2264" s="6" t="n">
        <v>0.25</v>
      </c>
      <c r="J2264" s="6" t="n">
        <v>0.315277777777778</v>
      </c>
      <c r="K2264" s="0" t="n">
        <v>180</v>
      </c>
      <c r="L2264" s="0" t="n">
        <v>230</v>
      </c>
      <c r="M2264" s="0" t="s">
        <v>11611</v>
      </c>
      <c r="N2264" s="0" t="s">
        <v>11612</v>
      </c>
      <c r="P2264" s="0" t="s">
        <v>11613</v>
      </c>
      <c r="Q2264" s="2" t="n">
        <v>43774</v>
      </c>
      <c r="S2264" s="0" t="n">
        <f aca="false">YEAR(Q2264)</f>
        <v>2019</v>
      </c>
      <c r="T2264" s="0" t="n">
        <f aca="false">MONTH(Q2264)</f>
        <v>11</v>
      </c>
    </row>
    <row r="2265" customFormat="false" ht="14.25" hidden="true" customHeight="false" outlineLevel="0" collapsed="false">
      <c r="A2265" s="0" t="n">
        <v>2276</v>
      </c>
      <c r="B2265" s="1" t="s">
        <v>1335</v>
      </c>
      <c r="C2265" s="1" t="s">
        <v>1495</v>
      </c>
      <c r="D2265" s="1" t="s">
        <v>10235</v>
      </c>
      <c r="E2265" s="0" t="s">
        <v>10236</v>
      </c>
      <c r="F2265" s="0" t="s">
        <v>49</v>
      </c>
      <c r="G2265" s="0" t="s">
        <v>11614</v>
      </c>
      <c r="I2265" s="6" t="n">
        <v>0.822916666666667</v>
      </c>
      <c r="J2265" s="6" t="n">
        <v>0.864583333333333</v>
      </c>
      <c r="L2265" s="0" t="n">
        <v>90</v>
      </c>
      <c r="M2265" s="0" t="s">
        <v>11615</v>
      </c>
      <c r="N2265" s="0" t="s">
        <v>11616</v>
      </c>
      <c r="P2265" s="0" t="s">
        <v>11617</v>
      </c>
      <c r="Q2265" s="2" t="n">
        <v>43774</v>
      </c>
      <c r="S2265" s="0" t="n">
        <f aca="false">YEAR(Q2265)</f>
        <v>2019</v>
      </c>
      <c r="T2265" s="0" t="n">
        <f aca="false">MONTH(Q2265)</f>
        <v>11</v>
      </c>
    </row>
    <row r="2266" customFormat="false" ht="14.25" hidden="true" customHeight="false" outlineLevel="0" collapsed="false">
      <c r="A2266" s="0" t="n">
        <v>2277</v>
      </c>
      <c r="B2266" s="1" t="s">
        <v>1336</v>
      </c>
      <c r="C2266" s="1" t="s">
        <v>1479</v>
      </c>
      <c r="D2266" s="1" t="s">
        <v>1535</v>
      </c>
      <c r="E2266" s="0" t="s">
        <v>39</v>
      </c>
      <c r="F2266" s="0" t="s">
        <v>50</v>
      </c>
      <c r="G2266" s="0" t="s">
        <v>11618</v>
      </c>
      <c r="J2266" s="6" t="n">
        <v>0.125</v>
      </c>
      <c r="K2266" s="0" t="n">
        <v>10</v>
      </c>
      <c r="M2266" s="0" t="s">
        <v>11619</v>
      </c>
      <c r="N2266" s="0" t="s">
        <v>11620</v>
      </c>
      <c r="P2266" s="0" t="s">
        <v>11621</v>
      </c>
      <c r="Q2266" s="2" t="n">
        <v>43775</v>
      </c>
      <c r="S2266" s="0" t="n">
        <f aca="false">YEAR(Q2266)</f>
        <v>2019</v>
      </c>
      <c r="T2266" s="0" t="n">
        <f aca="false">MONTH(Q2266)</f>
        <v>11</v>
      </c>
    </row>
    <row r="2267" customFormat="false" ht="14.25" hidden="true" customHeight="false" outlineLevel="0" collapsed="false">
      <c r="A2267" s="0" t="n">
        <v>2278</v>
      </c>
      <c r="B2267" s="1" t="s">
        <v>1337</v>
      </c>
      <c r="C2267" s="1" t="s">
        <v>1479</v>
      </c>
      <c r="D2267" s="1" t="s">
        <v>1487</v>
      </c>
      <c r="E2267" s="0" t="s">
        <v>1488</v>
      </c>
      <c r="F2267" s="0" t="s">
        <v>48</v>
      </c>
      <c r="G2267" s="0" t="s">
        <v>11622</v>
      </c>
      <c r="I2267" s="6" t="n">
        <v>0.234027777777778</v>
      </c>
      <c r="J2267" s="6" t="n">
        <v>0.251388888888889</v>
      </c>
      <c r="L2267" s="0" t="n">
        <v>41</v>
      </c>
      <c r="M2267" s="0" t="s">
        <v>11623</v>
      </c>
      <c r="N2267" s="0" t="s">
        <v>11624</v>
      </c>
      <c r="P2267" s="0" t="s">
        <v>11625</v>
      </c>
      <c r="Q2267" s="2" t="n">
        <v>43776</v>
      </c>
      <c r="S2267" s="0" t="n">
        <f aca="false">YEAR(Q2267)</f>
        <v>2019</v>
      </c>
      <c r="T2267" s="0" t="n">
        <f aca="false">MONTH(Q2267)</f>
        <v>11</v>
      </c>
    </row>
    <row r="2268" customFormat="false" ht="14.25" hidden="true" customHeight="false" outlineLevel="0" collapsed="false">
      <c r="A2268" s="0" t="n">
        <v>2279</v>
      </c>
      <c r="B2268" s="1" t="s">
        <v>1337</v>
      </c>
      <c r="C2268" s="1" t="s">
        <v>1479</v>
      </c>
      <c r="D2268" s="1" t="s">
        <v>1496</v>
      </c>
      <c r="E2268" s="0" t="s">
        <v>38</v>
      </c>
      <c r="F2268" s="0" t="s">
        <v>50</v>
      </c>
      <c r="G2268" s="0" t="s">
        <v>11626</v>
      </c>
      <c r="M2268" s="0" t="s">
        <v>11627</v>
      </c>
      <c r="N2268" s="0" t="s">
        <v>11628</v>
      </c>
      <c r="P2268" s="0" t="s">
        <v>11629</v>
      </c>
      <c r="Q2268" s="2" t="n">
        <v>43776</v>
      </c>
      <c r="S2268" s="0" t="n">
        <f aca="false">YEAR(Q2268)</f>
        <v>2019</v>
      </c>
      <c r="T2268" s="0" t="n">
        <f aca="false">MONTH(Q2268)</f>
        <v>11</v>
      </c>
    </row>
    <row r="2269" customFormat="false" ht="14.25" hidden="true" customHeight="false" outlineLevel="0" collapsed="false">
      <c r="A2269" s="0" t="n">
        <v>2280</v>
      </c>
      <c r="B2269" s="1" t="s">
        <v>1338</v>
      </c>
      <c r="C2269" s="1" t="s">
        <v>1479</v>
      </c>
      <c r="D2269" s="1" t="s">
        <v>1487</v>
      </c>
      <c r="E2269" s="0" t="s">
        <v>1488</v>
      </c>
      <c r="F2269" s="0" t="s">
        <v>48</v>
      </c>
      <c r="G2269" s="0" t="s">
        <v>11630</v>
      </c>
      <c r="I2269" s="6" t="n">
        <v>0.541666666666667</v>
      </c>
      <c r="J2269" s="6" t="n">
        <v>0.559027777777778</v>
      </c>
      <c r="L2269" s="0" t="n">
        <v>270</v>
      </c>
      <c r="M2269" s="0" t="s">
        <v>11631</v>
      </c>
      <c r="N2269" s="0" t="s">
        <v>11632</v>
      </c>
      <c r="P2269" s="0" t="s">
        <v>11633</v>
      </c>
      <c r="Q2269" s="2" t="n">
        <v>43777</v>
      </c>
      <c r="S2269" s="0" t="n">
        <f aca="false">YEAR(Q2269)</f>
        <v>2019</v>
      </c>
      <c r="T2269" s="0" t="n">
        <f aca="false">MONTH(Q2269)</f>
        <v>11</v>
      </c>
    </row>
    <row r="2270" customFormat="false" ht="14.25" hidden="true" customHeight="false" outlineLevel="0" collapsed="false">
      <c r="A2270" s="0" t="n">
        <v>2281</v>
      </c>
      <c r="B2270" s="1" t="s">
        <v>1339</v>
      </c>
      <c r="C2270" s="1" t="s">
        <v>1503</v>
      </c>
      <c r="D2270" s="1" t="s">
        <v>1535</v>
      </c>
      <c r="E2270" s="0" t="s">
        <v>1503</v>
      </c>
      <c r="F2270" s="0" t="s">
        <v>50</v>
      </c>
      <c r="G2270" s="0" t="s">
        <v>11634</v>
      </c>
      <c r="J2270" s="6" t="n">
        <v>0.861111111111111</v>
      </c>
      <c r="M2270" s="0" t="s">
        <v>11635</v>
      </c>
      <c r="N2270" s="0" t="s">
        <v>8845</v>
      </c>
      <c r="P2270" s="0" t="s">
        <v>11636</v>
      </c>
      <c r="Q2270" s="2" t="n">
        <v>43779</v>
      </c>
      <c r="S2270" s="0" t="n">
        <f aca="false">YEAR(Q2270)</f>
        <v>2019</v>
      </c>
      <c r="T2270" s="0" t="n">
        <f aca="false">MONTH(Q2270)</f>
        <v>11</v>
      </c>
    </row>
    <row r="2271" customFormat="false" ht="14.25" hidden="true" customHeight="false" outlineLevel="0" collapsed="false">
      <c r="A2271" s="0" t="n">
        <v>2282</v>
      </c>
      <c r="B2271" s="1" t="s">
        <v>1339</v>
      </c>
      <c r="C2271" s="1" t="s">
        <v>1479</v>
      </c>
      <c r="D2271" s="1" t="s">
        <v>1487</v>
      </c>
      <c r="E2271" s="4" t="s">
        <v>1488</v>
      </c>
      <c r="F2271" s="0" t="s">
        <v>50</v>
      </c>
      <c r="G2271" s="0" t="s">
        <v>11637</v>
      </c>
      <c r="I2271" s="6" t="n">
        <v>0.916666666666667</v>
      </c>
      <c r="J2271" s="6" t="n">
        <v>0.95</v>
      </c>
      <c r="K2271" s="0" t="n">
        <v>40</v>
      </c>
      <c r="L2271" s="0" t="n">
        <v>85</v>
      </c>
      <c r="M2271" s="0" t="s">
        <v>11638</v>
      </c>
      <c r="N2271" s="0" t="s">
        <v>11639</v>
      </c>
      <c r="P2271" s="0" t="s">
        <v>11640</v>
      </c>
      <c r="Q2271" s="2" t="n">
        <v>43779</v>
      </c>
      <c r="S2271" s="0" t="n">
        <f aca="false">YEAR(Q2271)</f>
        <v>2019</v>
      </c>
      <c r="T2271" s="0" t="n">
        <f aca="false">MONTH(Q2271)</f>
        <v>11</v>
      </c>
    </row>
    <row r="2272" customFormat="false" ht="14.25" hidden="true" customHeight="false" outlineLevel="0" collapsed="false">
      <c r="A2272" s="0" t="n">
        <v>2283</v>
      </c>
      <c r="B2272" s="1" t="s">
        <v>1339</v>
      </c>
      <c r="C2272" s="1" t="s">
        <v>1479</v>
      </c>
      <c r="D2272" s="1" t="s">
        <v>1535</v>
      </c>
      <c r="E2272" s="0" t="s">
        <v>39</v>
      </c>
      <c r="F2272" s="0" t="s">
        <v>50</v>
      </c>
      <c r="G2272" s="0" t="s">
        <v>8322</v>
      </c>
      <c r="J2272" s="6" t="n">
        <v>0.0972222222222222</v>
      </c>
      <c r="M2272" s="0" t="s">
        <v>11641</v>
      </c>
      <c r="N2272" s="0" t="s">
        <v>11642</v>
      </c>
      <c r="Q2272" s="2" t="n">
        <v>43779</v>
      </c>
      <c r="S2272" s="0" t="n">
        <f aca="false">YEAR(Q2272)</f>
        <v>2019</v>
      </c>
      <c r="T2272" s="0" t="n">
        <f aca="false">MONTH(Q2272)</f>
        <v>11</v>
      </c>
    </row>
    <row r="2273" customFormat="false" ht="14.25" hidden="true" customHeight="false" outlineLevel="0" collapsed="false">
      <c r="A2273" s="0" t="n">
        <v>2284</v>
      </c>
      <c r="B2273" s="1" t="s">
        <v>1340</v>
      </c>
      <c r="C2273" s="1" t="s">
        <v>1479</v>
      </c>
      <c r="D2273" s="1" t="s">
        <v>1535</v>
      </c>
      <c r="E2273" s="0" t="s">
        <v>39</v>
      </c>
      <c r="F2273" s="0" t="s">
        <v>48</v>
      </c>
      <c r="G2273" s="0" t="s">
        <v>9232</v>
      </c>
      <c r="I2273" s="6" t="n">
        <v>0.958333333333333</v>
      </c>
      <c r="J2273" s="6" t="n">
        <v>0.0972222222222222</v>
      </c>
      <c r="K2273" s="0" t="n">
        <v>17</v>
      </c>
      <c r="M2273" s="0" t="s">
        <v>11643</v>
      </c>
      <c r="N2273" s="0" t="s">
        <v>11644</v>
      </c>
      <c r="P2273" s="0" t="s">
        <v>11645</v>
      </c>
      <c r="Q2273" s="2" t="n">
        <v>43780</v>
      </c>
      <c r="S2273" s="0" t="n">
        <f aca="false">YEAR(Q2273)</f>
        <v>2019</v>
      </c>
      <c r="T2273" s="0" t="n">
        <f aca="false">MONTH(Q2273)</f>
        <v>11</v>
      </c>
    </row>
    <row r="2274" customFormat="false" ht="14.25" hidden="true" customHeight="false" outlineLevel="0" collapsed="false">
      <c r="A2274" s="0" t="n">
        <v>2285</v>
      </c>
      <c r="B2274" s="1" t="s">
        <v>1340</v>
      </c>
      <c r="C2274" s="1" t="s">
        <v>1479</v>
      </c>
      <c r="D2274" s="1" t="s">
        <v>1535</v>
      </c>
      <c r="E2274" s="0" t="s">
        <v>39</v>
      </c>
      <c r="F2274" s="0" t="s">
        <v>48</v>
      </c>
      <c r="G2274" s="0" t="s">
        <v>11646</v>
      </c>
      <c r="I2274" s="6" t="n">
        <v>0.4375</v>
      </c>
      <c r="J2274" s="6" t="n">
        <v>0.444444444444444</v>
      </c>
      <c r="K2274" s="0" t="n">
        <v>22</v>
      </c>
      <c r="L2274" s="0" t="n">
        <v>25</v>
      </c>
      <c r="M2274" s="0" t="s">
        <v>11647</v>
      </c>
      <c r="N2274" s="0" t="s">
        <v>11648</v>
      </c>
      <c r="P2274" s="0" t="s">
        <v>11649</v>
      </c>
      <c r="Q2274" s="2" t="n">
        <v>43780</v>
      </c>
      <c r="S2274" s="0" t="n">
        <f aca="false">YEAR(Q2274)</f>
        <v>2019</v>
      </c>
      <c r="T2274" s="0" t="n">
        <f aca="false">MONTH(Q2274)</f>
        <v>11</v>
      </c>
    </row>
    <row r="2275" customFormat="false" ht="14.25" hidden="true" customHeight="false" outlineLevel="0" collapsed="false">
      <c r="A2275" s="0" t="n">
        <v>2286</v>
      </c>
      <c r="B2275" s="1" t="s">
        <v>1340</v>
      </c>
      <c r="C2275" s="1" t="s">
        <v>1503</v>
      </c>
      <c r="D2275" s="1" t="s">
        <v>1535</v>
      </c>
      <c r="E2275" s="0" t="s">
        <v>44</v>
      </c>
      <c r="F2275" s="0" t="s">
        <v>48</v>
      </c>
      <c r="G2275" s="0" t="s">
        <v>11650</v>
      </c>
      <c r="I2275" s="6" t="n">
        <v>0.222222222222222</v>
      </c>
      <c r="J2275" s="6" t="n">
        <v>0.25</v>
      </c>
      <c r="L2275" s="0" t="n">
        <v>8</v>
      </c>
      <c r="M2275" s="0" t="s">
        <v>11651</v>
      </c>
      <c r="N2275" s="0" t="s">
        <v>11652</v>
      </c>
      <c r="P2275" s="0" t="s">
        <v>11653</v>
      </c>
      <c r="Q2275" s="2" t="n">
        <v>43780</v>
      </c>
      <c r="S2275" s="0" t="n">
        <f aca="false">YEAR(Q2275)</f>
        <v>2019</v>
      </c>
      <c r="T2275" s="0" t="n">
        <f aca="false">MONTH(Q2275)</f>
        <v>11</v>
      </c>
    </row>
    <row r="2276" customFormat="false" ht="14.25" hidden="true" customHeight="false" outlineLevel="0" collapsed="false">
      <c r="A2276" s="0" t="n">
        <v>2287</v>
      </c>
      <c r="B2276" s="1" t="s">
        <v>1340</v>
      </c>
      <c r="C2276" s="1" t="s">
        <v>1479</v>
      </c>
      <c r="D2276" s="1" t="s">
        <v>1496</v>
      </c>
      <c r="E2276" s="0" t="s">
        <v>38</v>
      </c>
      <c r="F2276" s="0" t="s">
        <v>49</v>
      </c>
      <c r="G2276" s="0" t="s">
        <v>11654</v>
      </c>
      <c r="I2276" s="6" t="n">
        <v>0.652777777777778</v>
      </c>
      <c r="J2276" s="6" t="n">
        <v>0.656944444444444</v>
      </c>
      <c r="K2276" s="0" t="n">
        <v>17</v>
      </c>
      <c r="L2276" s="0" t="n">
        <v>16</v>
      </c>
      <c r="M2276" s="0" t="s">
        <v>11655</v>
      </c>
      <c r="N2276" s="0" t="s">
        <v>11656</v>
      </c>
      <c r="P2276" s="0" t="s">
        <v>11657</v>
      </c>
      <c r="Q2276" s="2" t="n">
        <v>43780</v>
      </c>
      <c r="S2276" s="0" t="n">
        <f aca="false">YEAR(Q2276)</f>
        <v>2019</v>
      </c>
      <c r="T2276" s="0" t="n">
        <f aca="false">MONTH(Q2276)</f>
        <v>11</v>
      </c>
    </row>
    <row r="2277" customFormat="false" ht="14.25" hidden="true" customHeight="false" outlineLevel="0" collapsed="false">
      <c r="A2277" s="0" t="n">
        <v>2288</v>
      </c>
      <c r="B2277" s="1" t="s">
        <v>1341</v>
      </c>
      <c r="C2277" s="1" t="s">
        <v>1479</v>
      </c>
      <c r="D2277" s="1" t="s">
        <v>1487</v>
      </c>
      <c r="E2277" s="0" t="s">
        <v>1488</v>
      </c>
      <c r="F2277" s="0" t="s">
        <v>48</v>
      </c>
      <c r="G2277" s="0" t="s">
        <v>11658</v>
      </c>
      <c r="I2277" s="6" t="n">
        <v>0.225</v>
      </c>
      <c r="J2277" s="6" t="n">
        <v>0.232638888888889</v>
      </c>
      <c r="L2277" s="0" t="n">
        <v>78</v>
      </c>
      <c r="M2277" s="0" t="s">
        <v>11659</v>
      </c>
      <c r="N2277" s="0" t="s">
        <v>11660</v>
      </c>
      <c r="P2277" s="0" t="s">
        <v>11661</v>
      </c>
      <c r="Q2277" s="2" t="n">
        <v>43781</v>
      </c>
      <c r="S2277" s="0" t="n">
        <f aca="false">YEAR(Q2277)</f>
        <v>2019</v>
      </c>
      <c r="T2277" s="0" t="n">
        <f aca="false">MONTH(Q2277)</f>
        <v>11</v>
      </c>
    </row>
    <row r="2278" customFormat="false" ht="14.25" hidden="true" customHeight="false" outlineLevel="0" collapsed="false">
      <c r="A2278" s="0" t="n">
        <v>2289</v>
      </c>
      <c r="B2278" s="1" t="s">
        <v>1341</v>
      </c>
      <c r="C2278" s="1" t="s">
        <v>1503</v>
      </c>
      <c r="D2278" s="1" t="s">
        <v>1504</v>
      </c>
      <c r="E2278" s="0" t="s">
        <v>45</v>
      </c>
      <c r="F2278" s="0" t="s">
        <v>48</v>
      </c>
      <c r="G2278" s="0" t="s">
        <v>11662</v>
      </c>
      <c r="J2278" s="6" t="n">
        <v>0.333333333333333</v>
      </c>
      <c r="M2278" s="0" t="s">
        <v>11663</v>
      </c>
      <c r="N2278" s="0" t="s">
        <v>11664</v>
      </c>
      <c r="P2278" s="0" t="s">
        <v>11665</v>
      </c>
      <c r="Q2278" s="2" t="n">
        <v>43781</v>
      </c>
      <c r="S2278" s="0" t="n">
        <f aca="false">YEAR(Q2278)</f>
        <v>2019</v>
      </c>
      <c r="T2278" s="0" t="n">
        <f aca="false">MONTH(Q2278)</f>
        <v>11</v>
      </c>
    </row>
    <row r="2279" customFormat="false" ht="14.25" hidden="true" customHeight="false" outlineLevel="0" collapsed="false">
      <c r="A2279" s="0" t="n">
        <v>2290</v>
      </c>
      <c r="B2279" s="1" t="s">
        <v>1342</v>
      </c>
      <c r="C2279" s="1" t="s">
        <v>1479</v>
      </c>
      <c r="D2279" s="1" t="s">
        <v>1496</v>
      </c>
      <c r="E2279" s="0" t="s">
        <v>38</v>
      </c>
      <c r="F2279" s="0" t="s">
        <v>50</v>
      </c>
      <c r="G2279" s="0" t="s">
        <v>11666</v>
      </c>
      <c r="J2279" s="6" t="n">
        <v>0.0416666666666667</v>
      </c>
      <c r="K2279" s="0" t="n">
        <v>32</v>
      </c>
      <c r="L2279" s="0" t="n">
        <v>70</v>
      </c>
      <c r="M2279" s="0" t="s">
        <v>11667</v>
      </c>
      <c r="N2279" s="0" t="s">
        <v>11668</v>
      </c>
      <c r="P2279" s="0" t="s">
        <v>11669</v>
      </c>
      <c r="Q2279" s="2" t="n">
        <v>43782</v>
      </c>
      <c r="S2279" s="0" t="n">
        <f aca="false">YEAR(Q2279)</f>
        <v>2019</v>
      </c>
      <c r="T2279" s="0" t="n">
        <f aca="false">MONTH(Q2279)</f>
        <v>11</v>
      </c>
    </row>
    <row r="2280" customFormat="false" ht="14.25" hidden="true" customHeight="false" outlineLevel="0" collapsed="false">
      <c r="A2280" s="0" t="n">
        <v>2292</v>
      </c>
      <c r="B2280" s="1" t="s">
        <v>978</v>
      </c>
      <c r="C2280" s="1" t="s">
        <v>1479</v>
      </c>
      <c r="D2280" s="1" t="s">
        <v>1487</v>
      </c>
      <c r="E2280" s="0" t="s">
        <v>1488</v>
      </c>
      <c r="F2280" s="0" t="s">
        <v>49</v>
      </c>
      <c r="G2280" s="0" t="s">
        <v>3806</v>
      </c>
      <c r="I2280" s="6" t="n">
        <v>0.65625</v>
      </c>
      <c r="J2280" s="6" t="n">
        <v>0.659722222222222</v>
      </c>
      <c r="L2280" s="0" t="n">
        <v>40</v>
      </c>
      <c r="M2280" s="0" t="s">
        <v>11670</v>
      </c>
      <c r="N2280" s="0" t="s">
        <v>11671</v>
      </c>
      <c r="P2280" s="0" t="s">
        <v>7997</v>
      </c>
      <c r="Q2280" s="2" t="n">
        <v>43381</v>
      </c>
      <c r="S2280" s="0" t="n">
        <f aca="false">YEAR(Q2280)</f>
        <v>2018</v>
      </c>
      <c r="T2280" s="0" t="n">
        <f aca="false">MONTH(Q2280)</f>
        <v>10</v>
      </c>
    </row>
    <row r="2281" customFormat="false" ht="14.25" hidden="true" customHeight="false" outlineLevel="0" collapsed="false">
      <c r="A2281" s="0" t="n">
        <v>2293</v>
      </c>
      <c r="B2281" s="1" t="s">
        <v>978</v>
      </c>
      <c r="C2281" s="1" t="s">
        <v>1479</v>
      </c>
      <c r="D2281" s="1" t="s">
        <v>1535</v>
      </c>
      <c r="E2281" s="0" t="s">
        <v>39</v>
      </c>
      <c r="F2281" s="0" t="s">
        <v>49</v>
      </c>
      <c r="I2281" s="6" t="n">
        <v>0.75</v>
      </c>
      <c r="J2281" s="6" t="n">
        <v>0.753472222222222</v>
      </c>
      <c r="L2281" s="0" t="n">
        <v>30</v>
      </c>
      <c r="M2281" s="0" t="s">
        <v>7999</v>
      </c>
      <c r="N2281" s="0" t="s">
        <v>8000</v>
      </c>
      <c r="P2281" s="0" t="s">
        <v>8001</v>
      </c>
      <c r="Q2281" s="2" t="n">
        <v>43381</v>
      </c>
      <c r="S2281" s="0" t="n">
        <f aca="false">YEAR(Q2281)</f>
        <v>2018</v>
      </c>
      <c r="T2281" s="0" t="n">
        <f aca="false">MONTH(Q2281)</f>
        <v>10</v>
      </c>
    </row>
    <row r="2282" customFormat="false" ht="14.25" hidden="true" customHeight="false" outlineLevel="0" collapsed="false">
      <c r="A2282" s="0" t="n">
        <v>2294</v>
      </c>
      <c r="B2282" s="1" t="s">
        <v>978</v>
      </c>
      <c r="C2282" s="1" t="s">
        <v>1479</v>
      </c>
      <c r="D2282" s="1" t="s">
        <v>1487</v>
      </c>
      <c r="E2282" s="0" t="s">
        <v>1488</v>
      </c>
      <c r="F2282" s="0" t="s">
        <v>49</v>
      </c>
      <c r="G2282" s="0" t="s">
        <v>11672</v>
      </c>
      <c r="I2282" s="6" t="n">
        <v>0.809027777777778</v>
      </c>
      <c r="J2282" s="6" t="n">
        <v>0.817361111111111</v>
      </c>
      <c r="L2282" s="0" t="n">
        <v>20</v>
      </c>
      <c r="M2282" s="0" t="s">
        <v>8003</v>
      </c>
      <c r="N2282" s="0" t="s">
        <v>8004</v>
      </c>
      <c r="P2282" s="0" t="s">
        <v>8005</v>
      </c>
      <c r="Q2282" s="2" t="n">
        <v>43381</v>
      </c>
      <c r="S2282" s="0" t="n">
        <f aca="false">YEAR(Q2282)</f>
        <v>2018</v>
      </c>
      <c r="T2282" s="0" t="n">
        <f aca="false">MONTH(Q2282)</f>
        <v>10</v>
      </c>
    </row>
    <row r="2283" customFormat="false" ht="42.75" hidden="true" customHeight="false" outlineLevel="0" collapsed="false">
      <c r="A2283" s="0" t="n">
        <v>2295</v>
      </c>
      <c r="B2283" s="1" t="s">
        <v>978</v>
      </c>
      <c r="C2283" s="1" t="s">
        <v>1503</v>
      </c>
      <c r="D2283" s="1" t="s">
        <v>1648</v>
      </c>
      <c r="E2283" s="0" t="s">
        <v>1648</v>
      </c>
      <c r="F2283" s="0" t="s">
        <v>49</v>
      </c>
      <c r="G2283" s="0" t="s">
        <v>11673</v>
      </c>
      <c r="I2283" s="6" t="n">
        <v>0</v>
      </c>
      <c r="J2283" s="6" t="n">
        <v>0.909722222222222</v>
      </c>
      <c r="M2283" s="0" t="s">
        <v>8007</v>
      </c>
      <c r="N2283" s="0" t="s">
        <v>11674</v>
      </c>
      <c r="P2283" s="7" t="s">
        <v>11675</v>
      </c>
      <c r="Q2283" s="2" t="n">
        <v>43381</v>
      </c>
      <c r="S2283" s="0" t="n">
        <f aca="false">YEAR(Q2283)</f>
        <v>2018</v>
      </c>
      <c r="T2283" s="0" t="n">
        <f aca="false">MONTH(Q2283)</f>
        <v>10</v>
      </c>
    </row>
    <row r="2284" customFormat="false" ht="14.25" hidden="true" customHeight="false" outlineLevel="0" collapsed="false">
      <c r="A2284" s="0" t="n">
        <v>2296</v>
      </c>
      <c r="B2284" s="1" t="s">
        <v>1002</v>
      </c>
      <c r="C2284" s="1" t="s">
        <v>1479</v>
      </c>
      <c r="D2284" s="1" t="s">
        <v>1863</v>
      </c>
      <c r="E2284" s="0" t="s">
        <v>1863</v>
      </c>
      <c r="F2284" s="0" t="s">
        <v>50</v>
      </c>
      <c r="G2284" s="0" t="s">
        <v>11676</v>
      </c>
      <c r="J2284" s="6" t="n">
        <v>0.0840277777777778</v>
      </c>
      <c r="M2284" s="0" t="s">
        <v>11677</v>
      </c>
      <c r="N2284" s="0" t="s">
        <v>11678</v>
      </c>
      <c r="P2284" s="0" t="s">
        <v>11679</v>
      </c>
      <c r="Q2284" s="2" t="n">
        <v>43402</v>
      </c>
      <c r="S2284" s="0" t="n">
        <f aca="false">YEAR(Q2284)</f>
        <v>2018</v>
      </c>
      <c r="T2284" s="0" t="n">
        <f aca="false">MONTH(Q2284)</f>
        <v>10</v>
      </c>
    </row>
    <row r="2285" customFormat="false" ht="14.25" hidden="true" customHeight="false" outlineLevel="0" collapsed="false">
      <c r="A2285" s="0" t="n">
        <v>2297</v>
      </c>
      <c r="B2285" s="1" t="s">
        <v>1002</v>
      </c>
      <c r="C2285" s="1" t="s">
        <v>1479</v>
      </c>
      <c r="D2285" s="1" t="s">
        <v>1480</v>
      </c>
      <c r="E2285" s="0" t="s">
        <v>43</v>
      </c>
      <c r="F2285" s="0" t="s">
        <v>50</v>
      </c>
      <c r="G2285" s="0" t="s">
        <v>11680</v>
      </c>
      <c r="I2285" s="6" t="n">
        <v>0.147916666666667</v>
      </c>
      <c r="J2285" s="6" t="n">
        <v>0.1875</v>
      </c>
      <c r="L2285" s="0" t="n">
        <v>95</v>
      </c>
      <c r="M2285" s="0" t="s">
        <v>11681</v>
      </c>
      <c r="N2285" s="0" t="s">
        <v>11682</v>
      </c>
      <c r="P2285" s="0" t="s">
        <v>11683</v>
      </c>
      <c r="Q2285" s="2" t="n">
        <v>43402</v>
      </c>
      <c r="S2285" s="0" t="n">
        <f aca="false">YEAR(Q2285)</f>
        <v>2018</v>
      </c>
      <c r="T2285" s="0" t="n">
        <f aca="false">MONTH(Q2285)</f>
        <v>10</v>
      </c>
    </row>
    <row r="2286" customFormat="false" ht="14.25" hidden="true" customHeight="false" outlineLevel="0" collapsed="false">
      <c r="A2286" s="0" t="n">
        <v>2298</v>
      </c>
      <c r="B2286" s="1" t="s">
        <v>1345</v>
      </c>
      <c r="C2286" s="1" t="s">
        <v>1479</v>
      </c>
      <c r="D2286" s="1" t="s">
        <v>1487</v>
      </c>
      <c r="E2286" s="0" t="s">
        <v>1488</v>
      </c>
      <c r="F2286" s="0" t="s">
        <v>49</v>
      </c>
      <c r="G2286" s="0" t="s">
        <v>9326</v>
      </c>
      <c r="I2286" s="6" t="n">
        <v>0.774305555555555</v>
      </c>
      <c r="J2286" s="6" t="n">
        <v>0.791666666666667</v>
      </c>
      <c r="L2286" s="0" t="n">
        <v>45</v>
      </c>
      <c r="M2286" s="0" t="s">
        <v>11684</v>
      </c>
      <c r="N2286" s="0" t="s">
        <v>11685</v>
      </c>
      <c r="P2286" s="0" t="s">
        <v>11686</v>
      </c>
      <c r="Q2286" s="2" t="n">
        <v>43783</v>
      </c>
      <c r="S2286" s="0" t="n">
        <f aca="false">YEAR(Q2286)</f>
        <v>2019</v>
      </c>
      <c r="T2286" s="0" t="n">
        <f aca="false">MONTH(Q2286)</f>
        <v>11</v>
      </c>
    </row>
    <row r="2287" customFormat="false" ht="14.25" hidden="true" customHeight="false" outlineLevel="0" collapsed="false">
      <c r="A2287" s="0" t="n">
        <v>2299</v>
      </c>
      <c r="B2287" s="1" t="s">
        <v>1346</v>
      </c>
      <c r="C2287" s="1" t="s">
        <v>1479</v>
      </c>
      <c r="D2287" s="1" t="s">
        <v>1496</v>
      </c>
      <c r="E2287" s="0" t="s">
        <v>38</v>
      </c>
      <c r="F2287" s="0" t="s">
        <v>48</v>
      </c>
      <c r="G2287" s="0" t="s">
        <v>11687</v>
      </c>
      <c r="J2287" s="6" t="n">
        <v>0.256944444444444</v>
      </c>
      <c r="L2287" s="0" t="n">
        <v>300</v>
      </c>
      <c r="M2287" s="0" t="s">
        <v>11688</v>
      </c>
      <c r="N2287" s="0" t="s">
        <v>11689</v>
      </c>
      <c r="P2287" s="0" t="s">
        <v>4417</v>
      </c>
      <c r="Q2287" s="2" t="n">
        <v>43788</v>
      </c>
      <c r="S2287" s="0" t="n">
        <f aca="false">YEAR(Q2287)</f>
        <v>2019</v>
      </c>
      <c r="T2287" s="0" t="n">
        <f aca="false">MONTH(Q2287)</f>
        <v>11</v>
      </c>
    </row>
    <row r="2288" customFormat="false" ht="14.25" hidden="true" customHeight="false" outlineLevel="0" collapsed="false">
      <c r="A2288" s="0" t="n">
        <v>2300</v>
      </c>
      <c r="B2288" s="1" t="s">
        <v>1346</v>
      </c>
      <c r="C2288" s="1" t="s">
        <v>1479</v>
      </c>
      <c r="D2288" s="1" t="s">
        <v>1480</v>
      </c>
      <c r="E2288" s="0" t="s">
        <v>43</v>
      </c>
      <c r="F2288" s="0" t="s">
        <v>49</v>
      </c>
      <c r="G2288" s="0" t="s">
        <v>11690</v>
      </c>
      <c r="I2288" s="6" t="n">
        <v>0.611111111111111</v>
      </c>
      <c r="J2288" s="6" t="n">
        <v>0.652777777777778</v>
      </c>
      <c r="K2288" s="0" t="n">
        <v>0</v>
      </c>
      <c r="L2288" s="0" t="n">
        <v>70</v>
      </c>
      <c r="M2288" s="0" t="s">
        <v>11691</v>
      </c>
      <c r="N2288" s="0" t="s">
        <v>11692</v>
      </c>
      <c r="P2288" s="0" t="s">
        <v>11693</v>
      </c>
      <c r="Q2288" s="2" t="n">
        <v>43788</v>
      </c>
      <c r="S2288" s="0" t="n">
        <f aca="false">YEAR(Q2288)</f>
        <v>2019</v>
      </c>
      <c r="T2288" s="0" t="n">
        <f aca="false">MONTH(Q2288)</f>
        <v>11</v>
      </c>
    </row>
    <row r="2289" customFormat="false" ht="14.25" hidden="true" customHeight="false" outlineLevel="0" collapsed="false">
      <c r="A2289" s="0" t="n">
        <v>2301</v>
      </c>
      <c r="B2289" s="1" t="s">
        <v>1346</v>
      </c>
      <c r="C2289" s="1" t="s">
        <v>1479</v>
      </c>
      <c r="D2289" s="1" t="s">
        <v>1535</v>
      </c>
      <c r="E2289" s="0" t="s">
        <v>39</v>
      </c>
      <c r="F2289" s="0" t="s">
        <v>49</v>
      </c>
      <c r="G2289" s="0" t="s">
        <v>11694</v>
      </c>
      <c r="I2289" s="6" t="n">
        <v>0.333333333333333</v>
      </c>
      <c r="J2289" s="6" t="n">
        <v>0.673611111111111</v>
      </c>
      <c r="K2289" s="0" t="n">
        <v>5</v>
      </c>
      <c r="L2289" s="0" t="n">
        <v>780</v>
      </c>
      <c r="M2289" s="0" t="s">
        <v>11695</v>
      </c>
      <c r="N2289" s="0" t="s">
        <v>11696</v>
      </c>
      <c r="P2289" s="0" t="s">
        <v>11697</v>
      </c>
      <c r="Q2289" s="2" t="n">
        <v>43788</v>
      </c>
      <c r="S2289" s="0" t="n">
        <f aca="false">YEAR(Q2289)</f>
        <v>2019</v>
      </c>
      <c r="T2289" s="0" t="n">
        <f aca="false">MONTH(Q2289)</f>
        <v>11</v>
      </c>
    </row>
    <row r="2290" customFormat="false" ht="14.25" hidden="true" customHeight="false" outlineLevel="0" collapsed="false">
      <c r="A2290" s="0" t="n">
        <v>2302</v>
      </c>
      <c r="B2290" s="1" t="s">
        <v>1346</v>
      </c>
      <c r="C2290" s="1" t="s">
        <v>1479</v>
      </c>
      <c r="D2290" s="1" t="s">
        <v>1487</v>
      </c>
      <c r="E2290" s="0" t="s">
        <v>1488</v>
      </c>
      <c r="F2290" s="0" t="s">
        <v>50</v>
      </c>
      <c r="G2290" s="0" t="s">
        <v>11698</v>
      </c>
      <c r="J2290" s="6" t="n">
        <v>0.0819444444444444</v>
      </c>
      <c r="L2290" s="0" t="n">
        <v>50</v>
      </c>
      <c r="M2290" s="0" t="s">
        <v>11699</v>
      </c>
      <c r="N2290" s="0" t="s">
        <v>3545</v>
      </c>
      <c r="P2290" s="0" t="s">
        <v>11700</v>
      </c>
      <c r="Q2290" s="2" t="n">
        <v>43788</v>
      </c>
      <c r="S2290" s="0" t="n">
        <f aca="false">YEAR(Q2290)</f>
        <v>2019</v>
      </c>
      <c r="T2290" s="0" t="n">
        <f aca="false">MONTH(Q2290)</f>
        <v>11</v>
      </c>
    </row>
    <row r="2291" customFormat="false" ht="57" hidden="true" customHeight="false" outlineLevel="0" collapsed="false">
      <c r="A2291" s="0" t="n">
        <v>2303</v>
      </c>
      <c r="B2291" s="1" t="s">
        <v>1347</v>
      </c>
      <c r="C2291" s="1" t="s">
        <v>1503</v>
      </c>
      <c r="D2291" s="1" t="s">
        <v>1535</v>
      </c>
      <c r="E2291" s="0" t="s">
        <v>1503</v>
      </c>
      <c r="F2291" s="0" t="s">
        <v>50</v>
      </c>
      <c r="G2291" s="0" t="s">
        <v>1497</v>
      </c>
      <c r="I2291" s="6" t="n">
        <v>0.0104166666666667</v>
      </c>
      <c r="J2291" s="6" t="n">
        <v>0.0125</v>
      </c>
      <c r="L2291" s="0" t="n">
        <v>50</v>
      </c>
      <c r="M2291" s="0" t="s">
        <v>11701</v>
      </c>
      <c r="N2291" s="0" t="s">
        <v>11702</v>
      </c>
      <c r="P2291" s="7" t="s">
        <v>11703</v>
      </c>
      <c r="Q2291" s="2" t="n">
        <v>43789</v>
      </c>
      <c r="S2291" s="0" t="n">
        <f aca="false">YEAR(Q2291)</f>
        <v>2019</v>
      </c>
      <c r="T2291" s="0" t="n">
        <f aca="false">MONTH(Q2291)</f>
        <v>11</v>
      </c>
    </row>
    <row r="2292" customFormat="false" ht="14.25" hidden="true" customHeight="false" outlineLevel="0" collapsed="false">
      <c r="A2292" s="0" t="n">
        <v>2304</v>
      </c>
      <c r="B2292" s="1" t="s">
        <v>1348</v>
      </c>
      <c r="C2292" s="1" t="s">
        <v>1503</v>
      </c>
      <c r="D2292" s="1" t="s">
        <v>1535</v>
      </c>
      <c r="E2292" s="0" t="s">
        <v>44</v>
      </c>
      <c r="F2292" s="0" t="s">
        <v>49</v>
      </c>
      <c r="G2292" s="0" t="s">
        <v>5423</v>
      </c>
      <c r="I2292" s="6" t="n">
        <v>0.5</v>
      </c>
      <c r="J2292" s="6" t="n">
        <v>0.666666666666667</v>
      </c>
      <c r="K2292" s="0" t="n">
        <v>0</v>
      </c>
      <c r="L2292" s="0" t="n">
        <v>420</v>
      </c>
      <c r="M2292" s="0" t="s">
        <v>11704</v>
      </c>
      <c r="N2292" s="0" t="s">
        <v>11705</v>
      </c>
      <c r="P2292" s="0" t="s">
        <v>11706</v>
      </c>
      <c r="Q2292" s="2" t="n">
        <v>43790</v>
      </c>
      <c r="S2292" s="0" t="n">
        <f aca="false">YEAR(Q2292)</f>
        <v>2019</v>
      </c>
      <c r="T2292" s="0" t="n">
        <f aca="false">MONTH(Q2292)</f>
        <v>11</v>
      </c>
    </row>
    <row r="2293" customFormat="false" ht="14.25" hidden="true" customHeight="false" outlineLevel="0" collapsed="false">
      <c r="A2293" s="0" t="n">
        <v>2305</v>
      </c>
      <c r="B2293" s="1" t="s">
        <v>1348</v>
      </c>
      <c r="C2293" s="1" t="s">
        <v>1479</v>
      </c>
      <c r="D2293" s="1" t="s">
        <v>1535</v>
      </c>
      <c r="E2293" s="0" t="s">
        <v>39</v>
      </c>
      <c r="F2293" s="0" t="s">
        <v>49</v>
      </c>
      <c r="G2293" s="0" t="s">
        <v>11707</v>
      </c>
      <c r="I2293" s="6" t="n">
        <v>0.875</v>
      </c>
      <c r="J2293" s="6" t="n">
        <v>0.880555555555556</v>
      </c>
      <c r="K2293" s="0" t="n">
        <v>54</v>
      </c>
      <c r="L2293" s="0" t="n">
        <v>185</v>
      </c>
      <c r="M2293" s="0" t="s">
        <v>11708</v>
      </c>
      <c r="N2293" s="0" t="s">
        <v>11709</v>
      </c>
      <c r="P2293" s="0" t="s">
        <v>11710</v>
      </c>
      <c r="Q2293" s="2" t="n">
        <v>43790</v>
      </c>
      <c r="S2293" s="0" t="n">
        <f aca="false">YEAR(Q2293)</f>
        <v>2019</v>
      </c>
      <c r="T2293" s="0" t="n">
        <f aca="false">MONTH(Q2293)</f>
        <v>11</v>
      </c>
    </row>
    <row r="2294" customFormat="false" ht="14.25" hidden="true" customHeight="false" outlineLevel="0" collapsed="false">
      <c r="A2294" s="0" t="n">
        <v>2306</v>
      </c>
      <c r="B2294" s="1" t="s">
        <v>1350</v>
      </c>
      <c r="C2294" s="1" t="s">
        <v>1479</v>
      </c>
      <c r="D2294" s="1" t="s">
        <v>1487</v>
      </c>
      <c r="E2294" s="4" t="s">
        <v>1488</v>
      </c>
      <c r="F2294" s="0" t="s">
        <v>50</v>
      </c>
      <c r="G2294" s="0" t="s">
        <v>11711</v>
      </c>
      <c r="I2294" s="6" t="n">
        <v>0.986805555555556</v>
      </c>
      <c r="J2294" s="6" t="n">
        <v>0.0118055555555556</v>
      </c>
      <c r="K2294" s="0" t="n">
        <v>30</v>
      </c>
      <c r="L2294" s="0" t="n">
        <v>65</v>
      </c>
      <c r="M2294" s="0" t="s">
        <v>11712</v>
      </c>
      <c r="N2294" s="0" t="s">
        <v>11713</v>
      </c>
      <c r="P2294" s="0" t="s">
        <v>11714</v>
      </c>
      <c r="Q2294" s="2" t="n">
        <v>43793</v>
      </c>
      <c r="S2294" s="0" t="n">
        <f aca="false">YEAR(Q2294)</f>
        <v>2019</v>
      </c>
      <c r="T2294" s="0" t="n">
        <f aca="false">MONTH(Q2294)</f>
        <v>11</v>
      </c>
    </row>
    <row r="2295" customFormat="false" ht="14.25" hidden="true" customHeight="false" outlineLevel="0" collapsed="false">
      <c r="A2295" s="0" t="n">
        <v>2307</v>
      </c>
      <c r="B2295" s="1" t="s">
        <v>1352</v>
      </c>
      <c r="C2295" s="1" t="s">
        <v>1479</v>
      </c>
      <c r="D2295" s="1" t="s">
        <v>1487</v>
      </c>
      <c r="E2295" s="0" t="s">
        <v>1488</v>
      </c>
      <c r="F2295" s="0" t="s">
        <v>49</v>
      </c>
      <c r="G2295" s="0" t="s">
        <v>11715</v>
      </c>
      <c r="I2295" s="6" t="n">
        <v>0.854166666666667</v>
      </c>
      <c r="J2295" s="6" t="n">
        <v>0.871527777777778</v>
      </c>
      <c r="L2295" s="0" t="n">
        <v>56</v>
      </c>
      <c r="M2295" s="0" t="s">
        <v>11716</v>
      </c>
      <c r="N2295" s="0" t="s">
        <v>11717</v>
      </c>
      <c r="P2295" s="0" t="s">
        <v>11718</v>
      </c>
      <c r="Q2295" s="2" t="n">
        <v>43795</v>
      </c>
      <c r="S2295" s="0" t="n">
        <f aca="false">YEAR(Q2295)</f>
        <v>2019</v>
      </c>
      <c r="T2295" s="0" t="n">
        <f aca="false">MONTH(Q2295)</f>
        <v>11</v>
      </c>
    </row>
    <row r="2296" customFormat="false" ht="14.25" hidden="true" customHeight="false" outlineLevel="0" collapsed="false">
      <c r="A2296" s="0" t="n">
        <v>2308</v>
      </c>
      <c r="B2296" s="1" t="s">
        <v>1352</v>
      </c>
      <c r="C2296" s="1" t="s">
        <v>1479</v>
      </c>
      <c r="D2296" s="1" t="s">
        <v>1487</v>
      </c>
      <c r="E2296" s="4" t="s">
        <v>1488</v>
      </c>
      <c r="F2296" s="0" t="s">
        <v>50</v>
      </c>
      <c r="G2296" s="0" t="s">
        <v>11719</v>
      </c>
      <c r="J2296" s="6" t="n">
        <v>0.0173611111111111</v>
      </c>
      <c r="K2296" s="0" t="n">
        <v>11</v>
      </c>
      <c r="L2296" s="0" t="n">
        <v>32</v>
      </c>
      <c r="M2296" s="0" t="s">
        <v>11720</v>
      </c>
      <c r="N2296" s="0" t="s">
        <v>11721</v>
      </c>
      <c r="P2296" s="0" t="s">
        <v>11722</v>
      </c>
      <c r="Q2296" s="2" t="n">
        <v>43795</v>
      </c>
      <c r="S2296" s="0" t="n">
        <f aca="false">YEAR(Q2296)</f>
        <v>2019</v>
      </c>
      <c r="T2296" s="0" t="n">
        <f aca="false">MONTH(Q2296)</f>
        <v>11</v>
      </c>
    </row>
    <row r="2297" customFormat="false" ht="14.25" hidden="true" customHeight="false" outlineLevel="0" collapsed="false">
      <c r="A2297" s="0" t="n">
        <v>2309</v>
      </c>
      <c r="B2297" s="1" t="s">
        <v>1352</v>
      </c>
      <c r="C2297" s="1" t="s">
        <v>1479</v>
      </c>
      <c r="D2297" s="1" t="s">
        <v>1487</v>
      </c>
      <c r="E2297" s="0" t="s">
        <v>1488</v>
      </c>
      <c r="F2297" s="0" t="s">
        <v>50</v>
      </c>
      <c r="G2297" s="0" t="s">
        <v>11723</v>
      </c>
      <c r="J2297" s="6" t="n">
        <v>0.124305555555556</v>
      </c>
      <c r="L2297" s="0" t="n">
        <v>16</v>
      </c>
      <c r="M2297" s="0" t="s">
        <v>11724</v>
      </c>
      <c r="N2297" s="0" t="s">
        <v>11725</v>
      </c>
      <c r="P2297" s="0" t="s">
        <v>11726</v>
      </c>
      <c r="Q2297" s="2" t="n">
        <v>43795</v>
      </c>
      <c r="S2297" s="0" t="n">
        <f aca="false">YEAR(Q2297)</f>
        <v>2019</v>
      </c>
      <c r="T2297" s="0" t="n">
        <f aca="false">MONTH(Q2297)</f>
        <v>11</v>
      </c>
    </row>
    <row r="2298" customFormat="false" ht="14.25" hidden="true" customHeight="false" outlineLevel="0" collapsed="false">
      <c r="A2298" s="0" t="n">
        <v>2310</v>
      </c>
      <c r="B2298" s="1" t="s">
        <v>1353</v>
      </c>
      <c r="C2298" s="1" t="s">
        <v>1503</v>
      </c>
      <c r="D2298" s="1" t="s">
        <v>1535</v>
      </c>
      <c r="E2298" s="0" t="s">
        <v>1503</v>
      </c>
      <c r="F2298" s="0" t="s">
        <v>48</v>
      </c>
      <c r="G2298" s="0" t="s">
        <v>11727</v>
      </c>
      <c r="I2298" s="6" t="n">
        <v>0.291666666666667</v>
      </c>
      <c r="J2298" s="6" t="n">
        <v>0.322222222222222</v>
      </c>
      <c r="L2298" s="0" t="n">
        <v>270</v>
      </c>
      <c r="M2298" s="0" t="s">
        <v>11728</v>
      </c>
      <c r="N2298" s="0" t="s">
        <v>11729</v>
      </c>
      <c r="P2298" s="0" t="s">
        <v>11730</v>
      </c>
      <c r="Q2298" s="2" t="n">
        <v>43796</v>
      </c>
      <c r="S2298" s="0" t="n">
        <f aca="false">YEAR(Q2298)</f>
        <v>2019</v>
      </c>
      <c r="T2298" s="0" t="n">
        <f aca="false">MONTH(Q2298)</f>
        <v>11</v>
      </c>
    </row>
    <row r="2299" customFormat="false" ht="14.25" hidden="true" customHeight="false" outlineLevel="0" collapsed="false">
      <c r="A2299" s="0" t="n">
        <v>2311</v>
      </c>
      <c r="B2299" s="1" t="s">
        <v>1353</v>
      </c>
      <c r="C2299" s="1" t="s">
        <v>1479</v>
      </c>
      <c r="D2299" s="1" t="s">
        <v>1535</v>
      </c>
      <c r="E2299" s="0" t="s">
        <v>39</v>
      </c>
      <c r="F2299" s="0" t="s">
        <v>49</v>
      </c>
      <c r="G2299" s="0" t="s">
        <v>11731</v>
      </c>
      <c r="I2299" s="6" t="n">
        <v>0.625</v>
      </c>
      <c r="J2299" s="6" t="n">
        <v>0.638888888888889</v>
      </c>
      <c r="M2299" s="0" t="s">
        <v>11732</v>
      </c>
      <c r="N2299" s="0" t="s">
        <v>11733</v>
      </c>
      <c r="P2299" s="0" t="s">
        <v>11734</v>
      </c>
      <c r="Q2299" s="2" t="n">
        <v>43796</v>
      </c>
      <c r="S2299" s="0" t="n">
        <f aca="false">YEAR(Q2299)</f>
        <v>2019</v>
      </c>
      <c r="T2299" s="0" t="n">
        <f aca="false">MONTH(Q2299)</f>
        <v>11</v>
      </c>
    </row>
    <row r="2300" customFormat="false" ht="14.25" hidden="true" customHeight="false" outlineLevel="0" collapsed="false">
      <c r="A2300" s="0" t="n">
        <v>2312</v>
      </c>
      <c r="B2300" s="1" t="s">
        <v>1353</v>
      </c>
      <c r="C2300" s="1" t="s">
        <v>1479</v>
      </c>
      <c r="D2300" s="1" t="s">
        <v>1487</v>
      </c>
      <c r="E2300" s="4" t="s">
        <v>1488</v>
      </c>
      <c r="F2300" s="0" t="s">
        <v>50</v>
      </c>
      <c r="G2300" s="0" t="s">
        <v>11735</v>
      </c>
      <c r="I2300" s="6" t="n">
        <v>0.00138888888888889</v>
      </c>
      <c r="J2300" s="6" t="n">
        <v>0.0125</v>
      </c>
      <c r="K2300" s="0" t="n">
        <v>15</v>
      </c>
      <c r="L2300" s="0" t="n">
        <v>25</v>
      </c>
      <c r="M2300" s="0" t="s">
        <v>11736</v>
      </c>
      <c r="N2300" s="0" t="s">
        <v>11737</v>
      </c>
      <c r="P2300" s="0" t="s">
        <v>11738</v>
      </c>
      <c r="Q2300" s="2" t="n">
        <v>43796</v>
      </c>
      <c r="S2300" s="0" t="n">
        <f aca="false">YEAR(Q2300)</f>
        <v>2019</v>
      </c>
      <c r="T2300" s="0" t="n">
        <f aca="false">MONTH(Q2300)</f>
        <v>11</v>
      </c>
    </row>
    <row r="2301" customFormat="false" ht="14.25" hidden="true" customHeight="false" outlineLevel="0" collapsed="false">
      <c r="A2301" s="0" t="n">
        <v>2313</v>
      </c>
      <c r="B2301" s="1" t="s">
        <v>1353</v>
      </c>
      <c r="C2301" s="1" t="s">
        <v>1479</v>
      </c>
      <c r="D2301" s="1" t="s">
        <v>1496</v>
      </c>
      <c r="E2301" s="0" t="s">
        <v>38</v>
      </c>
      <c r="F2301" s="0" t="s">
        <v>50</v>
      </c>
      <c r="G2301" s="0" t="s">
        <v>11739</v>
      </c>
      <c r="I2301" s="6" t="n">
        <v>0.131944444444444</v>
      </c>
      <c r="J2301" s="6" t="n">
        <v>0.135416666666667</v>
      </c>
      <c r="K2301" s="0" t="n">
        <v>4</v>
      </c>
      <c r="L2301" s="0" t="n">
        <v>8</v>
      </c>
      <c r="M2301" s="0" t="s">
        <v>11740</v>
      </c>
      <c r="N2301" s="0" t="s">
        <v>11741</v>
      </c>
      <c r="P2301" s="0" t="s">
        <v>11742</v>
      </c>
      <c r="Q2301" s="2" t="n">
        <v>43796</v>
      </c>
      <c r="S2301" s="0" t="n">
        <f aca="false">YEAR(Q2301)</f>
        <v>2019</v>
      </c>
      <c r="T2301" s="0" t="n">
        <f aca="false">MONTH(Q2301)</f>
        <v>11</v>
      </c>
    </row>
    <row r="2302" customFormat="false" ht="14.25" hidden="true" customHeight="false" outlineLevel="0" collapsed="false">
      <c r="A2302" s="0" t="n">
        <v>2314</v>
      </c>
      <c r="B2302" s="1" t="s">
        <v>1354</v>
      </c>
      <c r="C2302" s="1" t="s">
        <v>1479</v>
      </c>
      <c r="D2302" s="1" t="s">
        <v>1496</v>
      </c>
      <c r="E2302" s="0" t="s">
        <v>38</v>
      </c>
      <c r="F2302" s="0" t="s">
        <v>48</v>
      </c>
      <c r="G2302" s="0" t="s">
        <v>11743</v>
      </c>
      <c r="I2302" s="6" t="n">
        <v>0.493055555555556</v>
      </c>
      <c r="J2302" s="6" t="n">
        <v>0.520833333333333</v>
      </c>
      <c r="M2302" s="0" t="s">
        <v>11744</v>
      </c>
      <c r="N2302" s="0" t="s">
        <v>11745</v>
      </c>
      <c r="P2302" s="0" t="s">
        <v>11746</v>
      </c>
      <c r="Q2302" s="2" t="n">
        <v>43797</v>
      </c>
      <c r="S2302" s="0" t="n">
        <f aca="false">YEAR(Q2302)</f>
        <v>2019</v>
      </c>
      <c r="T2302" s="0" t="n">
        <f aca="false">MONTH(Q2302)</f>
        <v>11</v>
      </c>
    </row>
    <row r="2303" customFormat="false" ht="14.25" hidden="true" customHeight="false" outlineLevel="0" collapsed="false">
      <c r="A2303" s="0" t="n">
        <v>2315</v>
      </c>
      <c r="B2303" s="1" t="s">
        <v>1355</v>
      </c>
      <c r="C2303" s="1" t="s">
        <v>1503</v>
      </c>
      <c r="D2303" s="1" t="s">
        <v>1535</v>
      </c>
      <c r="E2303" s="0" t="s">
        <v>1503</v>
      </c>
      <c r="F2303" s="0" t="s">
        <v>48</v>
      </c>
      <c r="G2303" s="0" t="s">
        <v>11747</v>
      </c>
      <c r="I2303" s="6" t="n">
        <v>0.25</v>
      </c>
      <c r="J2303" s="6" t="n">
        <v>0.354166666666667</v>
      </c>
      <c r="M2303" s="0" t="s">
        <v>11748</v>
      </c>
      <c r="N2303" s="0" t="s">
        <v>11749</v>
      </c>
      <c r="P2303" s="0" t="s">
        <v>11750</v>
      </c>
      <c r="Q2303" s="2" t="n">
        <v>43798</v>
      </c>
      <c r="S2303" s="0" t="n">
        <f aca="false">YEAR(Q2303)</f>
        <v>2019</v>
      </c>
      <c r="T2303" s="0" t="n">
        <f aca="false">MONTH(Q2303)</f>
        <v>11</v>
      </c>
    </row>
    <row r="2304" customFormat="false" ht="14.25" hidden="true" customHeight="false" outlineLevel="0" collapsed="false">
      <c r="A2304" s="0" t="n">
        <v>2316</v>
      </c>
      <c r="B2304" s="1" t="s">
        <v>1355</v>
      </c>
      <c r="Q2304" s="2" t="n">
        <v>43798</v>
      </c>
      <c r="S2304" s="0" t="n">
        <f aca="false">YEAR(Q2304)</f>
        <v>2019</v>
      </c>
      <c r="T2304" s="0" t="n">
        <f aca="false">MONTH(Q2304)</f>
        <v>11</v>
      </c>
    </row>
    <row r="2305" customFormat="false" ht="14.25" hidden="true" customHeight="false" outlineLevel="0" collapsed="false">
      <c r="A2305" s="0" t="n">
        <v>2317</v>
      </c>
      <c r="B2305" s="1" t="s">
        <v>1356</v>
      </c>
      <c r="C2305" s="1" t="s">
        <v>1479</v>
      </c>
      <c r="D2305" s="1" t="s">
        <v>1487</v>
      </c>
      <c r="E2305" s="0" t="s">
        <v>1488</v>
      </c>
      <c r="F2305" s="0" t="s">
        <v>48</v>
      </c>
      <c r="G2305" s="0" t="s">
        <v>10365</v>
      </c>
      <c r="I2305" s="6" t="n">
        <v>0.194444444444444</v>
      </c>
      <c r="J2305" s="6" t="n">
        <v>0.227083333333333</v>
      </c>
      <c r="L2305" s="0" t="n">
        <v>13</v>
      </c>
      <c r="M2305" s="0" t="s">
        <v>11751</v>
      </c>
      <c r="N2305" s="0" t="s">
        <v>11752</v>
      </c>
      <c r="P2305" s="0" t="s">
        <v>11753</v>
      </c>
      <c r="Q2305" s="2" t="n">
        <v>43801</v>
      </c>
      <c r="S2305" s="0" t="n">
        <f aca="false">YEAR(Q2305)</f>
        <v>2019</v>
      </c>
      <c r="T2305" s="0" t="n">
        <f aca="false">MONTH(Q2305)</f>
        <v>12</v>
      </c>
    </row>
    <row r="2306" customFormat="false" ht="14.25" hidden="true" customHeight="false" outlineLevel="0" collapsed="false">
      <c r="A2306" s="0" t="n">
        <v>2318</v>
      </c>
      <c r="B2306" s="1" t="s">
        <v>1356</v>
      </c>
      <c r="C2306" s="1" t="s">
        <v>1479</v>
      </c>
      <c r="D2306" s="1" t="s">
        <v>1487</v>
      </c>
      <c r="E2306" s="0" t="s">
        <v>1488</v>
      </c>
      <c r="F2306" s="0" t="s">
        <v>48</v>
      </c>
      <c r="G2306" s="0" t="s">
        <v>11754</v>
      </c>
      <c r="I2306" s="6" t="n">
        <v>0.253472222222222</v>
      </c>
      <c r="J2306" s="6" t="n">
        <v>0.275</v>
      </c>
      <c r="L2306" s="0" t="n">
        <v>105</v>
      </c>
      <c r="M2306" s="0" t="s">
        <v>11755</v>
      </c>
      <c r="N2306" s="0" t="s">
        <v>11756</v>
      </c>
      <c r="P2306" s="0" t="s">
        <v>11757</v>
      </c>
      <c r="Q2306" s="2" t="n">
        <v>43801</v>
      </c>
      <c r="S2306" s="0" t="n">
        <f aca="false">YEAR(Q2306)</f>
        <v>2019</v>
      </c>
      <c r="T2306" s="0" t="n">
        <f aca="false">MONTH(Q2306)</f>
        <v>12</v>
      </c>
    </row>
    <row r="2307" customFormat="false" ht="14.25" hidden="true" customHeight="false" outlineLevel="0" collapsed="false">
      <c r="A2307" s="0" t="n">
        <v>2319</v>
      </c>
      <c r="B2307" s="1" t="s">
        <v>1356</v>
      </c>
      <c r="C2307" s="1" t="s">
        <v>1479</v>
      </c>
      <c r="D2307" s="1" t="s">
        <v>1480</v>
      </c>
      <c r="E2307" s="0" t="s">
        <v>43</v>
      </c>
      <c r="F2307" s="0" t="s">
        <v>48</v>
      </c>
      <c r="I2307" s="6" t="n">
        <v>0.43125</v>
      </c>
      <c r="J2307" s="6" t="n">
        <v>0.448611111111111</v>
      </c>
      <c r="K2307" s="0" t="n">
        <v>0</v>
      </c>
      <c r="L2307" s="0" t="n">
        <v>300</v>
      </c>
      <c r="M2307" s="0" t="s">
        <v>11758</v>
      </c>
      <c r="N2307" s="0" t="s">
        <v>11759</v>
      </c>
      <c r="P2307" s="0" t="s">
        <v>11760</v>
      </c>
      <c r="Q2307" s="2" t="n">
        <v>43801</v>
      </c>
      <c r="S2307" s="0" t="n">
        <f aca="false">YEAR(Q2307)</f>
        <v>2019</v>
      </c>
      <c r="T2307" s="0" t="n">
        <f aca="false">MONTH(Q2307)</f>
        <v>12</v>
      </c>
    </row>
    <row r="2308" customFormat="false" ht="14.25" hidden="true" customHeight="false" outlineLevel="0" collapsed="false">
      <c r="A2308" s="0" t="n">
        <v>2320</v>
      </c>
      <c r="B2308" s="1" t="s">
        <v>1358</v>
      </c>
      <c r="C2308" s="1" t="s">
        <v>1503</v>
      </c>
      <c r="D2308" s="1" t="s">
        <v>1504</v>
      </c>
      <c r="E2308" s="0" t="s">
        <v>45</v>
      </c>
      <c r="F2308" s="0" t="s">
        <v>48</v>
      </c>
      <c r="G2308" s="0" t="s">
        <v>11761</v>
      </c>
      <c r="J2308" s="6" t="n">
        <v>0.263888888888889</v>
      </c>
      <c r="L2308" s="0" t="n">
        <v>60</v>
      </c>
      <c r="M2308" s="0" t="s">
        <v>11762</v>
      </c>
      <c r="N2308" s="0" t="s">
        <v>11763</v>
      </c>
      <c r="P2308" s="0" t="s">
        <v>11764</v>
      </c>
      <c r="Q2308" s="2" t="n">
        <v>43803</v>
      </c>
      <c r="S2308" s="0" t="n">
        <f aca="false">YEAR(Q2308)</f>
        <v>2019</v>
      </c>
      <c r="T2308" s="0" t="n">
        <f aca="false">MONTH(Q2308)</f>
        <v>12</v>
      </c>
    </row>
    <row r="2309" customFormat="false" ht="14.25" hidden="true" customHeight="false" outlineLevel="0" collapsed="false">
      <c r="A2309" s="0" t="n">
        <v>2321</v>
      </c>
      <c r="B2309" s="1" t="s">
        <v>1358</v>
      </c>
      <c r="C2309" s="1" t="s">
        <v>1479</v>
      </c>
      <c r="D2309" s="1" t="s">
        <v>1487</v>
      </c>
      <c r="E2309" s="0" t="s">
        <v>1488</v>
      </c>
      <c r="F2309" s="0" t="s">
        <v>48</v>
      </c>
      <c r="G2309" s="0" t="s">
        <v>11605</v>
      </c>
      <c r="I2309" s="6" t="n">
        <v>0.436805555555555</v>
      </c>
      <c r="J2309" s="6" t="n">
        <v>0.505555555555556</v>
      </c>
      <c r="M2309" s="0" t="s">
        <v>11765</v>
      </c>
      <c r="N2309" s="0" t="s">
        <v>11766</v>
      </c>
      <c r="P2309" s="0" t="s">
        <v>11767</v>
      </c>
      <c r="Q2309" s="2" t="n">
        <v>43803</v>
      </c>
      <c r="S2309" s="0" t="n">
        <f aca="false">YEAR(Q2309)</f>
        <v>2019</v>
      </c>
      <c r="T2309" s="0" t="n">
        <f aca="false">MONTH(Q2309)</f>
        <v>12</v>
      </c>
    </row>
    <row r="2310" customFormat="false" ht="14.25" hidden="true" customHeight="false" outlineLevel="0" collapsed="false">
      <c r="A2310" s="0" t="n">
        <v>2322</v>
      </c>
      <c r="B2310" s="1" t="s">
        <v>1359</v>
      </c>
      <c r="C2310" s="1" t="s">
        <v>1479</v>
      </c>
      <c r="D2310" s="1" t="s">
        <v>1487</v>
      </c>
      <c r="E2310" s="4" t="s">
        <v>1488</v>
      </c>
      <c r="F2310" s="0" t="s">
        <v>50</v>
      </c>
      <c r="G2310" s="0" t="s">
        <v>9795</v>
      </c>
      <c r="I2310" s="6" t="n">
        <v>0.947916666666667</v>
      </c>
      <c r="J2310" s="6" t="n">
        <v>0</v>
      </c>
      <c r="K2310" s="0" t="n">
        <v>30</v>
      </c>
      <c r="L2310" s="0" t="n">
        <v>90</v>
      </c>
      <c r="M2310" s="0" t="s">
        <v>11768</v>
      </c>
      <c r="N2310" s="0" t="s">
        <v>11769</v>
      </c>
      <c r="P2310" s="0" t="s">
        <v>11770</v>
      </c>
      <c r="Q2310" s="2" t="n">
        <v>43804</v>
      </c>
      <c r="S2310" s="0" t="n">
        <f aca="false">YEAR(Q2310)</f>
        <v>2019</v>
      </c>
      <c r="T2310" s="0" t="n">
        <f aca="false">MONTH(Q2310)</f>
        <v>12</v>
      </c>
    </row>
    <row r="2311" customFormat="false" ht="14.25" hidden="true" customHeight="false" outlineLevel="0" collapsed="false">
      <c r="A2311" s="0" t="n">
        <v>2323</v>
      </c>
      <c r="B2311" s="1" t="s">
        <v>1359</v>
      </c>
      <c r="C2311" s="1" t="s">
        <v>1479</v>
      </c>
      <c r="D2311" s="1" t="s">
        <v>1535</v>
      </c>
      <c r="E2311" s="0" t="s">
        <v>39</v>
      </c>
      <c r="F2311" s="0" t="s">
        <v>50</v>
      </c>
      <c r="G2311" s="0" t="s">
        <v>11771</v>
      </c>
      <c r="J2311" s="6" t="n">
        <v>0.211805555555556</v>
      </c>
      <c r="M2311" s="0" t="s">
        <v>11772</v>
      </c>
      <c r="N2311" s="0" t="s">
        <v>11773</v>
      </c>
      <c r="P2311" s="0" t="s">
        <v>11774</v>
      </c>
      <c r="Q2311" s="2" t="n">
        <v>43804</v>
      </c>
      <c r="S2311" s="0" t="n">
        <f aca="false">YEAR(Q2311)</f>
        <v>2019</v>
      </c>
      <c r="T2311" s="0" t="n">
        <f aca="false">MONTH(Q2311)</f>
        <v>12</v>
      </c>
    </row>
    <row r="2312" customFormat="false" ht="14.25" hidden="true" customHeight="false" outlineLevel="0" collapsed="false">
      <c r="A2312" s="0" t="n">
        <v>2324</v>
      </c>
      <c r="B2312" s="1" t="s">
        <v>1360</v>
      </c>
      <c r="C2312" s="1" t="s">
        <v>1479</v>
      </c>
      <c r="D2312" s="1" t="s">
        <v>1535</v>
      </c>
      <c r="E2312" s="0" t="s">
        <v>39</v>
      </c>
      <c r="F2312" s="0" t="s">
        <v>48</v>
      </c>
      <c r="G2312" s="0" t="s">
        <v>6072</v>
      </c>
      <c r="J2312" s="6" t="n">
        <v>0.21875</v>
      </c>
      <c r="L2312" s="0" t="n">
        <v>0</v>
      </c>
      <c r="M2312" s="0" t="s">
        <v>11775</v>
      </c>
      <c r="N2312" s="0" t="s">
        <v>11776</v>
      </c>
      <c r="P2312" s="0" t="s">
        <v>11777</v>
      </c>
      <c r="Q2312" s="2" t="n">
        <v>43805</v>
      </c>
      <c r="S2312" s="0" t="n">
        <f aca="false">YEAR(Q2312)</f>
        <v>2019</v>
      </c>
      <c r="T2312" s="0" t="n">
        <f aca="false">MONTH(Q2312)</f>
        <v>12</v>
      </c>
    </row>
    <row r="2313" customFormat="false" ht="14.25" hidden="true" customHeight="false" outlineLevel="0" collapsed="false">
      <c r="A2313" s="0" t="n">
        <v>2325</v>
      </c>
      <c r="B2313" s="1" t="s">
        <v>1360</v>
      </c>
      <c r="F2313" s="0" t="s">
        <v>48</v>
      </c>
      <c r="G2313" s="0" t="s">
        <v>4489</v>
      </c>
      <c r="J2313" s="6" t="n">
        <v>0.277777777777778</v>
      </c>
      <c r="L2313" s="0" t="n">
        <v>135</v>
      </c>
      <c r="M2313" s="0" t="s">
        <v>11778</v>
      </c>
      <c r="N2313" s="0" t="s">
        <v>11779</v>
      </c>
      <c r="P2313" s="0" t="s">
        <v>11780</v>
      </c>
      <c r="Q2313" s="2" t="n">
        <v>43805</v>
      </c>
      <c r="S2313" s="0" t="n">
        <f aca="false">YEAR(Q2313)</f>
        <v>2019</v>
      </c>
      <c r="T2313" s="0" t="n">
        <f aca="false">MONTH(Q2313)</f>
        <v>12</v>
      </c>
    </row>
    <row r="2314" customFormat="false" ht="14.25" hidden="true" customHeight="false" outlineLevel="0" collapsed="false">
      <c r="A2314" s="0" t="n">
        <v>2326</v>
      </c>
      <c r="B2314" s="1" t="s">
        <v>1360</v>
      </c>
      <c r="C2314" s="1" t="s">
        <v>1503</v>
      </c>
      <c r="D2314" s="1" t="s">
        <v>1504</v>
      </c>
      <c r="E2314" s="0" t="s">
        <v>45</v>
      </c>
      <c r="F2314" s="0" t="s">
        <v>48</v>
      </c>
      <c r="G2314" s="0" t="s">
        <v>11781</v>
      </c>
      <c r="J2314" s="6" t="n">
        <v>0.413194444444444</v>
      </c>
      <c r="K2314" s="0" t="n">
        <v>0</v>
      </c>
      <c r="M2314" s="0" t="s">
        <v>11782</v>
      </c>
      <c r="N2314" s="0" t="s">
        <v>11783</v>
      </c>
      <c r="P2314" s="0" t="s">
        <v>11784</v>
      </c>
      <c r="Q2314" s="2" t="n">
        <v>43805</v>
      </c>
      <c r="S2314" s="0" t="n">
        <f aca="false">YEAR(Q2314)</f>
        <v>2019</v>
      </c>
      <c r="T2314" s="0" t="n">
        <f aca="false">MONTH(Q2314)</f>
        <v>12</v>
      </c>
    </row>
    <row r="2315" customFormat="false" ht="14.25" hidden="true" customHeight="false" outlineLevel="0" collapsed="false">
      <c r="A2315" s="0" t="n">
        <v>2327</v>
      </c>
      <c r="B2315" s="1" t="s">
        <v>1361</v>
      </c>
      <c r="C2315" s="1" t="s">
        <v>1479</v>
      </c>
      <c r="D2315" s="1" t="s">
        <v>1487</v>
      </c>
      <c r="E2315" s="0" t="s">
        <v>1488</v>
      </c>
      <c r="F2315" s="0" t="s">
        <v>50</v>
      </c>
      <c r="G2315" s="0" t="s">
        <v>11785</v>
      </c>
      <c r="I2315" s="6" t="n">
        <v>0.91875</v>
      </c>
      <c r="J2315" s="6" t="n">
        <v>0.930555555555555</v>
      </c>
      <c r="L2315" s="0" t="n">
        <v>80</v>
      </c>
      <c r="M2315" s="0" t="s">
        <v>11786</v>
      </c>
      <c r="N2315" s="0" t="s">
        <v>11787</v>
      </c>
      <c r="P2315" s="0" t="s">
        <v>11788</v>
      </c>
      <c r="Q2315" s="2" t="n">
        <v>43807</v>
      </c>
      <c r="S2315" s="0" t="n">
        <f aca="false">YEAR(Q2315)</f>
        <v>2019</v>
      </c>
      <c r="T2315" s="0" t="n">
        <f aca="false">MONTH(Q2315)</f>
        <v>12</v>
      </c>
    </row>
    <row r="2316" customFormat="false" ht="14.25" hidden="true" customHeight="false" outlineLevel="0" collapsed="false">
      <c r="A2316" s="0" t="n">
        <v>2328</v>
      </c>
      <c r="B2316" s="1" t="s">
        <v>1361</v>
      </c>
      <c r="C2316" s="1" t="s">
        <v>1479</v>
      </c>
      <c r="D2316" s="1" t="s">
        <v>1487</v>
      </c>
      <c r="E2316" s="0" t="s">
        <v>1488</v>
      </c>
      <c r="F2316" s="0" t="s">
        <v>50</v>
      </c>
      <c r="G2316" s="0" t="s">
        <v>11789</v>
      </c>
      <c r="I2316" s="6" t="n">
        <v>0.91875</v>
      </c>
      <c r="J2316" s="6" t="n">
        <v>0.931944444444444</v>
      </c>
      <c r="M2316" s="0" t="s">
        <v>11790</v>
      </c>
      <c r="N2316" s="0" t="s">
        <v>11791</v>
      </c>
      <c r="P2316" s="0" t="s">
        <v>11792</v>
      </c>
      <c r="Q2316" s="2" t="n">
        <v>43807</v>
      </c>
      <c r="S2316" s="0" t="n">
        <f aca="false">YEAR(Q2316)</f>
        <v>2019</v>
      </c>
      <c r="T2316" s="0" t="n">
        <f aca="false">MONTH(Q2316)</f>
        <v>12</v>
      </c>
    </row>
    <row r="2317" customFormat="false" ht="14.25" hidden="true" customHeight="false" outlineLevel="0" collapsed="false">
      <c r="A2317" s="0" t="n">
        <v>2329</v>
      </c>
      <c r="B2317" s="1" t="s">
        <v>1361</v>
      </c>
      <c r="C2317" s="1" t="s">
        <v>1479</v>
      </c>
      <c r="D2317" s="1" t="s">
        <v>1487</v>
      </c>
      <c r="E2317" s="0" t="s">
        <v>1488</v>
      </c>
      <c r="F2317" s="0" t="s">
        <v>50</v>
      </c>
      <c r="G2317" s="0" t="s">
        <v>11793</v>
      </c>
      <c r="I2317" s="6" t="n">
        <v>0.921527777777778</v>
      </c>
      <c r="L2317" s="0" t="n">
        <v>250</v>
      </c>
      <c r="M2317" s="0" t="s">
        <v>11794</v>
      </c>
      <c r="N2317" s="0" t="s">
        <v>11795</v>
      </c>
      <c r="P2317" s="0" t="s">
        <v>11796</v>
      </c>
      <c r="Q2317" s="2" t="n">
        <v>43807</v>
      </c>
      <c r="S2317" s="0" t="n">
        <f aca="false">YEAR(Q2317)</f>
        <v>2019</v>
      </c>
      <c r="T2317" s="0" t="n">
        <f aca="false">MONTH(Q2317)</f>
        <v>12</v>
      </c>
    </row>
    <row r="2318" customFormat="false" ht="14.25" hidden="true" customHeight="false" outlineLevel="0" collapsed="false">
      <c r="A2318" s="0" t="n">
        <v>2330</v>
      </c>
      <c r="B2318" s="1" t="s">
        <v>1361</v>
      </c>
      <c r="C2318" s="1" t="s">
        <v>1479</v>
      </c>
      <c r="D2318" s="1" t="s">
        <v>1535</v>
      </c>
      <c r="E2318" s="0" t="s">
        <v>39</v>
      </c>
      <c r="F2318" s="0" t="s">
        <v>50</v>
      </c>
      <c r="G2318" s="0" t="s">
        <v>10009</v>
      </c>
      <c r="I2318" s="6" t="n">
        <v>0.125</v>
      </c>
      <c r="J2318" s="6" t="n">
        <v>0.125</v>
      </c>
      <c r="K2318" s="0" t="n">
        <v>0</v>
      </c>
      <c r="L2318" s="0" t="n">
        <v>0</v>
      </c>
      <c r="M2318" s="0" t="s">
        <v>11797</v>
      </c>
      <c r="N2318" s="0" t="s">
        <v>11798</v>
      </c>
      <c r="P2318" s="0" t="s">
        <v>11799</v>
      </c>
      <c r="Q2318" s="2" t="n">
        <v>43807</v>
      </c>
      <c r="S2318" s="0" t="n">
        <f aca="false">YEAR(Q2318)</f>
        <v>2019</v>
      </c>
      <c r="T2318" s="0" t="n">
        <f aca="false">MONTH(Q2318)</f>
        <v>12</v>
      </c>
    </row>
    <row r="2319" customFormat="false" ht="14.25" hidden="true" customHeight="false" outlineLevel="0" collapsed="false">
      <c r="A2319" s="0" t="n">
        <v>2331</v>
      </c>
      <c r="B2319" s="1" t="s">
        <v>1362</v>
      </c>
      <c r="C2319" s="1" t="s">
        <v>1479</v>
      </c>
      <c r="D2319" s="1" t="s">
        <v>1487</v>
      </c>
      <c r="E2319" s="0" t="s">
        <v>1488</v>
      </c>
      <c r="F2319" s="0" t="s">
        <v>49</v>
      </c>
      <c r="G2319" s="0" t="s">
        <v>11800</v>
      </c>
      <c r="I2319" s="6" t="n">
        <v>0.599305555555556</v>
      </c>
      <c r="J2319" s="6" t="n">
        <v>0.625</v>
      </c>
      <c r="L2319" s="0" t="n">
        <v>120</v>
      </c>
      <c r="M2319" s="0" t="s">
        <v>11801</v>
      </c>
      <c r="N2319" s="0" t="s">
        <v>11802</v>
      </c>
      <c r="P2319" s="0" t="s">
        <v>11803</v>
      </c>
      <c r="Q2319" s="2" t="n">
        <v>43808</v>
      </c>
      <c r="S2319" s="0" t="n">
        <f aca="false">YEAR(Q2319)</f>
        <v>2019</v>
      </c>
      <c r="T2319" s="0" t="n">
        <f aca="false">MONTH(Q2319)</f>
        <v>12</v>
      </c>
    </row>
    <row r="2320" customFormat="false" ht="14.25" hidden="true" customHeight="false" outlineLevel="0" collapsed="false">
      <c r="A2320" s="0" t="n">
        <v>2332</v>
      </c>
      <c r="B2320" s="1" t="s">
        <v>1362</v>
      </c>
      <c r="C2320" s="1" t="s">
        <v>1479</v>
      </c>
      <c r="D2320" s="1" t="s">
        <v>1487</v>
      </c>
      <c r="E2320" s="0" t="s">
        <v>1488</v>
      </c>
      <c r="F2320" s="0" t="s">
        <v>49</v>
      </c>
      <c r="G2320" s="0" t="s">
        <v>11804</v>
      </c>
      <c r="I2320" s="6" t="n">
        <v>0.736111111111111</v>
      </c>
      <c r="J2320" s="6" t="n">
        <v>0.75</v>
      </c>
      <c r="L2320" s="0" t="n">
        <v>35</v>
      </c>
      <c r="M2320" s="0" t="s">
        <v>11805</v>
      </c>
      <c r="N2320" s="0" t="s">
        <v>11806</v>
      </c>
      <c r="P2320" s="0" t="s">
        <v>11807</v>
      </c>
      <c r="Q2320" s="2" t="n">
        <v>43808</v>
      </c>
      <c r="S2320" s="0" t="n">
        <f aca="false">YEAR(Q2320)</f>
        <v>2019</v>
      </c>
      <c r="T2320" s="0" t="n">
        <f aca="false">MONTH(Q2320)</f>
        <v>12</v>
      </c>
    </row>
    <row r="2321" customFormat="false" ht="14.25" hidden="true" customHeight="false" outlineLevel="0" collapsed="false">
      <c r="A2321" s="0" t="n">
        <v>2333</v>
      </c>
      <c r="B2321" s="1" t="s">
        <v>1362</v>
      </c>
      <c r="C2321" s="1" t="s">
        <v>1479</v>
      </c>
      <c r="D2321" s="1" t="s">
        <v>1487</v>
      </c>
      <c r="E2321" s="0" t="s">
        <v>1488</v>
      </c>
      <c r="F2321" s="0" t="s">
        <v>49</v>
      </c>
      <c r="G2321" s="0" t="s">
        <v>11808</v>
      </c>
      <c r="I2321" s="6" t="n">
        <v>0.760416666666667</v>
      </c>
      <c r="J2321" s="6" t="n">
        <v>0.760416666666667</v>
      </c>
      <c r="L2321" s="0" t="n">
        <v>16</v>
      </c>
      <c r="M2321" s="0" t="s">
        <v>11809</v>
      </c>
      <c r="N2321" s="0" t="s">
        <v>11810</v>
      </c>
      <c r="P2321" s="0" t="s">
        <v>11811</v>
      </c>
      <c r="Q2321" s="2" t="n">
        <v>43808</v>
      </c>
      <c r="S2321" s="0" t="n">
        <f aca="false">YEAR(Q2321)</f>
        <v>2019</v>
      </c>
      <c r="T2321" s="0" t="n">
        <f aca="false">MONTH(Q2321)</f>
        <v>12</v>
      </c>
    </row>
    <row r="2322" customFormat="false" ht="14.25" hidden="true" customHeight="false" outlineLevel="0" collapsed="false">
      <c r="A2322" s="0" t="n">
        <v>2334</v>
      </c>
      <c r="B2322" s="1" t="s">
        <v>1362</v>
      </c>
      <c r="C2322" s="1" t="s">
        <v>1503</v>
      </c>
      <c r="D2322" s="1" t="s">
        <v>1504</v>
      </c>
      <c r="E2322" s="0" t="s">
        <v>45</v>
      </c>
      <c r="F2322" s="0" t="s">
        <v>49</v>
      </c>
      <c r="G2322" s="0" t="s">
        <v>11812</v>
      </c>
      <c r="I2322" s="6" t="n">
        <v>0.666666666666667</v>
      </c>
      <c r="J2322" s="6" t="n">
        <v>0.854166666666667</v>
      </c>
      <c r="M2322" s="0" t="s">
        <v>11813</v>
      </c>
      <c r="N2322" s="0" t="s">
        <v>4484</v>
      </c>
      <c r="P2322" s="0" t="s">
        <v>11814</v>
      </c>
      <c r="Q2322" s="2" t="n">
        <v>43808</v>
      </c>
      <c r="S2322" s="0" t="n">
        <f aca="false">YEAR(Q2322)</f>
        <v>2019</v>
      </c>
      <c r="T2322" s="0" t="n">
        <f aca="false">MONTH(Q2322)</f>
        <v>12</v>
      </c>
    </row>
    <row r="2323" customFormat="false" ht="14.25" hidden="true" customHeight="false" outlineLevel="0" collapsed="false">
      <c r="A2323" s="0" t="n">
        <v>2335</v>
      </c>
      <c r="B2323" s="1" t="s">
        <v>1362</v>
      </c>
      <c r="C2323" s="1" t="s">
        <v>1503</v>
      </c>
      <c r="D2323" s="1" t="s">
        <v>1535</v>
      </c>
      <c r="E2323" s="0" t="s">
        <v>1503</v>
      </c>
      <c r="F2323" s="0" t="s">
        <v>50</v>
      </c>
      <c r="G2323" s="0" t="s">
        <v>5423</v>
      </c>
      <c r="I2323" s="6" t="n">
        <v>0.947916666666667</v>
      </c>
      <c r="J2323" s="6" t="n">
        <v>0.972222222222222</v>
      </c>
      <c r="L2323" s="0" t="n">
        <v>210</v>
      </c>
      <c r="M2323" s="0" t="s">
        <v>11815</v>
      </c>
      <c r="N2323" s="0" t="s">
        <v>11816</v>
      </c>
      <c r="P2323" s="0" t="s">
        <v>11817</v>
      </c>
      <c r="Q2323" s="2" t="n">
        <v>43808</v>
      </c>
      <c r="S2323" s="0" t="n">
        <f aca="false">YEAR(Q2323)</f>
        <v>2019</v>
      </c>
      <c r="T2323" s="0" t="n">
        <f aca="false">MONTH(Q2323)</f>
        <v>12</v>
      </c>
    </row>
    <row r="2324" customFormat="false" ht="14.25" hidden="true" customHeight="false" outlineLevel="0" collapsed="false">
      <c r="A2324" s="0" t="n">
        <v>2336</v>
      </c>
      <c r="B2324" s="1" t="s">
        <v>1362</v>
      </c>
      <c r="C2324" s="1" t="s">
        <v>1479</v>
      </c>
      <c r="D2324" s="1" t="s">
        <v>1487</v>
      </c>
      <c r="E2324" s="0" t="s">
        <v>1488</v>
      </c>
      <c r="F2324" s="0" t="s">
        <v>50</v>
      </c>
      <c r="G2324" s="0" t="s">
        <v>11818</v>
      </c>
      <c r="I2324" s="6" t="n">
        <v>0.194444444444444</v>
      </c>
      <c r="J2324" s="6" t="n">
        <v>0.209722222222222</v>
      </c>
      <c r="L2324" s="0" t="n">
        <v>28</v>
      </c>
      <c r="M2324" s="0" t="s">
        <v>11819</v>
      </c>
      <c r="N2324" s="0" t="s">
        <v>11820</v>
      </c>
      <c r="P2324" s="0" t="s">
        <v>11821</v>
      </c>
      <c r="Q2324" s="2" t="n">
        <v>43808</v>
      </c>
      <c r="S2324" s="0" t="n">
        <f aca="false">YEAR(Q2324)</f>
        <v>2019</v>
      </c>
      <c r="T2324" s="0" t="n">
        <f aca="false">MONTH(Q2324)</f>
        <v>12</v>
      </c>
    </row>
    <row r="2325" customFormat="false" ht="14.25" hidden="true" customHeight="false" outlineLevel="0" collapsed="false">
      <c r="A2325" s="0" t="n">
        <v>2337</v>
      </c>
      <c r="B2325" s="1" t="s">
        <v>1363</v>
      </c>
      <c r="C2325" s="1" t="s">
        <v>1479</v>
      </c>
      <c r="D2325" s="1" t="s">
        <v>1480</v>
      </c>
      <c r="E2325" s="0" t="s">
        <v>43</v>
      </c>
      <c r="F2325" s="0" t="s">
        <v>48</v>
      </c>
      <c r="I2325" s="6" t="n">
        <v>0.152777777777778</v>
      </c>
      <c r="J2325" s="6" t="n">
        <v>0.230555555555556</v>
      </c>
      <c r="L2325" s="0" t="n">
        <v>360</v>
      </c>
      <c r="M2325" s="0" t="s">
        <v>11822</v>
      </c>
      <c r="N2325" s="0" t="s">
        <v>11823</v>
      </c>
      <c r="P2325" s="0" t="s">
        <v>11824</v>
      </c>
      <c r="Q2325" s="2" t="n">
        <v>43809</v>
      </c>
      <c r="S2325" s="0" t="n">
        <f aca="false">YEAR(Q2325)</f>
        <v>2019</v>
      </c>
      <c r="T2325" s="0" t="n">
        <f aca="false">MONTH(Q2325)</f>
        <v>12</v>
      </c>
    </row>
    <row r="2326" customFormat="false" ht="14.25" hidden="true" customHeight="false" outlineLevel="0" collapsed="false">
      <c r="A2326" s="0" t="n">
        <v>2338</v>
      </c>
      <c r="B2326" s="1" t="s">
        <v>1364</v>
      </c>
      <c r="C2326" s="1" t="s">
        <v>1495</v>
      </c>
      <c r="D2326" s="1" t="s">
        <v>1496</v>
      </c>
      <c r="E2326" s="0" t="s">
        <v>41</v>
      </c>
      <c r="F2326" s="0" t="s">
        <v>49</v>
      </c>
      <c r="G2326" s="0" t="s">
        <v>11825</v>
      </c>
      <c r="I2326" s="6" t="n">
        <v>0.541666666666667</v>
      </c>
      <c r="J2326" s="6" t="n">
        <v>0.609027777777778</v>
      </c>
      <c r="L2326" s="0" t="n">
        <v>240</v>
      </c>
      <c r="M2326" s="0" t="s">
        <v>11826</v>
      </c>
      <c r="N2326" s="0" t="s">
        <v>11628</v>
      </c>
      <c r="P2326" s="0" t="s">
        <v>11827</v>
      </c>
      <c r="Q2326" s="2" t="n">
        <v>43810</v>
      </c>
      <c r="S2326" s="0" t="n">
        <f aca="false">YEAR(Q2326)</f>
        <v>2019</v>
      </c>
      <c r="T2326" s="0" t="n">
        <f aca="false">MONTH(Q2326)</f>
        <v>12</v>
      </c>
    </row>
    <row r="2327" customFormat="false" ht="14.25" hidden="true" customHeight="false" outlineLevel="0" collapsed="false">
      <c r="A2327" s="0" t="n">
        <v>2339</v>
      </c>
      <c r="B2327" s="1" t="s">
        <v>1365</v>
      </c>
      <c r="C2327" s="1" t="s">
        <v>1479</v>
      </c>
      <c r="D2327" s="1" t="s">
        <v>1480</v>
      </c>
      <c r="E2327" s="0" t="s">
        <v>43</v>
      </c>
      <c r="F2327" s="0" t="s">
        <v>48</v>
      </c>
      <c r="G2327" s="0" t="s">
        <v>11291</v>
      </c>
      <c r="I2327" s="6" t="n">
        <v>0.166666666666667</v>
      </c>
      <c r="J2327" s="20" t="n">
        <v>2.08333333333333</v>
      </c>
      <c r="M2327" s="0" t="s">
        <v>11828</v>
      </c>
      <c r="N2327" s="0" t="s">
        <v>11829</v>
      </c>
      <c r="P2327" s="0" t="s">
        <v>11830</v>
      </c>
      <c r="Q2327" s="2" t="n">
        <v>43811</v>
      </c>
      <c r="S2327" s="0" t="n">
        <f aca="false">YEAR(Q2327)</f>
        <v>2019</v>
      </c>
      <c r="T2327" s="0" t="n">
        <f aca="false">MONTH(Q2327)</f>
        <v>12</v>
      </c>
    </row>
    <row r="2328" customFormat="false" ht="14.25" hidden="true" customHeight="false" outlineLevel="0" collapsed="false">
      <c r="A2328" s="0" t="n">
        <v>2340</v>
      </c>
      <c r="B2328" s="1" t="s">
        <v>1365</v>
      </c>
      <c r="C2328" s="1" t="s">
        <v>1479</v>
      </c>
      <c r="D2328" s="1" t="s">
        <v>1480</v>
      </c>
      <c r="E2328" s="0" t="s">
        <v>43</v>
      </c>
      <c r="F2328" s="0" t="s">
        <v>49</v>
      </c>
      <c r="G2328" s="0" t="s">
        <v>11831</v>
      </c>
      <c r="I2328" s="6" t="n">
        <v>0.604166666666667</v>
      </c>
      <c r="J2328" s="6" t="n">
        <v>0.611111111111111</v>
      </c>
      <c r="L2328" s="0" t="n">
        <v>90</v>
      </c>
      <c r="M2328" s="0" t="s">
        <v>11832</v>
      </c>
      <c r="N2328" s="0" t="s">
        <v>11833</v>
      </c>
      <c r="P2328" s="0" t="s">
        <v>11834</v>
      </c>
      <c r="Q2328" s="2" t="n">
        <v>43811</v>
      </c>
      <c r="S2328" s="0" t="n">
        <f aca="false">YEAR(Q2328)</f>
        <v>2019</v>
      </c>
      <c r="T2328" s="0" t="n">
        <f aca="false">MONTH(Q2328)</f>
        <v>12</v>
      </c>
    </row>
    <row r="2329" customFormat="false" ht="14.25" hidden="true" customHeight="false" outlineLevel="0" collapsed="false">
      <c r="A2329" s="0" t="n">
        <v>2341</v>
      </c>
      <c r="B2329" s="1" t="s">
        <v>1366</v>
      </c>
      <c r="C2329" s="1" t="s">
        <v>1479</v>
      </c>
      <c r="D2329" s="1" t="s">
        <v>1480</v>
      </c>
      <c r="E2329" s="0" t="s">
        <v>43</v>
      </c>
      <c r="F2329" s="0" t="s">
        <v>48</v>
      </c>
      <c r="G2329" s="0" t="s">
        <v>11835</v>
      </c>
      <c r="I2329" s="6" t="n">
        <v>0.222222222222222</v>
      </c>
      <c r="J2329" s="6" t="n">
        <v>0.513888888888889</v>
      </c>
      <c r="L2329" s="0" t="n">
        <v>420</v>
      </c>
      <c r="M2329" s="0" t="s">
        <v>11836</v>
      </c>
      <c r="N2329" s="0" t="s">
        <v>11837</v>
      </c>
      <c r="P2329" s="0" t="s">
        <v>11838</v>
      </c>
      <c r="Q2329" s="2" t="n">
        <v>43812</v>
      </c>
      <c r="S2329" s="0" t="n">
        <f aca="false">YEAR(Q2329)</f>
        <v>2019</v>
      </c>
      <c r="T2329" s="0" t="n">
        <f aca="false">MONTH(Q2329)</f>
        <v>12</v>
      </c>
    </row>
    <row r="2330" customFormat="false" ht="14.25" hidden="true" customHeight="false" outlineLevel="0" collapsed="false">
      <c r="A2330" s="0" t="n">
        <v>2342</v>
      </c>
      <c r="B2330" s="1" t="s">
        <v>1367</v>
      </c>
      <c r="C2330" s="1" t="s">
        <v>1479</v>
      </c>
      <c r="D2330" s="1" t="s">
        <v>1487</v>
      </c>
      <c r="E2330" s="0" t="s">
        <v>1488</v>
      </c>
      <c r="F2330" s="0" t="s">
        <v>48</v>
      </c>
      <c r="G2330" s="0" t="s">
        <v>11839</v>
      </c>
      <c r="I2330" s="6" t="n">
        <v>0.444444444444444</v>
      </c>
      <c r="J2330" s="6" t="n">
        <v>0.46875</v>
      </c>
      <c r="L2330" s="0" t="n">
        <v>80</v>
      </c>
      <c r="M2330" s="0" t="s">
        <v>11840</v>
      </c>
      <c r="N2330" s="0" t="s">
        <v>11841</v>
      </c>
      <c r="P2330" s="0" t="s">
        <v>11842</v>
      </c>
      <c r="Q2330" s="2" t="n">
        <v>43813</v>
      </c>
      <c r="S2330" s="0" t="n">
        <f aca="false">YEAR(Q2330)</f>
        <v>2019</v>
      </c>
      <c r="T2330" s="0" t="n">
        <f aca="false">MONTH(Q2330)</f>
        <v>12</v>
      </c>
    </row>
    <row r="2331" customFormat="false" ht="14.25" hidden="true" customHeight="false" outlineLevel="0" collapsed="false">
      <c r="A2331" s="0" t="n">
        <v>2343</v>
      </c>
      <c r="B2331" s="1" t="s">
        <v>1368</v>
      </c>
      <c r="C2331" s="1" t="s">
        <v>1479</v>
      </c>
      <c r="D2331" s="1" t="s">
        <v>1487</v>
      </c>
      <c r="E2331" s="0" t="s">
        <v>1488</v>
      </c>
      <c r="F2331" s="0" t="s">
        <v>48</v>
      </c>
      <c r="I2331" s="6" t="n">
        <v>0.526388888888889</v>
      </c>
      <c r="J2331" s="6" t="n">
        <v>0.544444444444444</v>
      </c>
      <c r="L2331" s="0" t="n">
        <v>34</v>
      </c>
      <c r="M2331" s="0" t="s">
        <v>11843</v>
      </c>
      <c r="N2331" s="0" t="s">
        <v>11844</v>
      </c>
      <c r="P2331" s="0" t="s">
        <v>11845</v>
      </c>
      <c r="Q2331" s="2" t="n">
        <v>43815</v>
      </c>
      <c r="S2331" s="0" t="n">
        <f aca="false">YEAR(Q2331)</f>
        <v>2019</v>
      </c>
      <c r="T2331" s="0" t="n">
        <f aca="false">MONTH(Q2331)</f>
        <v>12</v>
      </c>
    </row>
    <row r="2332" customFormat="false" ht="14.25" hidden="true" customHeight="false" outlineLevel="0" collapsed="false">
      <c r="A2332" s="0" t="n">
        <v>2344</v>
      </c>
      <c r="B2332" s="1" t="s">
        <v>1369</v>
      </c>
      <c r="C2332" s="1" t="s">
        <v>1479</v>
      </c>
      <c r="D2332" s="1" t="s">
        <v>1480</v>
      </c>
      <c r="E2332" s="0" t="s">
        <v>43</v>
      </c>
      <c r="F2332" s="0" t="s">
        <v>48</v>
      </c>
      <c r="G2332" s="0" t="s">
        <v>1568</v>
      </c>
      <c r="I2332" s="6" t="n">
        <v>0.395138888888889</v>
      </c>
      <c r="J2332" s="6" t="n">
        <v>0.410416666666667</v>
      </c>
      <c r="L2332" s="0" t="n">
        <v>250</v>
      </c>
      <c r="M2332" s="0" t="s">
        <v>11846</v>
      </c>
      <c r="N2332" s="0" t="s">
        <v>11847</v>
      </c>
      <c r="P2332" s="0" t="s">
        <v>10481</v>
      </c>
      <c r="Q2332" s="2" t="n">
        <v>43816</v>
      </c>
      <c r="S2332" s="0" t="n">
        <f aca="false">YEAR(Q2332)</f>
        <v>2019</v>
      </c>
      <c r="T2332" s="0" t="n">
        <f aca="false">MONTH(Q2332)</f>
        <v>12</v>
      </c>
    </row>
    <row r="2333" customFormat="false" ht="14.25" hidden="true" customHeight="false" outlineLevel="0" collapsed="false">
      <c r="A2333" s="0" t="n">
        <v>2345</v>
      </c>
      <c r="B2333" s="1" t="s">
        <v>1370</v>
      </c>
      <c r="C2333" s="1" t="s">
        <v>1479</v>
      </c>
      <c r="D2333" s="1" t="s">
        <v>1535</v>
      </c>
      <c r="E2333" s="0" t="s">
        <v>39</v>
      </c>
      <c r="F2333" s="0" t="s">
        <v>48</v>
      </c>
      <c r="G2333" s="0" t="s">
        <v>11848</v>
      </c>
      <c r="J2333" s="6" t="n">
        <v>0.4</v>
      </c>
      <c r="M2333" s="0" t="s">
        <v>11849</v>
      </c>
      <c r="N2333" s="0" t="s">
        <v>11850</v>
      </c>
      <c r="P2333" s="0" t="s">
        <v>11851</v>
      </c>
      <c r="Q2333" s="2" t="n">
        <v>43817</v>
      </c>
      <c r="S2333" s="0" t="n">
        <f aca="false">YEAR(Q2333)</f>
        <v>2019</v>
      </c>
      <c r="T2333" s="0" t="n">
        <f aca="false">MONTH(Q2333)</f>
        <v>12</v>
      </c>
    </row>
    <row r="2334" customFormat="false" ht="14.25" hidden="true" customHeight="false" outlineLevel="0" collapsed="false">
      <c r="A2334" s="0" t="n">
        <v>2346</v>
      </c>
      <c r="B2334" s="1" t="s">
        <v>1370</v>
      </c>
      <c r="C2334" s="1" t="s">
        <v>1479</v>
      </c>
      <c r="D2334" s="1" t="s">
        <v>1535</v>
      </c>
      <c r="E2334" s="0" t="s">
        <v>39</v>
      </c>
      <c r="F2334" s="0" t="s">
        <v>49</v>
      </c>
      <c r="G2334" s="0" t="s">
        <v>4268</v>
      </c>
      <c r="I2334" s="6" t="n">
        <v>0.715277777777778</v>
      </c>
      <c r="J2334" s="6" t="n">
        <v>0.71875</v>
      </c>
      <c r="K2334" s="0" t="n">
        <v>20</v>
      </c>
      <c r="L2334" s="0" t="n">
        <v>20</v>
      </c>
      <c r="M2334" s="0" t="s">
        <v>11852</v>
      </c>
      <c r="N2334" s="0" t="s">
        <v>11853</v>
      </c>
      <c r="P2334" s="0" t="s">
        <v>11854</v>
      </c>
      <c r="Q2334" s="2" t="n">
        <v>43817</v>
      </c>
      <c r="S2334" s="0" t="n">
        <f aca="false">YEAR(Q2334)</f>
        <v>2019</v>
      </c>
      <c r="T2334" s="0" t="n">
        <f aca="false">MONTH(Q2334)</f>
        <v>12</v>
      </c>
    </row>
    <row r="2335" customFormat="false" ht="14.25" hidden="true" customHeight="false" outlineLevel="0" collapsed="false">
      <c r="A2335" s="0" t="n">
        <v>2347</v>
      </c>
      <c r="B2335" s="1" t="s">
        <v>1371</v>
      </c>
      <c r="C2335" s="1" t="s">
        <v>1479</v>
      </c>
      <c r="D2335" s="1" t="s">
        <v>1535</v>
      </c>
      <c r="E2335" s="0" t="s">
        <v>39</v>
      </c>
      <c r="F2335" s="0" t="s">
        <v>48</v>
      </c>
      <c r="G2335" s="0" t="s">
        <v>11855</v>
      </c>
      <c r="I2335" s="6" t="n">
        <v>0.236111111111111</v>
      </c>
      <c r="J2335" s="6" t="n">
        <v>0.258333333333333</v>
      </c>
      <c r="L2335" s="0" t="n">
        <v>160</v>
      </c>
      <c r="M2335" s="0" t="s">
        <v>11856</v>
      </c>
      <c r="N2335" s="0" t="s">
        <v>11857</v>
      </c>
      <c r="P2335" s="0" t="s">
        <v>11858</v>
      </c>
      <c r="Q2335" s="2" t="n">
        <v>43818</v>
      </c>
      <c r="S2335" s="0" t="n">
        <f aca="false">YEAR(Q2335)</f>
        <v>2019</v>
      </c>
      <c r="T2335" s="0" t="n">
        <f aca="false">MONTH(Q2335)</f>
        <v>12</v>
      </c>
    </row>
    <row r="2336" customFormat="false" ht="14.25" hidden="true" customHeight="false" outlineLevel="0" collapsed="false">
      <c r="A2336" s="0" t="n">
        <v>2348</v>
      </c>
      <c r="B2336" s="1" t="s">
        <v>1372</v>
      </c>
      <c r="C2336" s="1" t="s">
        <v>1479</v>
      </c>
      <c r="D2336" s="1" t="s">
        <v>1535</v>
      </c>
      <c r="E2336" s="0" t="s">
        <v>39</v>
      </c>
      <c r="F2336" s="0" t="s">
        <v>48</v>
      </c>
      <c r="G2336" s="0" t="s">
        <v>11859</v>
      </c>
      <c r="I2336" s="6" t="n">
        <v>0.236111111111111</v>
      </c>
      <c r="J2336" s="6" t="n">
        <v>0.333333333333333</v>
      </c>
      <c r="K2336" s="0" t="n">
        <v>0</v>
      </c>
      <c r="M2336" s="0" t="s">
        <v>11860</v>
      </c>
      <c r="N2336" s="0" t="s">
        <v>11861</v>
      </c>
      <c r="P2336" s="0" t="s">
        <v>11862</v>
      </c>
      <c r="Q2336" s="2" t="n">
        <v>43846</v>
      </c>
      <c r="S2336" s="0" t="n">
        <f aca="false">YEAR(Q2336)</f>
        <v>2020</v>
      </c>
      <c r="T2336" s="0" t="n">
        <f aca="false">MONTH(Q2336)</f>
        <v>1</v>
      </c>
    </row>
    <row r="2337" customFormat="false" ht="14.25" hidden="true" customHeight="false" outlineLevel="0" collapsed="false">
      <c r="A2337" s="0" t="n">
        <v>2349</v>
      </c>
      <c r="B2337" s="1" t="s">
        <v>1372</v>
      </c>
      <c r="C2337" s="1" t="s">
        <v>1479</v>
      </c>
      <c r="D2337" s="1" t="s">
        <v>1535</v>
      </c>
      <c r="E2337" s="0" t="s">
        <v>39</v>
      </c>
      <c r="F2337" s="0" t="s">
        <v>48</v>
      </c>
      <c r="G2337" s="0" t="s">
        <v>4268</v>
      </c>
      <c r="I2337" s="6" t="n">
        <v>0.305555555555555</v>
      </c>
      <c r="J2337" s="6" t="n">
        <v>0.31875</v>
      </c>
      <c r="K2337" s="0" t="n">
        <v>0</v>
      </c>
      <c r="M2337" s="0" t="s">
        <v>11863</v>
      </c>
      <c r="N2337" s="0" t="s">
        <v>11864</v>
      </c>
      <c r="P2337" s="0" t="s">
        <v>11865</v>
      </c>
      <c r="Q2337" s="2" t="n">
        <v>43846</v>
      </c>
      <c r="S2337" s="0" t="n">
        <f aca="false">YEAR(Q2337)</f>
        <v>2020</v>
      </c>
      <c r="T2337" s="0" t="n">
        <f aca="false">MONTH(Q2337)</f>
        <v>1</v>
      </c>
    </row>
    <row r="2338" customFormat="false" ht="14.25" hidden="true" customHeight="false" outlineLevel="0" collapsed="false">
      <c r="A2338" s="0" t="n">
        <v>2350</v>
      </c>
      <c r="B2338" s="1" t="s">
        <v>1372</v>
      </c>
      <c r="C2338" s="1" t="s">
        <v>1479</v>
      </c>
      <c r="D2338" s="1" t="s">
        <v>1535</v>
      </c>
      <c r="E2338" s="0" t="s">
        <v>39</v>
      </c>
      <c r="F2338" s="0" t="s">
        <v>48</v>
      </c>
      <c r="G2338" s="0" t="s">
        <v>11866</v>
      </c>
      <c r="I2338" s="6" t="n">
        <v>0.523611111111111</v>
      </c>
      <c r="J2338" s="6" t="n">
        <v>0.527777777777778</v>
      </c>
      <c r="K2338" s="0" t="n">
        <v>0</v>
      </c>
      <c r="L2338" s="0" t="n">
        <v>30</v>
      </c>
      <c r="M2338" s="0" t="s">
        <v>11867</v>
      </c>
      <c r="N2338" s="0" t="s">
        <v>11868</v>
      </c>
      <c r="P2338" s="0" t="s">
        <v>11869</v>
      </c>
      <c r="Q2338" s="2" t="n">
        <v>43846</v>
      </c>
      <c r="S2338" s="0" t="n">
        <f aca="false">YEAR(Q2338)</f>
        <v>2020</v>
      </c>
      <c r="T2338" s="0" t="n">
        <f aca="false">MONTH(Q2338)</f>
        <v>1</v>
      </c>
    </row>
    <row r="2339" customFormat="false" ht="14.25" hidden="true" customHeight="false" outlineLevel="0" collapsed="false">
      <c r="A2339" s="0" t="n">
        <v>2351</v>
      </c>
      <c r="B2339" s="1" t="s">
        <v>1372</v>
      </c>
      <c r="C2339" s="1" t="s">
        <v>1479</v>
      </c>
      <c r="D2339" s="1" t="s">
        <v>1496</v>
      </c>
      <c r="E2339" s="0" t="s">
        <v>38</v>
      </c>
      <c r="F2339" s="0" t="s">
        <v>48</v>
      </c>
      <c r="G2339" s="0" t="s">
        <v>11870</v>
      </c>
      <c r="I2339" s="6" t="n">
        <v>0.49375</v>
      </c>
      <c r="J2339" s="6" t="n">
        <v>0.5</v>
      </c>
      <c r="L2339" s="0" t="n">
        <v>22</v>
      </c>
      <c r="M2339" s="0" t="s">
        <v>11871</v>
      </c>
      <c r="N2339" s="0" t="s">
        <v>11872</v>
      </c>
      <c r="P2339" s="0" t="s">
        <v>11873</v>
      </c>
      <c r="Q2339" s="2" t="n">
        <v>43846</v>
      </c>
      <c r="S2339" s="0" t="n">
        <f aca="false">YEAR(Q2339)</f>
        <v>2020</v>
      </c>
      <c r="T2339" s="0" t="n">
        <f aca="false">MONTH(Q2339)</f>
        <v>1</v>
      </c>
    </row>
    <row r="2340" customFormat="false" ht="14.25" hidden="true" customHeight="false" outlineLevel="0" collapsed="false">
      <c r="A2340" s="0" t="n">
        <v>2352</v>
      </c>
      <c r="B2340" s="1" t="s">
        <v>1372</v>
      </c>
      <c r="C2340" s="1" t="s">
        <v>2163</v>
      </c>
      <c r="D2340" s="1" t="s">
        <v>2164</v>
      </c>
      <c r="E2340" s="0" t="s">
        <v>2163</v>
      </c>
      <c r="F2340" s="0" t="s">
        <v>48</v>
      </c>
      <c r="G2340" s="0" t="s">
        <v>11874</v>
      </c>
      <c r="I2340" s="6" t="n">
        <v>0.592361111111111</v>
      </c>
      <c r="J2340" s="6" t="n">
        <v>0.592361111111111</v>
      </c>
      <c r="K2340" s="0" t="n">
        <v>13</v>
      </c>
      <c r="L2340" s="0" t="n">
        <v>60</v>
      </c>
      <c r="M2340" s="0" t="s">
        <v>11875</v>
      </c>
      <c r="N2340" s="0" t="s">
        <v>11874</v>
      </c>
      <c r="P2340" s="0" t="s">
        <v>11876</v>
      </c>
      <c r="Q2340" s="2" t="n">
        <v>43846</v>
      </c>
      <c r="S2340" s="0" t="n">
        <f aca="false">YEAR(Q2340)</f>
        <v>2020</v>
      </c>
      <c r="T2340" s="0" t="n">
        <f aca="false">MONTH(Q2340)</f>
        <v>1</v>
      </c>
    </row>
    <row r="2341" customFormat="false" ht="14.25" hidden="true" customHeight="false" outlineLevel="0" collapsed="false">
      <c r="A2341" s="0" t="n">
        <v>2353</v>
      </c>
      <c r="B2341" s="1" t="s">
        <v>1372</v>
      </c>
      <c r="C2341" s="1" t="s">
        <v>1479</v>
      </c>
      <c r="D2341" s="1" t="s">
        <v>1535</v>
      </c>
      <c r="E2341" s="0" t="s">
        <v>39</v>
      </c>
      <c r="F2341" s="0" t="s">
        <v>49</v>
      </c>
      <c r="G2341" s="0" t="s">
        <v>11877</v>
      </c>
      <c r="I2341" s="6" t="n">
        <v>0.715277777777778</v>
      </c>
      <c r="J2341" s="6" t="n">
        <v>0.71875</v>
      </c>
      <c r="K2341" s="0" t="n">
        <v>5</v>
      </c>
      <c r="L2341" s="0" t="n">
        <v>20</v>
      </c>
      <c r="M2341" s="0" t="s">
        <v>11878</v>
      </c>
      <c r="N2341" s="0" t="s">
        <v>11879</v>
      </c>
      <c r="P2341" s="0" t="s">
        <v>11880</v>
      </c>
      <c r="Q2341" s="2" t="n">
        <v>43846</v>
      </c>
      <c r="S2341" s="0" t="n">
        <f aca="false">YEAR(Q2341)</f>
        <v>2020</v>
      </c>
      <c r="T2341" s="0" t="n">
        <f aca="false">MONTH(Q2341)</f>
        <v>1</v>
      </c>
    </row>
    <row r="2342" customFormat="false" ht="14.25" hidden="true" customHeight="false" outlineLevel="0" collapsed="false">
      <c r="A2342" s="0" t="n">
        <v>2354</v>
      </c>
      <c r="B2342" s="1" t="s">
        <v>1372</v>
      </c>
      <c r="C2342" s="1" t="s">
        <v>1479</v>
      </c>
      <c r="D2342" s="1" t="s">
        <v>1535</v>
      </c>
      <c r="E2342" s="0" t="s">
        <v>39</v>
      </c>
      <c r="F2342" s="0" t="s">
        <v>49</v>
      </c>
      <c r="G2342" s="0" t="s">
        <v>11881</v>
      </c>
      <c r="I2342" s="6" t="n">
        <v>0.672222222222222</v>
      </c>
      <c r="J2342" s="6" t="n">
        <v>0.754861111111111</v>
      </c>
      <c r="K2342" s="0" t="n">
        <v>3</v>
      </c>
      <c r="L2342" s="0" t="n">
        <v>5</v>
      </c>
      <c r="M2342" s="0" t="s">
        <v>11882</v>
      </c>
      <c r="N2342" s="0" t="s">
        <v>7941</v>
      </c>
      <c r="P2342" s="0" t="s">
        <v>11883</v>
      </c>
      <c r="Q2342" s="2" t="n">
        <v>43846</v>
      </c>
      <c r="S2342" s="0" t="n">
        <f aca="false">YEAR(Q2342)</f>
        <v>2020</v>
      </c>
      <c r="T2342" s="0" t="n">
        <f aca="false">MONTH(Q2342)</f>
        <v>1</v>
      </c>
    </row>
    <row r="2343" customFormat="false" ht="14.25" hidden="true" customHeight="false" outlineLevel="0" collapsed="false">
      <c r="A2343" s="0" t="n">
        <v>2355</v>
      </c>
      <c r="B2343" s="1" t="s">
        <v>1375</v>
      </c>
      <c r="C2343" s="1" t="s">
        <v>1479</v>
      </c>
      <c r="D2343" s="1" t="s">
        <v>1535</v>
      </c>
      <c r="E2343" s="0" t="s">
        <v>39</v>
      </c>
      <c r="F2343" s="0" t="s">
        <v>48</v>
      </c>
      <c r="G2343" s="0" t="s">
        <v>11884</v>
      </c>
      <c r="I2343" s="6" t="n">
        <v>0.222222222222222</v>
      </c>
      <c r="J2343" s="6" t="n">
        <v>0.333333333333333</v>
      </c>
      <c r="K2343" s="0" t="n">
        <v>0</v>
      </c>
      <c r="L2343" s="0" t="n">
        <v>0</v>
      </c>
      <c r="M2343" s="0" t="s">
        <v>11885</v>
      </c>
      <c r="N2343" s="0" t="s">
        <v>11886</v>
      </c>
      <c r="P2343" s="0" t="s">
        <v>11887</v>
      </c>
      <c r="Q2343" s="2" t="n">
        <v>43850</v>
      </c>
      <c r="S2343" s="0" t="n">
        <f aca="false">YEAR(Q2343)</f>
        <v>2020</v>
      </c>
      <c r="T2343" s="0" t="n">
        <f aca="false">MONTH(Q2343)</f>
        <v>1</v>
      </c>
    </row>
    <row r="2344" customFormat="false" ht="14.25" hidden="true" customHeight="false" outlineLevel="0" collapsed="false">
      <c r="A2344" s="0" t="n">
        <v>2356</v>
      </c>
      <c r="B2344" s="1" t="s">
        <v>1375</v>
      </c>
      <c r="C2344" s="1" t="s">
        <v>1479</v>
      </c>
      <c r="D2344" s="1" t="s">
        <v>1535</v>
      </c>
      <c r="E2344" s="0" t="s">
        <v>39</v>
      </c>
      <c r="F2344" s="0" t="s">
        <v>48</v>
      </c>
      <c r="G2344" s="0" t="s">
        <v>11888</v>
      </c>
      <c r="J2344" s="6" t="n">
        <v>0.284722222222222</v>
      </c>
      <c r="K2344" s="0" t="n">
        <v>0</v>
      </c>
      <c r="L2344" s="0" t="n">
        <v>0</v>
      </c>
      <c r="M2344" s="0" t="s">
        <v>11885</v>
      </c>
      <c r="N2344" s="0" t="s">
        <v>11889</v>
      </c>
      <c r="P2344" s="0" t="s">
        <v>11890</v>
      </c>
      <c r="Q2344" s="2" t="n">
        <v>43850</v>
      </c>
      <c r="S2344" s="0" t="n">
        <f aca="false">YEAR(Q2344)</f>
        <v>2020</v>
      </c>
      <c r="T2344" s="0" t="n">
        <f aca="false">MONTH(Q2344)</f>
        <v>1</v>
      </c>
    </row>
    <row r="2345" customFormat="false" ht="14.25" hidden="true" customHeight="false" outlineLevel="0" collapsed="false">
      <c r="A2345" s="0" t="n">
        <v>2357</v>
      </c>
      <c r="B2345" s="1" t="s">
        <v>1375</v>
      </c>
      <c r="C2345" s="1" t="s">
        <v>1479</v>
      </c>
      <c r="D2345" s="1" t="s">
        <v>1487</v>
      </c>
      <c r="E2345" s="4" t="s">
        <v>1488</v>
      </c>
      <c r="F2345" s="0" t="s">
        <v>50</v>
      </c>
      <c r="G2345" s="0" t="s">
        <v>11239</v>
      </c>
      <c r="I2345" s="6" t="n">
        <v>0.957638888888889</v>
      </c>
      <c r="J2345" s="6" t="n">
        <v>0.969444444444444</v>
      </c>
      <c r="K2345" s="0" t="n">
        <v>50</v>
      </c>
      <c r="L2345" s="0" t="n">
        <v>52</v>
      </c>
      <c r="M2345" s="0" t="s">
        <v>11891</v>
      </c>
      <c r="N2345" s="0" t="s">
        <v>11892</v>
      </c>
      <c r="P2345" s="0" t="s">
        <v>11893</v>
      </c>
      <c r="Q2345" s="2" t="n">
        <v>43850</v>
      </c>
      <c r="S2345" s="0" t="n">
        <f aca="false">YEAR(Q2345)</f>
        <v>2020</v>
      </c>
      <c r="T2345" s="0" t="n">
        <f aca="false">MONTH(Q2345)</f>
        <v>1</v>
      </c>
    </row>
    <row r="2346" customFormat="false" ht="14.25" hidden="true" customHeight="false" outlineLevel="0" collapsed="false">
      <c r="A2346" s="0" t="n">
        <v>2358</v>
      </c>
      <c r="B2346" s="1" t="s">
        <v>1375</v>
      </c>
      <c r="C2346" s="1" t="s">
        <v>1479</v>
      </c>
      <c r="D2346" s="1" t="s">
        <v>1487</v>
      </c>
      <c r="E2346" s="0" t="s">
        <v>1488</v>
      </c>
      <c r="F2346" s="0" t="s">
        <v>50</v>
      </c>
      <c r="G2346" s="0" t="s">
        <v>11894</v>
      </c>
      <c r="I2346" s="6" t="n">
        <v>0.135416666666667</v>
      </c>
      <c r="J2346" s="6" t="n">
        <v>0.134027777777778</v>
      </c>
      <c r="L2346" s="0" t="n">
        <v>40</v>
      </c>
      <c r="M2346" s="0" t="s">
        <v>11895</v>
      </c>
      <c r="N2346" s="0" t="s">
        <v>11896</v>
      </c>
      <c r="P2346" s="0" t="s">
        <v>11897</v>
      </c>
      <c r="Q2346" s="2" t="n">
        <v>43850</v>
      </c>
      <c r="S2346" s="0" t="n">
        <f aca="false">YEAR(Q2346)</f>
        <v>2020</v>
      </c>
      <c r="T2346" s="0" t="n">
        <f aca="false">MONTH(Q2346)</f>
        <v>1</v>
      </c>
    </row>
    <row r="2347" customFormat="false" ht="14.25" hidden="true" customHeight="false" outlineLevel="0" collapsed="false">
      <c r="A2347" s="0" t="n">
        <v>2359</v>
      </c>
      <c r="B2347" s="1" t="s">
        <v>1375</v>
      </c>
      <c r="C2347" s="1" t="s">
        <v>1479</v>
      </c>
      <c r="D2347" s="1" t="s">
        <v>1487</v>
      </c>
      <c r="E2347" s="0" t="s">
        <v>1488</v>
      </c>
      <c r="F2347" s="0" t="s">
        <v>50</v>
      </c>
      <c r="G2347" s="0" t="s">
        <v>11898</v>
      </c>
      <c r="I2347" s="6" t="n">
        <v>0.0902777777777778</v>
      </c>
      <c r="J2347" s="6" t="n">
        <v>0.145833333333333</v>
      </c>
      <c r="L2347" s="0" t="n">
        <v>120</v>
      </c>
      <c r="M2347" s="0" t="s">
        <v>11899</v>
      </c>
      <c r="N2347" s="0" t="s">
        <v>11900</v>
      </c>
      <c r="P2347" s="0" t="s">
        <v>11901</v>
      </c>
      <c r="Q2347" s="2" t="n">
        <v>43850</v>
      </c>
      <c r="S2347" s="0" t="n">
        <f aca="false">YEAR(Q2347)</f>
        <v>2020</v>
      </c>
      <c r="T2347" s="0" t="n">
        <f aca="false">MONTH(Q2347)</f>
        <v>1</v>
      </c>
    </row>
    <row r="2348" customFormat="false" ht="14.25" hidden="true" customHeight="false" outlineLevel="0" collapsed="false">
      <c r="A2348" s="0" t="n">
        <v>2360</v>
      </c>
      <c r="B2348" s="1" t="s">
        <v>1377</v>
      </c>
      <c r="C2348" s="1" t="s">
        <v>1479</v>
      </c>
      <c r="D2348" s="1" t="s">
        <v>1535</v>
      </c>
      <c r="E2348" s="0" t="s">
        <v>39</v>
      </c>
      <c r="F2348" s="0" t="s">
        <v>50</v>
      </c>
      <c r="G2348" s="0" t="s">
        <v>11902</v>
      </c>
      <c r="I2348" s="6" t="n">
        <v>0</v>
      </c>
      <c r="J2348" s="6" t="n">
        <v>0.916666666666667</v>
      </c>
      <c r="M2348" s="0" t="s">
        <v>11903</v>
      </c>
      <c r="N2348" s="0" t="s">
        <v>11904</v>
      </c>
      <c r="P2348" s="0" t="s">
        <v>11905</v>
      </c>
      <c r="Q2348" s="2" t="n">
        <v>43849</v>
      </c>
      <c r="S2348" s="0" t="n">
        <f aca="false">YEAR(Q2348)</f>
        <v>2020</v>
      </c>
      <c r="T2348" s="0" t="n">
        <f aca="false">MONTH(Q2348)</f>
        <v>1</v>
      </c>
    </row>
    <row r="2349" customFormat="false" ht="14.25" hidden="true" customHeight="false" outlineLevel="0" collapsed="false">
      <c r="A2349" s="0" t="n">
        <v>2361</v>
      </c>
      <c r="B2349" s="1" t="s">
        <v>1377</v>
      </c>
      <c r="C2349" s="1" t="s">
        <v>1479</v>
      </c>
      <c r="D2349" s="1" t="s">
        <v>1496</v>
      </c>
      <c r="E2349" s="0" t="s">
        <v>38</v>
      </c>
      <c r="F2349" s="0" t="s">
        <v>50</v>
      </c>
      <c r="G2349" s="0" t="s">
        <v>11906</v>
      </c>
      <c r="I2349" s="6" t="n">
        <v>0.972222222222222</v>
      </c>
      <c r="J2349" s="6" t="n">
        <v>0.983333333333333</v>
      </c>
      <c r="K2349" s="0" t="n">
        <v>84</v>
      </c>
      <c r="L2349" s="0" t="n">
        <v>84</v>
      </c>
      <c r="M2349" s="0" t="s">
        <v>11907</v>
      </c>
      <c r="N2349" s="0" t="s">
        <v>11908</v>
      </c>
      <c r="P2349" s="0" t="s">
        <v>11909</v>
      </c>
      <c r="Q2349" s="2" t="n">
        <v>43849</v>
      </c>
      <c r="S2349" s="0" t="n">
        <f aca="false">YEAR(Q2349)</f>
        <v>2020</v>
      </c>
      <c r="T2349" s="0" t="n">
        <f aca="false">MONTH(Q2349)</f>
        <v>1</v>
      </c>
    </row>
    <row r="2350" customFormat="false" ht="14.25" hidden="true" customHeight="false" outlineLevel="0" collapsed="false">
      <c r="A2350" s="0" t="n">
        <v>2362</v>
      </c>
      <c r="B2350" s="1" t="s">
        <v>1377</v>
      </c>
      <c r="C2350" s="1" t="s">
        <v>1479</v>
      </c>
      <c r="D2350" s="1" t="s">
        <v>1496</v>
      </c>
      <c r="E2350" s="0" t="s">
        <v>38</v>
      </c>
      <c r="F2350" s="0" t="s">
        <v>50</v>
      </c>
      <c r="G2350" s="0" t="s">
        <v>8456</v>
      </c>
      <c r="I2350" s="6" t="n">
        <v>0.00347222222222222</v>
      </c>
      <c r="J2350" s="6" t="n">
        <v>0</v>
      </c>
      <c r="L2350" s="0" t="n">
        <v>50</v>
      </c>
      <c r="M2350" s="0" t="s">
        <v>11910</v>
      </c>
      <c r="N2350" s="0" t="s">
        <v>11911</v>
      </c>
      <c r="P2350" s="0" t="s">
        <v>11912</v>
      </c>
      <c r="Q2350" s="2" t="n">
        <v>43849</v>
      </c>
      <c r="S2350" s="0" t="n">
        <f aca="false">YEAR(Q2350)</f>
        <v>2020</v>
      </c>
      <c r="T2350" s="0" t="n">
        <f aca="false">MONTH(Q2350)</f>
        <v>1</v>
      </c>
    </row>
    <row r="2351" customFormat="false" ht="14.25" hidden="true" customHeight="false" outlineLevel="0" collapsed="false">
      <c r="A2351" s="0" t="n">
        <v>2363</v>
      </c>
      <c r="B2351" s="1" t="s">
        <v>1377</v>
      </c>
      <c r="C2351" s="1" t="s">
        <v>1503</v>
      </c>
      <c r="D2351" s="1" t="s">
        <v>1535</v>
      </c>
      <c r="E2351" s="0" t="s">
        <v>1503</v>
      </c>
      <c r="F2351" s="0" t="s">
        <v>50</v>
      </c>
      <c r="G2351" s="0" t="s">
        <v>11913</v>
      </c>
      <c r="I2351" s="6" t="n">
        <v>0</v>
      </c>
      <c r="J2351" s="6" t="n">
        <v>0.958333333333333</v>
      </c>
      <c r="M2351" s="0" t="s">
        <v>11914</v>
      </c>
      <c r="N2351" s="0" t="s">
        <v>11915</v>
      </c>
      <c r="P2351" s="0" t="s">
        <v>11916</v>
      </c>
      <c r="Q2351" s="2" t="n">
        <v>43849</v>
      </c>
      <c r="S2351" s="0" t="n">
        <f aca="false">YEAR(Q2351)</f>
        <v>2020</v>
      </c>
      <c r="T2351" s="0" t="n">
        <f aca="false">MONTH(Q2351)</f>
        <v>1</v>
      </c>
    </row>
    <row r="2352" customFormat="false" ht="14.25" hidden="true" customHeight="false" outlineLevel="0" collapsed="false">
      <c r="A2352" s="0" t="n">
        <v>2364</v>
      </c>
      <c r="B2352" s="1" t="s">
        <v>1381</v>
      </c>
      <c r="C2352" s="1" t="s">
        <v>1479</v>
      </c>
      <c r="D2352" s="1" t="s">
        <v>1487</v>
      </c>
      <c r="E2352" s="4" t="s">
        <v>1488</v>
      </c>
      <c r="F2352" s="0" t="s">
        <v>48</v>
      </c>
      <c r="G2352" s="0" t="s">
        <v>11917</v>
      </c>
      <c r="J2352" s="6" t="n">
        <v>0.384027777777778</v>
      </c>
      <c r="K2352" s="0" t="n">
        <v>29</v>
      </c>
      <c r="M2352" s="0" t="s">
        <v>11918</v>
      </c>
      <c r="N2352" s="0" t="s">
        <v>11919</v>
      </c>
      <c r="P2352" s="0" t="s">
        <v>11920</v>
      </c>
      <c r="Q2352" s="2" t="n">
        <v>43848</v>
      </c>
      <c r="S2352" s="0" t="n">
        <f aca="false">YEAR(Q2352)</f>
        <v>2020</v>
      </c>
      <c r="T2352" s="0" t="n">
        <f aca="false">MONTH(Q2352)</f>
        <v>1</v>
      </c>
    </row>
    <row r="2353" customFormat="false" ht="14.25" hidden="true" customHeight="false" outlineLevel="0" collapsed="false">
      <c r="A2353" s="0" t="n">
        <v>2365</v>
      </c>
      <c r="B2353" s="1" t="s">
        <v>1381</v>
      </c>
      <c r="C2353" s="1" t="s">
        <v>1479</v>
      </c>
      <c r="D2353" s="1" t="s">
        <v>1487</v>
      </c>
      <c r="E2353" s="0" t="s">
        <v>1488</v>
      </c>
      <c r="F2353" s="0" t="s">
        <v>48</v>
      </c>
      <c r="G2353" s="0" t="s">
        <v>9888</v>
      </c>
      <c r="I2353" s="6" t="n">
        <v>0.3875</v>
      </c>
      <c r="J2353" s="6" t="n">
        <v>0.401388888888889</v>
      </c>
      <c r="K2353" s="0" t="n">
        <v>67</v>
      </c>
      <c r="L2353" s="0" t="n">
        <v>80</v>
      </c>
      <c r="M2353" s="0" t="s">
        <v>11921</v>
      </c>
      <c r="N2353" s="0" t="s">
        <v>11922</v>
      </c>
      <c r="P2353" s="0" t="s">
        <v>11923</v>
      </c>
      <c r="Q2353" s="2" t="n">
        <v>43848</v>
      </c>
      <c r="S2353" s="0" t="n">
        <f aca="false">YEAR(Q2353)</f>
        <v>2020</v>
      </c>
      <c r="T2353" s="0" t="n">
        <f aca="false">MONTH(Q2353)</f>
        <v>1</v>
      </c>
    </row>
    <row r="2354" customFormat="false" ht="14.25" hidden="true" customHeight="false" outlineLevel="0" collapsed="false">
      <c r="A2354" s="0" t="n">
        <v>2366</v>
      </c>
      <c r="B2354" s="1" t="s">
        <v>1374</v>
      </c>
      <c r="C2354" s="1" t="s">
        <v>1479</v>
      </c>
      <c r="D2354" s="1" t="s">
        <v>1535</v>
      </c>
      <c r="E2354" s="0" t="s">
        <v>39</v>
      </c>
      <c r="F2354" s="0" t="s">
        <v>48</v>
      </c>
      <c r="G2354" s="0" t="s">
        <v>11924</v>
      </c>
      <c r="I2354" s="6" t="n">
        <v>0.222222222222222</v>
      </c>
      <c r="J2354" s="6" t="n">
        <v>0.333333333333333</v>
      </c>
      <c r="K2354" s="0" t="n">
        <v>0</v>
      </c>
      <c r="M2354" s="0" t="s">
        <v>11925</v>
      </c>
      <c r="N2354" s="0" t="s">
        <v>11926</v>
      </c>
      <c r="P2354" s="0" t="s">
        <v>11927</v>
      </c>
      <c r="Q2354" s="2" t="n">
        <v>43847</v>
      </c>
      <c r="S2354" s="0" t="n">
        <f aca="false">YEAR(Q2354)</f>
        <v>2020</v>
      </c>
      <c r="T2354" s="0" t="n">
        <f aca="false">MONTH(Q2354)</f>
        <v>1</v>
      </c>
    </row>
    <row r="2355" customFormat="false" ht="14.25" hidden="true" customHeight="false" outlineLevel="0" collapsed="false">
      <c r="A2355" s="0" t="n">
        <v>2367</v>
      </c>
      <c r="B2355" s="1" t="s">
        <v>1374</v>
      </c>
      <c r="C2355" s="1" t="s">
        <v>1479</v>
      </c>
      <c r="D2355" s="1" t="s">
        <v>1496</v>
      </c>
      <c r="E2355" s="0" t="s">
        <v>38</v>
      </c>
      <c r="F2355" s="0" t="s">
        <v>48</v>
      </c>
      <c r="G2355" s="0" t="s">
        <v>11928</v>
      </c>
      <c r="I2355" s="6" t="n">
        <v>0.410416666666667</v>
      </c>
      <c r="J2355" s="6" t="n">
        <v>0.440972222222222</v>
      </c>
      <c r="K2355" s="0" t="n">
        <v>8</v>
      </c>
      <c r="L2355" s="0" t="n">
        <v>30</v>
      </c>
      <c r="M2355" s="0" t="s">
        <v>11929</v>
      </c>
      <c r="N2355" s="0" t="s">
        <v>11930</v>
      </c>
      <c r="P2355" s="0" t="s">
        <v>11931</v>
      </c>
      <c r="Q2355" s="2" t="n">
        <v>43847</v>
      </c>
      <c r="S2355" s="0" t="n">
        <f aca="false">YEAR(Q2355)</f>
        <v>2020</v>
      </c>
      <c r="T2355" s="0" t="n">
        <f aca="false">MONTH(Q2355)</f>
        <v>1</v>
      </c>
    </row>
    <row r="2356" customFormat="false" ht="14.25" hidden="true" customHeight="false" outlineLevel="0" collapsed="false">
      <c r="A2356" s="0" t="n">
        <v>2368</v>
      </c>
      <c r="B2356" s="1" t="s">
        <v>1374</v>
      </c>
      <c r="C2356" s="1" t="s">
        <v>1495</v>
      </c>
      <c r="D2356" s="1" t="s">
        <v>1496</v>
      </c>
      <c r="E2356" s="0" t="s">
        <v>41</v>
      </c>
      <c r="F2356" s="0" t="s">
        <v>49</v>
      </c>
      <c r="G2356" s="0" t="s">
        <v>11932</v>
      </c>
      <c r="I2356" s="6" t="n">
        <v>0.458333333333333</v>
      </c>
      <c r="J2356" s="6" t="n">
        <v>0.479166666666667</v>
      </c>
      <c r="K2356" s="0" t="n">
        <v>0</v>
      </c>
      <c r="L2356" s="0" t="n">
        <v>120</v>
      </c>
      <c r="M2356" s="0" t="s">
        <v>11933</v>
      </c>
      <c r="N2356" s="0" t="s">
        <v>11934</v>
      </c>
      <c r="P2356" s="0" t="s">
        <v>11935</v>
      </c>
      <c r="Q2356" s="2" t="n">
        <v>43847</v>
      </c>
      <c r="S2356" s="0" t="n">
        <f aca="false">YEAR(Q2356)</f>
        <v>2020</v>
      </c>
      <c r="T2356" s="0" t="n">
        <f aca="false">MONTH(Q2356)</f>
        <v>1</v>
      </c>
    </row>
    <row r="2357" customFormat="false" ht="14.25" hidden="true" customHeight="false" outlineLevel="0" collapsed="false">
      <c r="A2357" s="0" t="n">
        <v>2369</v>
      </c>
      <c r="B2357" s="1" t="s">
        <v>1374</v>
      </c>
      <c r="C2357" s="1" t="s">
        <v>1479</v>
      </c>
      <c r="D2357" s="1" t="s">
        <v>1487</v>
      </c>
      <c r="E2357" s="0" t="s">
        <v>1488</v>
      </c>
      <c r="F2357" s="0" t="s">
        <v>49</v>
      </c>
      <c r="G2357" s="0" t="s">
        <v>11936</v>
      </c>
      <c r="I2357" s="6" t="n">
        <v>0.694444444444444</v>
      </c>
      <c r="J2357" s="6" t="n">
        <v>0.711805555555555</v>
      </c>
      <c r="L2357" s="0" t="n">
        <v>40</v>
      </c>
      <c r="M2357" s="0" t="s">
        <v>11937</v>
      </c>
      <c r="N2357" s="0" t="s">
        <v>11938</v>
      </c>
      <c r="P2357" s="0" t="s">
        <v>11939</v>
      </c>
      <c r="Q2357" s="2" t="n">
        <v>43847</v>
      </c>
      <c r="S2357" s="0" t="n">
        <f aca="false">YEAR(Q2357)</f>
        <v>2020</v>
      </c>
      <c r="T2357" s="0" t="n">
        <f aca="false">MONTH(Q2357)</f>
        <v>1</v>
      </c>
    </row>
    <row r="2358" customFormat="false" ht="14.25" hidden="true" customHeight="false" outlineLevel="0" collapsed="false">
      <c r="A2358" s="0" t="n">
        <v>2370</v>
      </c>
      <c r="B2358" s="1" t="s">
        <v>1374</v>
      </c>
      <c r="C2358" s="1" t="s">
        <v>1479</v>
      </c>
      <c r="D2358" s="1" t="s">
        <v>1496</v>
      </c>
      <c r="E2358" s="0" t="s">
        <v>38</v>
      </c>
      <c r="F2358" s="0" t="s">
        <v>50</v>
      </c>
      <c r="G2358" s="0" t="s">
        <v>11940</v>
      </c>
      <c r="I2358" s="6" t="n">
        <v>0.0243055555555556</v>
      </c>
      <c r="K2358" s="0" t="n">
        <v>7</v>
      </c>
      <c r="L2358" s="0" t="n">
        <v>65</v>
      </c>
      <c r="M2358" s="0" t="s">
        <v>11941</v>
      </c>
      <c r="N2358" s="0" t="s">
        <v>11942</v>
      </c>
      <c r="P2358" s="0" t="s">
        <v>11943</v>
      </c>
      <c r="Q2358" s="2" t="n">
        <v>43847</v>
      </c>
      <c r="S2358" s="0" t="n">
        <f aca="false">YEAR(Q2358)</f>
        <v>2020</v>
      </c>
      <c r="T2358" s="0" t="n">
        <f aca="false">MONTH(Q2358)</f>
        <v>1</v>
      </c>
    </row>
    <row r="2359" customFormat="false" ht="14.25" hidden="true" customHeight="false" outlineLevel="0" collapsed="false">
      <c r="A2359" s="0" t="n">
        <v>2371</v>
      </c>
      <c r="B2359" s="1" t="s">
        <v>1382</v>
      </c>
      <c r="C2359" s="1" t="s">
        <v>1479</v>
      </c>
      <c r="D2359" s="1" t="s">
        <v>1535</v>
      </c>
      <c r="E2359" s="0" t="s">
        <v>39</v>
      </c>
      <c r="F2359" s="0" t="s">
        <v>48</v>
      </c>
      <c r="G2359" s="0" t="s">
        <v>11944</v>
      </c>
      <c r="J2359" s="6" t="n">
        <v>0.277777777777778</v>
      </c>
      <c r="M2359" s="0" t="s">
        <v>11945</v>
      </c>
      <c r="N2359" s="0" t="s">
        <v>11946</v>
      </c>
      <c r="P2359" s="0" t="s">
        <v>11947</v>
      </c>
      <c r="Q2359" s="2" t="n">
        <v>43851</v>
      </c>
      <c r="S2359" s="0" t="n">
        <f aca="false">YEAR(Q2359)</f>
        <v>2020</v>
      </c>
      <c r="T2359" s="0" t="n">
        <f aca="false">MONTH(Q2359)</f>
        <v>1</v>
      </c>
    </row>
    <row r="2360" customFormat="false" ht="14.25" hidden="true" customHeight="false" outlineLevel="0" collapsed="false">
      <c r="A2360" s="0" t="n">
        <v>2372</v>
      </c>
      <c r="B2360" s="1" t="s">
        <v>1382</v>
      </c>
      <c r="C2360" s="1" t="s">
        <v>1503</v>
      </c>
      <c r="D2360" s="1" t="s">
        <v>1648</v>
      </c>
      <c r="E2360" s="0" t="s">
        <v>1648</v>
      </c>
      <c r="F2360" s="0" t="s">
        <v>48</v>
      </c>
      <c r="G2360" s="0" t="s">
        <v>8766</v>
      </c>
      <c r="J2360" s="6" t="n">
        <v>0.252777777777778</v>
      </c>
      <c r="L2360" s="0" t="n">
        <v>60</v>
      </c>
      <c r="M2360" s="0" t="s">
        <v>11948</v>
      </c>
      <c r="N2360" s="0" t="s">
        <v>11949</v>
      </c>
      <c r="P2360" s="0" t="s">
        <v>11950</v>
      </c>
      <c r="Q2360" s="2" t="n">
        <v>43851</v>
      </c>
      <c r="S2360" s="0" t="n">
        <f aca="false">YEAR(Q2360)</f>
        <v>2020</v>
      </c>
      <c r="T2360" s="0" t="n">
        <f aca="false">MONTH(Q2360)</f>
        <v>1</v>
      </c>
    </row>
    <row r="2361" customFormat="false" ht="14.25" hidden="true" customHeight="false" outlineLevel="0" collapsed="false">
      <c r="A2361" s="0" t="n">
        <v>2373</v>
      </c>
      <c r="B2361" s="1" t="s">
        <v>1382</v>
      </c>
      <c r="C2361" s="1" t="s">
        <v>1503</v>
      </c>
      <c r="D2361" s="1" t="s">
        <v>1648</v>
      </c>
      <c r="E2361" s="0" t="s">
        <v>1648</v>
      </c>
      <c r="F2361" s="0" t="s">
        <v>48</v>
      </c>
      <c r="G2361" s="0" t="s">
        <v>9974</v>
      </c>
      <c r="J2361" s="6" t="n">
        <v>0.277777777777778</v>
      </c>
      <c r="M2361" s="0" t="s">
        <v>11951</v>
      </c>
      <c r="N2361" s="0" t="s">
        <v>11952</v>
      </c>
      <c r="P2361" s="0" t="s">
        <v>11953</v>
      </c>
      <c r="Q2361" s="2" t="n">
        <v>43851</v>
      </c>
      <c r="S2361" s="0" t="n">
        <f aca="false">YEAR(Q2361)</f>
        <v>2020</v>
      </c>
      <c r="T2361" s="0" t="n">
        <f aca="false">MONTH(Q2361)</f>
        <v>1</v>
      </c>
    </row>
    <row r="2362" customFormat="false" ht="14.25" hidden="true" customHeight="false" outlineLevel="0" collapsed="false">
      <c r="A2362" s="0" t="n">
        <v>2374</v>
      </c>
      <c r="B2362" s="1" t="s">
        <v>1382</v>
      </c>
      <c r="C2362" s="1" t="s">
        <v>1479</v>
      </c>
      <c r="D2362" s="1" t="s">
        <v>1487</v>
      </c>
      <c r="E2362" s="0" t="s">
        <v>1488</v>
      </c>
      <c r="F2362" s="0" t="s">
        <v>49</v>
      </c>
      <c r="G2362" s="0" t="s">
        <v>11954</v>
      </c>
      <c r="I2362" s="6" t="n">
        <v>0.652777777777778</v>
      </c>
      <c r="J2362" s="6" t="n">
        <v>0.680555555555555</v>
      </c>
      <c r="L2362" s="0" t="n">
        <v>180</v>
      </c>
      <c r="M2362" s="0" t="s">
        <v>11955</v>
      </c>
      <c r="N2362" s="0" t="s">
        <v>11956</v>
      </c>
      <c r="P2362" s="0" t="s">
        <v>11957</v>
      </c>
      <c r="Q2362" s="2" t="n">
        <v>43851</v>
      </c>
      <c r="S2362" s="0" t="n">
        <f aca="false">YEAR(Q2362)</f>
        <v>2020</v>
      </c>
      <c r="T2362" s="0" t="n">
        <f aca="false">MONTH(Q2362)</f>
        <v>1</v>
      </c>
    </row>
    <row r="2363" customFormat="false" ht="14.25" hidden="true" customHeight="false" outlineLevel="0" collapsed="false">
      <c r="A2363" s="0" t="n">
        <v>2375</v>
      </c>
      <c r="B2363" s="1" t="s">
        <v>1382</v>
      </c>
      <c r="C2363" s="1" t="s">
        <v>1479</v>
      </c>
      <c r="D2363" s="1" t="s">
        <v>1487</v>
      </c>
      <c r="E2363" s="0" t="s">
        <v>1488</v>
      </c>
      <c r="F2363" s="0" t="s">
        <v>49</v>
      </c>
      <c r="G2363" s="0" t="s">
        <v>11958</v>
      </c>
      <c r="I2363" s="6" t="n">
        <v>0.777777777777778</v>
      </c>
      <c r="J2363" s="6" t="n">
        <v>0.782638888888889</v>
      </c>
      <c r="L2363" s="0" t="n">
        <v>60</v>
      </c>
      <c r="M2363" s="0" t="s">
        <v>11959</v>
      </c>
      <c r="N2363" s="0" t="s">
        <v>11960</v>
      </c>
      <c r="P2363" s="0" t="s">
        <v>11961</v>
      </c>
      <c r="Q2363" s="2" t="n">
        <v>43851</v>
      </c>
      <c r="S2363" s="0" t="n">
        <f aca="false">YEAR(Q2363)</f>
        <v>2020</v>
      </c>
      <c r="T2363" s="0" t="n">
        <f aca="false">MONTH(Q2363)</f>
        <v>1</v>
      </c>
    </row>
    <row r="2364" customFormat="false" ht="14.25" hidden="true" customHeight="false" outlineLevel="0" collapsed="false">
      <c r="A2364" s="0" t="n">
        <v>2376</v>
      </c>
      <c r="B2364" s="1" t="s">
        <v>1382</v>
      </c>
      <c r="C2364" s="1" t="s">
        <v>1479</v>
      </c>
      <c r="D2364" s="1" t="s">
        <v>1487</v>
      </c>
      <c r="E2364" s="0" t="s">
        <v>1488</v>
      </c>
      <c r="F2364" s="0" t="s">
        <v>50</v>
      </c>
      <c r="G2364" s="0" t="s">
        <v>11239</v>
      </c>
      <c r="I2364" s="6" t="n">
        <v>0</v>
      </c>
      <c r="J2364" s="6" t="n">
        <v>0.0972222222222222</v>
      </c>
      <c r="M2364" s="0" t="s">
        <v>11962</v>
      </c>
      <c r="N2364" s="0" t="s">
        <v>11963</v>
      </c>
      <c r="P2364" s="0" t="s">
        <v>11964</v>
      </c>
      <c r="Q2364" s="2" t="n">
        <v>43851</v>
      </c>
      <c r="S2364" s="0" t="n">
        <f aca="false">YEAR(Q2364)</f>
        <v>2020</v>
      </c>
      <c r="T2364" s="0" t="n">
        <f aca="false">MONTH(Q2364)</f>
        <v>1</v>
      </c>
    </row>
    <row r="2365" customFormat="false" ht="14.25" hidden="true" customHeight="false" outlineLevel="0" collapsed="false">
      <c r="A2365" s="0" t="n">
        <v>2377</v>
      </c>
      <c r="B2365" s="1" t="s">
        <v>1385</v>
      </c>
      <c r="C2365" s="1" t="s">
        <v>1479</v>
      </c>
      <c r="D2365" s="1" t="s">
        <v>1535</v>
      </c>
      <c r="E2365" s="0" t="s">
        <v>39</v>
      </c>
      <c r="F2365" s="0" t="s">
        <v>49</v>
      </c>
      <c r="G2365" s="0" t="s">
        <v>9110</v>
      </c>
      <c r="I2365" s="6" t="n">
        <v>0.746527777777778</v>
      </c>
      <c r="J2365" s="6" t="n">
        <v>0.753472222222222</v>
      </c>
      <c r="L2365" s="0" t="n">
        <v>15</v>
      </c>
      <c r="M2365" s="0" t="s">
        <v>11965</v>
      </c>
      <c r="N2365" s="0" t="s">
        <v>11966</v>
      </c>
      <c r="P2365" s="0" t="s">
        <v>11967</v>
      </c>
      <c r="Q2365" s="2" t="n">
        <v>43852</v>
      </c>
      <c r="S2365" s="0" t="n">
        <f aca="false">YEAR(Q2365)</f>
        <v>2020</v>
      </c>
      <c r="T2365" s="0" t="n">
        <f aca="false">MONTH(Q2365)</f>
        <v>1</v>
      </c>
    </row>
    <row r="2366" customFormat="false" ht="14.25" hidden="true" customHeight="false" outlineLevel="0" collapsed="false">
      <c r="A2366" s="0" t="n">
        <v>2378</v>
      </c>
      <c r="B2366" s="1" t="s">
        <v>1385</v>
      </c>
      <c r="C2366" s="1" t="s">
        <v>1495</v>
      </c>
      <c r="D2366" s="1" t="s">
        <v>1535</v>
      </c>
      <c r="E2366" s="0" t="s">
        <v>42</v>
      </c>
      <c r="F2366" s="0" t="s">
        <v>49</v>
      </c>
      <c r="G2366" s="0" t="s">
        <v>11968</v>
      </c>
      <c r="I2366" s="6" t="n">
        <v>0.666666666666667</v>
      </c>
      <c r="J2366" s="6" t="n">
        <v>0.729166666666667</v>
      </c>
      <c r="L2366" s="0" t="n">
        <v>120</v>
      </c>
      <c r="M2366" s="0" t="s">
        <v>11969</v>
      </c>
      <c r="N2366" s="0" t="s">
        <v>11970</v>
      </c>
      <c r="P2366" s="0" t="s">
        <v>11971</v>
      </c>
      <c r="Q2366" s="2" t="n">
        <v>43852</v>
      </c>
      <c r="S2366" s="0" t="n">
        <f aca="false">YEAR(Q2366)</f>
        <v>2020</v>
      </c>
      <c r="T2366" s="0" t="n">
        <f aca="false">MONTH(Q2366)</f>
        <v>1</v>
      </c>
    </row>
    <row r="2367" customFormat="false" ht="14.25" hidden="true" customHeight="false" outlineLevel="0" collapsed="false">
      <c r="A2367" s="0" t="n">
        <v>2379</v>
      </c>
      <c r="B2367" s="1" t="s">
        <v>1385</v>
      </c>
      <c r="C2367" s="1" t="s">
        <v>1503</v>
      </c>
      <c r="D2367" s="1" t="s">
        <v>1504</v>
      </c>
      <c r="E2367" s="0" t="s">
        <v>45</v>
      </c>
      <c r="F2367" s="0" t="s">
        <v>49</v>
      </c>
      <c r="G2367" s="0" t="s">
        <v>11972</v>
      </c>
      <c r="I2367" s="6" t="n">
        <v>0.8125</v>
      </c>
      <c r="J2367" s="6" t="n">
        <v>0.854166666666667</v>
      </c>
      <c r="M2367" s="0" t="s">
        <v>11973</v>
      </c>
      <c r="N2367" s="0" t="s">
        <v>5360</v>
      </c>
      <c r="P2367" s="0" t="s">
        <v>11974</v>
      </c>
      <c r="Q2367" s="2" t="n">
        <v>43852</v>
      </c>
      <c r="S2367" s="0" t="n">
        <f aca="false">YEAR(Q2367)</f>
        <v>2020</v>
      </c>
      <c r="T2367" s="0" t="n">
        <f aca="false">MONTH(Q2367)</f>
        <v>1</v>
      </c>
    </row>
    <row r="2368" customFormat="false" ht="14.25" hidden="true" customHeight="false" outlineLevel="0" collapsed="false">
      <c r="A2368" s="0" t="n">
        <v>2380</v>
      </c>
      <c r="B2368" s="1" t="s">
        <v>1385</v>
      </c>
      <c r="C2368" s="1" t="s">
        <v>1479</v>
      </c>
      <c r="D2368" s="1" t="s">
        <v>1496</v>
      </c>
      <c r="E2368" s="0" t="s">
        <v>38</v>
      </c>
      <c r="F2368" s="0" t="s">
        <v>50</v>
      </c>
      <c r="G2368" s="0" t="s">
        <v>11975</v>
      </c>
      <c r="I2368" s="6" t="n">
        <v>0.215277777777778</v>
      </c>
      <c r="J2368" s="6" t="n">
        <v>0.21875</v>
      </c>
      <c r="K2368" s="0" t="n">
        <v>10</v>
      </c>
      <c r="L2368" s="0" t="n">
        <v>33</v>
      </c>
      <c r="M2368" s="0" t="s">
        <v>11976</v>
      </c>
      <c r="N2368" s="0" t="s">
        <v>11977</v>
      </c>
      <c r="Q2368" s="2" t="n">
        <v>43852</v>
      </c>
      <c r="S2368" s="0" t="n">
        <f aca="false">YEAR(Q2368)</f>
        <v>2020</v>
      </c>
      <c r="T2368" s="0" t="n">
        <f aca="false">MONTH(Q2368)</f>
        <v>1</v>
      </c>
    </row>
    <row r="2369" customFormat="false" ht="14.25" hidden="true" customHeight="false" outlineLevel="0" collapsed="false">
      <c r="A2369" s="0" t="n">
        <v>2381</v>
      </c>
      <c r="B2369" s="1" t="s">
        <v>1385</v>
      </c>
      <c r="C2369" s="1" t="s">
        <v>1503</v>
      </c>
      <c r="D2369" s="1" t="s">
        <v>1535</v>
      </c>
      <c r="E2369" s="0" t="s">
        <v>44</v>
      </c>
      <c r="F2369" s="0" t="s">
        <v>50</v>
      </c>
      <c r="G2369" s="0" t="s">
        <v>11978</v>
      </c>
      <c r="I2369" s="6" t="n">
        <v>0.9375</v>
      </c>
      <c r="J2369" s="6" t="n">
        <v>0.951388888888889</v>
      </c>
      <c r="M2369" s="0" t="s">
        <v>11979</v>
      </c>
      <c r="N2369" s="0" t="s">
        <v>11980</v>
      </c>
      <c r="P2369" s="0" t="s">
        <v>11981</v>
      </c>
      <c r="Q2369" s="2" t="n">
        <v>43852</v>
      </c>
      <c r="S2369" s="0" t="n">
        <f aca="false">YEAR(Q2369)</f>
        <v>2020</v>
      </c>
      <c r="T2369" s="0" t="n">
        <f aca="false">MONTH(Q2369)</f>
        <v>1</v>
      </c>
    </row>
    <row r="2370" customFormat="false" ht="14.25" hidden="true" customHeight="false" outlineLevel="0" collapsed="false">
      <c r="A2370" s="0" t="n">
        <v>2382</v>
      </c>
      <c r="B2370" s="1" t="s">
        <v>1386</v>
      </c>
      <c r="C2370" s="1" t="s">
        <v>1495</v>
      </c>
      <c r="D2370" s="1" t="s">
        <v>1535</v>
      </c>
      <c r="E2370" s="0" t="s">
        <v>42</v>
      </c>
      <c r="F2370" s="0" t="s">
        <v>48</v>
      </c>
      <c r="G2370" s="0" t="s">
        <v>7860</v>
      </c>
      <c r="I2370" s="6" t="n">
        <v>0.263888888888889</v>
      </c>
      <c r="K2370" s="0" t="n">
        <v>0</v>
      </c>
      <c r="M2370" s="0" t="s">
        <v>11982</v>
      </c>
      <c r="N2370" s="0" t="s">
        <v>11983</v>
      </c>
      <c r="P2370" s="0" t="s">
        <v>11984</v>
      </c>
      <c r="Q2370" s="2" t="n">
        <v>43853</v>
      </c>
      <c r="S2370" s="0" t="n">
        <f aca="false">YEAR(Q2370)</f>
        <v>2020</v>
      </c>
      <c r="T2370" s="0" t="n">
        <f aca="false">MONTH(Q2370)</f>
        <v>1</v>
      </c>
    </row>
    <row r="2371" customFormat="false" ht="14.25" hidden="true" customHeight="false" outlineLevel="0" collapsed="false">
      <c r="A2371" s="0" t="n">
        <v>2383</v>
      </c>
      <c r="B2371" s="1" t="s">
        <v>1386</v>
      </c>
      <c r="C2371" s="1" t="s">
        <v>1479</v>
      </c>
      <c r="D2371" s="1" t="s">
        <v>1535</v>
      </c>
      <c r="E2371" s="0" t="s">
        <v>39</v>
      </c>
      <c r="F2371" s="0" t="s">
        <v>48</v>
      </c>
      <c r="G2371" s="0" t="s">
        <v>11985</v>
      </c>
      <c r="I2371" s="6" t="n">
        <v>0.271527777777778</v>
      </c>
      <c r="J2371" s="6" t="n">
        <v>0.314583333333333</v>
      </c>
      <c r="K2371" s="0" t="n">
        <v>3</v>
      </c>
      <c r="M2371" s="0" t="s">
        <v>11986</v>
      </c>
      <c r="N2371" s="0" t="s">
        <v>11987</v>
      </c>
      <c r="P2371" s="0" t="s">
        <v>11988</v>
      </c>
      <c r="Q2371" s="2" t="n">
        <v>43853</v>
      </c>
      <c r="S2371" s="0" t="n">
        <f aca="false">YEAR(Q2371)</f>
        <v>2020</v>
      </c>
      <c r="T2371" s="0" t="n">
        <f aca="false">MONTH(Q2371)</f>
        <v>1</v>
      </c>
    </row>
    <row r="2372" customFormat="false" ht="14.25" hidden="true" customHeight="false" outlineLevel="0" collapsed="false">
      <c r="A2372" s="0" t="n">
        <v>2384</v>
      </c>
      <c r="B2372" s="1" t="s">
        <v>1386</v>
      </c>
      <c r="C2372" s="1" t="s">
        <v>1503</v>
      </c>
      <c r="D2372" s="1" t="s">
        <v>1504</v>
      </c>
      <c r="E2372" s="0" t="s">
        <v>45</v>
      </c>
      <c r="F2372" s="0" t="s">
        <v>48</v>
      </c>
      <c r="G2372" s="0" t="s">
        <v>11579</v>
      </c>
      <c r="I2372" s="6" t="n">
        <v>0.356944444444444</v>
      </c>
      <c r="J2372" s="6" t="n">
        <v>0.391666666666667</v>
      </c>
      <c r="L2372" s="0" t="n">
        <v>80</v>
      </c>
      <c r="M2372" s="0" t="s">
        <v>11989</v>
      </c>
      <c r="N2372" s="0" t="s">
        <v>11990</v>
      </c>
      <c r="P2372" s="0" t="s">
        <v>11991</v>
      </c>
      <c r="Q2372" s="2" t="n">
        <v>43853</v>
      </c>
      <c r="S2372" s="0" t="n">
        <f aca="false">YEAR(Q2372)</f>
        <v>2020</v>
      </c>
      <c r="T2372" s="0" t="n">
        <f aca="false">MONTH(Q2372)</f>
        <v>1</v>
      </c>
    </row>
    <row r="2373" customFormat="false" ht="14.25" hidden="true" customHeight="false" outlineLevel="0" collapsed="false">
      <c r="A2373" s="0" t="n">
        <v>2385</v>
      </c>
      <c r="B2373" s="1" t="s">
        <v>1386</v>
      </c>
      <c r="C2373" s="1" t="s">
        <v>1503</v>
      </c>
      <c r="D2373" s="1" t="s">
        <v>1504</v>
      </c>
      <c r="E2373" s="0" t="s">
        <v>45</v>
      </c>
      <c r="F2373" s="0" t="s">
        <v>48</v>
      </c>
      <c r="G2373" s="0" t="s">
        <v>11992</v>
      </c>
      <c r="J2373" s="6" t="n">
        <v>0.332638888888889</v>
      </c>
      <c r="M2373" s="0" t="s">
        <v>11993</v>
      </c>
      <c r="N2373" s="0" t="s">
        <v>11994</v>
      </c>
      <c r="P2373" s="0" t="s">
        <v>11995</v>
      </c>
      <c r="Q2373" s="2" t="n">
        <v>43853</v>
      </c>
      <c r="S2373" s="0" t="n">
        <f aca="false">YEAR(Q2373)</f>
        <v>2020</v>
      </c>
      <c r="T2373" s="0" t="n">
        <f aca="false">MONTH(Q2373)</f>
        <v>1</v>
      </c>
    </row>
    <row r="2374" customFormat="false" ht="14.25" hidden="true" customHeight="false" outlineLevel="0" collapsed="false">
      <c r="A2374" s="0" t="n">
        <v>2386</v>
      </c>
      <c r="B2374" s="1" t="s">
        <v>1386</v>
      </c>
      <c r="C2374" s="1" t="s">
        <v>1503</v>
      </c>
      <c r="D2374" s="1" t="s">
        <v>1504</v>
      </c>
      <c r="E2374" s="0" t="s">
        <v>45</v>
      </c>
      <c r="F2374" s="0" t="s">
        <v>48</v>
      </c>
      <c r="G2374" s="0" t="s">
        <v>11972</v>
      </c>
      <c r="J2374" s="6" t="n">
        <v>0.391666666666667</v>
      </c>
      <c r="M2374" s="0" t="s">
        <v>11996</v>
      </c>
      <c r="N2374" s="0" t="s">
        <v>11997</v>
      </c>
      <c r="P2374" s="0" t="s">
        <v>11998</v>
      </c>
      <c r="Q2374" s="2" t="n">
        <v>43853</v>
      </c>
      <c r="S2374" s="0" t="n">
        <f aca="false">YEAR(Q2374)</f>
        <v>2020</v>
      </c>
      <c r="T2374" s="0" t="n">
        <f aca="false">MONTH(Q2374)</f>
        <v>1</v>
      </c>
    </row>
    <row r="2375" customFormat="false" ht="14.25" hidden="true" customHeight="false" outlineLevel="0" collapsed="false">
      <c r="A2375" s="0" t="n">
        <v>2387</v>
      </c>
      <c r="B2375" s="1" t="s">
        <v>1388</v>
      </c>
      <c r="C2375" s="1" t="s">
        <v>1479</v>
      </c>
      <c r="D2375" s="1" t="s">
        <v>1487</v>
      </c>
      <c r="E2375" s="0" t="s">
        <v>1488</v>
      </c>
      <c r="F2375" s="0" t="s">
        <v>48</v>
      </c>
      <c r="G2375" s="0" t="s">
        <v>11999</v>
      </c>
      <c r="I2375" s="6" t="n">
        <v>0.374305555555555</v>
      </c>
      <c r="J2375" s="6" t="n">
        <v>0.395833333333333</v>
      </c>
      <c r="L2375" s="0" t="n">
        <v>73</v>
      </c>
      <c r="M2375" s="0" t="s">
        <v>12000</v>
      </c>
      <c r="N2375" s="0" t="s">
        <v>12001</v>
      </c>
      <c r="P2375" s="0" t="s">
        <v>12002</v>
      </c>
      <c r="Q2375" s="2" t="n">
        <v>43854</v>
      </c>
      <c r="S2375" s="0" t="n">
        <f aca="false">YEAR(Q2375)</f>
        <v>2020</v>
      </c>
      <c r="T2375" s="0" t="n">
        <f aca="false">MONTH(Q2375)</f>
        <v>1</v>
      </c>
    </row>
    <row r="2376" customFormat="false" ht="14.25" hidden="true" customHeight="false" outlineLevel="0" collapsed="false">
      <c r="A2376" s="0" t="n">
        <v>2388</v>
      </c>
      <c r="B2376" s="1" t="s">
        <v>1388</v>
      </c>
      <c r="C2376" s="1" t="s">
        <v>1479</v>
      </c>
      <c r="D2376" s="1" t="s">
        <v>1535</v>
      </c>
      <c r="E2376" s="0" t="s">
        <v>39</v>
      </c>
      <c r="F2376" s="0" t="s">
        <v>49</v>
      </c>
      <c r="G2376" s="0" t="s">
        <v>11707</v>
      </c>
      <c r="I2376" s="6" t="n">
        <v>0.760416666666667</v>
      </c>
      <c r="J2376" s="6" t="n">
        <v>0.763888888888889</v>
      </c>
      <c r="K2376" s="0" t="n">
        <v>0</v>
      </c>
      <c r="L2376" s="0" t="n">
        <v>75</v>
      </c>
      <c r="M2376" s="0" t="s">
        <v>12003</v>
      </c>
      <c r="N2376" s="0" t="s">
        <v>12004</v>
      </c>
      <c r="P2376" s="0" t="s">
        <v>12005</v>
      </c>
      <c r="Q2376" s="2" t="n">
        <v>43854</v>
      </c>
      <c r="S2376" s="0" t="n">
        <f aca="false">YEAR(Q2376)</f>
        <v>2020</v>
      </c>
      <c r="T2376" s="0" t="n">
        <f aca="false">MONTH(Q2376)</f>
        <v>1</v>
      </c>
    </row>
    <row r="2377" customFormat="false" ht="14.25" hidden="true" customHeight="false" outlineLevel="0" collapsed="false">
      <c r="A2377" s="0" t="n">
        <v>2389</v>
      </c>
      <c r="B2377" s="1" t="s">
        <v>1019</v>
      </c>
      <c r="C2377" s="1" t="s">
        <v>1479</v>
      </c>
      <c r="D2377" s="1" t="s">
        <v>1535</v>
      </c>
      <c r="E2377" s="0" t="s">
        <v>39</v>
      </c>
      <c r="F2377" s="0" t="s">
        <v>48</v>
      </c>
      <c r="G2377" s="0" t="s">
        <v>12006</v>
      </c>
      <c r="I2377" s="6" t="n">
        <v>0.253472222222222</v>
      </c>
      <c r="J2377" s="6" t="n">
        <v>0.270138888888889</v>
      </c>
      <c r="K2377" s="0" t="n">
        <v>13</v>
      </c>
      <c r="L2377" s="0" t="n">
        <v>60</v>
      </c>
      <c r="M2377" s="0" t="s">
        <v>12007</v>
      </c>
      <c r="N2377" s="0" t="s">
        <v>12008</v>
      </c>
      <c r="P2377" s="0" t="s">
        <v>12009</v>
      </c>
      <c r="Q2377" s="2" t="n">
        <v>43418</v>
      </c>
      <c r="S2377" s="0" t="n">
        <f aca="false">YEAR(Q2377)</f>
        <v>2018</v>
      </c>
      <c r="T2377" s="0" t="n">
        <f aca="false">MONTH(Q2377)</f>
        <v>11</v>
      </c>
    </row>
    <row r="2378" customFormat="false" ht="14.25" hidden="true" customHeight="false" outlineLevel="0" collapsed="false">
      <c r="A2378" s="0" t="n">
        <v>2390</v>
      </c>
      <c r="B2378" s="1" t="s">
        <v>1019</v>
      </c>
      <c r="C2378" s="1" t="s">
        <v>1503</v>
      </c>
      <c r="D2378" s="1" t="s">
        <v>1535</v>
      </c>
      <c r="E2378" s="0" t="s">
        <v>1503</v>
      </c>
      <c r="F2378" s="0" t="s">
        <v>50</v>
      </c>
      <c r="G2378" s="0" t="s">
        <v>6029</v>
      </c>
      <c r="I2378" s="6" t="n">
        <v>0.833333333333333</v>
      </c>
      <c r="J2378" s="6" t="n">
        <v>0.958333333333333</v>
      </c>
      <c r="M2378" s="0" t="s">
        <v>12010</v>
      </c>
      <c r="N2378" s="0" t="s">
        <v>12011</v>
      </c>
      <c r="P2378" s="0" t="s">
        <v>12012</v>
      </c>
      <c r="Q2378" s="2" t="n">
        <v>43418</v>
      </c>
      <c r="S2378" s="0" t="n">
        <f aca="false">YEAR(Q2378)</f>
        <v>2018</v>
      </c>
      <c r="T2378" s="0" t="n">
        <f aca="false">MONTH(Q2378)</f>
        <v>11</v>
      </c>
    </row>
    <row r="2379" customFormat="false" ht="14.25" hidden="true" customHeight="false" outlineLevel="0" collapsed="false">
      <c r="A2379" s="0" t="n">
        <v>2391</v>
      </c>
      <c r="B2379" s="1" t="s">
        <v>957</v>
      </c>
      <c r="C2379" s="1" t="s">
        <v>1503</v>
      </c>
      <c r="D2379" s="1" t="s">
        <v>1504</v>
      </c>
      <c r="E2379" s="0" t="s">
        <v>45</v>
      </c>
      <c r="F2379" s="0" t="s">
        <v>48</v>
      </c>
      <c r="G2379" s="0" t="s">
        <v>12013</v>
      </c>
      <c r="J2379" s="6" t="n">
        <v>0.354166666666667</v>
      </c>
      <c r="M2379" s="0" t="s">
        <v>12014</v>
      </c>
      <c r="N2379" s="0" t="s">
        <v>12015</v>
      </c>
      <c r="P2379" s="0" t="s">
        <v>12016</v>
      </c>
      <c r="Q2379" s="2" t="n">
        <v>43360</v>
      </c>
      <c r="S2379" s="0" t="n">
        <f aca="false">YEAR(Q2379)</f>
        <v>2018</v>
      </c>
      <c r="T2379" s="0" t="n">
        <f aca="false">MONTH(Q2379)</f>
        <v>9</v>
      </c>
    </row>
    <row r="2380" customFormat="false" ht="14.25" hidden="true" customHeight="false" outlineLevel="0" collapsed="false">
      <c r="A2380" s="0" t="n">
        <v>2392</v>
      </c>
      <c r="B2380" s="1" t="s">
        <v>961</v>
      </c>
      <c r="C2380" s="1" t="s">
        <v>1479</v>
      </c>
      <c r="D2380" s="1" t="s">
        <v>1535</v>
      </c>
      <c r="E2380" s="0" t="s">
        <v>39</v>
      </c>
      <c r="F2380" s="0" t="s">
        <v>48</v>
      </c>
      <c r="G2380" s="0" t="s">
        <v>12017</v>
      </c>
      <c r="J2380" s="6" t="n">
        <v>0.373611111111111</v>
      </c>
      <c r="M2380" s="0" t="s">
        <v>12018</v>
      </c>
      <c r="N2380" s="0" t="s">
        <v>12019</v>
      </c>
      <c r="P2380" s="0" t="s">
        <v>12020</v>
      </c>
      <c r="Q2380" s="2" t="n">
        <v>43364</v>
      </c>
      <c r="S2380" s="0" t="n">
        <f aca="false">YEAR(Q2380)</f>
        <v>2018</v>
      </c>
      <c r="T2380" s="0" t="n">
        <f aca="false">MONTH(Q2380)</f>
        <v>9</v>
      </c>
    </row>
    <row r="2381" customFormat="false" ht="14.25" hidden="true" customHeight="false" outlineLevel="0" collapsed="false">
      <c r="A2381" s="0" t="n">
        <v>2393</v>
      </c>
      <c r="B2381" s="1" t="s">
        <v>966</v>
      </c>
      <c r="C2381" s="1" t="s">
        <v>1479</v>
      </c>
      <c r="D2381" s="1" t="s">
        <v>1487</v>
      </c>
      <c r="E2381" s="4" t="s">
        <v>1488</v>
      </c>
      <c r="F2381" s="0" t="s">
        <v>49</v>
      </c>
      <c r="G2381" s="0" t="s">
        <v>12021</v>
      </c>
      <c r="J2381" s="6" t="n">
        <v>0.805555555555555</v>
      </c>
      <c r="K2381" s="0" t="n">
        <v>7</v>
      </c>
      <c r="L2381" s="0" t="n">
        <v>10</v>
      </c>
      <c r="M2381" s="0" t="s">
        <v>12022</v>
      </c>
      <c r="N2381" s="0" t="s">
        <v>12023</v>
      </c>
      <c r="P2381" s="0" t="s">
        <v>12024</v>
      </c>
      <c r="Q2381" s="2" t="n">
        <v>43368</v>
      </c>
      <c r="S2381" s="0" t="n">
        <f aca="false">YEAR(Q2381)</f>
        <v>2018</v>
      </c>
      <c r="T2381" s="0" t="n">
        <f aca="false">MONTH(Q2381)</f>
        <v>9</v>
      </c>
    </row>
    <row r="2382" customFormat="false" ht="14.25" hidden="true" customHeight="false" outlineLevel="0" collapsed="false">
      <c r="A2382" s="0" t="n">
        <v>2394</v>
      </c>
      <c r="B2382" s="1" t="s">
        <v>951</v>
      </c>
      <c r="C2382" s="1" t="s">
        <v>1479</v>
      </c>
      <c r="D2382" s="1" t="s">
        <v>1535</v>
      </c>
      <c r="E2382" s="0" t="s">
        <v>39</v>
      </c>
      <c r="F2382" s="0" t="s">
        <v>48</v>
      </c>
      <c r="G2382" s="0" t="s">
        <v>12025</v>
      </c>
      <c r="I2382" s="6" t="n">
        <v>0.397916666666667</v>
      </c>
      <c r="J2382" s="6" t="n">
        <v>0.413194444444444</v>
      </c>
      <c r="K2382" s="0" t="n">
        <v>3</v>
      </c>
      <c r="L2382" s="0" t="n">
        <v>43</v>
      </c>
      <c r="M2382" s="0" t="s">
        <v>12026</v>
      </c>
      <c r="N2382" s="0" t="s">
        <v>12027</v>
      </c>
      <c r="P2382" s="0" t="s">
        <v>12028</v>
      </c>
      <c r="Q2382" s="2" t="n">
        <v>43355</v>
      </c>
      <c r="S2382" s="0" t="n">
        <f aca="false">YEAR(Q2382)</f>
        <v>2018</v>
      </c>
      <c r="T2382" s="0" t="n">
        <f aca="false">MONTH(Q2382)</f>
        <v>9</v>
      </c>
    </row>
    <row r="2383" customFormat="false" ht="57" hidden="true" customHeight="false" outlineLevel="0" collapsed="false">
      <c r="A2383" s="0" t="n">
        <v>2395</v>
      </c>
      <c r="B2383" s="1" t="s">
        <v>1389</v>
      </c>
      <c r="C2383" s="1" t="s">
        <v>1503</v>
      </c>
      <c r="D2383" s="1" t="s">
        <v>1535</v>
      </c>
      <c r="E2383" s="0" t="s">
        <v>44</v>
      </c>
      <c r="F2383" s="0" t="s">
        <v>49</v>
      </c>
      <c r="G2383" s="0" t="s">
        <v>12029</v>
      </c>
      <c r="I2383" s="6" t="n">
        <v>0.625</v>
      </c>
      <c r="J2383" s="6" t="n">
        <v>0.713888888888889</v>
      </c>
      <c r="K2383" s="0" t="n">
        <v>10</v>
      </c>
      <c r="L2383" s="0" t="n">
        <v>190</v>
      </c>
      <c r="M2383" s="7" t="s">
        <v>12030</v>
      </c>
      <c r="N2383" s="0" t="s">
        <v>12031</v>
      </c>
      <c r="P2383" s="7" t="s">
        <v>12032</v>
      </c>
      <c r="Q2383" s="2" t="n">
        <v>43348</v>
      </c>
      <c r="S2383" s="0" t="n">
        <f aca="false">YEAR(Q2383)</f>
        <v>2018</v>
      </c>
      <c r="T2383" s="0" t="n">
        <f aca="false">MONTH(Q2383)</f>
        <v>9</v>
      </c>
    </row>
    <row r="2384" customFormat="false" ht="42.75" hidden="true" customHeight="false" outlineLevel="0" collapsed="false">
      <c r="A2384" s="0" t="n">
        <v>2396</v>
      </c>
      <c r="B2384" s="1" t="s">
        <v>1389</v>
      </c>
      <c r="C2384" s="1" t="s">
        <v>1479</v>
      </c>
      <c r="D2384" s="1" t="s">
        <v>1496</v>
      </c>
      <c r="E2384" s="0" t="s">
        <v>38</v>
      </c>
      <c r="F2384" s="0" t="s">
        <v>49</v>
      </c>
      <c r="G2384" s="0" t="s">
        <v>12033</v>
      </c>
      <c r="I2384" s="6" t="n">
        <v>0.920833333333333</v>
      </c>
      <c r="J2384" s="6" t="n">
        <v>0.927083333333333</v>
      </c>
      <c r="K2384" s="0" t="n">
        <v>15</v>
      </c>
      <c r="M2384" s="7" t="s">
        <v>12034</v>
      </c>
      <c r="N2384" s="7" t="s">
        <v>12035</v>
      </c>
      <c r="O2384" s="7"/>
      <c r="P2384" s="7" t="s">
        <v>12036</v>
      </c>
      <c r="Q2384" s="2" t="n">
        <v>43348</v>
      </c>
      <c r="S2384" s="0" t="n">
        <f aca="false">YEAR(Q2384)</f>
        <v>2018</v>
      </c>
      <c r="T2384" s="0" t="n">
        <f aca="false">MONTH(Q2384)</f>
        <v>9</v>
      </c>
    </row>
    <row r="2385" customFormat="false" ht="28.5" hidden="true" customHeight="false" outlineLevel="0" collapsed="false">
      <c r="A2385" s="0" t="n">
        <v>2397</v>
      </c>
      <c r="B2385" s="1" t="s">
        <v>1389</v>
      </c>
      <c r="C2385" s="1" t="s">
        <v>1479</v>
      </c>
      <c r="D2385" s="1" t="s">
        <v>1496</v>
      </c>
      <c r="E2385" s="0" t="s">
        <v>38</v>
      </c>
      <c r="F2385" s="0" t="s">
        <v>50</v>
      </c>
      <c r="G2385" s="0" t="s">
        <v>12033</v>
      </c>
      <c r="I2385" s="6" t="n">
        <v>0.920833333333333</v>
      </c>
      <c r="J2385" s="6" t="n">
        <v>0.927083333333333</v>
      </c>
      <c r="L2385" s="0" t="n">
        <v>200</v>
      </c>
      <c r="M2385" s="0" t="s">
        <v>12037</v>
      </c>
      <c r="N2385" s="7" t="s">
        <v>12038</v>
      </c>
      <c r="O2385" s="7"/>
      <c r="P2385" s="7" t="s">
        <v>12039</v>
      </c>
      <c r="Q2385" s="2" t="n">
        <v>43348</v>
      </c>
      <c r="S2385" s="0" t="n">
        <f aca="false">YEAR(Q2385)</f>
        <v>2018</v>
      </c>
      <c r="T2385" s="0" t="n">
        <f aca="false">MONTH(Q2385)</f>
        <v>9</v>
      </c>
    </row>
    <row r="2386" customFormat="false" ht="14.25" hidden="true" customHeight="false" outlineLevel="0" collapsed="false">
      <c r="A2386" s="0" t="n">
        <v>2398</v>
      </c>
      <c r="B2386" s="1" t="s">
        <v>1389</v>
      </c>
      <c r="C2386" s="1" t="s">
        <v>1503</v>
      </c>
      <c r="D2386" s="1" t="s">
        <v>1535</v>
      </c>
      <c r="E2386" s="0" t="s">
        <v>44</v>
      </c>
      <c r="F2386" s="0" t="s">
        <v>50</v>
      </c>
      <c r="G2386" s="0" t="s">
        <v>3495</v>
      </c>
      <c r="J2386" s="6" t="n">
        <v>0.0833333333333333</v>
      </c>
      <c r="M2386" s="0" t="s">
        <v>12040</v>
      </c>
      <c r="N2386" s="0" t="s">
        <v>12041</v>
      </c>
      <c r="P2386" s="0" t="s">
        <v>12042</v>
      </c>
      <c r="Q2386" s="2" t="n">
        <v>43348</v>
      </c>
      <c r="S2386" s="0" t="n">
        <f aca="false">YEAR(Q2386)</f>
        <v>2018</v>
      </c>
      <c r="T2386" s="0" t="n">
        <f aca="false">MONTH(Q2386)</f>
        <v>9</v>
      </c>
    </row>
    <row r="2387" customFormat="false" ht="14.25" hidden="true" customHeight="false" outlineLevel="0" collapsed="false">
      <c r="A2387" s="0" t="n">
        <v>2399</v>
      </c>
      <c r="B2387" s="1" t="s">
        <v>1391</v>
      </c>
      <c r="C2387" s="1" t="s">
        <v>1479</v>
      </c>
      <c r="D2387" s="1" t="s">
        <v>1496</v>
      </c>
      <c r="E2387" s="0" t="s">
        <v>38</v>
      </c>
      <c r="F2387" s="0" t="s">
        <v>48</v>
      </c>
      <c r="G2387" s="0" t="s">
        <v>12043</v>
      </c>
      <c r="I2387" s="6" t="n">
        <v>0.222222222222222</v>
      </c>
      <c r="J2387" s="6" t="n">
        <v>0.225</v>
      </c>
      <c r="K2387" s="0" t="n">
        <v>6</v>
      </c>
      <c r="L2387" s="0" t="n">
        <v>120</v>
      </c>
      <c r="M2387" s="0" t="s">
        <v>12044</v>
      </c>
      <c r="N2387" s="0" t="s">
        <v>12045</v>
      </c>
      <c r="P2387" s="0" t="s">
        <v>12046</v>
      </c>
      <c r="Q2387" s="2" t="n">
        <v>43857</v>
      </c>
      <c r="S2387" s="0" t="n">
        <f aca="false">YEAR(Q2387)</f>
        <v>2020</v>
      </c>
      <c r="T2387" s="0" t="n">
        <f aca="false">MONTH(Q2387)</f>
        <v>1</v>
      </c>
    </row>
    <row r="2388" customFormat="false" ht="14.25" hidden="true" customHeight="false" outlineLevel="0" collapsed="false">
      <c r="A2388" s="0" t="n">
        <v>2400</v>
      </c>
      <c r="B2388" s="1" t="s">
        <v>1391</v>
      </c>
      <c r="C2388" s="1" t="s">
        <v>1479</v>
      </c>
      <c r="D2388" s="1" t="s">
        <v>1535</v>
      </c>
      <c r="E2388" s="0" t="s">
        <v>39</v>
      </c>
      <c r="F2388" s="0" t="s">
        <v>48</v>
      </c>
      <c r="G2388" s="0" t="s">
        <v>8322</v>
      </c>
      <c r="I2388" s="6" t="n">
        <v>0.255555555555556</v>
      </c>
      <c r="J2388" s="6" t="n">
        <v>0.260416666666667</v>
      </c>
      <c r="M2388" s="0" t="s">
        <v>12047</v>
      </c>
      <c r="N2388" s="0" t="s">
        <v>12048</v>
      </c>
      <c r="P2388" s="0" t="s">
        <v>12049</v>
      </c>
      <c r="Q2388" s="2" t="n">
        <v>43857</v>
      </c>
      <c r="S2388" s="0" t="n">
        <f aca="false">YEAR(Q2388)</f>
        <v>2020</v>
      </c>
      <c r="T2388" s="0" t="n">
        <f aca="false">MONTH(Q2388)</f>
        <v>1</v>
      </c>
    </row>
    <row r="2389" customFormat="false" ht="14.25" hidden="true" customHeight="false" outlineLevel="0" collapsed="false">
      <c r="A2389" s="0" t="n">
        <v>2401</v>
      </c>
      <c r="B2389" s="1" t="s">
        <v>1391</v>
      </c>
      <c r="C2389" s="1" t="s">
        <v>1479</v>
      </c>
      <c r="D2389" s="1" t="s">
        <v>1487</v>
      </c>
      <c r="E2389" s="0" t="s">
        <v>1488</v>
      </c>
      <c r="F2389" s="0" t="s">
        <v>48</v>
      </c>
      <c r="G2389" s="0" t="s">
        <v>12050</v>
      </c>
      <c r="I2389" s="6" t="n">
        <v>0.284722222222222</v>
      </c>
      <c r="J2389" s="6" t="n">
        <v>0.284722222222222</v>
      </c>
      <c r="M2389" s="0" t="s">
        <v>12051</v>
      </c>
      <c r="N2389" s="0" t="s">
        <v>12052</v>
      </c>
      <c r="P2389" s="0" t="s">
        <v>12053</v>
      </c>
      <c r="Q2389" s="2" t="n">
        <v>43857</v>
      </c>
      <c r="S2389" s="0" t="n">
        <f aca="false">YEAR(Q2389)</f>
        <v>2020</v>
      </c>
      <c r="T2389" s="0" t="n">
        <f aca="false">MONTH(Q2389)</f>
        <v>1</v>
      </c>
    </row>
    <row r="2390" customFormat="false" ht="14.25" hidden="true" customHeight="false" outlineLevel="0" collapsed="false">
      <c r="A2390" s="0" t="n">
        <v>2402</v>
      </c>
      <c r="B2390" s="1" t="s">
        <v>1391</v>
      </c>
      <c r="C2390" s="1" t="s">
        <v>1479</v>
      </c>
      <c r="D2390" s="1" t="s">
        <v>1535</v>
      </c>
      <c r="E2390" s="0" t="s">
        <v>39</v>
      </c>
      <c r="F2390" s="0" t="s">
        <v>49</v>
      </c>
      <c r="G2390" s="0" t="s">
        <v>12054</v>
      </c>
      <c r="I2390" s="6" t="n">
        <v>0.729166666666667</v>
      </c>
      <c r="J2390" s="6" t="n">
        <v>0.736111111111111</v>
      </c>
      <c r="K2390" s="0" t="n">
        <v>0</v>
      </c>
      <c r="L2390" s="0" t="n">
        <v>20</v>
      </c>
      <c r="M2390" s="0" t="s">
        <v>12055</v>
      </c>
      <c r="N2390" s="0" t="s">
        <v>12056</v>
      </c>
      <c r="P2390" s="0" t="s">
        <v>12057</v>
      </c>
      <c r="Q2390" s="2" t="n">
        <v>43857</v>
      </c>
      <c r="S2390" s="0" t="n">
        <f aca="false">YEAR(Q2390)</f>
        <v>2020</v>
      </c>
      <c r="T2390" s="0" t="n">
        <f aca="false">MONTH(Q2390)</f>
        <v>1</v>
      </c>
    </row>
    <row r="2391" customFormat="false" ht="14.25" hidden="true" customHeight="false" outlineLevel="0" collapsed="false">
      <c r="A2391" s="0" t="n">
        <v>2403</v>
      </c>
      <c r="B2391" s="1" t="s">
        <v>1392</v>
      </c>
      <c r="C2391" s="1" t="s">
        <v>1479</v>
      </c>
      <c r="D2391" s="1" t="s">
        <v>1496</v>
      </c>
      <c r="E2391" s="0" t="s">
        <v>38</v>
      </c>
      <c r="F2391" s="0" t="s">
        <v>48</v>
      </c>
      <c r="G2391" s="0" t="s">
        <v>12058</v>
      </c>
      <c r="I2391" s="6" t="n">
        <v>0.25</v>
      </c>
      <c r="J2391" s="6" t="n">
        <v>0.333333333333333</v>
      </c>
      <c r="K2391" s="0" t="n">
        <v>0</v>
      </c>
      <c r="L2391" s="0" t="n">
        <v>20</v>
      </c>
      <c r="M2391" s="0" t="s">
        <v>12059</v>
      </c>
      <c r="N2391" s="0" t="s">
        <v>7941</v>
      </c>
      <c r="P2391" s="0" t="s">
        <v>12060</v>
      </c>
      <c r="Q2391" s="2" t="n">
        <v>43858</v>
      </c>
      <c r="S2391" s="0" t="n">
        <f aca="false">YEAR(Q2391)</f>
        <v>2020</v>
      </c>
      <c r="T2391" s="0" t="n">
        <f aca="false">MONTH(Q2391)</f>
        <v>1</v>
      </c>
    </row>
    <row r="2392" customFormat="false" ht="14.25" hidden="true" customHeight="false" outlineLevel="0" collapsed="false">
      <c r="A2392" s="0" t="n">
        <v>2404</v>
      </c>
      <c r="B2392" s="1" t="s">
        <v>1392</v>
      </c>
      <c r="C2392" s="1" t="s">
        <v>1479</v>
      </c>
      <c r="D2392" s="1" t="s">
        <v>1487</v>
      </c>
      <c r="E2392" s="0" t="s">
        <v>1488</v>
      </c>
      <c r="F2392" s="0" t="s">
        <v>50</v>
      </c>
      <c r="G2392" s="0" t="s">
        <v>11754</v>
      </c>
      <c r="I2392" s="6" t="n">
        <v>0.0847222222222222</v>
      </c>
      <c r="J2392" s="6" t="n">
        <v>0.172222222222222</v>
      </c>
      <c r="L2392" s="0" t="n">
        <v>120</v>
      </c>
      <c r="M2392" s="0" t="s">
        <v>12061</v>
      </c>
      <c r="N2392" s="0" t="s">
        <v>12062</v>
      </c>
      <c r="P2392" s="0" t="s">
        <v>12063</v>
      </c>
      <c r="Q2392" s="2" t="n">
        <v>43858</v>
      </c>
      <c r="S2392" s="0" t="n">
        <f aca="false">YEAR(Q2392)</f>
        <v>2020</v>
      </c>
      <c r="T2392" s="0" t="n">
        <f aca="false">MONTH(Q2392)</f>
        <v>1</v>
      </c>
    </row>
    <row r="2393" customFormat="false" ht="14.25" hidden="true" customHeight="false" outlineLevel="0" collapsed="false">
      <c r="A2393" s="0" t="n">
        <v>2405</v>
      </c>
      <c r="B2393" s="1" t="s">
        <v>1393</v>
      </c>
      <c r="C2393" s="1" t="s">
        <v>1503</v>
      </c>
      <c r="D2393" s="1" t="s">
        <v>1535</v>
      </c>
      <c r="E2393" s="0" t="s">
        <v>1503</v>
      </c>
      <c r="F2393" s="0" t="s">
        <v>48</v>
      </c>
      <c r="G2393" s="0" t="s">
        <v>8213</v>
      </c>
      <c r="J2393" s="6" t="n">
        <v>0.243055555555556</v>
      </c>
      <c r="M2393" s="0" t="s">
        <v>12064</v>
      </c>
      <c r="N2393" s="0" t="s">
        <v>12065</v>
      </c>
      <c r="P2393" s="0" t="s">
        <v>12066</v>
      </c>
      <c r="Q2393" s="2" t="n">
        <v>43859</v>
      </c>
      <c r="S2393" s="0" t="n">
        <f aca="false">YEAR(Q2393)</f>
        <v>2020</v>
      </c>
      <c r="T2393" s="0" t="n">
        <f aca="false">MONTH(Q2393)</f>
        <v>1</v>
      </c>
    </row>
    <row r="2394" customFormat="false" ht="14.25" hidden="true" customHeight="false" outlineLevel="0" collapsed="false">
      <c r="A2394" s="0" t="n">
        <v>2406</v>
      </c>
      <c r="B2394" s="1" t="s">
        <v>1393</v>
      </c>
      <c r="C2394" s="1" t="s">
        <v>1479</v>
      </c>
      <c r="D2394" s="1" t="s">
        <v>1487</v>
      </c>
      <c r="E2394" s="0" t="s">
        <v>1488</v>
      </c>
      <c r="F2394" s="0" t="s">
        <v>49</v>
      </c>
      <c r="G2394" s="0" t="s">
        <v>10693</v>
      </c>
      <c r="I2394" s="6" t="n">
        <v>0.627083333333333</v>
      </c>
      <c r="J2394" s="6" t="n">
        <v>0.666666666666667</v>
      </c>
      <c r="L2394" s="0" t="n">
        <v>90</v>
      </c>
      <c r="M2394" s="0" t="s">
        <v>12067</v>
      </c>
      <c r="N2394" s="0" t="s">
        <v>12068</v>
      </c>
      <c r="P2394" s="0" t="s">
        <v>12069</v>
      </c>
      <c r="Q2394" s="2" t="n">
        <v>43859</v>
      </c>
      <c r="S2394" s="0" t="n">
        <f aca="false">YEAR(Q2394)</f>
        <v>2020</v>
      </c>
      <c r="T2394" s="0" t="n">
        <f aca="false">MONTH(Q2394)</f>
        <v>1</v>
      </c>
    </row>
    <row r="2395" customFormat="false" ht="14.25" hidden="true" customHeight="false" outlineLevel="0" collapsed="false">
      <c r="A2395" s="0" t="n">
        <v>2407</v>
      </c>
      <c r="B2395" s="1" t="s">
        <v>1393</v>
      </c>
      <c r="C2395" s="1" t="s">
        <v>1479</v>
      </c>
      <c r="D2395" s="1" t="s">
        <v>1487</v>
      </c>
      <c r="E2395" s="0" t="s">
        <v>1488</v>
      </c>
      <c r="F2395" s="0" t="s">
        <v>49</v>
      </c>
      <c r="G2395" s="0" t="s">
        <v>12070</v>
      </c>
      <c r="I2395" s="6" t="n">
        <v>0.6875</v>
      </c>
      <c r="J2395" s="6" t="n">
        <v>0.680555555555555</v>
      </c>
      <c r="L2395" s="0" t="n">
        <v>40</v>
      </c>
      <c r="M2395" s="0" t="s">
        <v>12071</v>
      </c>
      <c r="N2395" s="0" t="s">
        <v>12072</v>
      </c>
      <c r="P2395" s="0" t="s">
        <v>12073</v>
      </c>
      <c r="Q2395" s="2" t="n">
        <v>43859</v>
      </c>
      <c r="S2395" s="0" t="n">
        <f aca="false">YEAR(Q2395)</f>
        <v>2020</v>
      </c>
      <c r="T2395" s="0" t="n">
        <f aca="false">MONTH(Q2395)</f>
        <v>1</v>
      </c>
    </row>
    <row r="2396" customFormat="false" ht="14.25" hidden="true" customHeight="false" outlineLevel="0" collapsed="false">
      <c r="A2396" s="0" t="n">
        <v>2408</v>
      </c>
      <c r="B2396" s="1" t="s">
        <v>1393</v>
      </c>
      <c r="C2396" s="1" t="s">
        <v>1479</v>
      </c>
      <c r="D2396" s="1" t="s">
        <v>1535</v>
      </c>
      <c r="E2396" s="0" t="s">
        <v>39</v>
      </c>
      <c r="F2396" s="0" t="s">
        <v>50</v>
      </c>
      <c r="G2396" s="0" t="s">
        <v>12074</v>
      </c>
      <c r="I2396" s="6" t="n">
        <v>0.159722222222222</v>
      </c>
      <c r="J2396" s="6" t="n">
        <v>0.173611111111111</v>
      </c>
      <c r="L2396" s="0" t="n">
        <v>40</v>
      </c>
      <c r="M2396" s="0" t="s">
        <v>12075</v>
      </c>
      <c r="N2396" s="0" t="s">
        <v>12076</v>
      </c>
      <c r="P2396" s="0" t="s">
        <v>12077</v>
      </c>
      <c r="Q2396" s="2" t="n">
        <v>43859</v>
      </c>
      <c r="S2396" s="0" t="n">
        <f aca="false">YEAR(Q2396)</f>
        <v>2020</v>
      </c>
      <c r="T2396" s="0" t="n">
        <f aca="false">MONTH(Q2396)</f>
        <v>1</v>
      </c>
    </row>
    <row r="2397" customFormat="false" ht="14.25" hidden="true" customHeight="false" outlineLevel="0" collapsed="false">
      <c r="A2397" s="0" t="n">
        <v>2409</v>
      </c>
      <c r="B2397" s="1" t="s">
        <v>1394</v>
      </c>
      <c r="C2397" s="1" t="s">
        <v>1495</v>
      </c>
      <c r="D2397" s="1" t="s">
        <v>1487</v>
      </c>
      <c r="E2397" s="0" t="s">
        <v>40</v>
      </c>
      <c r="F2397" s="0" t="s">
        <v>48</v>
      </c>
      <c r="G2397" s="0" t="s">
        <v>9170</v>
      </c>
      <c r="I2397" s="6" t="n">
        <v>0.236111111111111</v>
      </c>
      <c r="J2397" s="6" t="n">
        <v>0.270833333333333</v>
      </c>
      <c r="L2397" s="0" t="n">
        <v>60</v>
      </c>
      <c r="M2397" s="0" t="s">
        <v>12078</v>
      </c>
      <c r="N2397" s="0" t="s">
        <v>12079</v>
      </c>
      <c r="P2397" s="0" t="s">
        <v>12080</v>
      </c>
      <c r="Q2397" s="2" t="n">
        <v>43860</v>
      </c>
      <c r="S2397" s="0" t="n">
        <f aca="false">YEAR(Q2397)</f>
        <v>2020</v>
      </c>
      <c r="T2397" s="0" t="n">
        <f aca="false">MONTH(Q2397)</f>
        <v>1</v>
      </c>
    </row>
    <row r="2398" customFormat="false" ht="14.25" hidden="true" customHeight="false" outlineLevel="0" collapsed="false">
      <c r="A2398" s="0" t="n">
        <v>2410</v>
      </c>
      <c r="B2398" s="1" t="s">
        <v>1394</v>
      </c>
      <c r="C2398" s="1" t="s">
        <v>1503</v>
      </c>
      <c r="D2398" s="1" t="s">
        <v>1535</v>
      </c>
      <c r="E2398" s="0" t="s">
        <v>1503</v>
      </c>
      <c r="F2398" s="0" t="s">
        <v>48</v>
      </c>
      <c r="G2398" s="0" t="s">
        <v>9170</v>
      </c>
      <c r="J2398" s="6" t="n">
        <v>0.243055555555556</v>
      </c>
      <c r="M2398" s="0" t="s">
        <v>12081</v>
      </c>
      <c r="N2398" s="0" t="s">
        <v>12082</v>
      </c>
      <c r="P2398" s="0" t="s">
        <v>12083</v>
      </c>
      <c r="Q2398" s="2" t="n">
        <v>43860</v>
      </c>
      <c r="S2398" s="0" t="n">
        <f aca="false">YEAR(Q2398)</f>
        <v>2020</v>
      </c>
      <c r="T2398" s="0" t="n">
        <f aca="false">MONTH(Q2398)</f>
        <v>1</v>
      </c>
    </row>
    <row r="2399" customFormat="false" ht="14.25" hidden="true" customHeight="false" outlineLevel="0" collapsed="false">
      <c r="A2399" s="0" t="n">
        <v>2411</v>
      </c>
      <c r="B2399" s="1" t="s">
        <v>1394</v>
      </c>
      <c r="C2399" s="1" t="s">
        <v>1479</v>
      </c>
      <c r="D2399" s="1" t="s">
        <v>1496</v>
      </c>
      <c r="E2399" s="0" t="s">
        <v>38</v>
      </c>
      <c r="F2399" s="0" t="s">
        <v>48</v>
      </c>
      <c r="G2399" s="0" t="s">
        <v>12084</v>
      </c>
      <c r="I2399" s="6" t="n">
        <v>0.409722222222222</v>
      </c>
      <c r="J2399" s="6" t="n">
        <v>0.416666666666667</v>
      </c>
      <c r="M2399" s="0" t="s">
        <v>12085</v>
      </c>
      <c r="N2399" s="0" t="s">
        <v>12086</v>
      </c>
      <c r="P2399" s="0" t="s">
        <v>12087</v>
      </c>
      <c r="Q2399" s="2" t="n">
        <v>43860</v>
      </c>
      <c r="S2399" s="0" t="n">
        <f aca="false">YEAR(Q2399)</f>
        <v>2020</v>
      </c>
      <c r="T2399" s="0" t="n">
        <f aca="false">MONTH(Q2399)</f>
        <v>1</v>
      </c>
    </row>
    <row r="2400" customFormat="false" ht="14.25" hidden="true" customHeight="false" outlineLevel="0" collapsed="false">
      <c r="A2400" s="0" t="n">
        <v>2412</v>
      </c>
      <c r="B2400" s="1" t="s">
        <v>1394</v>
      </c>
      <c r="C2400" s="1" t="s">
        <v>1479</v>
      </c>
      <c r="D2400" s="1" t="s">
        <v>1535</v>
      </c>
      <c r="E2400" s="0" t="s">
        <v>39</v>
      </c>
      <c r="F2400" s="0" t="s">
        <v>48</v>
      </c>
      <c r="G2400" s="0" t="s">
        <v>12088</v>
      </c>
      <c r="J2400" s="6" t="n">
        <v>0.590277777777778</v>
      </c>
      <c r="L2400" s="0" t="n">
        <v>300</v>
      </c>
      <c r="M2400" s="0" t="s">
        <v>12089</v>
      </c>
      <c r="N2400" s="0" t="s">
        <v>12090</v>
      </c>
      <c r="P2400" s="0" t="s">
        <v>12091</v>
      </c>
      <c r="Q2400" s="2" t="n">
        <v>43860</v>
      </c>
      <c r="S2400" s="0" t="n">
        <f aca="false">YEAR(Q2400)</f>
        <v>2020</v>
      </c>
      <c r="T2400" s="0" t="n">
        <f aca="false">MONTH(Q2400)</f>
        <v>1</v>
      </c>
    </row>
    <row r="2401" customFormat="false" ht="14.25" hidden="true" customHeight="false" outlineLevel="0" collapsed="false">
      <c r="A2401" s="0" t="n">
        <v>2413</v>
      </c>
      <c r="B2401" s="1" t="s">
        <v>1394</v>
      </c>
      <c r="C2401" s="1" t="s">
        <v>1479</v>
      </c>
      <c r="D2401" s="1" t="s">
        <v>1487</v>
      </c>
      <c r="E2401" s="0" t="s">
        <v>1488</v>
      </c>
      <c r="F2401" s="0" t="s">
        <v>50</v>
      </c>
      <c r="G2401" s="0" t="s">
        <v>12092</v>
      </c>
      <c r="I2401" s="6" t="n">
        <v>0.0229166666666667</v>
      </c>
      <c r="J2401" s="6" t="n">
        <v>0.104861111111111</v>
      </c>
      <c r="L2401" s="0" t="n">
        <v>180</v>
      </c>
      <c r="M2401" s="0" t="s">
        <v>12093</v>
      </c>
      <c r="N2401" s="0" t="s">
        <v>12094</v>
      </c>
      <c r="P2401" s="0" t="s">
        <v>12095</v>
      </c>
      <c r="Q2401" s="2" t="n">
        <v>43860</v>
      </c>
      <c r="S2401" s="0" t="n">
        <f aca="false">YEAR(Q2401)</f>
        <v>2020</v>
      </c>
      <c r="T2401" s="0" t="n">
        <f aca="false">MONTH(Q2401)</f>
        <v>1</v>
      </c>
    </row>
    <row r="2402" customFormat="false" ht="14.25" hidden="true" customHeight="false" outlineLevel="0" collapsed="false">
      <c r="A2402" s="0" t="n">
        <v>2414</v>
      </c>
      <c r="B2402" s="1" t="s">
        <v>1394</v>
      </c>
      <c r="C2402" s="1" t="s">
        <v>1479</v>
      </c>
      <c r="D2402" s="1" t="s">
        <v>1487</v>
      </c>
      <c r="E2402" s="0" t="s">
        <v>1488</v>
      </c>
      <c r="F2402" s="0" t="s">
        <v>50</v>
      </c>
      <c r="G2402" s="0" t="s">
        <v>12096</v>
      </c>
      <c r="I2402" s="6" t="n">
        <v>0.0944444444444444</v>
      </c>
      <c r="J2402" s="6" t="n">
        <v>0.111111111111111</v>
      </c>
      <c r="L2402" s="0" t="n">
        <v>32</v>
      </c>
      <c r="M2402" s="0" t="s">
        <v>12097</v>
      </c>
      <c r="N2402" s="0" t="s">
        <v>12098</v>
      </c>
      <c r="P2402" s="0" t="s">
        <v>12099</v>
      </c>
      <c r="Q2402" s="2" t="n">
        <v>43860</v>
      </c>
      <c r="S2402" s="0" t="n">
        <f aca="false">YEAR(Q2402)</f>
        <v>2020</v>
      </c>
      <c r="T2402" s="0" t="n">
        <f aca="false">MONTH(Q2402)</f>
        <v>1</v>
      </c>
    </row>
    <row r="2403" customFormat="false" ht="14.25" hidden="true" customHeight="false" outlineLevel="0" collapsed="false">
      <c r="A2403" s="0" t="n">
        <v>2415</v>
      </c>
      <c r="B2403" s="1" t="s">
        <v>1395</v>
      </c>
      <c r="C2403" s="1" t="s">
        <v>1479</v>
      </c>
      <c r="D2403" s="1" t="s">
        <v>1487</v>
      </c>
      <c r="E2403" s="0" t="s">
        <v>1488</v>
      </c>
      <c r="F2403" s="0" t="s">
        <v>50</v>
      </c>
      <c r="I2403" s="6" t="n">
        <v>0.952777777777778</v>
      </c>
      <c r="J2403" s="6" t="n">
        <v>0.977083333333333</v>
      </c>
      <c r="M2403" s="0" t="s">
        <v>12100</v>
      </c>
      <c r="N2403" s="0" t="s">
        <v>12101</v>
      </c>
      <c r="P2403" s="0" t="s">
        <v>12102</v>
      </c>
      <c r="Q2403" s="2" t="n">
        <v>43861</v>
      </c>
      <c r="S2403" s="0" t="n">
        <f aca="false">YEAR(Q2403)</f>
        <v>2020</v>
      </c>
      <c r="T2403" s="0" t="n">
        <f aca="false">MONTH(Q2403)</f>
        <v>1</v>
      </c>
    </row>
    <row r="2404" customFormat="false" ht="14.25" hidden="true" customHeight="false" outlineLevel="0" collapsed="false">
      <c r="A2404" s="0" t="n">
        <v>2416</v>
      </c>
      <c r="B2404" s="1" t="s">
        <v>1395</v>
      </c>
      <c r="C2404" s="1" t="s">
        <v>1503</v>
      </c>
      <c r="D2404" s="1" t="s">
        <v>1535</v>
      </c>
      <c r="E2404" s="0" t="s">
        <v>1503</v>
      </c>
      <c r="F2404" s="0" t="s">
        <v>50</v>
      </c>
      <c r="G2404" s="0" t="s">
        <v>10498</v>
      </c>
      <c r="I2404" s="6" t="n">
        <v>0.952777777777778</v>
      </c>
      <c r="J2404" s="6" t="n">
        <v>0.983333333333333</v>
      </c>
      <c r="L2404" s="0" t="n">
        <v>120</v>
      </c>
      <c r="M2404" s="0" t="s">
        <v>12103</v>
      </c>
      <c r="N2404" s="0" t="s">
        <v>12104</v>
      </c>
      <c r="P2404" s="0" t="s">
        <v>12105</v>
      </c>
      <c r="Q2404" s="2" t="n">
        <v>43861</v>
      </c>
      <c r="S2404" s="0" t="n">
        <f aca="false">YEAR(Q2404)</f>
        <v>2020</v>
      </c>
      <c r="T2404" s="0" t="n">
        <f aca="false">MONTH(Q2404)</f>
        <v>1</v>
      </c>
    </row>
    <row r="2405" customFormat="false" ht="14.25" hidden="true" customHeight="false" outlineLevel="0" collapsed="false">
      <c r="A2405" s="0" t="n">
        <v>2417</v>
      </c>
      <c r="B2405" s="1" t="s">
        <v>1397</v>
      </c>
      <c r="C2405" s="1" t="s">
        <v>1479</v>
      </c>
      <c r="D2405" s="1" t="s">
        <v>1487</v>
      </c>
      <c r="E2405" s="0" t="s">
        <v>1488</v>
      </c>
      <c r="F2405" s="0" t="s">
        <v>50</v>
      </c>
      <c r="G2405" s="0" t="s">
        <v>9888</v>
      </c>
      <c r="I2405" s="6" t="n">
        <v>0.708333333333333</v>
      </c>
      <c r="J2405" s="6" t="n">
        <v>0.909722222222222</v>
      </c>
      <c r="L2405" s="0" t="n">
        <v>160</v>
      </c>
      <c r="M2405" s="0" t="s">
        <v>12106</v>
      </c>
      <c r="N2405" s="0" t="s">
        <v>12107</v>
      </c>
      <c r="P2405" s="0" t="s">
        <v>12108</v>
      </c>
      <c r="Q2405" s="2" t="n">
        <v>43863</v>
      </c>
      <c r="S2405" s="0" t="n">
        <f aca="false">YEAR(Q2405)</f>
        <v>2020</v>
      </c>
      <c r="T2405" s="0" t="n">
        <f aca="false">MONTH(Q2405)</f>
        <v>2</v>
      </c>
    </row>
    <row r="2406" customFormat="false" ht="14.25" hidden="true" customHeight="false" outlineLevel="0" collapsed="false">
      <c r="A2406" s="0" t="n">
        <v>2418</v>
      </c>
      <c r="B2406" s="1" t="s">
        <v>1397</v>
      </c>
      <c r="C2406" s="1" t="s">
        <v>1479</v>
      </c>
      <c r="D2406" s="1" t="s">
        <v>1496</v>
      </c>
      <c r="E2406" s="0" t="s">
        <v>38</v>
      </c>
      <c r="F2406" s="0" t="s">
        <v>50</v>
      </c>
      <c r="G2406" s="0" t="s">
        <v>12109</v>
      </c>
      <c r="I2406" s="6" t="n">
        <v>0.909722222222222</v>
      </c>
      <c r="J2406" s="6" t="n">
        <v>0.118055555555556</v>
      </c>
      <c r="L2406" s="0" t="n">
        <v>350</v>
      </c>
      <c r="M2406" s="0" t="s">
        <v>12110</v>
      </c>
      <c r="N2406" s="0" t="s">
        <v>12111</v>
      </c>
      <c r="P2406" s="0" t="s">
        <v>12112</v>
      </c>
      <c r="Q2406" s="2" t="n">
        <v>43863</v>
      </c>
      <c r="S2406" s="0" t="n">
        <f aca="false">YEAR(Q2406)</f>
        <v>2020</v>
      </c>
      <c r="T2406" s="0" t="n">
        <f aca="false">MONTH(Q2406)</f>
        <v>2</v>
      </c>
    </row>
    <row r="2407" customFormat="false" ht="14.25" hidden="true" customHeight="false" outlineLevel="0" collapsed="false">
      <c r="A2407" s="0" t="n">
        <v>2419</v>
      </c>
      <c r="B2407" s="1" t="s">
        <v>1397</v>
      </c>
      <c r="C2407" s="1" t="s">
        <v>1479</v>
      </c>
      <c r="D2407" s="1" t="s">
        <v>1535</v>
      </c>
      <c r="E2407" s="0" t="s">
        <v>39</v>
      </c>
      <c r="F2407" s="0" t="s">
        <v>50</v>
      </c>
      <c r="G2407" s="0" t="s">
        <v>12113</v>
      </c>
      <c r="I2407" s="6" t="n">
        <v>0.145833333333333</v>
      </c>
      <c r="J2407" s="6" t="n">
        <v>0.152777777777778</v>
      </c>
      <c r="L2407" s="0" t="n">
        <v>15</v>
      </c>
      <c r="M2407" s="0" t="s">
        <v>12114</v>
      </c>
      <c r="N2407" s="0" t="s">
        <v>12115</v>
      </c>
      <c r="P2407" s="0" t="s">
        <v>12116</v>
      </c>
      <c r="Q2407" s="2" t="n">
        <v>43863</v>
      </c>
      <c r="S2407" s="0" t="n">
        <f aca="false">YEAR(Q2407)</f>
        <v>2020</v>
      </c>
      <c r="T2407" s="0" t="n">
        <f aca="false">MONTH(Q2407)</f>
        <v>2</v>
      </c>
    </row>
    <row r="2408" customFormat="false" ht="14.25" hidden="true" customHeight="false" outlineLevel="0" collapsed="false">
      <c r="A2408" s="0" t="n">
        <v>2420</v>
      </c>
      <c r="B2408" s="1" t="s">
        <v>1397</v>
      </c>
      <c r="C2408" s="1" t="s">
        <v>1479</v>
      </c>
      <c r="D2408" s="1" t="s">
        <v>1487</v>
      </c>
      <c r="E2408" s="0" t="s">
        <v>1488</v>
      </c>
      <c r="F2408" s="0" t="s">
        <v>50</v>
      </c>
      <c r="G2408" s="0" t="s">
        <v>10365</v>
      </c>
      <c r="I2408" s="6" t="n">
        <v>0.180555555555556</v>
      </c>
      <c r="J2408" s="6" t="n">
        <v>0.1875</v>
      </c>
      <c r="L2408" s="0" t="n">
        <v>25</v>
      </c>
      <c r="M2408" s="0" t="s">
        <v>12117</v>
      </c>
      <c r="N2408" s="0" t="s">
        <v>12118</v>
      </c>
      <c r="P2408" s="0" t="s">
        <v>12119</v>
      </c>
      <c r="Q2408" s="2" t="n">
        <v>43863</v>
      </c>
      <c r="S2408" s="0" t="n">
        <f aca="false">YEAR(Q2408)</f>
        <v>2020</v>
      </c>
      <c r="T2408" s="0" t="n">
        <f aca="false">MONTH(Q2408)</f>
        <v>2</v>
      </c>
    </row>
    <row r="2409" customFormat="false" ht="14.25" hidden="true" customHeight="false" outlineLevel="0" collapsed="false">
      <c r="A2409" s="0" t="n">
        <v>2421</v>
      </c>
      <c r="B2409" s="1" t="s">
        <v>1398</v>
      </c>
      <c r="C2409" s="1" t="s">
        <v>1495</v>
      </c>
      <c r="D2409" s="1" t="s">
        <v>1535</v>
      </c>
      <c r="E2409" s="0" t="s">
        <v>42</v>
      </c>
      <c r="F2409" s="0" t="s">
        <v>49</v>
      </c>
      <c r="G2409" s="0" t="s">
        <v>12120</v>
      </c>
      <c r="I2409" s="6" t="n">
        <v>0.583333333333333</v>
      </c>
      <c r="J2409" s="6" t="n">
        <v>0.625</v>
      </c>
      <c r="K2409" s="0" t="n">
        <v>0</v>
      </c>
      <c r="L2409" s="0" t="n">
        <v>20</v>
      </c>
      <c r="M2409" s="0" t="s">
        <v>12121</v>
      </c>
      <c r="N2409" s="0" t="s">
        <v>12122</v>
      </c>
      <c r="P2409" s="0" t="s">
        <v>12123</v>
      </c>
      <c r="Q2409" s="2" t="n">
        <v>43864</v>
      </c>
      <c r="S2409" s="0" t="n">
        <f aca="false">YEAR(Q2409)</f>
        <v>2020</v>
      </c>
      <c r="T2409" s="0" t="n">
        <f aca="false">MONTH(Q2409)</f>
        <v>2</v>
      </c>
    </row>
    <row r="2410" customFormat="false" ht="14.25" hidden="true" customHeight="false" outlineLevel="0" collapsed="false">
      <c r="A2410" s="0" t="n">
        <v>2422</v>
      </c>
      <c r="B2410" s="1" t="s">
        <v>1398</v>
      </c>
      <c r="C2410" s="1" t="s">
        <v>1479</v>
      </c>
      <c r="D2410" s="1" t="s">
        <v>1535</v>
      </c>
      <c r="E2410" s="0" t="s">
        <v>39</v>
      </c>
      <c r="F2410" s="0" t="s">
        <v>50</v>
      </c>
      <c r="G2410" s="0" t="s">
        <v>12124</v>
      </c>
      <c r="I2410" s="6" t="n">
        <v>0.166666666666667</v>
      </c>
      <c r="J2410" s="6" t="n">
        <v>0.179166666666667</v>
      </c>
      <c r="K2410" s="0" t="n">
        <v>0</v>
      </c>
      <c r="M2410" s="0" t="s">
        <v>12125</v>
      </c>
      <c r="N2410" s="0" t="s">
        <v>12126</v>
      </c>
      <c r="P2410" s="0" t="s">
        <v>12127</v>
      </c>
      <c r="Q2410" s="2" t="n">
        <v>43864</v>
      </c>
      <c r="S2410" s="0" t="n">
        <f aca="false">YEAR(Q2410)</f>
        <v>2020</v>
      </c>
      <c r="T2410" s="0" t="n">
        <f aca="false">MONTH(Q2410)</f>
        <v>2</v>
      </c>
    </row>
    <row r="2411" customFormat="false" ht="14.25" hidden="true" customHeight="false" outlineLevel="0" collapsed="false">
      <c r="A2411" s="0" t="n">
        <v>2426</v>
      </c>
      <c r="B2411" s="1" t="s">
        <v>1399</v>
      </c>
      <c r="C2411" s="1" t="s">
        <v>1503</v>
      </c>
      <c r="D2411" s="1" t="s">
        <v>1504</v>
      </c>
      <c r="E2411" s="0" t="s">
        <v>45</v>
      </c>
      <c r="F2411" s="0" t="s">
        <v>48</v>
      </c>
      <c r="G2411" s="0" t="s">
        <v>9121</v>
      </c>
      <c r="I2411" s="6" t="n">
        <v>0.368055555555556</v>
      </c>
      <c r="J2411" s="6" t="n">
        <v>0.395833333333333</v>
      </c>
      <c r="M2411" s="0" t="s">
        <v>12128</v>
      </c>
      <c r="N2411" s="0" t="s">
        <v>12129</v>
      </c>
      <c r="P2411" s="0" t="s">
        <v>12130</v>
      </c>
      <c r="Q2411" s="2" t="n">
        <v>43865</v>
      </c>
      <c r="S2411" s="0" t="n">
        <f aca="false">YEAR(Q2411)</f>
        <v>2020</v>
      </c>
      <c r="T2411" s="0" t="n">
        <f aca="false">MONTH(Q2411)</f>
        <v>2</v>
      </c>
    </row>
    <row r="2412" customFormat="false" ht="14.25" hidden="true" customHeight="false" outlineLevel="0" collapsed="false">
      <c r="A2412" s="0" t="n">
        <v>2427</v>
      </c>
      <c r="B2412" s="1" t="s">
        <v>1399</v>
      </c>
      <c r="C2412" s="1" t="s">
        <v>1479</v>
      </c>
      <c r="D2412" s="1" t="s">
        <v>1487</v>
      </c>
      <c r="E2412" s="0" t="s">
        <v>1488</v>
      </c>
      <c r="F2412" s="0" t="s">
        <v>49</v>
      </c>
      <c r="G2412" s="0" t="s">
        <v>12131</v>
      </c>
      <c r="I2412" s="6" t="n">
        <v>0.770833333333333</v>
      </c>
      <c r="J2412" s="6" t="n">
        <v>0.773611111111111</v>
      </c>
      <c r="L2412" s="0" t="n">
        <v>420</v>
      </c>
      <c r="M2412" s="0" t="s">
        <v>12132</v>
      </c>
      <c r="N2412" s="0" t="s">
        <v>12133</v>
      </c>
      <c r="P2412" s="0" t="s">
        <v>12134</v>
      </c>
      <c r="Q2412" s="2" t="n">
        <v>43865</v>
      </c>
      <c r="S2412" s="0" t="n">
        <f aca="false">YEAR(Q2412)</f>
        <v>2020</v>
      </c>
      <c r="T2412" s="0" t="n">
        <f aca="false">MONTH(Q2412)</f>
        <v>2</v>
      </c>
    </row>
    <row r="2413" customFormat="false" ht="14.25" hidden="true" customHeight="false" outlineLevel="0" collapsed="false">
      <c r="A2413" s="0" t="n">
        <v>2428</v>
      </c>
      <c r="B2413" s="1" t="s">
        <v>1399</v>
      </c>
      <c r="C2413" s="1" t="s">
        <v>1479</v>
      </c>
      <c r="D2413" s="1" t="s">
        <v>1487</v>
      </c>
      <c r="E2413" s="0" t="s">
        <v>1488</v>
      </c>
      <c r="F2413" s="0" t="s">
        <v>50</v>
      </c>
      <c r="G2413" s="0" t="s">
        <v>12135</v>
      </c>
      <c r="I2413" s="6" t="n">
        <v>0.1875</v>
      </c>
      <c r="J2413" s="6" t="n">
        <v>0.1875</v>
      </c>
      <c r="M2413" s="0" t="s">
        <v>12136</v>
      </c>
      <c r="N2413" s="0" t="s">
        <v>12137</v>
      </c>
      <c r="P2413" s="0" t="s">
        <v>12138</v>
      </c>
      <c r="Q2413" s="2" t="n">
        <v>43865</v>
      </c>
      <c r="S2413" s="0" t="n">
        <f aca="false">YEAR(Q2413)</f>
        <v>2020</v>
      </c>
      <c r="T2413" s="0" t="n">
        <f aca="false">MONTH(Q2413)</f>
        <v>2</v>
      </c>
    </row>
    <row r="2414" customFormat="false" ht="14.25" hidden="true" customHeight="false" outlineLevel="0" collapsed="false">
      <c r="A2414" s="0" t="n">
        <v>2429</v>
      </c>
      <c r="B2414" s="1" t="s">
        <v>1400</v>
      </c>
      <c r="C2414" s="1" t="s">
        <v>1479</v>
      </c>
      <c r="D2414" s="1" t="s">
        <v>1487</v>
      </c>
      <c r="E2414" s="0" t="s">
        <v>1488</v>
      </c>
      <c r="F2414" s="0" t="s">
        <v>48</v>
      </c>
      <c r="G2414" s="0" t="s">
        <v>12139</v>
      </c>
      <c r="M2414" s="0" t="s">
        <v>12140</v>
      </c>
      <c r="N2414" s="0" t="s">
        <v>12141</v>
      </c>
      <c r="P2414" s="0" t="s">
        <v>12142</v>
      </c>
      <c r="Q2414" s="2" t="n">
        <v>43866</v>
      </c>
      <c r="S2414" s="0" t="n">
        <f aca="false">YEAR(Q2414)</f>
        <v>2020</v>
      </c>
      <c r="T2414" s="0" t="n">
        <f aca="false">MONTH(Q2414)</f>
        <v>2</v>
      </c>
    </row>
    <row r="2415" customFormat="false" ht="14.25" hidden="true" customHeight="false" outlineLevel="0" collapsed="false">
      <c r="A2415" s="0" t="n">
        <v>2430</v>
      </c>
      <c r="B2415" s="1" t="s">
        <v>1400</v>
      </c>
      <c r="C2415" s="1" t="s">
        <v>1479</v>
      </c>
      <c r="D2415" s="1" t="s">
        <v>1487</v>
      </c>
      <c r="E2415" s="0" t="s">
        <v>1488</v>
      </c>
      <c r="F2415" s="0" t="s">
        <v>48</v>
      </c>
      <c r="G2415" s="0" t="s">
        <v>12143</v>
      </c>
      <c r="L2415" s="0" t="n">
        <v>42</v>
      </c>
      <c r="M2415" s="0" t="s">
        <v>12144</v>
      </c>
      <c r="N2415" s="0" t="s">
        <v>12145</v>
      </c>
      <c r="P2415" s="0" t="s">
        <v>12146</v>
      </c>
      <c r="Q2415" s="2" t="n">
        <v>43866</v>
      </c>
      <c r="S2415" s="0" t="n">
        <f aca="false">YEAR(Q2415)</f>
        <v>2020</v>
      </c>
      <c r="T2415" s="0" t="n">
        <f aca="false">MONTH(Q2415)</f>
        <v>2</v>
      </c>
    </row>
    <row r="2416" customFormat="false" ht="14.25" hidden="true" customHeight="false" outlineLevel="0" collapsed="false">
      <c r="A2416" s="0" t="n">
        <v>2431</v>
      </c>
      <c r="B2416" s="1" t="s">
        <v>1400</v>
      </c>
      <c r="C2416" s="1" t="s">
        <v>1479</v>
      </c>
      <c r="D2416" s="1" t="s">
        <v>1487</v>
      </c>
      <c r="E2416" s="0" t="s">
        <v>1488</v>
      </c>
      <c r="F2416" s="0" t="s">
        <v>49</v>
      </c>
      <c r="G2416" s="0" t="s">
        <v>12147</v>
      </c>
      <c r="I2416" s="6" t="n">
        <v>0.6875</v>
      </c>
      <c r="J2416" s="6" t="n">
        <v>0.701388888888889</v>
      </c>
      <c r="L2416" s="0" t="n">
        <v>42</v>
      </c>
      <c r="M2416" s="0" t="s">
        <v>12148</v>
      </c>
      <c r="N2416" s="0" t="s">
        <v>12149</v>
      </c>
      <c r="P2416" s="0" t="s">
        <v>12150</v>
      </c>
      <c r="Q2416" s="2" t="n">
        <v>43866</v>
      </c>
      <c r="S2416" s="0" t="n">
        <f aca="false">YEAR(Q2416)</f>
        <v>2020</v>
      </c>
      <c r="T2416" s="0" t="n">
        <f aca="false">MONTH(Q2416)</f>
        <v>2</v>
      </c>
    </row>
    <row r="2417" customFormat="false" ht="14.25" hidden="true" customHeight="false" outlineLevel="0" collapsed="false">
      <c r="A2417" s="0" t="n">
        <v>2432</v>
      </c>
      <c r="B2417" s="1" t="s">
        <v>1400</v>
      </c>
      <c r="C2417" s="1" t="s">
        <v>1479</v>
      </c>
      <c r="D2417" s="1" t="s">
        <v>1487</v>
      </c>
      <c r="E2417" s="0" t="s">
        <v>1488</v>
      </c>
      <c r="F2417" s="0" t="s">
        <v>49</v>
      </c>
      <c r="G2417" s="0" t="s">
        <v>4428</v>
      </c>
      <c r="I2417" s="6" t="n">
        <v>0.708333333333333</v>
      </c>
      <c r="J2417" s="6" t="n">
        <v>0.715277777777778</v>
      </c>
      <c r="L2417" s="0" t="n">
        <v>20</v>
      </c>
      <c r="M2417" s="0" t="s">
        <v>12151</v>
      </c>
      <c r="N2417" s="0" t="s">
        <v>12152</v>
      </c>
      <c r="P2417" s="0" t="s">
        <v>12153</v>
      </c>
      <c r="Q2417" s="2" t="n">
        <v>43866</v>
      </c>
      <c r="S2417" s="0" t="n">
        <f aca="false">YEAR(Q2417)</f>
        <v>2020</v>
      </c>
      <c r="T2417" s="0" t="n">
        <f aca="false">MONTH(Q2417)</f>
        <v>2</v>
      </c>
    </row>
    <row r="2418" customFormat="false" ht="14.25" hidden="true" customHeight="false" outlineLevel="0" collapsed="false">
      <c r="A2418" s="0" t="n">
        <v>2433</v>
      </c>
      <c r="B2418" s="1" t="s">
        <v>1402</v>
      </c>
      <c r="C2418" s="1" t="s">
        <v>1495</v>
      </c>
      <c r="D2418" s="1" t="s">
        <v>1487</v>
      </c>
      <c r="E2418" s="0" t="s">
        <v>40</v>
      </c>
      <c r="F2418" s="0" t="s">
        <v>48</v>
      </c>
      <c r="G2418" s="0" t="s">
        <v>12154</v>
      </c>
      <c r="I2418" s="6" t="n">
        <v>0.275694444444444</v>
      </c>
      <c r="J2418" s="6" t="n">
        <v>0.2875</v>
      </c>
      <c r="L2418" s="0" t="n">
        <v>66</v>
      </c>
      <c r="M2418" s="0" t="s">
        <v>12155</v>
      </c>
      <c r="N2418" s="0" t="s">
        <v>12156</v>
      </c>
      <c r="P2418" s="0" t="s">
        <v>12157</v>
      </c>
      <c r="Q2418" s="2" t="n">
        <v>43867</v>
      </c>
      <c r="S2418" s="0" t="n">
        <f aca="false">YEAR(Q2418)</f>
        <v>2020</v>
      </c>
      <c r="T2418" s="0" t="n">
        <f aca="false">MONTH(Q2418)</f>
        <v>2</v>
      </c>
    </row>
    <row r="2419" customFormat="false" ht="14.25" hidden="true" customHeight="false" outlineLevel="0" collapsed="false">
      <c r="A2419" s="0" t="n">
        <v>2434</v>
      </c>
      <c r="B2419" s="1" t="s">
        <v>1404</v>
      </c>
      <c r="C2419" s="1" t="s">
        <v>1479</v>
      </c>
      <c r="D2419" s="1" t="s">
        <v>1480</v>
      </c>
      <c r="E2419" s="0" t="s">
        <v>43</v>
      </c>
      <c r="F2419" s="0" t="s">
        <v>49</v>
      </c>
      <c r="G2419" s="0" t="s">
        <v>3332</v>
      </c>
      <c r="I2419" s="6" t="n">
        <v>0.875</v>
      </c>
      <c r="J2419" s="6" t="n">
        <v>0.90625</v>
      </c>
      <c r="L2419" s="0" t="n">
        <v>100</v>
      </c>
      <c r="M2419" s="0" t="s">
        <v>12158</v>
      </c>
      <c r="N2419" s="0" t="s">
        <v>12159</v>
      </c>
      <c r="P2419" s="0" t="s">
        <v>12160</v>
      </c>
      <c r="Q2419" s="2" t="n">
        <v>43868</v>
      </c>
      <c r="S2419" s="0" t="n">
        <f aca="false">YEAR(Q2419)</f>
        <v>2020</v>
      </c>
      <c r="T2419" s="0" t="n">
        <f aca="false">MONTH(Q2419)</f>
        <v>2</v>
      </c>
    </row>
    <row r="2420" customFormat="false" ht="14.25" hidden="true" customHeight="false" outlineLevel="0" collapsed="false">
      <c r="A2420" s="0" t="n">
        <v>2435</v>
      </c>
      <c r="B2420" s="1" t="s">
        <v>1408</v>
      </c>
      <c r="C2420" s="1" t="s">
        <v>1479</v>
      </c>
      <c r="D2420" s="1" t="s">
        <v>1487</v>
      </c>
      <c r="E2420" s="0" t="s">
        <v>1488</v>
      </c>
      <c r="F2420" s="0" t="s">
        <v>49</v>
      </c>
      <c r="I2420" s="6" t="n">
        <v>0.722222222222222</v>
      </c>
      <c r="J2420" s="6" t="n">
        <v>0.729166666666667</v>
      </c>
      <c r="L2420" s="0" t="n">
        <v>20</v>
      </c>
      <c r="M2420" s="0" t="s">
        <v>12161</v>
      </c>
      <c r="N2420" s="0" t="s">
        <v>12162</v>
      </c>
      <c r="P2420" s="0" t="s">
        <v>12163</v>
      </c>
      <c r="Q2420" s="2" t="n">
        <v>43871</v>
      </c>
      <c r="S2420" s="0" t="n">
        <f aca="false">YEAR(Q2420)</f>
        <v>2020</v>
      </c>
      <c r="T2420" s="0" t="n">
        <f aca="false">MONTH(Q2420)</f>
        <v>2</v>
      </c>
    </row>
    <row r="2421" customFormat="false" ht="14.25" hidden="true" customHeight="false" outlineLevel="0" collapsed="false">
      <c r="A2421" s="0" t="n">
        <v>2436</v>
      </c>
      <c r="B2421" s="1" t="s">
        <v>1408</v>
      </c>
      <c r="C2421" s="1" t="s">
        <v>1479</v>
      </c>
      <c r="D2421" s="1" t="s">
        <v>1487</v>
      </c>
      <c r="E2421" s="0" t="s">
        <v>1488</v>
      </c>
      <c r="F2421" s="0" t="s">
        <v>49</v>
      </c>
      <c r="I2421" s="6" t="n">
        <v>0.729166666666667</v>
      </c>
      <c r="J2421" s="6" t="n">
        <v>0.732638888888889</v>
      </c>
      <c r="L2421" s="0" t="n">
        <v>25</v>
      </c>
      <c r="M2421" s="0" t="s">
        <v>12164</v>
      </c>
      <c r="N2421" s="0" t="s">
        <v>12165</v>
      </c>
      <c r="P2421" s="0" t="s">
        <v>12166</v>
      </c>
      <c r="Q2421" s="2" t="n">
        <v>43871</v>
      </c>
      <c r="S2421" s="0" t="n">
        <f aca="false">YEAR(Q2421)</f>
        <v>2020</v>
      </c>
      <c r="T2421" s="0" t="n">
        <f aca="false">MONTH(Q2421)</f>
        <v>2</v>
      </c>
    </row>
    <row r="2422" customFormat="false" ht="14.25" hidden="true" customHeight="false" outlineLevel="0" collapsed="false">
      <c r="A2422" s="0" t="n">
        <v>2437</v>
      </c>
      <c r="B2422" s="1" t="s">
        <v>1408</v>
      </c>
      <c r="C2422" s="1" t="s">
        <v>1479</v>
      </c>
      <c r="D2422" s="1" t="s">
        <v>1487</v>
      </c>
      <c r="E2422" s="0" t="s">
        <v>1488</v>
      </c>
      <c r="F2422" s="0" t="s">
        <v>49</v>
      </c>
      <c r="I2422" s="6" t="n">
        <v>0.763888888888889</v>
      </c>
      <c r="J2422" s="6" t="n">
        <v>0.767361111111111</v>
      </c>
      <c r="L2422" s="0" t="n">
        <v>40</v>
      </c>
      <c r="M2422" s="0" t="s">
        <v>12167</v>
      </c>
      <c r="N2422" s="0" t="s">
        <v>12168</v>
      </c>
      <c r="P2422" s="0" t="s">
        <v>12169</v>
      </c>
      <c r="Q2422" s="2" t="n">
        <v>43871</v>
      </c>
      <c r="S2422" s="0" t="n">
        <f aca="false">YEAR(Q2422)</f>
        <v>2020</v>
      </c>
      <c r="T2422" s="0" t="n">
        <f aca="false">MONTH(Q2422)</f>
        <v>2</v>
      </c>
    </row>
    <row r="2423" customFormat="false" ht="14.25" hidden="true" customHeight="false" outlineLevel="0" collapsed="false">
      <c r="A2423" s="0" t="n">
        <v>2438</v>
      </c>
      <c r="B2423" s="1" t="s">
        <v>1408</v>
      </c>
      <c r="C2423" s="1" t="s">
        <v>1479</v>
      </c>
      <c r="D2423" s="1" t="s">
        <v>1487</v>
      </c>
      <c r="E2423" s="0" t="s">
        <v>1488</v>
      </c>
      <c r="F2423" s="0" t="s">
        <v>50</v>
      </c>
      <c r="G2423" s="0" t="s">
        <v>12170</v>
      </c>
      <c r="L2423" s="0" t="n">
        <v>52</v>
      </c>
      <c r="M2423" s="0" t="s">
        <v>12171</v>
      </c>
      <c r="N2423" s="0" t="s">
        <v>12172</v>
      </c>
      <c r="P2423" s="0" t="s">
        <v>12173</v>
      </c>
      <c r="Q2423" s="2" t="n">
        <v>43871</v>
      </c>
      <c r="S2423" s="0" t="n">
        <f aca="false">YEAR(Q2423)</f>
        <v>2020</v>
      </c>
      <c r="T2423" s="0" t="n">
        <f aca="false">MONTH(Q2423)</f>
        <v>2</v>
      </c>
    </row>
    <row r="2424" customFormat="false" ht="14.25" hidden="true" customHeight="false" outlineLevel="0" collapsed="false">
      <c r="A2424" s="0" t="n">
        <v>2439</v>
      </c>
      <c r="B2424" s="1" t="s">
        <v>1408</v>
      </c>
      <c r="C2424" s="1" t="s">
        <v>1479</v>
      </c>
      <c r="D2424" s="1" t="s">
        <v>1487</v>
      </c>
      <c r="E2424" s="0" t="s">
        <v>1488</v>
      </c>
      <c r="F2424" s="0" t="s">
        <v>50</v>
      </c>
      <c r="G2424" s="0" t="s">
        <v>12174</v>
      </c>
      <c r="L2424" s="0" t="n">
        <v>50</v>
      </c>
      <c r="M2424" s="0" t="s">
        <v>12175</v>
      </c>
      <c r="N2424" s="0" t="s">
        <v>12176</v>
      </c>
      <c r="P2424" s="0" t="s">
        <v>12177</v>
      </c>
      <c r="Q2424" s="2" t="n">
        <v>43871</v>
      </c>
      <c r="S2424" s="0" t="n">
        <f aca="false">YEAR(Q2424)</f>
        <v>2020</v>
      </c>
      <c r="T2424" s="0" t="n">
        <f aca="false">MONTH(Q2424)</f>
        <v>2</v>
      </c>
    </row>
    <row r="2425" customFormat="false" ht="14.25" hidden="true" customHeight="false" outlineLevel="0" collapsed="false">
      <c r="A2425" s="0" t="n">
        <v>2440</v>
      </c>
      <c r="B2425" s="1" t="s">
        <v>1410</v>
      </c>
      <c r="C2425" s="1" t="s">
        <v>1479</v>
      </c>
      <c r="D2425" s="1" t="s">
        <v>1487</v>
      </c>
      <c r="E2425" s="0" t="s">
        <v>1488</v>
      </c>
      <c r="F2425" s="0" t="s">
        <v>48</v>
      </c>
      <c r="G2425" s="0" t="s">
        <v>10175</v>
      </c>
      <c r="I2425" s="6" t="n">
        <v>0.763888888888889</v>
      </c>
      <c r="J2425" s="6" t="n">
        <v>0.788194444444444</v>
      </c>
      <c r="L2425" s="0" t="n">
        <v>20</v>
      </c>
      <c r="M2425" s="0" t="s">
        <v>12178</v>
      </c>
      <c r="N2425" s="0" t="s">
        <v>12179</v>
      </c>
      <c r="P2425" s="0" t="s">
        <v>12180</v>
      </c>
      <c r="Q2425" s="2" t="n">
        <v>43872</v>
      </c>
      <c r="S2425" s="0" t="n">
        <f aca="false">YEAR(Q2425)</f>
        <v>2020</v>
      </c>
      <c r="T2425" s="0" t="n">
        <f aca="false">MONTH(Q2425)</f>
        <v>2</v>
      </c>
    </row>
    <row r="2426" customFormat="false" ht="14.25" hidden="true" customHeight="false" outlineLevel="0" collapsed="false">
      <c r="A2426" s="0" t="n">
        <v>2441</v>
      </c>
      <c r="B2426" s="1" t="s">
        <v>1410</v>
      </c>
      <c r="C2426" s="1" t="s">
        <v>1479</v>
      </c>
      <c r="D2426" s="1" t="s">
        <v>1487</v>
      </c>
      <c r="E2426" s="0" t="s">
        <v>1488</v>
      </c>
      <c r="F2426" s="0" t="s">
        <v>48</v>
      </c>
      <c r="G2426" s="0" t="s">
        <v>12181</v>
      </c>
      <c r="I2426" s="6" t="n">
        <v>0.763888888888889</v>
      </c>
      <c r="J2426" s="6" t="n">
        <v>0.788194444444444</v>
      </c>
      <c r="L2426" s="0" t="n">
        <v>55</v>
      </c>
      <c r="M2426" s="0" t="s">
        <v>12182</v>
      </c>
      <c r="N2426" s="0" t="s">
        <v>12183</v>
      </c>
      <c r="P2426" s="0" t="s">
        <v>12184</v>
      </c>
      <c r="Q2426" s="2" t="n">
        <v>43872</v>
      </c>
      <c r="S2426" s="0" t="n">
        <f aca="false">YEAR(Q2426)</f>
        <v>2020</v>
      </c>
      <c r="T2426" s="0" t="n">
        <f aca="false">MONTH(Q2426)</f>
        <v>2</v>
      </c>
    </row>
    <row r="2427" customFormat="false" ht="14.25" hidden="true" customHeight="false" outlineLevel="0" collapsed="false">
      <c r="A2427" s="0" t="n">
        <v>2442</v>
      </c>
      <c r="B2427" s="1" t="s">
        <v>1410</v>
      </c>
      <c r="C2427" s="1" t="s">
        <v>1479</v>
      </c>
      <c r="D2427" s="1" t="s">
        <v>1487</v>
      </c>
      <c r="E2427" s="0" t="s">
        <v>1488</v>
      </c>
      <c r="F2427" s="0" t="s">
        <v>49</v>
      </c>
      <c r="G2427" s="0" t="s">
        <v>12185</v>
      </c>
      <c r="I2427" s="6" t="n">
        <v>0.763888888888889</v>
      </c>
      <c r="J2427" s="6" t="n">
        <v>0.788194444444444</v>
      </c>
      <c r="L2427" s="0" t="n">
        <v>55</v>
      </c>
      <c r="M2427" s="0" t="s">
        <v>12186</v>
      </c>
      <c r="N2427" s="0" t="s">
        <v>3545</v>
      </c>
      <c r="P2427" s="0" t="s">
        <v>12187</v>
      </c>
      <c r="Q2427" s="2" t="n">
        <v>43872</v>
      </c>
      <c r="S2427" s="0" t="n">
        <f aca="false">YEAR(Q2427)</f>
        <v>2020</v>
      </c>
      <c r="T2427" s="0" t="n">
        <f aca="false">MONTH(Q2427)</f>
        <v>2</v>
      </c>
    </row>
    <row r="2428" customFormat="false" ht="14.25" hidden="true" customHeight="false" outlineLevel="0" collapsed="false">
      <c r="A2428" s="0" t="n">
        <v>2443</v>
      </c>
      <c r="B2428" s="1" t="s">
        <v>1410</v>
      </c>
      <c r="C2428" s="1" t="s">
        <v>1479</v>
      </c>
      <c r="D2428" s="1" t="s">
        <v>1487</v>
      </c>
      <c r="E2428" s="0" t="s">
        <v>1488</v>
      </c>
      <c r="F2428" s="0" t="s">
        <v>49</v>
      </c>
      <c r="G2428" s="0" t="s">
        <v>12188</v>
      </c>
      <c r="I2428" s="6" t="n">
        <v>0.8125</v>
      </c>
      <c r="J2428" s="6" t="n">
        <v>0.822916666666667</v>
      </c>
      <c r="L2428" s="0" t="n">
        <v>27</v>
      </c>
      <c r="M2428" s="0" t="s">
        <v>12189</v>
      </c>
      <c r="N2428" s="0" t="s">
        <v>12190</v>
      </c>
      <c r="P2428" s="0" t="s">
        <v>12191</v>
      </c>
      <c r="Q2428" s="2" t="n">
        <v>43872</v>
      </c>
      <c r="S2428" s="0" t="n">
        <f aca="false">YEAR(Q2428)</f>
        <v>2020</v>
      </c>
      <c r="T2428" s="0" t="n">
        <f aca="false">MONTH(Q2428)</f>
        <v>2</v>
      </c>
    </row>
    <row r="2429" customFormat="false" ht="14.25" hidden="true" customHeight="false" outlineLevel="0" collapsed="false">
      <c r="A2429" s="0" t="n">
        <v>2444</v>
      </c>
      <c r="B2429" s="1" t="s">
        <v>1410</v>
      </c>
      <c r="C2429" s="1" t="s">
        <v>1479</v>
      </c>
      <c r="D2429" s="1" t="s">
        <v>1487</v>
      </c>
      <c r="E2429" s="0" t="s">
        <v>1488</v>
      </c>
      <c r="F2429" s="0" t="s">
        <v>49</v>
      </c>
      <c r="G2429" s="0" t="s">
        <v>12192</v>
      </c>
      <c r="I2429" s="6" t="n">
        <v>0.888888888888889</v>
      </c>
      <c r="J2429" s="6" t="n">
        <v>0.902777777777778</v>
      </c>
      <c r="L2429" s="0" t="n">
        <v>40</v>
      </c>
      <c r="M2429" s="0" t="s">
        <v>12193</v>
      </c>
      <c r="N2429" s="0" t="s">
        <v>12194</v>
      </c>
      <c r="P2429" s="0" t="s">
        <v>12195</v>
      </c>
      <c r="Q2429" s="2" t="n">
        <v>43872</v>
      </c>
      <c r="S2429" s="0" t="n">
        <f aca="false">YEAR(Q2429)</f>
        <v>2020</v>
      </c>
      <c r="T2429" s="0" t="n">
        <f aca="false">MONTH(Q2429)</f>
        <v>2</v>
      </c>
    </row>
    <row r="2430" customFormat="false" ht="14.25" hidden="true" customHeight="false" outlineLevel="0" collapsed="false">
      <c r="A2430" s="0" t="n">
        <v>2445</v>
      </c>
      <c r="B2430" s="1" t="s">
        <v>1410</v>
      </c>
      <c r="C2430" s="1" t="s">
        <v>1479</v>
      </c>
      <c r="D2430" s="1" t="s">
        <v>1487</v>
      </c>
      <c r="E2430" s="0" t="s">
        <v>1488</v>
      </c>
      <c r="F2430" s="0" t="s">
        <v>49</v>
      </c>
      <c r="G2430" s="0" t="s">
        <v>12196</v>
      </c>
      <c r="I2430" s="6" t="n">
        <v>0.892361111111111</v>
      </c>
      <c r="J2430" s="6" t="n">
        <v>0.902777777777778</v>
      </c>
      <c r="L2430" s="0" t="n">
        <v>60</v>
      </c>
      <c r="M2430" s="0" t="s">
        <v>12197</v>
      </c>
      <c r="N2430" s="0" t="s">
        <v>5360</v>
      </c>
      <c r="P2430" s="0" t="s">
        <v>12198</v>
      </c>
      <c r="Q2430" s="2" t="n">
        <v>43872</v>
      </c>
      <c r="S2430" s="0" t="n">
        <f aca="false">YEAR(Q2430)</f>
        <v>2020</v>
      </c>
      <c r="T2430" s="0" t="n">
        <f aca="false">MONTH(Q2430)</f>
        <v>2</v>
      </c>
    </row>
    <row r="2431" customFormat="false" ht="14.25" hidden="true" customHeight="false" outlineLevel="0" collapsed="false">
      <c r="A2431" s="0" t="n">
        <v>2447</v>
      </c>
      <c r="B2431" s="1" t="s">
        <v>1410</v>
      </c>
      <c r="C2431" s="1" t="s">
        <v>1479</v>
      </c>
      <c r="D2431" s="1" t="s">
        <v>1487</v>
      </c>
      <c r="E2431" s="0" t="s">
        <v>1488</v>
      </c>
      <c r="F2431" s="0" t="s">
        <v>50</v>
      </c>
      <c r="G2431" s="0" t="s">
        <v>12188</v>
      </c>
      <c r="J2431" s="6" t="n">
        <v>0.0347222222222222</v>
      </c>
      <c r="L2431" s="0" t="n">
        <v>70</v>
      </c>
      <c r="M2431" s="0" t="s">
        <v>12199</v>
      </c>
      <c r="N2431" s="0" t="s">
        <v>12200</v>
      </c>
      <c r="P2431" s="0" t="s">
        <v>12201</v>
      </c>
      <c r="Q2431" s="2" t="n">
        <v>43872</v>
      </c>
      <c r="S2431" s="0" t="n">
        <f aca="false">YEAR(Q2431)</f>
        <v>2020</v>
      </c>
      <c r="T2431" s="0" t="n">
        <f aca="false">MONTH(Q2431)</f>
        <v>2</v>
      </c>
    </row>
    <row r="2432" customFormat="false" ht="14.25" hidden="true" customHeight="false" outlineLevel="0" collapsed="false">
      <c r="A2432" s="0" t="n">
        <v>2448</v>
      </c>
      <c r="B2432" s="1" t="s">
        <v>1412</v>
      </c>
      <c r="C2432" s="1" t="s">
        <v>1479</v>
      </c>
      <c r="D2432" s="1" t="s">
        <v>1480</v>
      </c>
      <c r="E2432" s="0" t="s">
        <v>43</v>
      </c>
      <c r="F2432" s="0" t="s">
        <v>48</v>
      </c>
      <c r="G2432" s="0" t="s">
        <v>12202</v>
      </c>
      <c r="I2432" s="6" t="n">
        <v>0.263888888888889</v>
      </c>
      <c r="J2432" s="6" t="n">
        <v>0.309027777777778</v>
      </c>
      <c r="L2432" s="0" t="n">
        <v>120</v>
      </c>
      <c r="M2432" s="0" t="s">
        <v>12203</v>
      </c>
      <c r="N2432" s="0" t="s">
        <v>12204</v>
      </c>
      <c r="P2432" s="0" t="s">
        <v>12205</v>
      </c>
      <c r="Q2432" s="2" t="n">
        <v>43873</v>
      </c>
      <c r="S2432" s="0" t="n">
        <f aca="false">YEAR(Q2432)</f>
        <v>2020</v>
      </c>
      <c r="T2432" s="0" t="n">
        <f aca="false">MONTH(Q2432)</f>
        <v>2</v>
      </c>
    </row>
    <row r="2433" customFormat="false" ht="14.25" hidden="true" customHeight="false" outlineLevel="0" collapsed="false">
      <c r="A2433" s="0" t="n">
        <v>2449</v>
      </c>
      <c r="B2433" s="1" t="s">
        <v>1412</v>
      </c>
      <c r="C2433" s="1" t="s">
        <v>1479</v>
      </c>
      <c r="D2433" s="1" t="s">
        <v>1487</v>
      </c>
      <c r="E2433" s="0" t="s">
        <v>1488</v>
      </c>
      <c r="F2433" s="0" t="s">
        <v>49</v>
      </c>
      <c r="G2433" s="0" t="s">
        <v>12206</v>
      </c>
      <c r="I2433" s="6" t="n">
        <v>0.666666666666667</v>
      </c>
      <c r="J2433" s="6" t="n">
        <v>0.673611111111111</v>
      </c>
      <c r="L2433" s="0" t="n">
        <v>28</v>
      </c>
      <c r="M2433" s="0" t="s">
        <v>12207</v>
      </c>
      <c r="N2433" s="0" t="s">
        <v>12208</v>
      </c>
      <c r="P2433" s="0" t="s">
        <v>12209</v>
      </c>
      <c r="Q2433" s="2" t="n">
        <v>43873</v>
      </c>
      <c r="S2433" s="0" t="n">
        <f aca="false">YEAR(Q2433)</f>
        <v>2020</v>
      </c>
      <c r="T2433" s="0" t="n">
        <f aca="false">MONTH(Q2433)</f>
        <v>2</v>
      </c>
    </row>
    <row r="2434" customFormat="false" ht="14.25" hidden="true" customHeight="false" outlineLevel="0" collapsed="false">
      <c r="A2434" s="0" t="n">
        <v>2450</v>
      </c>
      <c r="B2434" s="1" t="s">
        <v>1412</v>
      </c>
      <c r="C2434" s="1" t="s">
        <v>1479</v>
      </c>
      <c r="D2434" s="1" t="s">
        <v>1487</v>
      </c>
      <c r="E2434" s="0" t="s">
        <v>1488</v>
      </c>
      <c r="F2434" s="0" t="s">
        <v>49</v>
      </c>
      <c r="G2434" s="0" t="s">
        <v>10175</v>
      </c>
      <c r="I2434" s="6" t="n">
        <v>0.659722222222222</v>
      </c>
      <c r="J2434" s="6" t="n">
        <v>0.763888888888889</v>
      </c>
      <c r="L2434" s="0" t="n">
        <v>60</v>
      </c>
      <c r="M2434" s="0" t="s">
        <v>12210</v>
      </c>
      <c r="N2434" s="0" t="s">
        <v>12211</v>
      </c>
      <c r="P2434" s="0" t="s">
        <v>12212</v>
      </c>
      <c r="Q2434" s="2" t="n">
        <v>43873</v>
      </c>
      <c r="S2434" s="0" t="n">
        <f aca="false">YEAR(Q2434)</f>
        <v>2020</v>
      </c>
      <c r="T2434" s="0" t="n">
        <f aca="false">MONTH(Q2434)</f>
        <v>2</v>
      </c>
    </row>
    <row r="2435" customFormat="false" ht="14.25" hidden="true" customHeight="false" outlineLevel="0" collapsed="false">
      <c r="A2435" s="0" t="n">
        <v>2451</v>
      </c>
      <c r="B2435" s="1" t="s">
        <v>1412</v>
      </c>
      <c r="C2435" s="1" t="s">
        <v>1479</v>
      </c>
      <c r="D2435" s="1" t="s">
        <v>1487</v>
      </c>
      <c r="E2435" s="0" t="s">
        <v>1488</v>
      </c>
      <c r="F2435" s="0" t="s">
        <v>49</v>
      </c>
      <c r="G2435" s="0" t="s">
        <v>12213</v>
      </c>
      <c r="I2435" s="6" t="n">
        <v>0.75</v>
      </c>
      <c r="J2435" s="6" t="n">
        <v>0.763888888888889</v>
      </c>
      <c r="L2435" s="0" t="n">
        <v>30</v>
      </c>
      <c r="M2435" s="0" t="s">
        <v>12214</v>
      </c>
      <c r="N2435" s="0" t="s">
        <v>12215</v>
      </c>
      <c r="P2435" s="0" t="s">
        <v>12216</v>
      </c>
      <c r="Q2435" s="2" t="n">
        <v>43873</v>
      </c>
      <c r="S2435" s="0" t="n">
        <f aca="false">YEAR(Q2435)</f>
        <v>2020</v>
      </c>
      <c r="T2435" s="0" t="n">
        <f aca="false">MONTH(Q2435)</f>
        <v>2</v>
      </c>
    </row>
    <row r="2436" customFormat="false" ht="14.25" hidden="true" customHeight="false" outlineLevel="0" collapsed="false">
      <c r="A2436" s="0" t="n">
        <v>2452</v>
      </c>
      <c r="B2436" s="1" t="s">
        <v>1413</v>
      </c>
      <c r="C2436" s="1" t="s">
        <v>1479</v>
      </c>
      <c r="D2436" s="1" t="s">
        <v>1487</v>
      </c>
      <c r="E2436" s="0" t="s">
        <v>1488</v>
      </c>
      <c r="F2436" s="0" t="s">
        <v>48</v>
      </c>
      <c r="G2436" s="0" t="s">
        <v>8889</v>
      </c>
      <c r="L2436" s="0" t="n">
        <v>33</v>
      </c>
      <c r="M2436" s="0" t="s">
        <v>12217</v>
      </c>
      <c r="N2436" s="0" t="s">
        <v>12218</v>
      </c>
      <c r="P2436" s="0" t="s">
        <v>12219</v>
      </c>
      <c r="Q2436" s="2" t="n">
        <v>43874</v>
      </c>
      <c r="S2436" s="0" t="n">
        <f aca="false">YEAR(Q2436)</f>
        <v>2020</v>
      </c>
      <c r="T2436" s="0" t="n">
        <f aca="false">MONTH(Q2436)</f>
        <v>2</v>
      </c>
    </row>
    <row r="2437" customFormat="false" ht="14.25" hidden="true" customHeight="false" outlineLevel="0" collapsed="false">
      <c r="A2437" s="0" t="n">
        <v>2453</v>
      </c>
      <c r="B2437" s="1" t="s">
        <v>1413</v>
      </c>
      <c r="C2437" s="1" t="s">
        <v>1479</v>
      </c>
      <c r="D2437" s="1" t="s">
        <v>1487</v>
      </c>
      <c r="E2437" s="0" t="s">
        <v>1488</v>
      </c>
      <c r="F2437" s="0" t="s">
        <v>48</v>
      </c>
      <c r="G2437" s="0" t="s">
        <v>12220</v>
      </c>
      <c r="I2437" s="6" t="n">
        <v>0.381944444444444</v>
      </c>
      <c r="J2437" s="6" t="n">
        <v>0.403472222222222</v>
      </c>
      <c r="L2437" s="0" t="n">
        <v>33</v>
      </c>
      <c r="M2437" s="0" t="s">
        <v>12221</v>
      </c>
      <c r="N2437" s="0" t="s">
        <v>12222</v>
      </c>
      <c r="P2437" s="0" t="s">
        <v>12223</v>
      </c>
      <c r="Q2437" s="2" t="n">
        <v>43874</v>
      </c>
      <c r="S2437" s="0" t="n">
        <f aca="false">YEAR(Q2437)</f>
        <v>2020</v>
      </c>
      <c r="T2437" s="0" t="n">
        <f aca="false">MONTH(Q2437)</f>
        <v>2</v>
      </c>
    </row>
    <row r="2438" customFormat="false" ht="14.25" hidden="true" customHeight="false" outlineLevel="0" collapsed="false">
      <c r="A2438" s="0" t="n">
        <v>2454</v>
      </c>
      <c r="B2438" s="1" t="s">
        <v>1413</v>
      </c>
      <c r="C2438" s="1" t="s">
        <v>1479</v>
      </c>
      <c r="D2438" s="1" t="s">
        <v>1487</v>
      </c>
      <c r="E2438" s="0" t="s">
        <v>1488</v>
      </c>
      <c r="F2438" s="0" t="s">
        <v>49</v>
      </c>
      <c r="G2438" s="0" t="s">
        <v>12224</v>
      </c>
      <c r="I2438" s="6" t="n">
        <v>0.791666666666667</v>
      </c>
      <c r="J2438" s="6" t="n">
        <v>0.802083333333333</v>
      </c>
      <c r="L2438" s="0" t="n">
        <v>40</v>
      </c>
      <c r="M2438" s="0" t="s">
        <v>12225</v>
      </c>
      <c r="N2438" s="0" t="s">
        <v>12226</v>
      </c>
      <c r="P2438" s="0" t="s">
        <v>12227</v>
      </c>
      <c r="Q2438" s="2" t="n">
        <v>43874</v>
      </c>
      <c r="S2438" s="0" t="n">
        <f aca="false">YEAR(Q2438)</f>
        <v>2020</v>
      </c>
      <c r="T2438" s="0" t="n">
        <f aca="false">MONTH(Q2438)</f>
        <v>2</v>
      </c>
    </row>
    <row r="2439" customFormat="false" ht="14.25" hidden="true" customHeight="false" outlineLevel="0" collapsed="false">
      <c r="A2439" s="0" t="n">
        <v>2455</v>
      </c>
      <c r="B2439" s="1" t="s">
        <v>1413</v>
      </c>
      <c r="C2439" s="1" t="s">
        <v>1479</v>
      </c>
      <c r="D2439" s="1" t="s">
        <v>1487</v>
      </c>
      <c r="E2439" s="0" t="s">
        <v>1488</v>
      </c>
      <c r="F2439" s="0" t="s">
        <v>50</v>
      </c>
      <c r="G2439" s="0" t="s">
        <v>12228</v>
      </c>
      <c r="I2439" s="6" t="n">
        <v>0.958333333333333</v>
      </c>
      <c r="J2439" s="6" t="n">
        <v>0.977083333333333</v>
      </c>
      <c r="K2439" s="0" t="n">
        <v>0</v>
      </c>
      <c r="L2439" s="0" t="n">
        <v>30</v>
      </c>
      <c r="M2439" s="0" t="s">
        <v>12229</v>
      </c>
      <c r="N2439" s="0" t="s">
        <v>12230</v>
      </c>
      <c r="P2439" s="0" t="s">
        <v>12231</v>
      </c>
      <c r="Q2439" s="2" t="n">
        <v>43874</v>
      </c>
      <c r="S2439" s="0" t="n">
        <f aca="false">YEAR(Q2439)</f>
        <v>2020</v>
      </c>
      <c r="T2439" s="0" t="n">
        <f aca="false">MONTH(Q2439)</f>
        <v>2</v>
      </c>
    </row>
    <row r="2440" customFormat="false" ht="14.25" hidden="true" customHeight="false" outlineLevel="0" collapsed="false">
      <c r="A2440" s="0" t="n">
        <v>2456</v>
      </c>
      <c r="B2440" s="1" t="s">
        <v>1413</v>
      </c>
      <c r="C2440" s="1" t="s">
        <v>1479</v>
      </c>
      <c r="D2440" s="1" t="s">
        <v>1487</v>
      </c>
      <c r="E2440" s="0" t="s">
        <v>1488</v>
      </c>
      <c r="F2440" s="0" t="s">
        <v>50</v>
      </c>
      <c r="G2440" s="0" t="s">
        <v>12232</v>
      </c>
      <c r="I2440" s="6" t="n">
        <v>0.986111111111111</v>
      </c>
      <c r="K2440" s="0" t="n">
        <v>0</v>
      </c>
      <c r="L2440" s="0" t="n">
        <v>25</v>
      </c>
      <c r="M2440" s="0" t="s">
        <v>12225</v>
      </c>
      <c r="N2440" s="0" t="s">
        <v>12233</v>
      </c>
      <c r="P2440" s="0" t="s">
        <v>12234</v>
      </c>
      <c r="Q2440" s="2" t="n">
        <v>43874</v>
      </c>
      <c r="S2440" s="0" t="n">
        <f aca="false">YEAR(Q2440)</f>
        <v>2020</v>
      </c>
      <c r="T2440" s="0" t="n">
        <f aca="false">MONTH(Q2440)</f>
        <v>2</v>
      </c>
    </row>
    <row r="2441" customFormat="false" ht="14.25" hidden="true" customHeight="false" outlineLevel="0" collapsed="false">
      <c r="A2441" s="0" t="n">
        <v>2457</v>
      </c>
      <c r="B2441" s="1" t="s">
        <v>1413</v>
      </c>
      <c r="C2441" s="1" t="s">
        <v>1479</v>
      </c>
      <c r="D2441" s="1" t="s">
        <v>1487</v>
      </c>
      <c r="E2441" s="0" t="s">
        <v>1488</v>
      </c>
      <c r="F2441" s="0" t="s">
        <v>50</v>
      </c>
      <c r="G2441" s="0" t="s">
        <v>12235</v>
      </c>
      <c r="I2441" s="6" t="n">
        <v>0.00902777777777778</v>
      </c>
      <c r="J2441" s="6" t="n">
        <v>0.00902777777777778</v>
      </c>
      <c r="K2441" s="0" t="n">
        <v>0</v>
      </c>
      <c r="L2441" s="0" t="n">
        <v>25</v>
      </c>
      <c r="M2441" s="0" t="s">
        <v>12236</v>
      </c>
      <c r="N2441" s="0" t="s">
        <v>12237</v>
      </c>
      <c r="P2441" s="0" t="s">
        <v>12238</v>
      </c>
      <c r="Q2441" s="2" t="n">
        <v>43874</v>
      </c>
      <c r="S2441" s="0" t="n">
        <f aca="false">YEAR(Q2441)</f>
        <v>2020</v>
      </c>
      <c r="T2441" s="0" t="n">
        <f aca="false">MONTH(Q2441)</f>
        <v>2</v>
      </c>
    </row>
    <row r="2442" customFormat="false" ht="14.25" hidden="true" customHeight="false" outlineLevel="0" collapsed="false">
      <c r="A2442" s="0" t="n">
        <v>2458</v>
      </c>
      <c r="B2442" s="1" t="s">
        <v>1413</v>
      </c>
      <c r="C2442" s="1" t="s">
        <v>1479</v>
      </c>
      <c r="D2442" s="1" t="s">
        <v>1487</v>
      </c>
      <c r="E2442" s="0" t="s">
        <v>1488</v>
      </c>
      <c r="F2442" s="0" t="s">
        <v>50</v>
      </c>
      <c r="G2442" s="0" t="s">
        <v>12239</v>
      </c>
      <c r="I2442" s="6" t="n">
        <v>0.0173611111111111</v>
      </c>
      <c r="J2442" s="6" t="n">
        <v>0.0229166666666667</v>
      </c>
      <c r="K2442" s="0" t="n">
        <v>0</v>
      </c>
      <c r="L2442" s="0" t="n">
        <v>35</v>
      </c>
      <c r="M2442" s="0" t="s">
        <v>12240</v>
      </c>
      <c r="N2442" s="0" t="s">
        <v>12241</v>
      </c>
      <c r="P2442" s="0" t="s">
        <v>12242</v>
      </c>
      <c r="Q2442" s="2" t="n">
        <v>43874</v>
      </c>
      <c r="S2442" s="0" t="n">
        <f aca="false">YEAR(Q2442)</f>
        <v>2020</v>
      </c>
      <c r="T2442" s="0" t="n">
        <f aca="false">MONTH(Q2442)</f>
        <v>2</v>
      </c>
    </row>
    <row r="2443" customFormat="false" ht="14.25" hidden="true" customHeight="false" outlineLevel="0" collapsed="false">
      <c r="A2443" s="0" t="n">
        <v>2459</v>
      </c>
      <c r="B2443" s="1" t="s">
        <v>1415</v>
      </c>
      <c r="C2443" s="1" t="s">
        <v>1479</v>
      </c>
      <c r="D2443" s="1" t="s">
        <v>1487</v>
      </c>
      <c r="E2443" s="0" t="s">
        <v>1488</v>
      </c>
      <c r="F2443" s="0" t="s">
        <v>48</v>
      </c>
      <c r="G2443" s="0" t="s">
        <v>12243</v>
      </c>
      <c r="M2443" s="0" t="s">
        <v>12244</v>
      </c>
      <c r="N2443" s="0" t="s">
        <v>12245</v>
      </c>
      <c r="P2443" s="0" t="s">
        <v>12246</v>
      </c>
      <c r="Q2443" s="2" t="n">
        <v>43875</v>
      </c>
      <c r="S2443" s="0" t="n">
        <f aca="false">YEAR(Q2443)</f>
        <v>2020</v>
      </c>
      <c r="T2443" s="0" t="n">
        <f aca="false">MONTH(Q2443)</f>
        <v>2</v>
      </c>
    </row>
    <row r="2444" customFormat="false" ht="14.25" hidden="true" customHeight="false" outlineLevel="0" collapsed="false">
      <c r="A2444" s="0" t="n">
        <v>2460</v>
      </c>
      <c r="B2444" s="1" t="s">
        <v>1415</v>
      </c>
      <c r="C2444" s="1" t="s">
        <v>1479</v>
      </c>
      <c r="D2444" s="1" t="s">
        <v>1487</v>
      </c>
      <c r="E2444" s="0" t="s">
        <v>1488</v>
      </c>
      <c r="F2444" s="0" t="s">
        <v>48</v>
      </c>
      <c r="G2444" s="0" t="s">
        <v>8601</v>
      </c>
      <c r="M2444" s="0" t="s">
        <v>12247</v>
      </c>
      <c r="N2444" s="0" t="s">
        <v>12248</v>
      </c>
      <c r="P2444" s="0" t="s">
        <v>12249</v>
      </c>
      <c r="Q2444" s="2" t="n">
        <v>43875</v>
      </c>
      <c r="S2444" s="0" t="n">
        <f aca="false">YEAR(Q2444)</f>
        <v>2020</v>
      </c>
      <c r="T2444" s="0" t="n">
        <f aca="false">MONTH(Q2444)</f>
        <v>2</v>
      </c>
    </row>
    <row r="2445" customFormat="false" ht="14.25" hidden="true" customHeight="false" outlineLevel="0" collapsed="false">
      <c r="A2445" s="0" t="n">
        <v>2461</v>
      </c>
      <c r="B2445" s="1" t="s">
        <v>1415</v>
      </c>
      <c r="C2445" s="1" t="s">
        <v>1479</v>
      </c>
      <c r="D2445" s="1" t="s">
        <v>1487</v>
      </c>
      <c r="E2445" s="0" t="s">
        <v>1488</v>
      </c>
      <c r="F2445" s="0" t="s">
        <v>48</v>
      </c>
      <c r="G2445" s="0" t="s">
        <v>12250</v>
      </c>
      <c r="J2445" s="6" t="n">
        <v>0.535416666666667</v>
      </c>
      <c r="M2445" s="0" t="s">
        <v>12251</v>
      </c>
      <c r="N2445" s="0" t="s">
        <v>12252</v>
      </c>
      <c r="P2445" s="0" t="s">
        <v>12253</v>
      </c>
      <c r="Q2445" s="2" t="n">
        <v>43875</v>
      </c>
      <c r="S2445" s="0" t="n">
        <f aca="false">YEAR(Q2445)</f>
        <v>2020</v>
      </c>
      <c r="T2445" s="0" t="n">
        <f aca="false">MONTH(Q2445)</f>
        <v>2</v>
      </c>
    </row>
    <row r="2446" customFormat="false" ht="14.25" hidden="true" customHeight="false" outlineLevel="0" collapsed="false">
      <c r="A2446" s="0" t="n">
        <v>2462</v>
      </c>
      <c r="B2446" s="1" t="s">
        <v>1415</v>
      </c>
      <c r="C2446" s="1" t="s">
        <v>1479</v>
      </c>
      <c r="D2446" s="1" t="s">
        <v>1487</v>
      </c>
      <c r="E2446" s="0" t="s">
        <v>1488</v>
      </c>
      <c r="F2446" s="0" t="s">
        <v>50</v>
      </c>
      <c r="G2446" s="0" t="s">
        <v>12254</v>
      </c>
      <c r="I2446" s="6" t="n">
        <v>0.125</v>
      </c>
      <c r="L2446" s="0" t="n">
        <v>73</v>
      </c>
      <c r="M2446" s="0" t="s">
        <v>12255</v>
      </c>
      <c r="N2446" s="0" t="s">
        <v>12256</v>
      </c>
      <c r="P2446" s="0" t="s">
        <v>12257</v>
      </c>
      <c r="Q2446" s="2" t="n">
        <v>43875</v>
      </c>
      <c r="S2446" s="0" t="n">
        <f aca="false">YEAR(Q2446)</f>
        <v>2020</v>
      </c>
      <c r="T2446" s="0" t="n">
        <f aca="false">MONTH(Q2446)</f>
        <v>2</v>
      </c>
    </row>
    <row r="2447" customFormat="false" ht="14.25" hidden="true" customHeight="false" outlineLevel="0" collapsed="false">
      <c r="A2447" s="0" t="n">
        <v>2463</v>
      </c>
      <c r="B2447" s="1" t="s">
        <v>1419</v>
      </c>
      <c r="C2447" s="1" t="s">
        <v>1479</v>
      </c>
      <c r="D2447" s="1" t="s">
        <v>1487</v>
      </c>
      <c r="E2447" s="0" t="s">
        <v>1488</v>
      </c>
      <c r="F2447" s="0" t="s">
        <v>50</v>
      </c>
      <c r="G2447" s="0" t="s">
        <v>12258</v>
      </c>
      <c r="I2447" s="6" t="n">
        <v>0.916666666666667</v>
      </c>
      <c r="J2447" s="6" t="n">
        <v>0.916666666666667</v>
      </c>
      <c r="L2447" s="0" t="n">
        <v>80</v>
      </c>
      <c r="M2447" s="0" t="s">
        <v>12259</v>
      </c>
      <c r="N2447" s="0" t="s">
        <v>12260</v>
      </c>
      <c r="P2447" s="0" t="s">
        <v>12261</v>
      </c>
      <c r="Q2447" s="2" t="n">
        <v>43877</v>
      </c>
      <c r="S2447" s="0" t="n">
        <f aca="false">YEAR(Q2447)</f>
        <v>2020</v>
      </c>
      <c r="T2447" s="0" t="n">
        <f aca="false">MONTH(Q2447)</f>
        <v>2</v>
      </c>
    </row>
    <row r="2448" customFormat="false" ht="14.25" hidden="true" customHeight="false" outlineLevel="0" collapsed="false">
      <c r="A2448" s="0" t="n">
        <v>2464</v>
      </c>
      <c r="B2448" s="1" t="s">
        <v>1419</v>
      </c>
      <c r="C2448" s="1" t="s">
        <v>1479</v>
      </c>
      <c r="D2448" s="1" t="s">
        <v>1487</v>
      </c>
      <c r="E2448" s="0" t="s">
        <v>1488</v>
      </c>
      <c r="F2448" s="0" t="s">
        <v>50</v>
      </c>
      <c r="G2448" s="0" t="s">
        <v>12262</v>
      </c>
      <c r="I2448" s="6" t="n">
        <v>0.951388888888889</v>
      </c>
      <c r="J2448" s="6" t="n">
        <v>0.979166666666667</v>
      </c>
      <c r="K2448" s="0" t="n">
        <v>0</v>
      </c>
      <c r="L2448" s="0" t="n">
        <v>100</v>
      </c>
      <c r="M2448" s="0" t="s">
        <v>12263</v>
      </c>
      <c r="N2448" s="0" t="s">
        <v>12264</v>
      </c>
      <c r="P2448" s="0" t="s">
        <v>12265</v>
      </c>
      <c r="Q2448" s="2" t="n">
        <v>43877</v>
      </c>
      <c r="S2448" s="0" t="n">
        <f aca="false">YEAR(Q2448)</f>
        <v>2020</v>
      </c>
      <c r="T2448" s="0" t="n">
        <f aca="false">MONTH(Q2448)</f>
        <v>2</v>
      </c>
    </row>
    <row r="2449" customFormat="false" ht="14.25" hidden="true" customHeight="false" outlineLevel="0" collapsed="false">
      <c r="A2449" s="0" t="n">
        <v>2465</v>
      </c>
      <c r="B2449" s="1" t="s">
        <v>1419</v>
      </c>
      <c r="C2449" s="1" t="s">
        <v>1479</v>
      </c>
      <c r="D2449" s="1" t="s">
        <v>1487</v>
      </c>
      <c r="E2449" s="0" t="s">
        <v>1488</v>
      </c>
      <c r="F2449" s="0" t="s">
        <v>50</v>
      </c>
      <c r="G2449" s="0" t="s">
        <v>12266</v>
      </c>
      <c r="I2449" s="6" t="n">
        <v>0.951388888888889</v>
      </c>
      <c r="K2449" s="0" t="n">
        <v>0</v>
      </c>
      <c r="L2449" s="0" t="n">
        <v>60</v>
      </c>
      <c r="M2449" s="0" t="s">
        <v>12267</v>
      </c>
      <c r="N2449" s="0" t="s">
        <v>12268</v>
      </c>
      <c r="P2449" s="0" t="s">
        <v>12269</v>
      </c>
      <c r="Q2449" s="2" t="n">
        <v>43877</v>
      </c>
      <c r="S2449" s="0" t="n">
        <f aca="false">YEAR(Q2449)</f>
        <v>2020</v>
      </c>
      <c r="T2449" s="0" t="n">
        <f aca="false">MONTH(Q2449)</f>
        <v>2</v>
      </c>
    </row>
    <row r="2450" customFormat="false" ht="14.25" hidden="true" customHeight="false" outlineLevel="0" collapsed="false">
      <c r="A2450" s="0" t="n">
        <v>2466</v>
      </c>
      <c r="B2450" s="1" t="s">
        <v>1419</v>
      </c>
      <c r="C2450" s="1" t="s">
        <v>1479</v>
      </c>
      <c r="D2450" s="1" t="s">
        <v>1535</v>
      </c>
      <c r="E2450" s="0" t="s">
        <v>39</v>
      </c>
      <c r="F2450" s="0" t="s">
        <v>50</v>
      </c>
      <c r="G2450" s="0" t="s">
        <v>8609</v>
      </c>
      <c r="I2450" s="6" t="n">
        <v>0</v>
      </c>
      <c r="J2450" s="6" t="n">
        <v>0.00555555555555556</v>
      </c>
      <c r="L2450" s="0" t="n">
        <v>65</v>
      </c>
      <c r="M2450" s="0" t="s">
        <v>12270</v>
      </c>
      <c r="N2450" s="0" t="s">
        <v>12271</v>
      </c>
      <c r="P2450" s="0" t="s">
        <v>12272</v>
      </c>
      <c r="Q2450" s="2" t="n">
        <v>43877</v>
      </c>
      <c r="S2450" s="0" t="n">
        <f aca="false">YEAR(Q2450)</f>
        <v>2020</v>
      </c>
      <c r="T2450" s="0" t="n">
        <f aca="false">MONTH(Q2450)</f>
        <v>2</v>
      </c>
    </row>
    <row r="2451" customFormat="false" ht="14.25" hidden="true" customHeight="false" outlineLevel="0" collapsed="false">
      <c r="A2451" s="0" t="n">
        <v>2467</v>
      </c>
      <c r="B2451" s="1" t="s">
        <v>1420</v>
      </c>
      <c r="C2451" s="1" t="s">
        <v>1479</v>
      </c>
      <c r="D2451" s="1" t="s">
        <v>1487</v>
      </c>
      <c r="E2451" s="0" t="s">
        <v>1488</v>
      </c>
      <c r="F2451" s="0" t="s">
        <v>48</v>
      </c>
      <c r="G2451" s="0" t="s">
        <v>12258</v>
      </c>
      <c r="I2451" s="6" t="n">
        <v>0.479166666666667</v>
      </c>
      <c r="M2451" s="0" t="s">
        <v>12273</v>
      </c>
      <c r="N2451" s="0" t="s">
        <v>3545</v>
      </c>
      <c r="P2451" s="0" t="s">
        <v>12274</v>
      </c>
      <c r="Q2451" s="2" t="n">
        <v>43878</v>
      </c>
      <c r="S2451" s="0" t="n">
        <f aca="false">YEAR(Q2451)</f>
        <v>2020</v>
      </c>
      <c r="T2451" s="0" t="n">
        <f aca="false">MONTH(Q2451)</f>
        <v>2</v>
      </c>
    </row>
    <row r="2452" customFormat="false" ht="14.25" hidden="true" customHeight="false" outlineLevel="0" collapsed="false">
      <c r="A2452" s="0" t="n">
        <v>2468</v>
      </c>
      <c r="B2452" s="1" t="s">
        <v>1420</v>
      </c>
      <c r="C2452" s="1" t="s">
        <v>1479</v>
      </c>
      <c r="D2452" s="1" t="s">
        <v>1535</v>
      </c>
      <c r="E2452" s="0" t="s">
        <v>39</v>
      </c>
      <c r="F2452" s="0" t="s">
        <v>48</v>
      </c>
      <c r="G2452" s="0" t="s">
        <v>8609</v>
      </c>
      <c r="I2452" s="6" t="n">
        <v>0</v>
      </c>
      <c r="J2452" s="6" t="n">
        <v>0.00555555555555556</v>
      </c>
      <c r="L2452" s="0" t="n">
        <v>65</v>
      </c>
      <c r="M2452" s="0" t="s">
        <v>12275</v>
      </c>
      <c r="N2452" s="0" t="s">
        <v>3545</v>
      </c>
      <c r="P2452" s="0" t="s">
        <v>12276</v>
      </c>
      <c r="Q2452" s="2" t="n">
        <v>43878</v>
      </c>
      <c r="S2452" s="0" t="n">
        <f aca="false">YEAR(Q2452)</f>
        <v>2020</v>
      </c>
      <c r="T2452" s="0" t="n">
        <f aca="false">MONTH(Q2452)</f>
        <v>2</v>
      </c>
    </row>
    <row r="2453" customFormat="false" ht="14.25" hidden="true" customHeight="false" outlineLevel="0" collapsed="false">
      <c r="A2453" s="0" t="n">
        <v>2469</v>
      </c>
      <c r="B2453" s="1" t="s">
        <v>1420</v>
      </c>
      <c r="C2453" s="1" t="s">
        <v>1479</v>
      </c>
      <c r="D2453" s="1" t="s">
        <v>1487</v>
      </c>
      <c r="E2453" s="0" t="s">
        <v>1488</v>
      </c>
      <c r="F2453" s="0" t="s">
        <v>49</v>
      </c>
      <c r="G2453" s="0" t="s">
        <v>12277</v>
      </c>
      <c r="I2453" s="6" t="n">
        <v>0.520833333333333</v>
      </c>
      <c r="J2453" s="6" t="n">
        <v>0.604166666666667</v>
      </c>
      <c r="L2453" s="0" t="n">
        <v>410</v>
      </c>
      <c r="M2453" s="0" t="s">
        <v>12278</v>
      </c>
      <c r="N2453" s="0" t="s">
        <v>12279</v>
      </c>
      <c r="P2453" s="0" t="s">
        <v>12280</v>
      </c>
      <c r="Q2453" s="2" t="n">
        <v>43878</v>
      </c>
      <c r="S2453" s="0" t="n">
        <f aca="false">YEAR(Q2453)</f>
        <v>2020</v>
      </c>
      <c r="T2453" s="0" t="n">
        <f aca="false">MONTH(Q2453)</f>
        <v>2</v>
      </c>
    </row>
    <row r="2454" customFormat="false" ht="14.25" hidden="true" customHeight="false" outlineLevel="0" collapsed="false">
      <c r="A2454" s="0" t="n">
        <v>2470</v>
      </c>
      <c r="B2454" s="1" t="s">
        <v>1420</v>
      </c>
      <c r="C2454" s="1" t="s">
        <v>1503</v>
      </c>
      <c r="D2454" s="1" t="s">
        <v>1535</v>
      </c>
      <c r="E2454" s="0" t="s">
        <v>1503</v>
      </c>
      <c r="F2454" s="0" t="s">
        <v>50</v>
      </c>
      <c r="G2454" s="0" t="s">
        <v>8350</v>
      </c>
      <c r="I2454" s="6" t="n">
        <v>0.0666666666666667</v>
      </c>
      <c r="J2454" s="6" t="n">
        <v>0.0888888888888889</v>
      </c>
      <c r="L2454" s="0" t="n">
        <v>240</v>
      </c>
      <c r="M2454" s="0" t="s">
        <v>10750</v>
      </c>
      <c r="N2454" s="0" t="s">
        <v>12281</v>
      </c>
      <c r="P2454" s="0" t="s">
        <v>12282</v>
      </c>
      <c r="Q2454" s="2" t="n">
        <v>43878</v>
      </c>
      <c r="S2454" s="0" t="n">
        <f aca="false">YEAR(Q2454)</f>
        <v>2020</v>
      </c>
      <c r="T2454" s="0" t="n">
        <f aca="false">MONTH(Q2454)</f>
        <v>2</v>
      </c>
    </row>
    <row r="2455" customFormat="false" ht="14.25" hidden="true" customHeight="false" outlineLevel="0" collapsed="false">
      <c r="A2455" s="0" t="n">
        <v>2471</v>
      </c>
      <c r="B2455" s="1" t="s">
        <v>1423</v>
      </c>
      <c r="C2455" s="1" t="s">
        <v>1479</v>
      </c>
      <c r="D2455" s="1" t="s">
        <v>1487</v>
      </c>
      <c r="E2455" s="0" t="s">
        <v>1488</v>
      </c>
      <c r="F2455" s="0" t="s">
        <v>48</v>
      </c>
      <c r="G2455" s="0" t="s">
        <v>12283</v>
      </c>
      <c r="I2455" s="6" t="n">
        <v>0.295138888888889</v>
      </c>
      <c r="K2455" s="0" t="n">
        <v>0</v>
      </c>
      <c r="L2455" s="0" t="n">
        <v>75</v>
      </c>
      <c r="M2455" s="0" t="s">
        <v>12284</v>
      </c>
      <c r="N2455" s="0" t="s">
        <v>7941</v>
      </c>
      <c r="P2455" s="0" t="s">
        <v>12285</v>
      </c>
      <c r="Q2455" s="2" t="n">
        <v>43879</v>
      </c>
      <c r="S2455" s="0" t="n">
        <f aca="false">YEAR(Q2455)</f>
        <v>2020</v>
      </c>
      <c r="T2455" s="0" t="n">
        <f aca="false">MONTH(Q2455)</f>
        <v>2</v>
      </c>
    </row>
    <row r="2456" customFormat="false" ht="14.25" hidden="true" customHeight="false" outlineLevel="0" collapsed="false">
      <c r="A2456" s="0" t="n">
        <v>2472</v>
      </c>
      <c r="B2456" s="1" t="s">
        <v>1423</v>
      </c>
      <c r="C2456" s="1" t="s">
        <v>1479</v>
      </c>
      <c r="D2456" s="1" t="s">
        <v>1487</v>
      </c>
      <c r="E2456" s="0" t="s">
        <v>1488</v>
      </c>
      <c r="F2456" s="0" t="s">
        <v>48</v>
      </c>
      <c r="G2456" s="0" t="s">
        <v>12286</v>
      </c>
      <c r="I2456" s="6" t="n">
        <v>0.497222222222222</v>
      </c>
      <c r="L2456" s="0" t="n">
        <v>16</v>
      </c>
      <c r="M2456" s="0" t="s">
        <v>12287</v>
      </c>
      <c r="N2456" s="0" t="s">
        <v>12288</v>
      </c>
      <c r="P2456" s="0" t="s">
        <v>12289</v>
      </c>
      <c r="Q2456" s="2" t="n">
        <v>43879</v>
      </c>
      <c r="S2456" s="0" t="n">
        <f aca="false">YEAR(Q2456)</f>
        <v>2020</v>
      </c>
      <c r="T2456" s="0" t="n">
        <f aca="false">MONTH(Q2456)</f>
        <v>2</v>
      </c>
    </row>
    <row r="2457" customFormat="false" ht="14.25" hidden="true" customHeight="false" outlineLevel="0" collapsed="false">
      <c r="A2457" s="0" t="n">
        <v>2473</v>
      </c>
      <c r="B2457" s="1" t="s">
        <v>1423</v>
      </c>
      <c r="C2457" s="1" t="s">
        <v>1479</v>
      </c>
      <c r="D2457" s="1" t="s">
        <v>1487</v>
      </c>
      <c r="E2457" s="0" t="s">
        <v>1488</v>
      </c>
      <c r="F2457" s="0" t="s">
        <v>48</v>
      </c>
      <c r="G2457" s="0" t="s">
        <v>12290</v>
      </c>
      <c r="I2457" s="6" t="n">
        <v>0.500694444444444</v>
      </c>
      <c r="J2457" s="6" t="n">
        <v>0.527777777777778</v>
      </c>
      <c r="K2457" s="0" t="n">
        <v>0</v>
      </c>
      <c r="L2457" s="0" t="n">
        <v>25</v>
      </c>
      <c r="M2457" s="0" t="s">
        <v>12291</v>
      </c>
      <c r="N2457" s="0" t="s">
        <v>12292</v>
      </c>
      <c r="P2457" s="0" t="s">
        <v>12293</v>
      </c>
      <c r="Q2457" s="2" t="n">
        <v>43879</v>
      </c>
      <c r="S2457" s="0" t="n">
        <f aca="false">YEAR(Q2457)</f>
        <v>2020</v>
      </c>
      <c r="T2457" s="0" t="n">
        <f aca="false">MONTH(Q2457)</f>
        <v>2</v>
      </c>
    </row>
    <row r="2458" customFormat="false" ht="14.25" hidden="true" customHeight="false" outlineLevel="0" collapsed="false">
      <c r="A2458" s="0" t="n">
        <v>2474</v>
      </c>
      <c r="B2458" s="1" t="s">
        <v>1423</v>
      </c>
      <c r="C2458" s="1" t="s">
        <v>1479</v>
      </c>
      <c r="D2458" s="1" t="s">
        <v>1487</v>
      </c>
      <c r="E2458" s="0" t="s">
        <v>1488</v>
      </c>
      <c r="F2458" s="0" t="s">
        <v>48</v>
      </c>
      <c r="G2458" s="0" t="s">
        <v>12294</v>
      </c>
      <c r="I2458" s="6" t="n">
        <v>0.55</v>
      </c>
      <c r="K2458" s="0" t="n">
        <v>0</v>
      </c>
      <c r="L2458" s="0" t="n">
        <v>50</v>
      </c>
      <c r="M2458" s="0" t="s">
        <v>12295</v>
      </c>
      <c r="N2458" s="0" t="s">
        <v>12296</v>
      </c>
      <c r="P2458" s="0" t="s">
        <v>12297</v>
      </c>
      <c r="Q2458" s="2" t="n">
        <v>43879</v>
      </c>
      <c r="S2458" s="0" t="n">
        <f aca="false">YEAR(Q2458)</f>
        <v>2020</v>
      </c>
      <c r="T2458" s="0" t="n">
        <f aca="false">MONTH(Q2458)</f>
        <v>2</v>
      </c>
    </row>
    <row r="2459" customFormat="false" ht="14.25" hidden="true" customHeight="false" outlineLevel="0" collapsed="false">
      <c r="A2459" s="0" t="n">
        <v>2475</v>
      </c>
      <c r="B2459" s="1" t="s">
        <v>1423</v>
      </c>
      <c r="C2459" s="1" t="s">
        <v>1495</v>
      </c>
      <c r="D2459" s="1" t="s">
        <v>1487</v>
      </c>
      <c r="E2459" s="0" t="s">
        <v>40</v>
      </c>
      <c r="F2459" s="0" t="s">
        <v>48</v>
      </c>
      <c r="G2459" s="0" t="s">
        <v>12298</v>
      </c>
      <c r="M2459" s="0" t="s">
        <v>12299</v>
      </c>
      <c r="N2459" s="0" t="s">
        <v>12300</v>
      </c>
      <c r="P2459" s="0" t="s">
        <v>12301</v>
      </c>
      <c r="Q2459" s="2" t="n">
        <v>43879</v>
      </c>
      <c r="S2459" s="0" t="n">
        <f aca="false">YEAR(Q2459)</f>
        <v>2020</v>
      </c>
      <c r="T2459" s="0" t="n">
        <f aca="false">MONTH(Q2459)</f>
        <v>2</v>
      </c>
    </row>
    <row r="2460" customFormat="false" ht="14.25" hidden="true" customHeight="false" outlineLevel="0" collapsed="false">
      <c r="A2460" s="0" t="n">
        <v>2476</v>
      </c>
      <c r="B2460" s="1" t="s">
        <v>1423</v>
      </c>
      <c r="C2460" s="1" t="s">
        <v>1479</v>
      </c>
      <c r="D2460" s="1" t="s">
        <v>1535</v>
      </c>
      <c r="E2460" s="0" t="s">
        <v>39</v>
      </c>
      <c r="F2460" s="0" t="s">
        <v>49</v>
      </c>
      <c r="G2460" s="0" t="s">
        <v>12302</v>
      </c>
      <c r="I2460" s="6" t="n">
        <v>0.604166666666667</v>
      </c>
      <c r="J2460" s="6" t="n">
        <v>0.631944444444444</v>
      </c>
      <c r="K2460" s="0" t="n">
        <v>6</v>
      </c>
      <c r="M2460" s="0" t="s">
        <v>12303</v>
      </c>
      <c r="N2460" s="0" t="s">
        <v>12304</v>
      </c>
      <c r="P2460" s="0" t="s">
        <v>12305</v>
      </c>
      <c r="Q2460" s="2" t="n">
        <v>43879</v>
      </c>
      <c r="S2460" s="0" t="n">
        <f aca="false">YEAR(Q2460)</f>
        <v>2020</v>
      </c>
      <c r="T2460" s="0" t="n">
        <f aca="false">MONTH(Q2460)</f>
        <v>2</v>
      </c>
    </row>
    <row r="2461" customFormat="false" ht="14.25" hidden="true" customHeight="false" outlineLevel="0" collapsed="false">
      <c r="A2461" s="0" t="n">
        <v>2477</v>
      </c>
      <c r="B2461" s="1" t="s">
        <v>1423</v>
      </c>
      <c r="C2461" s="1" t="s">
        <v>1479</v>
      </c>
      <c r="D2461" s="1" t="s">
        <v>1480</v>
      </c>
      <c r="E2461" s="0" t="s">
        <v>43</v>
      </c>
      <c r="F2461" s="0" t="s">
        <v>49</v>
      </c>
      <c r="G2461" s="0" t="s">
        <v>3328</v>
      </c>
      <c r="I2461" s="6" t="n">
        <v>0.555555555555556</v>
      </c>
      <c r="J2461" s="6" t="n">
        <v>0.604166666666667</v>
      </c>
      <c r="L2461" s="0" t="n">
        <v>240</v>
      </c>
      <c r="M2461" s="0" t="s">
        <v>12306</v>
      </c>
      <c r="N2461" s="0" t="s">
        <v>12307</v>
      </c>
      <c r="P2461" s="0" t="s">
        <v>12308</v>
      </c>
      <c r="Q2461" s="2" t="n">
        <v>43879</v>
      </c>
      <c r="S2461" s="0" t="n">
        <f aca="false">YEAR(Q2461)</f>
        <v>2020</v>
      </c>
      <c r="T2461" s="0" t="n">
        <f aca="false">MONTH(Q2461)</f>
        <v>2</v>
      </c>
    </row>
    <row r="2462" customFormat="false" ht="14.25" hidden="true" customHeight="false" outlineLevel="0" collapsed="false">
      <c r="A2462" s="0" t="n">
        <v>2478</v>
      </c>
      <c r="B2462" s="1" t="s">
        <v>1423</v>
      </c>
      <c r="C2462" s="1" t="s">
        <v>1479</v>
      </c>
      <c r="D2462" s="1" t="s">
        <v>1487</v>
      </c>
      <c r="E2462" s="0" t="s">
        <v>1488</v>
      </c>
      <c r="F2462" s="0" t="s">
        <v>49</v>
      </c>
      <c r="G2462" s="0" t="s">
        <v>4428</v>
      </c>
      <c r="I2462" s="6" t="n">
        <v>0.708333333333333</v>
      </c>
      <c r="J2462" s="6" t="n">
        <v>0.715277777777778</v>
      </c>
      <c r="L2462" s="0" t="n">
        <v>60</v>
      </c>
      <c r="M2462" s="0" t="s">
        <v>12309</v>
      </c>
      <c r="N2462" s="0" t="s">
        <v>4669</v>
      </c>
      <c r="P2462" s="0" t="s">
        <v>12285</v>
      </c>
      <c r="Q2462" s="2" t="n">
        <v>43879</v>
      </c>
      <c r="S2462" s="0" t="n">
        <f aca="false">YEAR(Q2462)</f>
        <v>2020</v>
      </c>
      <c r="T2462" s="0" t="n">
        <f aca="false">MONTH(Q2462)</f>
        <v>2</v>
      </c>
    </row>
    <row r="2463" customFormat="false" ht="14.25" hidden="true" customHeight="false" outlineLevel="0" collapsed="false">
      <c r="A2463" s="0" t="n">
        <v>2479</v>
      </c>
      <c r="B2463" s="1" t="s">
        <v>1423</v>
      </c>
      <c r="C2463" s="1" t="s">
        <v>1503</v>
      </c>
      <c r="D2463" s="1" t="s">
        <v>1504</v>
      </c>
      <c r="E2463" s="0" t="s">
        <v>1503</v>
      </c>
      <c r="F2463" s="0" t="s">
        <v>50</v>
      </c>
      <c r="G2463" s="0" t="s">
        <v>12310</v>
      </c>
      <c r="J2463" s="6" t="n">
        <v>0.951388888888889</v>
      </c>
      <c r="M2463" s="0" t="s">
        <v>12311</v>
      </c>
      <c r="N2463" s="0" t="s">
        <v>12312</v>
      </c>
      <c r="P2463" s="0" t="s">
        <v>12313</v>
      </c>
      <c r="Q2463" s="2" t="n">
        <v>43879</v>
      </c>
      <c r="S2463" s="0" t="n">
        <f aca="false">YEAR(Q2463)</f>
        <v>2020</v>
      </c>
      <c r="T2463" s="0" t="n">
        <f aca="false">MONTH(Q2463)</f>
        <v>2</v>
      </c>
    </row>
    <row r="2464" customFormat="false" ht="14.25" hidden="true" customHeight="false" outlineLevel="0" collapsed="false">
      <c r="A2464" s="0" t="n">
        <v>2480</v>
      </c>
      <c r="B2464" s="1" t="s">
        <v>1423</v>
      </c>
      <c r="C2464" s="1" t="s">
        <v>1479</v>
      </c>
      <c r="D2464" s="1" t="s">
        <v>1487</v>
      </c>
      <c r="E2464" s="0" t="s">
        <v>1488</v>
      </c>
      <c r="F2464" s="0" t="s">
        <v>50</v>
      </c>
      <c r="G2464" s="0" t="s">
        <v>12314</v>
      </c>
      <c r="I2464" s="6" t="n">
        <v>0.0416666666666667</v>
      </c>
      <c r="J2464" s="6" t="n">
        <v>0.0486111111111111</v>
      </c>
      <c r="L2464" s="0" t="n">
        <v>30</v>
      </c>
      <c r="M2464" s="0" t="s">
        <v>12315</v>
      </c>
      <c r="N2464" s="0" t="s">
        <v>12316</v>
      </c>
      <c r="P2464" s="0" t="s">
        <v>12317</v>
      </c>
      <c r="Q2464" s="2" t="n">
        <v>43879</v>
      </c>
      <c r="S2464" s="0" t="n">
        <f aca="false">YEAR(Q2464)</f>
        <v>2020</v>
      </c>
      <c r="T2464" s="0" t="n">
        <f aca="false">MONTH(Q2464)</f>
        <v>2</v>
      </c>
    </row>
    <row r="2465" customFormat="false" ht="14.25" hidden="true" customHeight="false" outlineLevel="0" collapsed="false">
      <c r="A2465" s="0" t="n">
        <v>2481</v>
      </c>
      <c r="B2465" s="1" t="s">
        <v>1423</v>
      </c>
      <c r="C2465" s="1" t="s">
        <v>1479</v>
      </c>
      <c r="D2465" s="1" t="s">
        <v>1487</v>
      </c>
      <c r="E2465" s="4" t="s">
        <v>1488</v>
      </c>
      <c r="F2465" s="0" t="s">
        <v>50</v>
      </c>
      <c r="G2465" s="0" t="s">
        <v>12318</v>
      </c>
      <c r="I2465" s="6" t="n">
        <v>0.0972222222222222</v>
      </c>
      <c r="K2465" s="0" t="n">
        <v>25</v>
      </c>
      <c r="L2465" s="0" t="n">
        <v>50</v>
      </c>
      <c r="M2465" s="0" t="s">
        <v>12319</v>
      </c>
      <c r="N2465" s="0" t="s">
        <v>12320</v>
      </c>
      <c r="P2465" s="0" t="s">
        <v>12321</v>
      </c>
      <c r="Q2465" s="2" t="n">
        <v>43879</v>
      </c>
      <c r="S2465" s="0" t="n">
        <f aca="false">YEAR(Q2465)</f>
        <v>2020</v>
      </c>
      <c r="T2465" s="0" t="n">
        <f aca="false">MONTH(Q2465)</f>
        <v>2</v>
      </c>
    </row>
    <row r="2466" customFormat="false" ht="14.25" hidden="true" customHeight="false" outlineLevel="0" collapsed="false">
      <c r="A2466" s="0" t="n">
        <v>2482</v>
      </c>
      <c r="B2466" s="1" t="s">
        <v>1424</v>
      </c>
      <c r="C2466" s="1" t="s">
        <v>1479</v>
      </c>
      <c r="D2466" s="1" t="s">
        <v>1480</v>
      </c>
      <c r="E2466" s="0" t="s">
        <v>43</v>
      </c>
      <c r="F2466" s="0" t="s">
        <v>48</v>
      </c>
      <c r="G2466" s="0" t="s">
        <v>12322</v>
      </c>
      <c r="I2466" s="6" t="n">
        <v>0.293055555555556</v>
      </c>
      <c r="J2466" s="6" t="n">
        <v>0.305555555555555</v>
      </c>
      <c r="L2466" s="0" t="n">
        <v>70</v>
      </c>
      <c r="M2466" s="0" t="s">
        <v>12323</v>
      </c>
      <c r="N2466" s="0" t="s">
        <v>12324</v>
      </c>
      <c r="P2466" s="0" t="s">
        <v>12325</v>
      </c>
      <c r="Q2466" s="2" t="n">
        <v>43880</v>
      </c>
      <c r="S2466" s="0" t="n">
        <f aca="false">YEAR(Q2466)</f>
        <v>2020</v>
      </c>
      <c r="T2466" s="0" t="n">
        <f aca="false">MONTH(Q2466)</f>
        <v>2</v>
      </c>
    </row>
    <row r="2467" customFormat="false" ht="14.25" hidden="true" customHeight="false" outlineLevel="0" collapsed="false">
      <c r="A2467" s="0" t="n">
        <v>2483</v>
      </c>
      <c r="B2467" s="1" t="s">
        <v>1424</v>
      </c>
      <c r="C2467" s="1" t="s">
        <v>1479</v>
      </c>
      <c r="D2467" s="1" t="s">
        <v>1480</v>
      </c>
      <c r="E2467" s="0" t="s">
        <v>43</v>
      </c>
      <c r="F2467" s="0" t="s">
        <v>48</v>
      </c>
      <c r="G2467" s="0" t="s">
        <v>12326</v>
      </c>
      <c r="I2467" s="6" t="n">
        <v>0.53125</v>
      </c>
      <c r="J2467" s="6" t="n">
        <v>0.5625</v>
      </c>
      <c r="L2467" s="0" t="n">
        <v>114</v>
      </c>
      <c r="M2467" s="0" t="s">
        <v>12327</v>
      </c>
      <c r="N2467" s="0" t="s">
        <v>12328</v>
      </c>
      <c r="P2467" s="0" t="s">
        <v>12329</v>
      </c>
      <c r="Q2467" s="2" t="n">
        <v>43880</v>
      </c>
      <c r="S2467" s="0" t="n">
        <f aca="false">YEAR(Q2467)</f>
        <v>2020</v>
      </c>
      <c r="T2467" s="0" t="n">
        <f aca="false">MONTH(Q2467)</f>
        <v>2</v>
      </c>
    </row>
    <row r="2468" customFormat="false" ht="14.25" hidden="true" customHeight="false" outlineLevel="0" collapsed="false">
      <c r="A2468" s="0" t="n">
        <v>2484</v>
      </c>
      <c r="B2468" s="1" t="s">
        <v>1424</v>
      </c>
      <c r="C2468" s="1" t="s">
        <v>1495</v>
      </c>
      <c r="D2468" s="1" t="s">
        <v>1487</v>
      </c>
      <c r="E2468" s="0" t="s">
        <v>40</v>
      </c>
      <c r="F2468" s="0" t="s">
        <v>50</v>
      </c>
      <c r="G2468" s="0" t="s">
        <v>12330</v>
      </c>
      <c r="M2468" s="0" t="s">
        <v>12331</v>
      </c>
      <c r="N2468" s="0" t="s">
        <v>12332</v>
      </c>
      <c r="P2468" s="0" t="s">
        <v>12333</v>
      </c>
      <c r="Q2468" s="2" t="n">
        <v>43880</v>
      </c>
      <c r="S2468" s="0" t="n">
        <f aca="false">YEAR(Q2468)</f>
        <v>2020</v>
      </c>
      <c r="T2468" s="0" t="n">
        <f aca="false">MONTH(Q2468)</f>
        <v>2</v>
      </c>
    </row>
    <row r="2469" customFormat="false" ht="14.25" hidden="true" customHeight="false" outlineLevel="0" collapsed="false">
      <c r="A2469" s="0" t="n">
        <v>2485</v>
      </c>
      <c r="B2469" s="1" t="s">
        <v>1424</v>
      </c>
      <c r="C2469" s="1" t="s">
        <v>1479</v>
      </c>
      <c r="D2469" s="1" t="s">
        <v>1535</v>
      </c>
      <c r="E2469" s="0" t="s">
        <v>39</v>
      </c>
      <c r="F2469" s="0" t="s">
        <v>50</v>
      </c>
      <c r="G2469" s="0" t="s">
        <v>12334</v>
      </c>
      <c r="I2469" s="6" t="n">
        <v>0.0138888888888889</v>
      </c>
      <c r="J2469" s="6" t="n">
        <v>0.0173611111111111</v>
      </c>
      <c r="L2469" s="0" t="n">
        <v>30</v>
      </c>
      <c r="M2469" s="0" t="s">
        <v>12335</v>
      </c>
      <c r="N2469" s="0" t="s">
        <v>12336</v>
      </c>
      <c r="P2469" s="0" t="s">
        <v>12337</v>
      </c>
      <c r="Q2469" s="2" t="n">
        <v>43880</v>
      </c>
      <c r="S2469" s="0" t="n">
        <f aca="false">YEAR(Q2469)</f>
        <v>2020</v>
      </c>
      <c r="T2469" s="0" t="n">
        <f aca="false">MONTH(Q2469)</f>
        <v>2</v>
      </c>
    </row>
    <row r="2470" customFormat="false" ht="14.25" hidden="true" customHeight="false" outlineLevel="0" collapsed="false">
      <c r="A2470" s="0" t="n">
        <v>2486</v>
      </c>
      <c r="B2470" s="1" t="s">
        <v>1424</v>
      </c>
      <c r="C2470" s="1" t="s">
        <v>1479</v>
      </c>
      <c r="D2470" s="1" t="s">
        <v>1487</v>
      </c>
      <c r="E2470" s="0" t="s">
        <v>1488</v>
      </c>
      <c r="F2470" s="0" t="s">
        <v>50</v>
      </c>
      <c r="G2470" s="0" t="s">
        <v>12338</v>
      </c>
      <c r="I2470" s="6" t="n">
        <v>0.138888888888889</v>
      </c>
      <c r="J2470" s="6" t="n">
        <v>0.159722222222222</v>
      </c>
      <c r="L2470" s="0" t="n">
        <v>50</v>
      </c>
      <c r="M2470" s="0" t="s">
        <v>12339</v>
      </c>
      <c r="N2470" s="0" t="s">
        <v>3545</v>
      </c>
      <c r="P2470" s="0" t="s">
        <v>12340</v>
      </c>
      <c r="Q2470" s="2" t="n">
        <v>43880</v>
      </c>
      <c r="S2470" s="0" t="n">
        <f aca="false">YEAR(Q2470)</f>
        <v>2020</v>
      </c>
      <c r="T2470" s="0" t="n">
        <f aca="false">MONTH(Q2470)</f>
        <v>2</v>
      </c>
    </row>
    <row r="2471" customFormat="false" ht="14.25" hidden="true" customHeight="false" outlineLevel="0" collapsed="false">
      <c r="A2471" s="0" t="n">
        <v>2487</v>
      </c>
      <c r="B2471" s="1" t="s">
        <v>1430</v>
      </c>
      <c r="C2471" s="1" t="s">
        <v>1479</v>
      </c>
      <c r="D2471" s="1" t="s">
        <v>1487</v>
      </c>
      <c r="E2471" s="0" t="s">
        <v>1488</v>
      </c>
      <c r="F2471" s="0" t="s">
        <v>48</v>
      </c>
      <c r="G2471" s="0" t="s">
        <v>12341</v>
      </c>
      <c r="I2471" s="6" t="n">
        <v>0.295138888888889</v>
      </c>
      <c r="L2471" s="0" t="n">
        <v>80</v>
      </c>
      <c r="M2471" s="0" t="s">
        <v>12342</v>
      </c>
      <c r="N2471" s="0" t="s">
        <v>12343</v>
      </c>
      <c r="P2471" s="0" t="s">
        <v>12344</v>
      </c>
      <c r="Q2471" s="2" t="n">
        <v>43881</v>
      </c>
      <c r="S2471" s="0" t="n">
        <f aca="false">YEAR(Q2471)</f>
        <v>2020</v>
      </c>
      <c r="T2471" s="0" t="n">
        <f aca="false">MONTH(Q2471)</f>
        <v>2</v>
      </c>
    </row>
    <row r="2472" customFormat="false" ht="14.25" hidden="true" customHeight="false" outlineLevel="0" collapsed="false">
      <c r="A2472" s="0" t="n">
        <v>2488</v>
      </c>
      <c r="B2472" s="1" t="s">
        <v>1430</v>
      </c>
      <c r="C2472" s="1" t="s">
        <v>1479</v>
      </c>
      <c r="D2472" s="1" t="s">
        <v>1487</v>
      </c>
      <c r="E2472" s="0" t="s">
        <v>1488</v>
      </c>
      <c r="F2472" s="0" t="s">
        <v>48</v>
      </c>
      <c r="G2472" s="0" t="s">
        <v>12345</v>
      </c>
      <c r="I2472" s="6" t="n">
        <v>0.5625</v>
      </c>
      <c r="J2472" s="6" t="n">
        <v>0.576388888888889</v>
      </c>
      <c r="L2472" s="0" t="n">
        <v>43</v>
      </c>
      <c r="M2472" s="0" t="s">
        <v>12346</v>
      </c>
      <c r="N2472" s="0" t="s">
        <v>12347</v>
      </c>
      <c r="P2472" s="0" t="s">
        <v>12348</v>
      </c>
      <c r="Q2472" s="2" t="n">
        <v>43881</v>
      </c>
      <c r="S2472" s="0" t="n">
        <f aca="false">YEAR(Q2472)</f>
        <v>2020</v>
      </c>
      <c r="T2472" s="0" t="n">
        <f aca="false">MONTH(Q2472)</f>
        <v>2</v>
      </c>
    </row>
    <row r="2473" customFormat="false" ht="14.25" hidden="true" customHeight="false" outlineLevel="0" collapsed="false">
      <c r="A2473" s="0" t="n">
        <v>2489</v>
      </c>
      <c r="B2473" s="1" t="s">
        <v>1430</v>
      </c>
      <c r="C2473" s="1" t="s">
        <v>1479</v>
      </c>
      <c r="D2473" s="1" t="s">
        <v>1535</v>
      </c>
      <c r="E2473" s="0" t="s">
        <v>39</v>
      </c>
      <c r="F2473" s="0" t="s">
        <v>49</v>
      </c>
      <c r="G2473" s="0" t="s">
        <v>12349</v>
      </c>
      <c r="I2473" s="6" t="n">
        <v>0.854166666666667</v>
      </c>
      <c r="J2473" s="6" t="n">
        <v>0.881944444444444</v>
      </c>
      <c r="K2473" s="0" t="n">
        <v>1</v>
      </c>
      <c r="L2473" s="0" t="n">
        <v>60</v>
      </c>
      <c r="M2473" s="0" t="s">
        <v>12350</v>
      </c>
      <c r="N2473" s="0" t="s">
        <v>12351</v>
      </c>
      <c r="P2473" s="0" t="s">
        <v>12352</v>
      </c>
      <c r="Q2473" s="2" t="n">
        <v>43881</v>
      </c>
      <c r="S2473" s="0" t="n">
        <f aca="false">YEAR(Q2473)</f>
        <v>2020</v>
      </c>
      <c r="T2473" s="0" t="n">
        <f aca="false">MONTH(Q2473)</f>
        <v>2</v>
      </c>
    </row>
    <row r="2474" customFormat="false" ht="14.25" hidden="true" customHeight="false" outlineLevel="0" collapsed="false">
      <c r="A2474" s="0" t="n">
        <v>2490</v>
      </c>
      <c r="B2474" s="1" t="s">
        <v>1433</v>
      </c>
      <c r="C2474" s="1" t="s">
        <v>1479</v>
      </c>
      <c r="D2474" s="1" t="s">
        <v>1487</v>
      </c>
      <c r="E2474" s="4" t="s">
        <v>1488</v>
      </c>
      <c r="F2474" s="0" t="s">
        <v>50</v>
      </c>
      <c r="G2474" s="0" t="s">
        <v>12353</v>
      </c>
      <c r="I2474" s="6" t="n">
        <v>0.916666666666667</v>
      </c>
      <c r="K2474" s="0" t="n">
        <v>4</v>
      </c>
      <c r="M2474" s="0" t="s">
        <v>12354</v>
      </c>
      <c r="N2474" s="0" t="s">
        <v>12355</v>
      </c>
      <c r="P2474" s="0" t="s">
        <v>12356</v>
      </c>
      <c r="Q2474" s="2" t="n">
        <v>43886</v>
      </c>
      <c r="S2474" s="0" t="n">
        <f aca="false">YEAR(Q2474)</f>
        <v>2020</v>
      </c>
      <c r="T2474" s="0" t="n">
        <f aca="false">MONTH(Q2474)</f>
        <v>2</v>
      </c>
    </row>
    <row r="2475" customFormat="false" ht="14.25" hidden="true" customHeight="false" outlineLevel="0" collapsed="false">
      <c r="A2475" s="0" t="n">
        <v>2491</v>
      </c>
      <c r="B2475" s="1" t="s">
        <v>1433</v>
      </c>
      <c r="C2475" s="1" t="s">
        <v>1479</v>
      </c>
      <c r="D2475" s="1" t="s">
        <v>1535</v>
      </c>
      <c r="E2475" s="0" t="s">
        <v>39</v>
      </c>
      <c r="F2475" s="0" t="s">
        <v>50</v>
      </c>
      <c r="G2475" s="0" t="s">
        <v>1584</v>
      </c>
      <c r="I2475" s="6" t="n">
        <v>0.958333333333333</v>
      </c>
      <c r="J2475" s="6" t="n">
        <v>0.972916666666667</v>
      </c>
      <c r="K2475" s="0" t="n">
        <v>50</v>
      </c>
      <c r="L2475" s="0" t="n">
        <v>50</v>
      </c>
      <c r="M2475" s="0" t="s">
        <v>12357</v>
      </c>
      <c r="N2475" s="0" t="s">
        <v>12358</v>
      </c>
      <c r="P2475" s="0" t="s">
        <v>12359</v>
      </c>
      <c r="Q2475" s="2" t="n">
        <v>43886</v>
      </c>
      <c r="S2475" s="0" t="n">
        <f aca="false">YEAR(Q2475)</f>
        <v>2020</v>
      </c>
      <c r="T2475" s="0" t="n">
        <f aca="false">MONTH(Q2475)</f>
        <v>2</v>
      </c>
    </row>
    <row r="2476" customFormat="false" ht="14.25" hidden="true" customHeight="false" outlineLevel="0" collapsed="false">
      <c r="A2476" s="0" t="n">
        <v>2492</v>
      </c>
      <c r="B2476" s="1" t="s">
        <v>1433</v>
      </c>
      <c r="C2476" s="1" t="s">
        <v>1479</v>
      </c>
      <c r="D2476" s="1" t="s">
        <v>1487</v>
      </c>
      <c r="E2476" s="0" t="s">
        <v>1488</v>
      </c>
      <c r="F2476" s="0" t="s">
        <v>50</v>
      </c>
      <c r="G2476" s="0" t="s">
        <v>12360</v>
      </c>
      <c r="I2476" s="6" t="n">
        <v>0.965277777777778</v>
      </c>
      <c r="J2476" s="6" t="n">
        <v>0.96875</v>
      </c>
      <c r="L2476" s="0" t="n">
        <v>40</v>
      </c>
      <c r="M2476" s="0" t="s">
        <v>12361</v>
      </c>
      <c r="N2476" s="0" t="s">
        <v>12362</v>
      </c>
      <c r="P2476" s="0" t="s">
        <v>12363</v>
      </c>
      <c r="Q2476" s="2" t="n">
        <v>43886</v>
      </c>
      <c r="S2476" s="0" t="n">
        <f aca="false">YEAR(Q2476)</f>
        <v>2020</v>
      </c>
      <c r="T2476" s="0" t="n">
        <f aca="false">MONTH(Q2476)</f>
        <v>2</v>
      </c>
    </row>
    <row r="2477" customFormat="false" ht="14.25" hidden="true" customHeight="false" outlineLevel="0" collapsed="false">
      <c r="A2477" s="0" t="n">
        <v>2493</v>
      </c>
      <c r="B2477" s="1" t="s">
        <v>1433</v>
      </c>
      <c r="C2477" s="1" t="s">
        <v>1479</v>
      </c>
      <c r="D2477" s="1" t="s">
        <v>1535</v>
      </c>
      <c r="E2477" s="0" t="s">
        <v>39</v>
      </c>
      <c r="F2477" s="0" t="s">
        <v>50</v>
      </c>
      <c r="G2477" s="0" t="s">
        <v>12364</v>
      </c>
      <c r="I2477" s="6" t="n">
        <v>0.958333333333333</v>
      </c>
      <c r="J2477" s="6" t="n">
        <v>0.972222222222222</v>
      </c>
      <c r="M2477" s="0" t="s">
        <v>12365</v>
      </c>
      <c r="N2477" s="0" t="s">
        <v>12366</v>
      </c>
      <c r="P2477" s="0" t="s">
        <v>12367</v>
      </c>
      <c r="Q2477" s="2" t="n">
        <v>43886</v>
      </c>
      <c r="S2477" s="0" t="n">
        <f aca="false">YEAR(Q2477)</f>
        <v>2020</v>
      </c>
      <c r="T2477" s="0" t="n">
        <f aca="false">MONTH(Q2477)</f>
        <v>2</v>
      </c>
    </row>
    <row r="2478" customFormat="false" ht="14.25" hidden="true" customHeight="false" outlineLevel="0" collapsed="false">
      <c r="A2478" s="0" t="n">
        <v>2494</v>
      </c>
      <c r="B2478" s="1" t="s">
        <v>1428</v>
      </c>
      <c r="C2478" s="1" t="s">
        <v>1479</v>
      </c>
      <c r="D2478" s="1" t="s">
        <v>1487</v>
      </c>
      <c r="E2478" s="0" t="s">
        <v>1488</v>
      </c>
      <c r="F2478" s="0" t="s">
        <v>49</v>
      </c>
      <c r="G2478" s="0" t="s">
        <v>9374</v>
      </c>
      <c r="I2478" s="6" t="n">
        <v>0.638888888888889</v>
      </c>
      <c r="J2478" s="6" t="n">
        <v>0.64375</v>
      </c>
      <c r="L2478" s="0" t="n">
        <v>17</v>
      </c>
      <c r="M2478" s="0" t="s">
        <v>12368</v>
      </c>
      <c r="N2478" s="0" t="s">
        <v>12369</v>
      </c>
      <c r="P2478" s="0" t="s">
        <v>12370</v>
      </c>
      <c r="Q2478" s="2" t="n">
        <v>43887</v>
      </c>
      <c r="S2478" s="0" t="n">
        <f aca="false">YEAR(Q2478)</f>
        <v>2020</v>
      </c>
      <c r="T2478" s="0" t="n">
        <f aca="false">MONTH(Q2478)</f>
        <v>2</v>
      </c>
    </row>
    <row r="2479" customFormat="false" ht="14.25" hidden="true" customHeight="false" outlineLevel="0" collapsed="false">
      <c r="A2479" s="0" t="n">
        <v>2495</v>
      </c>
      <c r="B2479" s="1" t="s">
        <v>1428</v>
      </c>
      <c r="C2479" s="1" t="s">
        <v>1479</v>
      </c>
      <c r="D2479" s="1" t="s">
        <v>1535</v>
      </c>
      <c r="E2479" s="0" t="s">
        <v>39</v>
      </c>
      <c r="F2479" s="0" t="s">
        <v>49</v>
      </c>
      <c r="G2479" s="0" t="s">
        <v>12371</v>
      </c>
      <c r="I2479" s="6" t="n">
        <v>0.861111111111111</v>
      </c>
      <c r="J2479" s="6" t="n">
        <v>0.885416666666667</v>
      </c>
      <c r="L2479" s="0" t="n">
        <v>520</v>
      </c>
      <c r="M2479" s="0" t="s">
        <v>12372</v>
      </c>
      <c r="N2479" s="0" t="s">
        <v>12373</v>
      </c>
      <c r="P2479" s="0" t="s">
        <v>12374</v>
      </c>
      <c r="Q2479" s="2" t="n">
        <v>43887</v>
      </c>
      <c r="S2479" s="0" t="n">
        <f aca="false">YEAR(Q2479)</f>
        <v>2020</v>
      </c>
      <c r="T2479" s="0" t="n">
        <f aca="false">MONTH(Q2479)</f>
        <v>2</v>
      </c>
    </row>
    <row r="2480" customFormat="false" ht="14.25" hidden="true" customHeight="false" outlineLevel="0" collapsed="false">
      <c r="A2480" s="0" t="n">
        <v>2496</v>
      </c>
      <c r="B2480" s="1" t="s">
        <v>1434</v>
      </c>
      <c r="C2480" s="1" t="s">
        <v>1479</v>
      </c>
      <c r="D2480" s="1" t="s">
        <v>1496</v>
      </c>
      <c r="E2480" s="0" t="s">
        <v>38</v>
      </c>
      <c r="F2480" s="0" t="s">
        <v>49</v>
      </c>
      <c r="G2480" s="0" t="s">
        <v>12375</v>
      </c>
      <c r="I2480" s="6" t="n">
        <v>0.638888888888889</v>
      </c>
      <c r="J2480" s="6" t="n">
        <v>0.642361111111111</v>
      </c>
      <c r="L2480" s="0" t="n">
        <v>50</v>
      </c>
      <c r="M2480" s="0" t="s">
        <v>12376</v>
      </c>
      <c r="N2480" s="0" t="s">
        <v>12377</v>
      </c>
      <c r="P2480" s="0" t="s">
        <v>12378</v>
      </c>
      <c r="Q2480" s="2" t="n">
        <v>43888</v>
      </c>
      <c r="S2480" s="0" t="n">
        <f aca="false">YEAR(Q2480)</f>
        <v>2020</v>
      </c>
      <c r="T2480" s="0" t="n">
        <f aca="false">MONTH(Q2480)</f>
        <v>2</v>
      </c>
    </row>
    <row r="2481" customFormat="false" ht="14.25" hidden="true" customHeight="false" outlineLevel="0" collapsed="false">
      <c r="A2481" s="0" t="n">
        <v>2497</v>
      </c>
      <c r="B2481" s="1" t="s">
        <v>1434</v>
      </c>
      <c r="C2481" s="1" t="s">
        <v>1479</v>
      </c>
      <c r="D2481" s="1" t="s">
        <v>1480</v>
      </c>
      <c r="E2481" s="0" t="s">
        <v>43</v>
      </c>
      <c r="F2481" s="0" t="s">
        <v>49</v>
      </c>
      <c r="G2481" s="0" t="s">
        <v>11690</v>
      </c>
      <c r="I2481" s="6" t="n">
        <v>0.708333333333333</v>
      </c>
      <c r="J2481" s="6" t="n">
        <v>0.75</v>
      </c>
      <c r="L2481" s="0" t="n">
        <v>240</v>
      </c>
      <c r="M2481" s="0" t="s">
        <v>12379</v>
      </c>
      <c r="N2481" s="0" t="s">
        <v>12380</v>
      </c>
      <c r="P2481" s="0" t="s">
        <v>12381</v>
      </c>
      <c r="Q2481" s="2" t="n">
        <v>43888</v>
      </c>
      <c r="S2481" s="0" t="n">
        <f aca="false">YEAR(Q2481)</f>
        <v>2020</v>
      </c>
      <c r="T2481" s="0" t="n">
        <f aca="false">MONTH(Q2481)</f>
        <v>2</v>
      </c>
    </row>
    <row r="2482" customFormat="false" ht="14.25" hidden="true" customHeight="false" outlineLevel="0" collapsed="false">
      <c r="A2482" s="0" t="n">
        <v>2498</v>
      </c>
      <c r="B2482" s="1" t="s">
        <v>1435</v>
      </c>
      <c r="C2482" s="1" t="s">
        <v>1479</v>
      </c>
      <c r="D2482" s="1" t="s">
        <v>1487</v>
      </c>
      <c r="E2482" s="0" t="s">
        <v>1488</v>
      </c>
      <c r="F2482" s="0" t="s">
        <v>49</v>
      </c>
      <c r="G2482" s="0" t="s">
        <v>12382</v>
      </c>
      <c r="I2482" s="6" t="n">
        <v>0.5625</v>
      </c>
      <c r="J2482" s="6" t="n">
        <v>0.579861111111111</v>
      </c>
      <c r="K2482" s="0" t="n">
        <v>0</v>
      </c>
      <c r="L2482" s="0" t="n">
        <v>40</v>
      </c>
      <c r="M2482" s="0" t="s">
        <v>12383</v>
      </c>
      <c r="N2482" s="0" t="s">
        <v>12384</v>
      </c>
      <c r="P2482" s="0" t="s">
        <v>12385</v>
      </c>
      <c r="Q2482" s="2" t="n">
        <v>43890</v>
      </c>
      <c r="S2482" s="0" t="n">
        <f aca="false">YEAR(Q2482)</f>
        <v>2020</v>
      </c>
      <c r="T2482" s="0" t="n">
        <f aca="false">MONTH(Q2482)</f>
        <v>2</v>
      </c>
    </row>
    <row r="2483" customFormat="false" ht="14.25" hidden="true" customHeight="false" outlineLevel="0" collapsed="false">
      <c r="A2483" s="0" t="n">
        <v>2499</v>
      </c>
      <c r="B2483" s="1" t="s">
        <v>1436</v>
      </c>
      <c r="C2483" s="1" t="s">
        <v>1479</v>
      </c>
      <c r="D2483" s="1" t="s">
        <v>1535</v>
      </c>
      <c r="E2483" s="0" t="s">
        <v>39</v>
      </c>
      <c r="F2483" s="0" t="s">
        <v>50</v>
      </c>
      <c r="G2483" s="0" t="s">
        <v>12386</v>
      </c>
      <c r="I2483" s="6" t="n">
        <v>0.951388888888889</v>
      </c>
      <c r="J2483" s="6" t="n">
        <v>0.970138888888889</v>
      </c>
      <c r="K2483" s="0" t="n">
        <v>30</v>
      </c>
      <c r="L2483" s="0" t="n">
        <v>30</v>
      </c>
      <c r="M2483" s="0" t="s">
        <v>12387</v>
      </c>
      <c r="N2483" s="0" t="s">
        <v>12388</v>
      </c>
      <c r="P2483" s="0" t="s">
        <v>12389</v>
      </c>
      <c r="Q2483" s="2" t="n">
        <v>43891</v>
      </c>
      <c r="S2483" s="0" t="n">
        <f aca="false">YEAR(Q2483)</f>
        <v>2020</v>
      </c>
      <c r="T2483" s="0" t="n">
        <f aca="false">MONTH(Q2483)</f>
        <v>3</v>
      </c>
    </row>
    <row r="2484" customFormat="false" ht="14.25" hidden="true" customHeight="false" outlineLevel="0" collapsed="false">
      <c r="A2484" s="0" t="n">
        <v>2500</v>
      </c>
      <c r="B2484" s="1" t="s">
        <v>1436</v>
      </c>
      <c r="C2484" s="1" t="s">
        <v>1479</v>
      </c>
      <c r="D2484" s="1" t="s">
        <v>1863</v>
      </c>
      <c r="E2484" s="0" t="s">
        <v>1864</v>
      </c>
      <c r="F2484" s="0" t="s">
        <v>50</v>
      </c>
      <c r="G2484" s="0" t="s">
        <v>12390</v>
      </c>
      <c r="I2484" s="6" t="n">
        <v>0.0625</v>
      </c>
      <c r="J2484" s="6" t="n">
        <v>0.129861111111111</v>
      </c>
      <c r="L2484" s="0" t="n">
        <v>180</v>
      </c>
      <c r="M2484" s="0" t="s">
        <v>12391</v>
      </c>
      <c r="N2484" s="0" t="s">
        <v>12392</v>
      </c>
      <c r="P2484" s="0" t="s">
        <v>12393</v>
      </c>
      <c r="Q2484" s="2" t="n">
        <v>43891</v>
      </c>
      <c r="S2484" s="0" t="n">
        <f aca="false">YEAR(Q2484)</f>
        <v>2020</v>
      </c>
      <c r="T2484" s="0" t="n">
        <f aca="false">MONTH(Q2484)</f>
        <v>3</v>
      </c>
    </row>
    <row r="2485" customFormat="false" ht="14.25" hidden="true" customHeight="false" outlineLevel="0" collapsed="false">
      <c r="A2485" s="0" t="n">
        <v>2501</v>
      </c>
      <c r="B2485" s="1" t="s">
        <v>1437</v>
      </c>
      <c r="C2485" s="1" t="s">
        <v>1479</v>
      </c>
      <c r="D2485" s="1" t="s">
        <v>1535</v>
      </c>
      <c r="E2485" s="0" t="s">
        <v>39</v>
      </c>
      <c r="F2485" s="0" t="s">
        <v>48</v>
      </c>
      <c r="G2485" s="0" t="s">
        <v>4489</v>
      </c>
      <c r="I2485" s="6" t="n">
        <v>0.286805555555556</v>
      </c>
      <c r="J2485" s="6" t="n">
        <v>0.289583333333333</v>
      </c>
      <c r="L2485" s="0" t="n">
        <v>15</v>
      </c>
      <c r="M2485" s="0" t="s">
        <v>12394</v>
      </c>
      <c r="N2485" s="0" t="s">
        <v>12395</v>
      </c>
      <c r="P2485" s="0" t="s">
        <v>12396</v>
      </c>
      <c r="Q2485" s="2" t="n">
        <v>43892</v>
      </c>
      <c r="S2485" s="0" t="n">
        <f aca="false">YEAR(Q2485)</f>
        <v>2020</v>
      </c>
      <c r="T2485" s="0" t="n">
        <f aca="false">MONTH(Q2485)</f>
        <v>3</v>
      </c>
    </row>
    <row r="2486" customFormat="false" ht="14.25" hidden="true" customHeight="false" outlineLevel="0" collapsed="false">
      <c r="A2486" s="0" t="n">
        <v>2502</v>
      </c>
      <c r="B2486" s="1" t="s">
        <v>1437</v>
      </c>
      <c r="C2486" s="1" t="s">
        <v>1495</v>
      </c>
      <c r="D2486" s="1" t="s">
        <v>1487</v>
      </c>
      <c r="E2486" s="0" t="s">
        <v>40</v>
      </c>
      <c r="F2486" s="0" t="s">
        <v>48</v>
      </c>
      <c r="G2486" s="0" t="s">
        <v>12397</v>
      </c>
      <c r="I2486" s="6" t="n">
        <v>0.500694444444444</v>
      </c>
      <c r="J2486" s="6" t="n">
        <v>0.568055555555556</v>
      </c>
      <c r="L2486" s="0" t="n">
        <v>260</v>
      </c>
      <c r="M2486" s="0" t="s">
        <v>12398</v>
      </c>
      <c r="N2486" s="0" t="s">
        <v>12399</v>
      </c>
      <c r="P2486" s="0" t="s">
        <v>12400</v>
      </c>
      <c r="Q2486" s="2" t="n">
        <v>43892</v>
      </c>
      <c r="S2486" s="0" t="n">
        <f aca="false">YEAR(Q2486)</f>
        <v>2020</v>
      </c>
      <c r="T2486" s="0" t="n">
        <f aca="false">MONTH(Q2486)</f>
        <v>3</v>
      </c>
    </row>
    <row r="2487" customFormat="false" ht="14.25" hidden="true" customHeight="false" outlineLevel="0" collapsed="false">
      <c r="A2487" s="0" t="n">
        <v>2503</v>
      </c>
      <c r="B2487" s="1" t="s">
        <v>1437</v>
      </c>
      <c r="C2487" s="1" t="s">
        <v>1479</v>
      </c>
      <c r="D2487" s="1" t="s">
        <v>1487</v>
      </c>
      <c r="E2487" s="0" t="s">
        <v>1488</v>
      </c>
      <c r="F2487" s="0" t="s">
        <v>49</v>
      </c>
      <c r="G2487" s="0" t="s">
        <v>12401</v>
      </c>
      <c r="I2487" s="6" t="n">
        <v>0.54375</v>
      </c>
      <c r="J2487" s="6" t="n">
        <v>0.585416666666667</v>
      </c>
      <c r="L2487" s="0" t="n">
        <v>100</v>
      </c>
      <c r="M2487" s="0" t="s">
        <v>12402</v>
      </c>
      <c r="N2487" s="0" t="s">
        <v>12403</v>
      </c>
      <c r="P2487" s="0" t="s">
        <v>12404</v>
      </c>
      <c r="Q2487" s="2" t="n">
        <v>43892</v>
      </c>
      <c r="S2487" s="0" t="n">
        <f aca="false">YEAR(Q2487)</f>
        <v>2020</v>
      </c>
      <c r="T2487" s="0" t="n">
        <f aca="false">MONTH(Q2487)</f>
        <v>3</v>
      </c>
    </row>
    <row r="2488" customFormat="false" ht="14.25" hidden="true" customHeight="false" outlineLevel="0" collapsed="false">
      <c r="A2488" s="0" t="n">
        <v>2504</v>
      </c>
      <c r="B2488" s="1" t="s">
        <v>1437</v>
      </c>
      <c r="C2488" s="1" t="s">
        <v>1479</v>
      </c>
      <c r="D2488" s="1" t="s">
        <v>1487</v>
      </c>
      <c r="E2488" s="4" t="s">
        <v>1488</v>
      </c>
      <c r="F2488" s="0" t="s">
        <v>49</v>
      </c>
      <c r="G2488" s="0" t="s">
        <v>12405</v>
      </c>
      <c r="I2488" s="6" t="n">
        <v>0.666666666666667</v>
      </c>
      <c r="J2488" s="6" t="n">
        <v>0.670138888888889</v>
      </c>
      <c r="K2488" s="0" t="n">
        <v>4</v>
      </c>
      <c r="L2488" s="0" t="n">
        <v>15</v>
      </c>
      <c r="M2488" s="0" t="s">
        <v>12406</v>
      </c>
      <c r="N2488" s="0" t="s">
        <v>12407</v>
      </c>
      <c r="P2488" s="0" t="s">
        <v>12408</v>
      </c>
      <c r="Q2488" s="2" t="n">
        <v>43892</v>
      </c>
      <c r="S2488" s="0" t="n">
        <f aca="false">YEAR(Q2488)</f>
        <v>2020</v>
      </c>
      <c r="T2488" s="0" t="n">
        <f aca="false">MONTH(Q2488)</f>
        <v>3</v>
      </c>
    </row>
    <row r="2489" customFormat="false" ht="14.25" hidden="true" customHeight="false" outlineLevel="0" collapsed="false">
      <c r="A2489" s="0" t="n">
        <v>2506</v>
      </c>
      <c r="B2489" s="1" t="s">
        <v>1437</v>
      </c>
      <c r="C2489" s="1" t="s">
        <v>1479</v>
      </c>
      <c r="D2489" s="1" t="s">
        <v>1535</v>
      </c>
      <c r="E2489" s="0" t="s">
        <v>39</v>
      </c>
      <c r="F2489" s="0" t="s">
        <v>49</v>
      </c>
      <c r="G2489" s="0" t="s">
        <v>9454</v>
      </c>
      <c r="I2489" s="6" t="n">
        <v>0.756944444444444</v>
      </c>
      <c r="J2489" s="6" t="n">
        <v>0.763888888888889</v>
      </c>
      <c r="K2489" s="0" t="n">
        <v>0</v>
      </c>
      <c r="L2489" s="0" t="n">
        <v>30</v>
      </c>
      <c r="M2489" s="0" t="s">
        <v>12409</v>
      </c>
      <c r="N2489" s="0" t="s">
        <v>12410</v>
      </c>
      <c r="P2489" s="0" t="s">
        <v>12411</v>
      </c>
      <c r="Q2489" s="2" t="n">
        <v>43892</v>
      </c>
      <c r="S2489" s="0" t="n">
        <f aca="false">YEAR(Q2489)</f>
        <v>2020</v>
      </c>
      <c r="T2489" s="0" t="n">
        <f aca="false">MONTH(Q2489)</f>
        <v>3</v>
      </c>
    </row>
    <row r="2490" customFormat="false" ht="14.25" hidden="true" customHeight="false" outlineLevel="0" collapsed="false">
      <c r="A2490" s="0" t="n">
        <v>2507</v>
      </c>
      <c r="B2490" s="1" t="s">
        <v>1437</v>
      </c>
      <c r="C2490" s="1" t="s">
        <v>1479</v>
      </c>
      <c r="D2490" s="1" t="s">
        <v>1487</v>
      </c>
      <c r="E2490" s="0" t="s">
        <v>1488</v>
      </c>
      <c r="F2490" s="0" t="s">
        <v>49</v>
      </c>
      <c r="G2490" s="0" t="s">
        <v>9081</v>
      </c>
      <c r="I2490" s="6" t="n">
        <v>0.791666666666667</v>
      </c>
      <c r="J2490" s="6" t="n">
        <v>0.805555555555555</v>
      </c>
      <c r="M2490" s="0" t="s">
        <v>12412</v>
      </c>
      <c r="N2490" s="0" t="s">
        <v>12413</v>
      </c>
      <c r="P2490" s="0" t="s">
        <v>12414</v>
      </c>
      <c r="Q2490" s="2" t="n">
        <v>43892</v>
      </c>
      <c r="S2490" s="0" t="n">
        <f aca="false">YEAR(Q2490)</f>
        <v>2020</v>
      </c>
      <c r="T2490" s="0" t="n">
        <f aca="false">MONTH(Q2490)</f>
        <v>3</v>
      </c>
    </row>
    <row r="2491" customFormat="false" ht="14.25" hidden="true" customHeight="false" outlineLevel="0" collapsed="false">
      <c r="A2491" s="0" t="n">
        <v>2508</v>
      </c>
      <c r="B2491" s="1" t="s">
        <v>1437</v>
      </c>
      <c r="C2491" s="1" t="s">
        <v>1479</v>
      </c>
      <c r="D2491" s="1" t="s">
        <v>1487</v>
      </c>
      <c r="E2491" s="0" t="s">
        <v>1488</v>
      </c>
      <c r="F2491" s="0" t="s">
        <v>49</v>
      </c>
      <c r="G2491" s="0" t="s">
        <v>12415</v>
      </c>
      <c r="I2491" s="6" t="n">
        <v>0.863888888888889</v>
      </c>
      <c r="J2491" s="6" t="n">
        <v>0.868055555555555</v>
      </c>
      <c r="L2491" s="0" t="n">
        <v>25</v>
      </c>
      <c r="M2491" s="0" t="s">
        <v>12416</v>
      </c>
      <c r="N2491" s="0" t="s">
        <v>12417</v>
      </c>
      <c r="P2491" s="0" t="s">
        <v>12418</v>
      </c>
      <c r="Q2491" s="2" t="n">
        <v>43892</v>
      </c>
      <c r="S2491" s="0" t="n">
        <f aca="false">YEAR(Q2491)</f>
        <v>2020</v>
      </c>
      <c r="T2491" s="0" t="n">
        <f aca="false">MONTH(Q2491)</f>
        <v>3</v>
      </c>
    </row>
    <row r="2492" customFormat="false" ht="14.25" hidden="true" customHeight="false" outlineLevel="0" collapsed="false">
      <c r="A2492" s="0" t="n">
        <v>2509</v>
      </c>
      <c r="B2492" s="1" t="s">
        <v>1437</v>
      </c>
      <c r="C2492" s="1" t="s">
        <v>1479</v>
      </c>
      <c r="D2492" s="1" t="s">
        <v>1487</v>
      </c>
      <c r="E2492" s="4" t="s">
        <v>1488</v>
      </c>
      <c r="F2492" s="0" t="s">
        <v>50</v>
      </c>
      <c r="G2492" s="0" t="s">
        <v>11771</v>
      </c>
      <c r="I2492" s="6" t="n">
        <v>0.977777777777778</v>
      </c>
      <c r="J2492" s="6" t="n">
        <v>0.982638888888889</v>
      </c>
      <c r="K2492" s="0" t="n">
        <v>9</v>
      </c>
      <c r="L2492" s="0" t="n">
        <v>31</v>
      </c>
      <c r="M2492" s="0" t="s">
        <v>12419</v>
      </c>
      <c r="N2492" s="0" t="s">
        <v>12420</v>
      </c>
      <c r="P2492" s="0" t="s">
        <v>12421</v>
      </c>
      <c r="Q2492" s="2" t="n">
        <v>43892</v>
      </c>
      <c r="S2492" s="0" t="n">
        <f aca="false">YEAR(Q2492)</f>
        <v>2020</v>
      </c>
      <c r="T2492" s="0" t="n">
        <f aca="false">MONTH(Q2492)</f>
        <v>3</v>
      </c>
    </row>
    <row r="2493" customFormat="false" ht="28.5" hidden="true" customHeight="false" outlineLevel="0" collapsed="false">
      <c r="A2493" s="0" t="n">
        <v>2510</v>
      </c>
      <c r="B2493" s="1" t="s">
        <v>1437</v>
      </c>
      <c r="C2493" s="1" t="s">
        <v>1479</v>
      </c>
      <c r="D2493" s="1" t="s">
        <v>1487</v>
      </c>
      <c r="E2493" s="0" t="s">
        <v>1488</v>
      </c>
      <c r="F2493" s="0" t="s">
        <v>50</v>
      </c>
      <c r="G2493" s="0" t="s">
        <v>12422</v>
      </c>
      <c r="I2493" s="6" t="n">
        <v>0.05</v>
      </c>
      <c r="J2493" s="6" t="n">
        <v>0.0520833333333333</v>
      </c>
      <c r="L2493" s="0" t="n">
        <v>35</v>
      </c>
      <c r="M2493" s="0" t="s">
        <v>12423</v>
      </c>
      <c r="N2493" s="0" t="s">
        <v>12424</v>
      </c>
      <c r="P2493" s="7" t="s">
        <v>12425</v>
      </c>
      <c r="Q2493" s="2" t="n">
        <v>43892</v>
      </c>
      <c r="S2493" s="0" t="n">
        <f aca="false">YEAR(Q2493)</f>
        <v>2020</v>
      </c>
      <c r="T2493" s="0" t="n">
        <f aca="false">MONTH(Q2493)</f>
        <v>3</v>
      </c>
    </row>
    <row r="2494" customFormat="false" ht="14.25" hidden="true" customHeight="false" outlineLevel="0" collapsed="false">
      <c r="A2494" s="0" t="n">
        <v>2511</v>
      </c>
      <c r="B2494" s="1" t="s">
        <v>1437</v>
      </c>
      <c r="C2494" s="1" t="s">
        <v>1479</v>
      </c>
      <c r="D2494" s="1" t="s">
        <v>1535</v>
      </c>
      <c r="E2494" s="0" t="s">
        <v>39</v>
      </c>
      <c r="F2494" s="0" t="s">
        <v>50</v>
      </c>
      <c r="G2494" s="0" t="s">
        <v>11349</v>
      </c>
      <c r="J2494" s="6" t="n">
        <v>0.0104166666666667</v>
      </c>
      <c r="M2494" s="0" t="s">
        <v>12426</v>
      </c>
      <c r="N2494" s="0" t="s">
        <v>12427</v>
      </c>
      <c r="P2494" s="0" t="s">
        <v>12428</v>
      </c>
      <c r="Q2494" s="2" t="n">
        <v>43892</v>
      </c>
      <c r="S2494" s="0" t="n">
        <f aca="false">YEAR(Q2494)</f>
        <v>2020</v>
      </c>
      <c r="T2494" s="0" t="n">
        <f aca="false">MONTH(Q2494)</f>
        <v>3</v>
      </c>
    </row>
    <row r="2495" customFormat="false" ht="14.25" hidden="true" customHeight="false" outlineLevel="0" collapsed="false">
      <c r="A2495" s="0" t="n">
        <v>2512</v>
      </c>
      <c r="B2495" s="1" t="s">
        <v>1437</v>
      </c>
      <c r="C2495" s="1" t="s">
        <v>1479</v>
      </c>
      <c r="D2495" s="1" t="s">
        <v>1487</v>
      </c>
      <c r="E2495" s="0" t="s">
        <v>1488</v>
      </c>
      <c r="F2495" s="0" t="s">
        <v>50</v>
      </c>
      <c r="G2495" s="0" t="s">
        <v>12286</v>
      </c>
      <c r="I2495" s="6" t="n">
        <v>0.0881944444444444</v>
      </c>
      <c r="J2495" s="6" t="n">
        <v>0.0972222222222222</v>
      </c>
      <c r="L2495" s="0" t="n">
        <v>30</v>
      </c>
      <c r="M2495" s="0" t="s">
        <v>12429</v>
      </c>
      <c r="N2495" s="0" t="s">
        <v>12430</v>
      </c>
      <c r="P2495" s="0" t="s">
        <v>12431</v>
      </c>
      <c r="Q2495" s="2" t="n">
        <v>43892</v>
      </c>
      <c r="S2495" s="0" t="n">
        <f aca="false">YEAR(Q2495)</f>
        <v>2020</v>
      </c>
      <c r="T2495" s="0" t="n">
        <f aca="false">MONTH(Q2495)</f>
        <v>3</v>
      </c>
    </row>
    <row r="2496" customFormat="false" ht="14.25" hidden="true" customHeight="false" outlineLevel="0" collapsed="false">
      <c r="A2496" s="0" t="n">
        <v>2513</v>
      </c>
      <c r="B2496" s="1" t="s">
        <v>1437</v>
      </c>
      <c r="C2496" s="1" t="s">
        <v>1479</v>
      </c>
      <c r="D2496" s="1" t="s">
        <v>1487</v>
      </c>
      <c r="E2496" s="0" t="s">
        <v>1488</v>
      </c>
      <c r="F2496" s="0" t="s">
        <v>50</v>
      </c>
      <c r="G2496" s="0" t="s">
        <v>12422</v>
      </c>
      <c r="I2496" s="6" t="n">
        <v>0.133333333333333</v>
      </c>
      <c r="J2496" s="6" t="n">
        <v>0.135416666666667</v>
      </c>
      <c r="L2496" s="0" t="n">
        <v>25</v>
      </c>
      <c r="M2496" s="0" t="s">
        <v>12432</v>
      </c>
      <c r="N2496" s="0" t="s">
        <v>12433</v>
      </c>
      <c r="P2496" s="0" t="s">
        <v>12434</v>
      </c>
      <c r="Q2496" s="2" t="n">
        <v>43892</v>
      </c>
      <c r="S2496" s="0" t="n">
        <f aca="false">YEAR(Q2496)</f>
        <v>2020</v>
      </c>
      <c r="T2496" s="0" t="n">
        <f aca="false">MONTH(Q2496)</f>
        <v>3</v>
      </c>
    </row>
    <row r="2497" customFormat="false" ht="14.25" hidden="true" customHeight="false" outlineLevel="0" collapsed="false">
      <c r="A2497" s="0" t="n">
        <v>2514</v>
      </c>
      <c r="B2497" s="1" t="s">
        <v>1437</v>
      </c>
      <c r="C2497" s="1" t="s">
        <v>1479</v>
      </c>
      <c r="D2497" s="1" t="s">
        <v>1487</v>
      </c>
      <c r="E2497" s="4" t="s">
        <v>1488</v>
      </c>
      <c r="F2497" s="0" t="s">
        <v>50</v>
      </c>
      <c r="G2497" s="0" t="s">
        <v>12435</v>
      </c>
      <c r="I2497" s="6" t="n">
        <v>0.00347222222222222</v>
      </c>
      <c r="J2497" s="6" t="n">
        <v>0.00347222222222222</v>
      </c>
      <c r="K2497" s="0" t="n">
        <v>3</v>
      </c>
      <c r="L2497" s="0" t="n">
        <v>15</v>
      </c>
      <c r="M2497" s="0" t="s">
        <v>12436</v>
      </c>
      <c r="N2497" s="0" t="s">
        <v>12427</v>
      </c>
      <c r="P2497" s="0" t="s">
        <v>12437</v>
      </c>
      <c r="Q2497" s="2" t="n">
        <v>43892</v>
      </c>
      <c r="S2497" s="0" t="n">
        <f aca="false">YEAR(Q2497)</f>
        <v>2020</v>
      </c>
      <c r="T2497" s="0" t="n">
        <f aca="false">MONTH(Q2497)</f>
        <v>3</v>
      </c>
    </row>
    <row r="2498" customFormat="false" ht="14.25" hidden="true" customHeight="false" outlineLevel="0" collapsed="false">
      <c r="A2498" s="0" t="n">
        <v>2515</v>
      </c>
      <c r="B2498" s="1" t="s">
        <v>1437</v>
      </c>
      <c r="C2498" s="1" t="s">
        <v>1479</v>
      </c>
      <c r="D2498" s="1" t="s">
        <v>1487</v>
      </c>
      <c r="E2498" s="0" t="s">
        <v>1488</v>
      </c>
      <c r="F2498" s="0" t="s">
        <v>49</v>
      </c>
      <c r="G2498" s="0" t="s">
        <v>12438</v>
      </c>
      <c r="I2498" s="6" t="n">
        <v>0.6875</v>
      </c>
      <c r="J2498" s="6" t="n">
        <v>0.693055555555556</v>
      </c>
      <c r="L2498" s="0" t="n">
        <v>15</v>
      </c>
      <c r="M2498" s="0" t="s">
        <v>12439</v>
      </c>
      <c r="N2498" s="0" t="s">
        <v>12440</v>
      </c>
      <c r="P2498" s="0" t="s">
        <v>12441</v>
      </c>
      <c r="Q2498" s="2" t="n">
        <v>43892</v>
      </c>
      <c r="S2498" s="0" t="n">
        <f aca="false">YEAR(Q2498)</f>
        <v>2020</v>
      </c>
      <c r="T2498" s="0" t="n">
        <f aca="false">MONTH(Q2498)</f>
        <v>3</v>
      </c>
    </row>
    <row r="2499" customFormat="false" ht="14.25" hidden="true" customHeight="false" outlineLevel="0" collapsed="false">
      <c r="A2499" s="0" t="n">
        <v>2516</v>
      </c>
      <c r="B2499" s="1" t="s">
        <v>1438</v>
      </c>
      <c r="C2499" s="1" t="s">
        <v>1479</v>
      </c>
      <c r="D2499" s="1" t="s">
        <v>1535</v>
      </c>
      <c r="E2499" s="0" t="s">
        <v>39</v>
      </c>
      <c r="F2499" s="0" t="s">
        <v>48</v>
      </c>
      <c r="G2499" s="0" t="s">
        <v>12442</v>
      </c>
      <c r="I2499" s="6" t="n">
        <v>0.300694444444444</v>
      </c>
      <c r="J2499" s="6" t="n">
        <v>0.303472222222222</v>
      </c>
      <c r="K2499" s="0" t="n">
        <v>6</v>
      </c>
      <c r="L2499" s="0" t="n">
        <v>12</v>
      </c>
      <c r="M2499" s="0" t="s">
        <v>12443</v>
      </c>
      <c r="N2499" s="0" t="s">
        <v>12444</v>
      </c>
      <c r="P2499" s="0" t="s">
        <v>12445</v>
      </c>
      <c r="Q2499" s="2" t="n">
        <v>43893</v>
      </c>
      <c r="S2499" s="0" t="n">
        <f aca="false">YEAR(Q2499)</f>
        <v>2020</v>
      </c>
      <c r="T2499" s="0" t="n">
        <f aca="false">MONTH(Q2499)</f>
        <v>3</v>
      </c>
    </row>
    <row r="2500" customFormat="false" ht="14.25" hidden="true" customHeight="false" outlineLevel="0" collapsed="false">
      <c r="A2500" s="0" t="n">
        <v>2517</v>
      </c>
      <c r="B2500" s="1" t="s">
        <v>1438</v>
      </c>
      <c r="C2500" s="1" t="s">
        <v>1479</v>
      </c>
      <c r="D2500" s="1" t="s">
        <v>1496</v>
      </c>
      <c r="E2500" s="0" t="s">
        <v>38</v>
      </c>
      <c r="F2500" s="0" t="s">
        <v>48</v>
      </c>
      <c r="G2500" s="0" t="s">
        <v>12446</v>
      </c>
      <c r="I2500" s="6" t="n">
        <v>0.340277777777778</v>
      </c>
      <c r="J2500" s="6" t="n">
        <v>0.347916666666667</v>
      </c>
      <c r="K2500" s="0" t="n">
        <v>9</v>
      </c>
      <c r="L2500" s="0" t="n">
        <v>20</v>
      </c>
      <c r="M2500" s="0" t="s">
        <v>12447</v>
      </c>
      <c r="N2500" s="0" t="s">
        <v>12448</v>
      </c>
      <c r="P2500" s="0" t="s">
        <v>12449</v>
      </c>
      <c r="Q2500" s="2" t="n">
        <v>43893</v>
      </c>
      <c r="S2500" s="0" t="n">
        <f aca="false">YEAR(Q2500)</f>
        <v>2020</v>
      </c>
      <c r="T2500" s="0" t="n">
        <f aca="false">MONTH(Q2500)</f>
        <v>3</v>
      </c>
    </row>
    <row r="2501" customFormat="false" ht="57" hidden="true" customHeight="false" outlineLevel="0" collapsed="false">
      <c r="A2501" s="0" t="n">
        <v>2518</v>
      </c>
      <c r="B2501" s="1" t="s">
        <v>1438</v>
      </c>
      <c r="C2501" s="1" t="s">
        <v>1503</v>
      </c>
      <c r="D2501" s="1" t="s">
        <v>1648</v>
      </c>
      <c r="E2501" s="0" t="s">
        <v>1648</v>
      </c>
      <c r="F2501" s="0" t="s">
        <v>48</v>
      </c>
      <c r="G2501" s="0" t="s">
        <v>12450</v>
      </c>
      <c r="I2501" s="6" t="n">
        <v>0.326388888888889</v>
      </c>
      <c r="J2501" s="6" t="n">
        <v>0.347916666666667</v>
      </c>
      <c r="L2501" s="0" t="n">
        <v>200</v>
      </c>
      <c r="M2501" s="0" t="s">
        <v>12451</v>
      </c>
      <c r="N2501" s="0" t="s">
        <v>12452</v>
      </c>
      <c r="P2501" s="7" t="s">
        <v>12453</v>
      </c>
      <c r="Q2501" s="2" t="n">
        <v>43893</v>
      </c>
      <c r="S2501" s="0" t="n">
        <f aca="false">YEAR(Q2501)</f>
        <v>2020</v>
      </c>
      <c r="T2501" s="0" t="n">
        <f aca="false">MONTH(Q2501)</f>
        <v>3</v>
      </c>
    </row>
    <row r="2502" customFormat="false" ht="14.25" hidden="true" customHeight="false" outlineLevel="0" collapsed="false">
      <c r="A2502" s="0" t="n">
        <v>2519</v>
      </c>
      <c r="B2502" s="1" t="s">
        <v>1438</v>
      </c>
      <c r="C2502" s="1" t="s">
        <v>1479</v>
      </c>
      <c r="D2502" s="1" t="s">
        <v>1487</v>
      </c>
      <c r="E2502" s="0" t="s">
        <v>1488</v>
      </c>
      <c r="F2502" s="0" t="s">
        <v>49</v>
      </c>
      <c r="G2502" s="0" t="s">
        <v>12454</v>
      </c>
      <c r="I2502" s="6" t="n">
        <v>0.635416666666667</v>
      </c>
      <c r="J2502" s="6" t="n">
        <v>0.642361111111111</v>
      </c>
      <c r="L2502" s="0" t="n">
        <v>45</v>
      </c>
      <c r="M2502" s="0" t="s">
        <v>12455</v>
      </c>
      <c r="N2502" s="0" t="s">
        <v>12456</v>
      </c>
      <c r="P2502" s="0" t="s">
        <v>12457</v>
      </c>
      <c r="Q2502" s="2" t="n">
        <v>43893</v>
      </c>
      <c r="S2502" s="0" t="n">
        <f aca="false">YEAR(Q2502)</f>
        <v>2020</v>
      </c>
      <c r="T2502" s="0" t="n">
        <f aca="false">MONTH(Q2502)</f>
        <v>3</v>
      </c>
    </row>
    <row r="2503" customFormat="false" ht="14.25" hidden="true" customHeight="false" outlineLevel="0" collapsed="false">
      <c r="A2503" s="0" t="n">
        <v>2520</v>
      </c>
      <c r="B2503" s="1" t="s">
        <v>1438</v>
      </c>
      <c r="C2503" s="1" t="s">
        <v>1479</v>
      </c>
      <c r="D2503" s="1" t="s">
        <v>1487</v>
      </c>
      <c r="E2503" s="0" t="s">
        <v>1488</v>
      </c>
      <c r="F2503" s="0" t="s">
        <v>49</v>
      </c>
      <c r="G2503" s="0" t="s">
        <v>12458</v>
      </c>
      <c r="I2503" s="6" t="n">
        <v>0.680555555555555</v>
      </c>
      <c r="J2503" s="6" t="n">
        <v>0.684027777777778</v>
      </c>
      <c r="L2503" s="0" t="n">
        <v>25</v>
      </c>
      <c r="M2503" s="0" t="s">
        <v>12459</v>
      </c>
      <c r="N2503" s="0" t="s">
        <v>12460</v>
      </c>
      <c r="P2503" s="0" t="s">
        <v>12461</v>
      </c>
      <c r="Q2503" s="2" t="n">
        <v>43893</v>
      </c>
      <c r="S2503" s="0" t="n">
        <f aca="false">YEAR(Q2503)</f>
        <v>2020</v>
      </c>
      <c r="T2503" s="0" t="n">
        <f aca="false">MONTH(Q2503)</f>
        <v>3</v>
      </c>
    </row>
    <row r="2504" customFormat="false" ht="14.25" hidden="true" customHeight="false" outlineLevel="0" collapsed="false">
      <c r="A2504" s="0" t="n">
        <v>2521</v>
      </c>
      <c r="B2504" s="1" t="s">
        <v>1438</v>
      </c>
      <c r="C2504" s="1" t="s">
        <v>1479</v>
      </c>
      <c r="D2504" s="1" t="s">
        <v>1487</v>
      </c>
      <c r="E2504" s="0" t="s">
        <v>1488</v>
      </c>
      <c r="F2504" s="0" t="s">
        <v>49</v>
      </c>
      <c r="G2504" s="0" t="s">
        <v>12458</v>
      </c>
      <c r="I2504" s="6" t="n">
        <v>0.819444444444444</v>
      </c>
      <c r="J2504" s="6" t="n">
        <v>0.822916666666667</v>
      </c>
      <c r="L2504" s="0" t="n">
        <v>100</v>
      </c>
      <c r="M2504" s="0" t="s">
        <v>12459</v>
      </c>
      <c r="N2504" s="0" t="s">
        <v>12462</v>
      </c>
      <c r="P2504" s="0" t="s">
        <v>12463</v>
      </c>
      <c r="Q2504" s="2" t="n">
        <v>43893</v>
      </c>
      <c r="S2504" s="0" t="n">
        <f aca="false">YEAR(Q2504)</f>
        <v>2020</v>
      </c>
      <c r="T2504" s="0" t="n">
        <f aca="false">MONTH(Q2504)</f>
        <v>3</v>
      </c>
    </row>
    <row r="2505" customFormat="false" ht="14.25" hidden="true" customHeight="false" outlineLevel="0" collapsed="false">
      <c r="A2505" s="0" t="n">
        <v>2522</v>
      </c>
      <c r="B2505" s="1" t="s">
        <v>1438</v>
      </c>
      <c r="C2505" s="1" t="s">
        <v>1479</v>
      </c>
      <c r="D2505" s="1" t="s">
        <v>1487</v>
      </c>
      <c r="E2505" s="0" t="s">
        <v>1488</v>
      </c>
      <c r="F2505" s="0" t="s">
        <v>49</v>
      </c>
      <c r="G2505" s="0" t="s">
        <v>12464</v>
      </c>
      <c r="I2505" s="6" t="n">
        <v>0.909722222222222</v>
      </c>
      <c r="J2505" s="6" t="n">
        <v>0.916666666666667</v>
      </c>
      <c r="L2505" s="0" t="n">
        <v>18</v>
      </c>
      <c r="M2505" s="0" t="s">
        <v>5804</v>
      </c>
      <c r="N2505" s="0" t="s">
        <v>12465</v>
      </c>
      <c r="P2505" s="0" t="s">
        <v>12466</v>
      </c>
      <c r="Q2505" s="2" t="n">
        <v>43893</v>
      </c>
      <c r="S2505" s="0" t="n">
        <f aca="false">YEAR(Q2505)</f>
        <v>2020</v>
      </c>
      <c r="T2505" s="0" t="n">
        <f aca="false">MONTH(Q2505)</f>
        <v>3</v>
      </c>
    </row>
    <row r="2506" customFormat="false" ht="14.25" hidden="true" customHeight="false" outlineLevel="0" collapsed="false">
      <c r="A2506" s="0" t="n">
        <v>2523</v>
      </c>
      <c r="B2506" s="1" t="s">
        <v>1438</v>
      </c>
      <c r="C2506" s="1" t="s">
        <v>1479</v>
      </c>
      <c r="D2506" s="1" t="s">
        <v>1487</v>
      </c>
      <c r="E2506" s="0" t="s">
        <v>1488</v>
      </c>
      <c r="F2506" s="0" t="s">
        <v>50</v>
      </c>
      <c r="G2506" s="0" t="s">
        <v>12467</v>
      </c>
      <c r="I2506" s="6" t="n">
        <v>0.0847222222222222</v>
      </c>
      <c r="J2506" s="6" t="n">
        <v>0</v>
      </c>
      <c r="L2506" s="0" t="n">
        <v>60</v>
      </c>
      <c r="M2506" s="0" t="s">
        <v>12468</v>
      </c>
      <c r="N2506" s="0" t="s">
        <v>12469</v>
      </c>
      <c r="P2506" s="0" t="s">
        <v>12470</v>
      </c>
      <c r="Q2506" s="2" t="n">
        <v>43893</v>
      </c>
      <c r="S2506" s="0" t="n">
        <f aca="false">YEAR(Q2506)</f>
        <v>2020</v>
      </c>
      <c r="T2506" s="0" t="n">
        <f aca="false">MONTH(Q2506)</f>
        <v>3</v>
      </c>
    </row>
    <row r="2507" customFormat="false" ht="14.25" hidden="true" customHeight="false" outlineLevel="0" collapsed="false">
      <c r="A2507" s="0" t="n">
        <v>2524</v>
      </c>
      <c r="B2507" s="1" t="s">
        <v>1440</v>
      </c>
      <c r="C2507" s="1" t="s">
        <v>1495</v>
      </c>
      <c r="D2507" s="1" t="s">
        <v>1487</v>
      </c>
      <c r="E2507" s="0" t="s">
        <v>40</v>
      </c>
      <c r="F2507" s="0" t="s">
        <v>48</v>
      </c>
      <c r="G2507" s="0" t="s">
        <v>9251</v>
      </c>
      <c r="I2507" s="6" t="n">
        <v>0.326388888888889</v>
      </c>
      <c r="J2507" s="6" t="n">
        <v>0.360416666666667</v>
      </c>
      <c r="M2507" s="0" t="s">
        <v>12471</v>
      </c>
      <c r="N2507" s="0" t="s">
        <v>12472</v>
      </c>
      <c r="P2507" s="0" t="s">
        <v>12473</v>
      </c>
      <c r="Q2507" s="2" t="n">
        <v>43894</v>
      </c>
      <c r="S2507" s="0" t="n">
        <f aca="false">YEAR(Q2507)</f>
        <v>2020</v>
      </c>
      <c r="T2507" s="0" t="n">
        <f aca="false">MONTH(Q2507)</f>
        <v>3</v>
      </c>
    </row>
    <row r="2508" customFormat="false" ht="14.25" hidden="true" customHeight="false" outlineLevel="0" collapsed="false">
      <c r="A2508" s="0" t="n">
        <v>2525</v>
      </c>
      <c r="B2508" s="1" t="s">
        <v>1440</v>
      </c>
      <c r="C2508" s="1" t="s">
        <v>1479</v>
      </c>
      <c r="D2508" s="1" t="s">
        <v>1487</v>
      </c>
      <c r="E2508" s="0" t="s">
        <v>1488</v>
      </c>
      <c r="F2508" s="0" t="s">
        <v>49</v>
      </c>
      <c r="G2508" s="0" t="s">
        <v>12474</v>
      </c>
      <c r="I2508" s="6" t="n">
        <v>0.625</v>
      </c>
      <c r="J2508" s="6" t="n">
        <v>0.638888888888889</v>
      </c>
      <c r="L2508" s="0" t="n">
        <v>50</v>
      </c>
      <c r="M2508" s="0" t="s">
        <v>5804</v>
      </c>
      <c r="N2508" s="0" t="s">
        <v>12475</v>
      </c>
      <c r="P2508" s="0" t="s">
        <v>12476</v>
      </c>
      <c r="Q2508" s="2" t="n">
        <v>43894</v>
      </c>
      <c r="S2508" s="0" t="n">
        <f aca="false">YEAR(Q2508)</f>
        <v>2020</v>
      </c>
      <c r="T2508" s="0" t="n">
        <f aca="false">MONTH(Q2508)</f>
        <v>3</v>
      </c>
    </row>
    <row r="2509" customFormat="false" ht="14.25" hidden="true" customHeight="false" outlineLevel="0" collapsed="false">
      <c r="A2509" s="0" t="n">
        <v>2526</v>
      </c>
      <c r="B2509" s="1" t="s">
        <v>1440</v>
      </c>
      <c r="C2509" s="1" t="s">
        <v>1479</v>
      </c>
      <c r="D2509" s="1" t="s">
        <v>1487</v>
      </c>
      <c r="E2509" s="0" t="s">
        <v>1488</v>
      </c>
      <c r="F2509" s="0" t="s">
        <v>49</v>
      </c>
      <c r="G2509" s="0" t="s">
        <v>12477</v>
      </c>
      <c r="I2509" s="6" t="n">
        <v>0.659722222222222</v>
      </c>
      <c r="J2509" s="6" t="n">
        <v>0.666666666666667</v>
      </c>
      <c r="L2509" s="0" t="n">
        <v>50</v>
      </c>
      <c r="M2509" s="0" t="s">
        <v>12478</v>
      </c>
      <c r="N2509" s="0" t="s">
        <v>12479</v>
      </c>
      <c r="P2509" s="0" t="s">
        <v>12480</v>
      </c>
      <c r="Q2509" s="2" t="n">
        <v>43894</v>
      </c>
      <c r="S2509" s="0" t="n">
        <f aca="false">YEAR(Q2509)</f>
        <v>2020</v>
      </c>
      <c r="T2509" s="0" t="n">
        <f aca="false">MONTH(Q2509)</f>
        <v>3</v>
      </c>
    </row>
    <row r="2510" customFormat="false" ht="14.25" hidden="true" customHeight="false" outlineLevel="0" collapsed="false">
      <c r="A2510" s="0" t="n">
        <v>2527</v>
      </c>
      <c r="B2510" s="1" t="s">
        <v>1442</v>
      </c>
      <c r="C2510" s="1" t="s">
        <v>1495</v>
      </c>
      <c r="D2510" s="1" t="s">
        <v>1535</v>
      </c>
      <c r="E2510" s="0" t="s">
        <v>42</v>
      </c>
      <c r="F2510" s="0" t="s">
        <v>48</v>
      </c>
      <c r="G2510" s="0" t="s">
        <v>12481</v>
      </c>
      <c r="I2510" s="6" t="n">
        <v>0</v>
      </c>
      <c r="J2510" s="6" t="n">
        <v>0</v>
      </c>
      <c r="M2510" s="0" t="s">
        <v>12482</v>
      </c>
      <c r="N2510" s="0" t="s">
        <v>12483</v>
      </c>
      <c r="P2510" s="0" t="s">
        <v>12484</v>
      </c>
      <c r="Q2510" s="2" t="n">
        <v>43895</v>
      </c>
      <c r="S2510" s="0" t="n">
        <f aca="false">YEAR(Q2510)</f>
        <v>2020</v>
      </c>
      <c r="T2510" s="0" t="n">
        <f aca="false">MONTH(Q2510)</f>
        <v>3</v>
      </c>
    </row>
    <row r="2511" customFormat="false" ht="14.25" hidden="true" customHeight="false" outlineLevel="0" collapsed="false">
      <c r="A2511" s="0" t="n">
        <v>2528</v>
      </c>
      <c r="B2511" s="1" t="s">
        <v>1442</v>
      </c>
      <c r="C2511" s="1" t="s">
        <v>1479</v>
      </c>
      <c r="D2511" s="1" t="s">
        <v>1487</v>
      </c>
      <c r="E2511" s="4" t="s">
        <v>1488</v>
      </c>
      <c r="F2511" s="0" t="s">
        <v>49</v>
      </c>
      <c r="G2511" s="0" t="s">
        <v>10693</v>
      </c>
      <c r="I2511" s="6" t="n">
        <v>0.654166666666667</v>
      </c>
      <c r="J2511" s="6" t="n">
        <v>0.656944444444444</v>
      </c>
      <c r="K2511" s="0" t="n">
        <v>7</v>
      </c>
      <c r="L2511" s="0" t="n">
        <v>8</v>
      </c>
      <c r="M2511" s="0" t="s">
        <v>9719</v>
      </c>
      <c r="N2511" s="0" t="s">
        <v>12485</v>
      </c>
      <c r="P2511" s="0" t="s">
        <v>12486</v>
      </c>
      <c r="Q2511" s="2" t="n">
        <v>43895</v>
      </c>
      <c r="S2511" s="0" t="n">
        <f aca="false">YEAR(Q2511)</f>
        <v>2020</v>
      </c>
      <c r="T2511" s="0" t="n">
        <f aca="false">MONTH(Q2511)</f>
        <v>3</v>
      </c>
    </row>
    <row r="2512" customFormat="false" ht="14.25" hidden="true" customHeight="false" outlineLevel="0" collapsed="false">
      <c r="A2512" s="0" t="n">
        <v>2529</v>
      </c>
      <c r="B2512" s="1" t="s">
        <v>1442</v>
      </c>
      <c r="C2512" s="1" t="s">
        <v>1479</v>
      </c>
      <c r="D2512" s="1" t="s">
        <v>1487</v>
      </c>
      <c r="E2512" s="0" t="s">
        <v>1488</v>
      </c>
      <c r="F2512" s="0" t="s">
        <v>49</v>
      </c>
      <c r="I2512" s="6" t="n">
        <v>0.655555555555556</v>
      </c>
      <c r="J2512" s="6" t="n">
        <v>0.663194444444444</v>
      </c>
      <c r="L2512" s="0" t="n">
        <v>15</v>
      </c>
      <c r="M2512" s="0" t="s">
        <v>12487</v>
      </c>
      <c r="N2512" s="0" t="s">
        <v>12488</v>
      </c>
      <c r="P2512" s="0" t="s">
        <v>12489</v>
      </c>
      <c r="Q2512" s="2" t="n">
        <v>43895</v>
      </c>
      <c r="S2512" s="0" t="n">
        <f aca="false">YEAR(Q2512)</f>
        <v>2020</v>
      </c>
      <c r="T2512" s="0" t="n">
        <f aca="false">MONTH(Q2512)</f>
        <v>3</v>
      </c>
    </row>
    <row r="2513" customFormat="false" ht="14.25" hidden="true" customHeight="false" outlineLevel="0" collapsed="false">
      <c r="A2513" s="0" t="n">
        <v>2530</v>
      </c>
      <c r="B2513" s="1" t="s">
        <v>1442</v>
      </c>
      <c r="C2513" s="1" t="s">
        <v>1479</v>
      </c>
      <c r="D2513" s="1" t="s">
        <v>1487</v>
      </c>
      <c r="E2513" s="0" t="s">
        <v>1488</v>
      </c>
      <c r="F2513" s="0" t="s">
        <v>49</v>
      </c>
      <c r="G2513" s="0" t="s">
        <v>12490</v>
      </c>
      <c r="I2513" s="6" t="n">
        <v>0.745138888888889</v>
      </c>
      <c r="J2513" s="6" t="n">
        <v>0.75</v>
      </c>
      <c r="L2513" s="0" t="n">
        <v>45</v>
      </c>
      <c r="M2513" s="0" t="s">
        <v>12491</v>
      </c>
      <c r="N2513" s="0" t="s">
        <v>12492</v>
      </c>
      <c r="P2513" s="0" t="s">
        <v>12493</v>
      </c>
      <c r="Q2513" s="2" t="n">
        <v>43895</v>
      </c>
      <c r="S2513" s="0" t="n">
        <f aca="false">YEAR(Q2513)</f>
        <v>2020</v>
      </c>
      <c r="T2513" s="0" t="n">
        <f aca="false">MONTH(Q2513)</f>
        <v>3</v>
      </c>
    </row>
    <row r="2514" customFormat="false" ht="14.25" hidden="true" customHeight="false" outlineLevel="0" collapsed="false">
      <c r="A2514" s="0" t="n">
        <v>2531</v>
      </c>
      <c r="B2514" s="1" t="s">
        <v>1442</v>
      </c>
      <c r="C2514" s="1" t="s">
        <v>1479</v>
      </c>
      <c r="D2514" s="1" t="s">
        <v>1487</v>
      </c>
      <c r="E2514" s="4" t="s">
        <v>1488</v>
      </c>
      <c r="F2514" s="0" t="s">
        <v>50</v>
      </c>
      <c r="G2514" s="0" t="s">
        <v>12494</v>
      </c>
      <c r="I2514" s="6" t="n">
        <v>0.0388888888888889</v>
      </c>
      <c r="J2514" s="6" t="n">
        <v>0.0486111111111111</v>
      </c>
      <c r="K2514" s="0" t="n">
        <v>15</v>
      </c>
      <c r="L2514" s="0" t="n">
        <v>60</v>
      </c>
      <c r="M2514" s="0" t="s">
        <v>12495</v>
      </c>
      <c r="N2514" s="0" t="s">
        <v>12496</v>
      </c>
      <c r="P2514" s="0" t="s">
        <v>12497</v>
      </c>
      <c r="Q2514" s="2" t="n">
        <v>43895</v>
      </c>
      <c r="S2514" s="0" t="n">
        <f aca="false">YEAR(Q2514)</f>
        <v>2020</v>
      </c>
      <c r="T2514" s="0" t="n">
        <f aca="false">MONTH(Q2514)</f>
        <v>3</v>
      </c>
    </row>
    <row r="2515" customFormat="false" ht="14.25" hidden="true" customHeight="false" outlineLevel="0" collapsed="false">
      <c r="A2515" s="0" t="n">
        <v>2532</v>
      </c>
      <c r="B2515" s="1" t="s">
        <v>1442</v>
      </c>
      <c r="C2515" s="1" t="s">
        <v>1479</v>
      </c>
      <c r="D2515" s="1" t="s">
        <v>1487</v>
      </c>
      <c r="E2515" s="0" t="s">
        <v>1488</v>
      </c>
      <c r="F2515" s="0" t="s">
        <v>50</v>
      </c>
      <c r="G2515" s="0" t="s">
        <v>12498</v>
      </c>
      <c r="I2515" s="6" t="n">
        <v>0.127777777777778</v>
      </c>
      <c r="J2515" s="6" t="n">
        <v>0.138888888888889</v>
      </c>
      <c r="L2515" s="0" t="n">
        <v>40</v>
      </c>
      <c r="M2515" s="0" t="s">
        <v>12499</v>
      </c>
      <c r="N2515" s="0" t="s">
        <v>12500</v>
      </c>
      <c r="P2515" s="0" t="s">
        <v>12501</v>
      </c>
      <c r="Q2515" s="2" t="n">
        <v>43895</v>
      </c>
      <c r="S2515" s="0" t="n">
        <f aca="false">YEAR(Q2515)</f>
        <v>2020</v>
      </c>
      <c r="T2515" s="0" t="n">
        <f aca="false">MONTH(Q2515)</f>
        <v>3</v>
      </c>
    </row>
    <row r="2516" customFormat="false" ht="14.25" hidden="true" customHeight="false" outlineLevel="0" collapsed="false">
      <c r="A2516" s="0" t="n">
        <v>2533</v>
      </c>
      <c r="B2516" s="1" t="s">
        <v>1443</v>
      </c>
      <c r="C2516" s="1" t="s">
        <v>1479</v>
      </c>
      <c r="D2516" s="1" t="s">
        <v>1487</v>
      </c>
      <c r="E2516" s="0" t="s">
        <v>1488</v>
      </c>
      <c r="F2516" s="0" t="s">
        <v>49</v>
      </c>
      <c r="G2516" s="0" t="s">
        <v>9766</v>
      </c>
      <c r="I2516" s="6" t="n">
        <v>0.701388888888889</v>
      </c>
      <c r="J2516" s="6" t="n">
        <v>0.704861111111111</v>
      </c>
      <c r="L2516" s="0" t="n">
        <v>10</v>
      </c>
      <c r="M2516" s="0" t="s">
        <v>12502</v>
      </c>
      <c r="N2516" s="0" t="s">
        <v>12503</v>
      </c>
      <c r="P2516" s="0" t="s">
        <v>12504</v>
      </c>
      <c r="Q2516" s="2" t="n">
        <v>43896</v>
      </c>
      <c r="S2516" s="0" t="n">
        <f aca="false">YEAR(Q2516)</f>
        <v>2020</v>
      </c>
      <c r="T2516" s="0" t="n">
        <f aca="false">MONTH(Q2516)</f>
        <v>3</v>
      </c>
    </row>
    <row r="2517" customFormat="false" ht="14.25" hidden="true" customHeight="false" outlineLevel="0" collapsed="false">
      <c r="A2517" s="0" t="n">
        <v>2534</v>
      </c>
      <c r="B2517" s="1" t="s">
        <v>1443</v>
      </c>
      <c r="C2517" s="1" t="s">
        <v>1479</v>
      </c>
      <c r="D2517" s="1" t="s">
        <v>1487</v>
      </c>
      <c r="E2517" s="0" t="s">
        <v>1488</v>
      </c>
      <c r="F2517" s="0" t="s">
        <v>49</v>
      </c>
      <c r="G2517" s="0" t="s">
        <v>12505</v>
      </c>
      <c r="I2517" s="6" t="n">
        <v>0.8125</v>
      </c>
      <c r="J2517" s="6" t="n">
        <v>0.822916666666667</v>
      </c>
      <c r="L2517" s="0" t="n">
        <v>55</v>
      </c>
      <c r="M2517" s="0" t="s">
        <v>12506</v>
      </c>
      <c r="N2517" s="0" t="s">
        <v>12507</v>
      </c>
      <c r="P2517" s="0" t="s">
        <v>12508</v>
      </c>
      <c r="Q2517" s="2" t="n">
        <v>43896</v>
      </c>
      <c r="S2517" s="0" t="n">
        <f aca="false">YEAR(Q2517)</f>
        <v>2020</v>
      </c>
      <c r="T2517" s="0" t="n">
        <f aca="false">MONTH(Q2517)</f>
        <v>3</v>
      </c>
    </row>
    <row r="2518" customFormat="false" ht="14.25" hidden="true" customHeight="false" outlineLevel="0" collapsed="false">
      <c r="A2518" s="0" t="n">
        <v>2535</v>
      </c>
      <c r="B2518" s="1" t="s">
        <v>1443</v>
      </c>
      <c r="C2518" s="1" t="s">
        <v>1479</v>
      </c>
      <c r="D2518" s="1" t="s">
        <v>1535</v>
      </c>
      <c r="E2518" s="0" t="s">
        <v>39</v>
      </c>
      <c r="F2518" s="0" t="s">
        <v>49</v>
      </c>
      <c r="G2518" s="0" t="s">
        <v>12509</v>
      </c>
      <c r="I2518" s="6" t="n">
        <v>0.904166666666667</v>
      </c>
      <c r="J2518" s="6" t="n">
        <v>0.907638888888889</v>
      </c>
      <c r="L2518" s="0" t="n">
        <v>15</v>
      </c>
      <c r="M2518" s="0" t="s">
        <v>12510</v>
      </c>
      <c r="N2518" s="0" t="s">
        <v>12511</v>
      </c>
      <c r="P2518" s="0" t="s">
        <v>12512</v>
      </c>
      <c r="Q2518" s="2" t="n">
        <v>43896</v>
      </c>
      <c r="S2518" s="0" t="n">
        <f aca="false">YEAR(Q2518)</f>
        <v>2020</v>
      </c>
      <c r="T2518" s="0" t="n">
        <f aca="false">MONTH(Q2518)</f>
        <v>3</v>
      </c>
    </row>
    <row r="2519" customFormat="false" ht="14.25" hidden="true" customHeight="false" outlineLevel="0" collapsed="false">
      <c r="A2519" s="0" t="n">
        <v>2536</v>
      </c>
      <c r="B2519" s="1" t="s">
        <v>1446</v>
      </c>
      <c r="C2519" s="1" t="s">
        <v>1479</v>
      </c>
      <c r="D2519" s="1" t="s">
        <v>1535</v>
      </c>
      <c r="E2519" s="0" t="s">
        <v>39</v>
      </c>
      <c r="F2519" s="0" t="s">
        <v>48</v>
      </c>
      <c r="G2519" s="0" t="s">
        <v>11707</v>
      </c>
      <c r="I2519" s="6" t="n">
        <v>0.239583333333333</v>
      </c>
      <c r="J2519" s="6" t="n">
        <v>0.247222222222222</v>
      </c>
      <c r="M2519" s="0" t="s">
        <v>12513</v>
      </c>
      <c r="N2519" s="0" t="s">
        <v>12514</v>
      </c>
      <c r="P2519" s="0" t="s">
        <v>12515</v>
      </c>
      <c r="Q2519" s="2" t="n">
        <v>43899</v>
      </c>
      <c r="S2519" s="0" t="n">
        <f aca="false">YEAR(Q2519)</f>
        <v>2020</v>
      </c>
      <c r="T2519" s="0" t="n">
        <f aca="false">MONTH(Q2519)</f>
        <v>3</v>
      </c>
    </row>
    <row r="2520" customFormat="false" ht="14.25" hidden="true" customHeight="false" outlineLevel="0" collapsed="false">
      <c r="A2520" s="0" t="n">
        <v>2537</v>
      </c>
      <c r="B2520" s="1" t="s">
        <v>1446</v>
      </c>
      <c r="C2520" s="1" t="s">
        <v>1479</v>
      </c>
      <c r="D2520" s="1" t="s">
        <v>1487</v>
      </c>
      <c r="E2520" s="0" t="s">
        <v>1488</v>
      </c>
      <c r="F2520" s="0" t="s">
        <v>49</v>
      </c>
      <c r="G2520" s="0" t="s">
        <v>1489</v>
      </c>
      <c r="I2520" s="6" t="n">
        <v>0.620833333333333</v>
      </c>
      <c r="J2520" s="6" t="n">
        <v>0.625</v>
      </c>
      <c r="L2520" s="0" t="n">
        <v>24</v>
      </c>
      <c r="M2520" s="0" t="s">
        <v>12516</v>
      </c>
      <c r="N2520" s="0" t="s">
        <v>12517</v>
      </c>
      <c r="P2520" s="0" t="s">
        <v>12518</v>
      </c>
      <c r="Q2520" s="2" t="n">
        <v>43899</v>
      </c>
      <c r="S2520" s="0" t="n">
        <f aca="false">YEAR(Q2520)</f>
        <v>2020</v>
      </c>
      <c r="T2520" s="0" t="n">
        <f aca="false">MONTH(Q2520)</f>
        <v>3</v>
      </c>
    </row>
    <row r="2521" customFormat="false" ht="14.25" hidden="true" customHeight="false" outlineLevel="0" collapsed="false">
      <c r="A2521" s="0" t="n">
        <v>2538</v>
      </c>
      <c r="B2521" s="1" t="s">
        <v>1446</v>
      </c>
      <c r="C2521" s="1" t="s">
        <v>1495</v>
      </c>
      <c r="D2521" s="1" t="s">
        <v>1487</v>
      </c>
      <c r="E2521" s="0" t="s">
        <v>40</v>
      </c>
      <c r="F2521" s="0" t="s">
        <v>49</v>
      </c>
      <c r="G2521" s="0" t="s">
        <v>9358</v>
      </c>
      <c r="J2521" s="6" t="n">
        <v>0.711805555555555</v>
      </c>
      <c r="M2521" s="0" t="s">
        <v>12519</v>
      </c>
      <c r="N2521" s="0" t="s">
        <v>12520</v>
      </c>
      <c r="P2521" s="0" t="s">
        <v>12521</v>
      </c>
      <c r="Q2521" s="2" t="n">
        <v>43899</v>
      </c>
      <c r="S2521" s="0" t="n">
        <f aca="false">YEAR(Q2521)</f>
        <v>2020</v>
      </c>
      <c r="T2521" s="0" t="n">
        <f aca="false">MONTH(Q2521)</f>
        <v>3</v>
      </c>
    </row>
    <row r="2522" customFormat="false" ht="14.25" hidden="true" customHeight="false" outlineLevel="0" collapsed="false">
      <c r="A2522" s="0" t="n">
        <v>2539</v>
      </c>
      <c r="B2522" s="1" t="s">
        <v>1446</v>
      </c>
      <c r="C2522" s="1" t="s">
        <v>1495</v>
      </c>
      <c r="D2522" s="1" t="s">
        <v>1487</v>
      </c>
      <c r="E2522" s="0" t="s">
        <v>40</v>
      </c>
      <c r="F2522" s="0" t="s">
        <v>49</v>
      </c>
      <c r="G2522" s="0" t="s">
        <v>9272</v>
      </c>
      <c r="I2522" s="6" t="n">
        <v>0.902777777777778</v>
      </c>
      <c r="L2522" s="0" t="n">
        <v>80</v>
      </c>
      <c r="M2522" s="0" t="s">
        <v>12522</v>
      </c>
      <c r="N2522" s="0" t="s">
        <v>12523</v>
      </c>
      <c r="P2522" s="0" t="s">
        <v>12524</v>
      </c>
      <c r="Q2522" s="2" t="n">
        <v>43899</v>
      </c>
      <c r="S2522" s="0" t="n">
        <f aca="false">YEAR(Q2522)</f>
        <v>2020</v>
      </c>
      <c r="T2522" s="0" t="n">
        <f aca="false">MONTH(Q2522)</f>
        <v>3</v>
      </c>
    </row>
    <row r="2523" customFormat="false" ht="14.25" hidden="true" customHeight="false" outlineLevel="0" collapsed="false">
      <c r="A2523" s="0" t="n">
        <v>2540</v>
      </c>
      <c r="B2523" s="1" t="s">
        <v>1446</v>
      </c>
      <c r="C2523" s="1" t="s">
        <v>1479</v>
      </c>
      <c r="D2523" s="1" t="s">
        <v>1487</v>
      </c>
      <c r="E2523" s="4" t="s">
        <v>1488</v>
      </c>
      <c r="F2523" s="0" t="s">
        <v>50</v>
      </c>
      <c r="G2523" s="0" t="s">
        <v>12494</v>
      </c>
      <c r="I2523" s="6" t="n">
        <v>0.0180555555555556</v>
      </c>
      <c r="J2523" s="6" t="n">
        <v>0.03125</v>
      </c>
      <c r="K2523" s="0" t="n">
        <v>20</v>
      </c>
      <c r="L2523" s="0" t="n">
        <v>40</v>
      </c>
      <c r="M2523" s="0" t="s">
        <v>12525</v>
      </c>
      <c r="N2523" s="0" t="s">
        <v>12526</v>
      </c>
      <c r="P2523" s="0" t="s">
        <v>12526</v>
      </c>
      <c r="Q2523" s="2" t="n">
        <v>43899</v>
      </c>
      <c r="S2523" s="0" t="n">
        <f aca="false">YEAR(Q2523)</f>
        <v>2020</v>
      </c>
      <c r="T2523" s="0" t="n">
        <f aca="false">MONTH(Q2523)</f>
        <v>3</v>
      </c>
    </row>
    <row r="2524" customFormat="false" ht="14.25" hidden="true" customHeight="false" outlineLevel="0" collapsed="false">
      <c r="A2524" s="0" t="n">
        <v>2541</v>
      </c>
      <c r="B2524" s="1" t="s">
        <v>1446</v>
      </c>
      <c r="C2524" s="1" t="s">
        <v>1479</v>
      </c>
      <c r="D2524" s="1" t="s">
        <v>1487</v>
      </c>
      <c r="E2524" s="4" t="s">
        <v>1488</v>
      </c>
      <c r="F2524" s="0" t="s">
        <v>50</v>
      </c>
      <c r="G2524" s="0" t="s">
        <v>12527</v>
      </c>
      <c r="I2524" s="6" t="n">
        <v>0.0791666666666667</v>
      </c>
      <c r="J2524" s="6" t="n">
        <v>0.0833333333333333</v>
      </c>
      <c r="K2524" s="0" t="n">
        <v>30</v>
      </c>
      <c r="L2524" s="0" t="n">
        <v>45</v>
      </c>
      <c r="M2524" s="0" t="s">
        <v>12528</v>
      </c>
      <c r="N2524" s="0" t="s">
        <v>12529</v>
      </c>
      <c r="P2524" s="0" t="s">
        <v>12530</v>
      </c>
      <c r="Q2524" s="2" t="n">
        <v>43899</v>
      </c>
      <c r="S2524" s="0" t="n">
        <f aca="false">YEAR(Q2524)</f>
        <v>2020</v>
      </c>
      <c r="T2524" s="0" t="n">
        <f aca="false">MONTH(Q2524)</f>
        <v>3</v>
      </c>
    </row>
    <row r="2525" customFormat="false" ht="14.25" hidden="true" customHeight="false" outlineLevel="0" collapsed="false">
      <c r="A2525" s="0" t="n">
        <v>2542</v>
      </c>
      <c r="B2525" s="1" t="s">
        <v>1446</v>
      </c>
      <c r="C2525" s="1" t="s">
        <v>1479</v>
      </c>
      <c r="D2525" s="1" t="s">
        <v>1487</v>
      </c>
      <c r="E2525" s="0" t="s">
        <v>1488</v>
      </c>
      <c r="F2525" s="0" t="s">
        <v>50</v>
      </c>
      <c r="G2525" s="0" t="s">
        <v>12531</v>
      </c>
      <c r="I2525" s="6" t="n">
        <v>0.159722222222222</v>
      </c>
      <c r="J2525" s="6" t="n">
        <v>0.170138888888889</v>
      </c>
      <c r="L2525" s="0" t="n">
        <v>46</v>
      </c>
      <c r="M2525" s="0" t="s">
        <v>12532</v>
      </c>
      <c r="N2525" s="0" t="s">
        <v>12533</v>
      </c>
      <c r="P2525" s="0" t="s">
        <v>12534</v>
      </c>
      <c r="Q2525" s="2" t="n">
        <v>43899</v>
      </c>
      <c r="S2525" s="0" t="n">
        <f aca="false">YEAR(Q2525)</f>
        <v>2020</v>
      </c>
      <c r="T2525" s="0" t="n">
        <f aca="false">MONTH(Q2525)</f>
        <v>3</v>
      </c>
    </row>
    <row r="2526" customFormat="false" ht="14.25" hidden="true" customHeight="false" outlineLevel="0" collapsed="false">
      <c r="A2526" s="0" t="n">
        <v>2543</v>
      </c>
      <c r="B2526" s="1" t="s">
        <v>1447</v>
      </c>
      <c r="C2526" s="1" t="s">
        <v>1479</v>
      </c>
      <c r="D2526" s="1" t="s">
        <v>1535</v>
      </c>
      <c r="E2526" s="0" t="s">
        <v>39</v>
      </c>
      <c r="F2526" s="0" t="s">
        <v>48</v>
      </c>
      <c r="G2526" s="0" t="s">
        <v>12535</v>
      </c>
      <c r="J2526" s="6" t="n">
        <v>0.272222222222222</v>
      </c>
      <c r="M2526" s="0" t="s">
        <v>12536</v>
      </c>
      <c r="N2526" s="0" t="s">
        <v>12537</v>
      </c>
      <c r="P2526" s="0" t="s">
        <v>12538</v>
      </c>
      <c r="Q2526" s="2" t="n">
        <v>43900</v>
      </c>
      <c r="S2526" s="0" t="n">
        <f aca="false">YEAR(Q2526)</f>
        <v>2020</v>
      </c>
      <c r="T2526" s="0" t="n">
        <f aca="false">MONTH(Q2526)</f>
        <v>3</v>
      </c>
    </row>
    <row r="2527" customFormat="false" ht="14.25" hidden="true" customHeight="false" outlineLevel="0" collapsed="false">
      <c r="A2527" s="0" t="n">
        <v>2544</v>
      </c>
      <c r="B2527" s="1" t="s">
        <v>1447</v>
      </c>
      <c r="C2527" s="1" t="s">
        <v>1479</v>
      </c>
      <c r="D2527" s="1" t="s">
        <v>1487</v>
      </c>
      <c r="E2527" s="0" t="s">
        <v>1488</v>
      </c>
      <c r="F2527" s="0" t="s">
        <v>49</v>
      </c>
      <c r="G2527" s="0" t="s">
        <v>12539</v>
      </c>
      <c r="I2527" s="6" t="n">
        <v>0.635416666666667</v>
      </c>
      <c r="J2527" s="6" t="n">
        <v>0.635416666666667</v>
      </c>
      <c r="L2527" s="0" t="n">
        <v>17</v>
      </c>
      <c r="M2527" s="0" t="s">
        <v>12540</v>
      </c>
      <c r="N2527" s="0" t="s">
        <v>12541</v>
      </c>
      <c r="P2527" s="0" t="s">
        <v>12542</v>
      </c>
      <c r="Q2527" s="2" t="n">
        <v>43900</v>
      </c>
      <c r="S2527" s="0" t="n">
        <f aca="false">YEAR(Q2527)</f>
        <v>2020</v>
      </c>
      <c r="T2527" s="0" t="n">
        <f aca="false">MONTH(Q2527)</f>
        <v>3</v>
      </c>
    </row>
    <row r="2528" customFormat="false" ht="14.25" hidden="true" customHeight="false" outlineLevel="0" collapsed="false">
      <c r="A2528" s="0" t="n">
        <v>2545</v>
      </c>
      <c r="B2528" s="1" t="s">
        <v>1447</v>
      </c>
      <c r="C2528" s="1" t="s">
        <v>1479</v>
      </c>
      <c r="D2528" s="1" t="s">
        <v>1487</v>
      </c>
      <c r="E2528" s="0" t="s">
        <v>1488</v>
      </c>
      <c r="F2528" s="0" t="s">
        <v>50</v>
      </c>
      <c r="G2528" s="0" t="s">
        <v>12543</v>
      </c>
      <c r="J2528" s="6" t="n">
        <v>0.965277777777778</v>
      </c>
      <c r="L2528" s="0" t="n">
        <v>0</v>
      </c>
      <c r="M2528" s="0" t="s">
        <v>12544</v>
      </c>
      <c r="N2528" s="0" t="s">
        <v>12545</v>
      </c>
      <c r="P2528" s="0" t="s">
        <v>12546</v>
      </c>
      <c r="Q2528" s="2" t="n">
        <v>43900</v>
      </c>
      <c r="S2528" s="0" t="n">
        <f aca="false">YEAR(Q2528)</f>
        <v>2020</v>
      </c>
      <c r="T2528" s="0" t="n">
        <f aca="false">MONTH(Q2528)</f>
        <v>3</v>
      </c>
    </row>
    <row r="2529" customFormat="false" ht="14.25" hidden="true" customHeight="false" outlineLevel="0" collapsed="false">
      <c r="A2529" s="0" t="n">
        <v>2546</v>
      </c>
      <c r="B2529" s="1" t="s">
        <v>1447</v>
      </c>
      <c r="C2529" s="1" t="s">
        <v>1479</v>
      </c>
      <c r="D2529" s="1" t="s">
        <v>1487</v>
      </c>
      <c r="E2529" s="0" t="s">
        <v>1488</v>
      </c>
      <c r="F2529" s="0" t="s">
        <v>50</v>
      </c>
      <c r="G2529" s="0" t="s">
        <v>12547</v>
      </c>
      <c r="I2529" s="6" t="n">
        <v>0.163888888888889</v>
      </c>
      <c r="J2529" s="6" t="n">
        <v>0.170138888888889</v>
      </c>
      <c r="L2529" s="0" t="n">
        <v>38</v>
      </c>
      <c r="M2529" s="0" t="s">
        <v>12548</v>
      </c>
      <c r="N2529" s="0" t="s">
        <v>12549</v>
      </c>
      <c r="P2529" s="0" t="s">
        <v>12550</v>
      </c>
      <c r="Q2529" s="2" t="n">
        <v>43900</v>
      </c>
      <c r="S2529" s="0" t="n">
        <f aca="false">YEAR(Q2529)</f>
        <v>2020</v>
      </c>
      <c r="T2529" s="0" t="n">
        <f aca="false">MONTH(Q2529)</f>
        <v>3</v>
      </c>
    </row>
    <row r="2530" customFormat="false" ht="42.75" hidden="true" customHeight="false" outlineLevel="0" collapsed="false">
      <c r="A2530" s="0" t="n">
        <v>2547</v>
      </c>
      <c r="B2530" s="1" t="s">
        <v>1447</v>
      </c>
      <c r="C2530" s="1" t="s">
        <v>1479</v>
      </c>
      <c r="D2530" s="1" t="s">
        <v>1487</v>
      </c>
      <c r="E2530" s="0" t="s">
        <v>1488</v>
      </c>
      <c r="F2530" s="0" t="s">
        <v>50</v>
      </c>
      <c r="G2530" s="0" t="s">
        <v>12551</v>
      </c>
      <c r="I2530" s="6" t="n">
        <v>0.163888888888889</v>
      </c>
      <c r="J2530" s="6" t="n">
        <v>0.163888888888889</v>
      </c>
      <c r="L2530" s="0" t="n">
        <v>31</v>
      </c>
      <c r="M2530" s="0" t="s">
        <v>12552</v>
      </c>
      <c r="N2530" s="0" t="s">
        <v>12553</v>
      </c>
      <c r="P2530" s="7" t="s">
        <v>12554</v>
      </c>
      <c r="Q2530" s="2" t="n">
        <v>43900</v>
      </c>
      <c r="S2530" s="0" t="n">
        <f aca="false">YEAR(Q2530)</f>
        <v>2020</v>
      </c>
      <c r="T2530" s="0" t="n">
        <f aca="false">MONTH(Q2530)</f>
        <v>3</v>
      </c>
    </row>
    <row r="2531" customFormat="false" ht="14.25" hidden="true" customHeight="false" outlineLevel="0" collapsed="false">
      <c r="A2531" s="0" t="n">
        <v>2548</v>
      </c>
      <c r="B2531" s="1" t="s">
        <v>1449</v>
      </c>
      <c r="C2531" s="1" t="s">
        <v>1495</v>
      </c>
      <c r="D2531" s="1" t="s">
        <v>1487</v>
      </c>
      <c r="E2531" s="0" t="s">
        <v>40</v>
      </c>
      <c r="F2531" s="0" t="s">
        <v>49</v>
      </c>
      <c r="G2531" s="0" t="s">
        <v>9272</v>
      </c>
      <c r="I2531" s="6" t="n">
        <v>0.638888888888889</v>
      </c>
      <c r="J2531" s="6" t="n">
        <v>0.645833333333333</v>
      </c>
      <c r="L2531" s="0" t="n">
        <v>37</v>
      </c>
      <c r="M2531" s="0" t="s">
        <v>12555</v>
      </c>
      <c r="N2531" s="0" t="s">
        <v>12523</v>
      </c>
      <c r="P2531" s="0" t="s">
        <v>12556</v>
      </c>
      <c r="Q2531" s="2" t="n">
        <v>43901</v>
      </c>
      <c r="S2531" s="0" t="n">
        <f aca="false">YEAR(Q2531)</f>
        <v>2020</v>
      </c>
      <c r="T2531" s="0" t="n">
        <f aca="false">MONTH(Q2531)</f>
        <v>3</v>
      </c>
    </row>
    <row r="2532" customFormat="false" ht="14.25" hidden="true" customHeight="false" outlineLevel="0" collapsed="false">
      <c r="A2532" s="0" t="n">
        <v>2549</v>
      </c>
      <c r="B2532" s="1" t="s">
        <v>1449</v>
      </c>
      <c r="C2532" s="1" t="s">
        <v>1495</v>
      </c>
      <c r="D2532" s="1" t="s">
        <v>1487</v>
      </c>
      <c r="E2532" s="0" t="s">
        <v>40</v>
      </c>
      <c r="F2532" s="0" t="s">
        <v>49</v>
      </c>
      <c r="G2532" s="0" t="s">
        <v>9272</v>
      </c>
      <c r="I2532" s="6" t="n">
        <v>0.673611111111111</v>
      </c>
      <c r="J2532" s="6" t="n">
        <v>0.684027777777778</v>
      </c>
      <c r="L2532" s="0" t="n">
        <v>40</v>
      </c>
      <c r="M2532" s="0" t="s">
        <v>12557</v>
      </c>
      <c r="N2532" s="0" t="s">
        <v>12558</v>
      </c>
      <c r="P2532" s="0" t="s">
        <v>12559</v>
      </c>
      <c r="Q2532" s="2" t="n">
        <v>43901</v>
      </c>
      <c r="S2532" s="0" t="n">
        <f aca="false">YEAR(Q2532)</f>
        <v>2020</v>
      </c>
      <c r="T2532" s="0" t="n">
        <f aca="false">MONTH(Q2532)</f>
        <v>3</v>
      </c>
    </row>
    <row r="2533" customFormat="false" ht="14.25" hidden="true" customHeight="false" outlineLevel="0" collapsed="false">
      <c r="A2533" s="0" t="n">
        <v>2550</v>
      </c>
      <c r="B2533" s="1" t="s">
        <v>1449</v>
      </c>
      <c r="C2533" s="1" t="s">
        <v>1479</v>
      </c>
      <c r="D2533" s="1" t="s">
        <v>1487</v>
      </c>
      <c r="E2533" s="0" t="s">
        <v>1488</v>
      </c>
      <c r="F2533" s="0" t="s">
        <v>49</v>
      </c>
      <c r="G2533" s="0" t="s">
        <v>9024</v>
      </c>
      <c r="I2533" s="6" t="n">
        <v>0.881944444444444</v>
      </c>
      <c r="J2533" s="6" t="n">
        <v>0.886805555555556</v>
      </c>
      <c r="L2533" s="0" t="n">
        <v>29</v>
      </c>
      <c r="M2533" s="0" t="s">
        <v>12560</v>
      </c>
      <c r="N2533" s="0" t="s">
        <v>12561</v>
      </c>
      <c r="P2533" s="0" t="s">
        <v>12562</v>
      </c>
      <c r="Q2533" s="2" t="n">
        <v>43901</v>
      </c>
      <c r="S2533" s="0" t="n">
        <f aca="false">YEAR(Q2533)</f>
        <v>2020</v>
      </c>
      <c r="T2533" s="0" t="n">
        <f aca="false">MONTH(Q2533)</f>
        <v>3</v>
      </c>
    </row>
    <row r="2534" customFormat="false" ht="14.25" hidden="true" customHeight="false" outlineLevel="0" collapsed="false">
      <c r="A2534" s="0" t="n">
        <v>2551</v>
      </c>
      <c r="B2534" s="1" t="s">
        <v>1449</v>
      </c>
      <c r="C2534" s="1" t="s">
        <v>1479</v>
      </c>
      <c r="D2534" s="1" t="s">
        <v>1487</v>
      </c>
      <c r="E2534" s="0" t="s">
        <v>1488</v>
      </c>
      <c r="F2534" s="0" t="s">
        <v>50</v>
      </c>
      <c r="G2534" s="0" t="s">
        <v>12563</v>
      </c>
      <c r="I2534" s="6" t="n">
        <v>0.952777777777778</v>
      </c>
      <c r="J2534" s="6" t="n">
        <v>0.958333333333333</v>
      </c>
      <c r="L2534" s="0" t="n">
        <v>28</v>
      </c>
      <c r="M2534" s="0" t="s">
        <v>12564</v>
      </c>
      <c r="N2534" s="0" t="s">
        <v>12565</v>
      </c>
      <c r="P2534" s="0" t="s">
        <v>12566</v>
      </c>
      <c r="Q2534" s="2" t="n">
        <v>43901</v>
      </c>
      <c r="S2534" s="0" t="n">
        <f aca="false">YEAR(Q2534)</f>
        <v>2020</v>
      </c>
      <c r="T2534" s="0" t="n">
        <f aca="false">MONTH(Q2534)</f>
        <v>3</v>
      </c>
    </row>
    <row r="2535" customFormat="false" ht="42.75" hidden="true" customHeight="false" outlineLevel="0" collapsed="false">
      <c r="A2535" s="0" t="n">
        <v>2552</v>
      </c>
      <c r="B2535" s="1" t="s">
        <v>1449</v>
      </c>
      <c r="C2535" s="1" t="s">
        <v>1479</v>
      </c>
      <c r="D2535" s="1" t="s">
        <v>1487</v>
      </c>
      <c r="E2535" s="0" t="s">
        <v>1488</v>
      </c>
      <c r="F2535" s="0" t="s">
        <v>50</v>
      </c>
      <c r="G2535" s="0" t="s">
        <v>12567</v>
      </c>
      <c r="I2535" s="6" t="n">
        <v>0.956944444444444</v>
      </c>
      <c r="J2535" s="6" t="n">
        <v>0.959722222222222</v>
      </c>
      <c r="L2535" s="0" t="n">
        <v>29</v>
      </c>
      <c r="M2535" s="0" t="s">
        <v>12568</v>
      </c>
      <c r="N2535" s="0" t="s">
        <v>12569</v>
      </c>
      <c r="P2535" s="7" t="s">
        <v>12570</v>
      </c>
      <c r="Q2535" s="2" t="n">
        <v>43901</v>
      </c>
      <c r="S2535" s="0" t="n">
        <f aca="false">YEAR(Q2535)</f>
        <v>2020</v>
      </c>
      <c r="T2535" s="0" t="n">
        <f aca="false">MONTH(Q2535)</f>
        <v>3</v>
      </c>
    </row>
    <row r="2536" customFormat="false" ht="14.25" hidden="true" customHeight="false" outlineLevel="0" collapsed="false">
      <c r="A2536" s="0" t="n">
        <v>2553</v>
      </c>
      <c r="B2536" s="1" t="s">
        <v>1449</v>
      </c>
      <c r="C2536" s="1" t="s">
        <v>1479</v>
      </c>
      <c r="D2536" s="1" t="s">
        <v>1487</v>
      </c>
      <c r="E2536" s="0" t="s">
        <v>1488</v>
      </c>
      <c r="F2536" s="0" t="s">
        <v>50</v>
      </c>
      <c r="G2536" s="0" t="s">
        <v>12571</v>
      </c>
      <c r="I2536" s="6" t="n">
        <v>0.979166666666667</v>
      </c>
      <c r="J2536" s="6" t="n">
        <v>0.979861111111111</v>
      </c>
      <c r="L2536" s="0" t="n">
        <v>25</v>
      </c>
      <c r="M2536" s="0" t="s">
        <v>12572</v>
      </c>
      <c r="N2536" s="0" t="s">
        <v>12573</v>
      </c>
      <c r="P2536" s="0" t="s">
        <v>12574</v>
      </c>
      <c r="Q2536" s="2" t="n">
        <v>43901</v>
      </c>
      <c r="S2536" s="0" t="n">
        <f aca="false">YEAR(Q2536)</f>
        <v>2020</v>
      </c>
      <c r="T2536" s="0" t="n">
        <f aca="false">MONTH(Q2536)</f>
        <v>3</v>
      </c>
    </row>
    <row r="2537" customFormat="false" ht="14.25" hidden="true" customHeight="false" outlineLevel="0" collapsed="false">
      <c r="A2537" s="0" t="n">
        <v>2554</v>
      </c>
      <c r="B2537" s="1" t="s">
        <v>1449</v>
      </c>
      <c r="C2537" s="1" t="s">
        <v>1479</v>
      </c>
      <c r="D2537" s="1" t="s">
        <v>1487</v>
      </c>
      <c r="E2537" s="0" t="s">
        <v>1488</v>
      </c>
      <c r="F2537" s="0" t="s">
        <v>50</v>
      </c>
      <c r="G2537" s="0" t="s">
        <v>12575</v>
      </c>
      <c r="I2537" s="6" t="n">
        <v>0.00416666666666667</v>
      </c>
      <c r="J2537" s="6" t="n">
        <v>0.00416666666666667</v>
      </c>
      <c r="L2537" s="0" t="n">
        <v>32</v>
      </c>
      <c r="M2537" s="0" t="s">
        <v>12576</v>
      </c>
      <c r="N2537" s="0" t="s">
        <v>12577</v>
      </c>
      <c r="P2537" s="0" t="s">
        <v>12578</v>
      </c>
      <c r="Q2537" s="2" t="n">
        <v>43901</v>
      </c>
      <c r="S2537" s="0" t="n">
        <f aca="false">YEAR(Q2537)</f>
        <v>2020</v>
      </c>
      <c r="T2537" s="0" t="n">
        <f aca="false">MONTH(Q2537)</f>
        <v>3</v>
      </c>
    </row>
    <row r="2538" customFormat="false" ht="14.25" hidden="true" customHeight="false" outlineLevel="0" collapsed="false">
      <c r="A2538" s="0" t="n">
        <v>2555</v>
      </c>
      <c r="B2538" s="1" t="s">
        <v>1449</v>
      </c>
      <c r="C2538" s="1" t="s">
        <v>1479</v>
      </c>
      <c r="D2538" s="1" t="s">
        <v>1487</v>
      </c>
      <c r="E2538" s="0" t="s">
        <v>1488</v>
      </c>
      <c r="F2538" s="0" t="s">
        <v>50</v>
      </c>
      <c r="G2538" s="0" t="s">
        <v>11605</v>
      </c>
      <c r="I2538" s="6" t="n">
        <v>0.0916666666666667</v>
      </c>
      <c r="J2538" s="6" t="n">
        <v>0.0951388888888889</v>
      </c>
      <c r="L2538" s="0" t="n">
        <v>45</v>
      </c>
      <c r="M2538" s="0" t="s">
        <v>12579</v>
      </c>
      <c r="N2538" s="0" t="s">
        <v>12580</v>
      </c>
      <c r="P2538" s="0" t="s">
        <v>12581</v>
      </c>
      <c r="Q2538" s="2" t="n">
        <v>43901</v>
      </c>
      <c r="S2538" s="0" t="n">
        <f aca="false">YEAR(Q2538)</f>
        <v>2020</v>
      </c>
      <c r="T2538" s="0" t="n">
        <f aca="false">MONTH(Q2538)</f>
        <v>3</v>
      </c>
    </row>
    <row r="2539" customFormat="false" ht="14.25" hidden="true" customHeight="false" outlineLevel="0" collapsed="false">
      <c r="A2539" s="0" t="n">
        <v>2556</v>
      </c>
      <c r="B2539" s="1" t="s">
        <v>1449</v>
      </c>
      <c r="C2539" s="1" t="s">
        <v>1479</v>
      </c>
      <c r="D2539" s="1" t="s">
        <v>1487</v>
      </c>
      <c r="E2539" s="0" t="s">
        <v>1488</v>
      </c>
      <c r="F2539" s="0" t="s">
        <v>50</v>
      </c>
      <c r="G2539" s="0" t="s">
        <v>1489</v>
      </c>
      <c r="I2539" s="6" t="n">
        <v>0.150694444444444</v>
      </c>
      <c r="J2539" s="6" t="n">
        <v>0.159722222222222</v>
      </c>
      <c r="L2539" s="0" t="n">
        <v>25</v>
      </c>
      <c r="M2539" s="0" t="s">
        <v>12582</v>
      </c>
      <c r="N2539" s="0" t="s">
        <v>12583</v>
      </c>
      <c r="P2539" s="0" t="s">
        <v>12584</v>
      </c>
      <c r="Q2539" s="2" t="n">
        <v>43901</v>
      </c>
      <c r="S2539" s="0" t="n">
        <f aca="false">YEAR(Q2539)</f>
        <v>2020</v>
      </c>
      <c r="T2539" s="0" t="n">
        <f aca="false">MONTH(Q2539)</f>
        <v>3</v>
      </c>
    </row>
    <row r="2540" customFormat="false" ht="14.25" hidden="true" customHeight="false" outlineLevel="0" collapsed="false">
      <c r="A2540" s="0" t="n">
        <v>2557</v>
      </c>
      <c r="B2540" s="1" t="s">
        <v>1451</v>
      </c>
      <c r="C2540" s="1" t="s">
        <v>1479</v>
      </c>
      <c r="D2540" s="1" t="s">
        <v>1487</v>
      </c>
      <c r="E2540" s="0" t="s">
        <v>1488</v>
      </c>
      <c r="F2540" s="0" t="s">
        <v>48</v>
      </c>
      <c r="L2540" s="0" t="n">
        <v>60</v>
      </c>
      <c r="M2540" s="0" t="s">
        <v>12585</v>
      </c>
      <c r="Q2540" s="2" t="n">
        <v>43902</v>
      </c>
      <c r="S2540" s="0" t="n">
        <f aca="false">YEAR(Q2540)</f>
        <v>2020</v>
      </c>
      <c r="T2540" s="0" t="n">
        <f aca="false">MONTH(Q2540)</f>
        <v>3</v>
      </c>
    </row>
    <row r="2541" customFormat="false" ht="14.25" hidden="true" customHeight="false" outlineLevel="0" collapsed="false">
      <c r="A2541" s="0" t="n">
        <v>2558</v>
      </c>
      <c r="B2541" s="1" t="s">
        <v>1451</v>
      </c>
      <c r="C2541" s="1" t="s">
        <v>1479</v>
      </c>
      <c r="D2541" s="1" t="s">
        <v>1487</v>
      </c>
      <c r="E2541" s="0" t="s">
        <v>1488</v>
      </c>
      <c r="F2541" s="0" t="s">
        <v>48</v>
      </c>
      <c r="L2541" s="0" t="n">
        <v>90</v>
      </c>
      <c r="M2541" s="0" t="s">
        <v>12586</v>
      </c>
      <c r="N2541" s="0" t="s">
        <v>12587</v>
      </c>
      <c r="P2541" s="0" t="s">
        <v>12588</v>
      </c>
      <c r="Q2541" s="2" t="n">
        <v>43902</v>
      </c>
      <c r="S2541" s="0" t="n">
        <f aca="false">YEAR(Q2541)</f>
        <v>2020</v>
      </c>
      <c r="T2541" s="0" t="n">
        <f aca="false">MONTH(Q2541)</f>
        <v>3</v>
      </c>
    </row>
    <row r="2542" customFormat="false" ht="14.25" hidden="true" customHeight="false" outlineLevel="0" collapsed="false">
      <c r="A2542" s="0" t="n">
        <v>2559</v>
      </c>
      <c r="B2542" s="1" t="s">
        <v>1451</v>
      </c>
      <c r="C2542" s="1" t="s">
        <v>1479</v>
      </c>
      <c r="D2542" s="1" t="s">
        <v>1487</v>
      </c>
      <c r="E2542" s="0" t="s">
        <v>1488</v>
      </c>
      <c r="F2542" s="0" t="s">
        <v>49</v>
      </c>
      <c r="G2542" s="0" t="s">
        <v>12589</v>
      </c>
      <c r="I2542" s="6" t="n">
        <v>0.597222222222222</v>
      </c>
      <c r="J2542" s="6" t="n">
        <v>0.604166666666667</v>
      </c>
      <c r="L2542" s="0" t="n">
        <v>20</v>
      </c>
      <c r="M2542" s="0" t="s">
        <v>12590</v>
      </c>
      <c r="N2542" s="0" t="s">
        <v>12591</v>
      </c>
      <c r="P2542" s="0" t="s">
        <v>12592</v>
      </c>
      <c r="Q2542" s="2" t="n">
        <v>43902</v>
      </c>
      <c r="S2542" s="0" t="n">
        <f aca="false">YEAR(Q2542)</f>
        <v>2020</v>
      </c>
      <c r="T2542" s="0" t="n">
        <f aca="false">MONTH(Q2542)</f>
        <v>3</v>
      </c>
    </row>
    <row r="2543" customFormat="false" ht="14.25" hidden="true" customHeight="false" outlineLevel="0" collapsed="false">
      <c r="A2543" s="0" t="n">
        <v>2560</v>
      </c>
      <c r="B2543" s="1" t="s">
        <v>1451</v>
      </c>
      <c r="C2543" s="1" t="s">
        <v>1479</v>
      </c>
      <c r="D2543" s="1" t="s">
        <v>1487</v>
      </c>
      <c r="E2543" s="0" t="s">
        <v>1488</v>
      </c>
      <c r="F2543" s="0" t="s">
        <v>49</v>
      </c>
      <c r="G2543" s="0" t="s">
        <v>1489</v>
      </c>
      <c r="I2543" s="6" t="n">
        <v>0.736805555555556</v>
      </c>
      <c r="J2543" s="6" t="n">
        <v>0.747222222222222</v>
      </c>
      <c r="L2543" s="0" t="n">
        <v>70</v>
      </c>
      <c r="M2543" s="0" t="s">
        <v>12590</v>
      </c>
      <c r="N2543" s="0" t="s">
        <v>12591</v>
      </c>
      <c r="Q2543" s="2" t="n">
        <v>43902</v>
      </c>
      <c r="S2543" s="0" t="n">
        <f aca="false">YEAR(Q2543)</f>
        <v>2020</v>
      </c>
      <c r="T2543" s="0" t="n">
        <f aca="false">MONTH(Q2543)</f>
        <v>3</v>
      </c>
    </row>
    <row r="2544" customFormat="false" ht="14.25" hidden="true" customHeight="false" outlineLevel="0" collapsed="false">
      <c r="A2544" s="0" t="n">
        <v>2561</v>
      </c>
      <c r="B2544" s="1" t="s">
        <v>1451</v>
      </c>
      <c r="C2544" s="1" t="s">
        <v>1479</v>
      </c>
      <c r="D2544" s="1" t="s">
        <v>1487</v>
      </c>
      <c r="E2544" s="0" t="s">
        <v>1488</v>
      </c>
      <c r="F2544" s="0" t="s">
        <v>49</v>
      </c>
      <c r="G2544" s="0" t="s">
        <v>12593</v>
      </c>
      <c r="I2544" s="6" t="n">
        <v>0.819444444444444</v>
      </c>
      <c r="J2544" s="6" t="n">
        <v>0.823611111111111</v>
      </c>
      <c r="L2544" s="0" t="n">
        <v>17</v>
      </c>
      <c r="M2544" s="0" t="s">
        <v>12594</v>
      </c>
      <c r="N2544" s="0" t="s">
        <v>12595</v>
      </c>
      <c r="P2544" s="0" t="s">
        <v>12596</v>
      </c>
      <c r="Q2544" s="2" t="n">
        <v>43902</v>
      </c>
      <c r="S2544" s="0" t="n">
        <f aca="false">YEAR(Q2544)</f>
        <v>2020</v>
      </c>
      <c r="T2544" s="0" t="n">
        <f aca="false">MONTH(Q2544)</f>
        <v>3</v>
      </c>
    </row>
    <row r="2545" customFormat="false" ht="14.25" hidden="true" customHeight="false" outlineLevel="0" collapsed="false">
      <c r="A2545" s="0" t="n">
        <v>2562</v>
      </c>
      <c r="B2545" s="1" t="s">
        <v>1451</v>
      </c>
      <c r="C2545" s="1" t="s">
        <v>1479</v>
      </c>
      <c r="D2545" s="1" t="s">
        <v>1487</v>
      </c>
      <c r="E2545" s="0" t="s">
        <v>1488</v>
      </c>
      <c r="F2545" s="0" t="s">
        <v>50</v>
      </c>
      <c r="G2545" s="0" t="s">
        <v>10886</v>
      </c>
      <c r="I2545" s="6" t="n">
        <v>0.956944444444444</v>
      </c>
      <c r="J2545" s="6" t="n">
        <v>0.961805555555555</v>
      </c>
      <c r="L2545" s="0" t="n">
        <v>50</v>
      </c>
      <c r="M2545" s="0" t="s">
        <v>12597</v>
      </c>
      <c r="N2545" s="0" t="s">
        <v>12598</v>
      </c>
      <c r="P2545" s="0" t="s">
        <v>12599</v>
      </c>
      <c r="Q2545" s="2" t="n">
        <v>43902</v>
      </c>
      <c r="S2545" s="0" t="n">
        <f aca="false">YEAR(Q2545)</f>
        <v>2020</v>
      </c>
      <c r="T2545" s="0" t="n">
        <f aca="false">MONTH(Q2545)</f>
        <v>3</v>
      </c>
    </row>
    <row r="2546" customFormat="false" ht="14.25" hidden="true" customHeight="false" outlineLevel="0" collapsed="false">
      <c r="A2546" s="0" t="n">
        <v>2563</v>
      </c>
      <c r="B2546" s="1" t="s">
        <v>1451</v>
      </c>
      <c r="C2546" s="1" t="s">
        <v>1479</v>
      </c>
      <c r="D2546" s="1" t="s">
        <v>1487</v>
      </c>
      <c r="E2546" s="0" t="s">
        <v>1488</v>
      </c>
      <c r="F2546" s="0" t="s">
        <v>50</v>
      </c>
      <c r="G2546" s="0" t="s">
        <v>12600</v>
      </c>
      <c r="I2546" s="6" t="n">
        <v>0.0375</v>
      </c>
      <c r="J2546" s="6" t="n">
        <v>0.0416666666666667</v>
      </c>
      <c r="L2546" s="0" t="n">
        <v>35</v>
      </c>
      <c r="M2546" s="0" t="s">
        <v>12601</v>
      </c>
      <c r="N2546" s="0" t="s">
        <v>12602</v>
      </c>
      <c r="P2546" s="0" t="s">
        <v>12603</v>
      </c>
      <c r="Q2546" s="2" t="n">
        <v>43902</v>
      </c>
      <c r="S2546" s="0" t="n">
        <f aca="false">YEAR(Q2546)</f>
        <v>2020</v>
      </c>
      <c r="T2546" s="0" t="n">
        <f aca="false">MONTH(Q2546)</f>
        <v>3</v>
      </c>
    </row>
    <row r="2547" customFormat="false" ht="14.25" hidden="true" customHeight="false" outlineLevel="0" collapsed="false">
      <c r="A2547" s="0" t="n">
        <v>2564</v>
      </c>
      <c r="B2547" s="1" t="s">
        <v>1451</v>
      </c>
      <c r="C2547" s="1" t="s">
        <v>1479</v>
      </c>
      <c r="D2547" s="1" t="s">
        <v>1487</v>
      </c>
      <c r="E2547" s="0" t="s">
        <v>1488</v>
      </c>
      <c r="F2547" s="0" t="s">
        <v>50</v>
      </c>
      <c r="G2547" s="0" t="s">
        <v>12604</v>
      </c>
      <c r="M2547" s="0" t="s">
        <v>12605</v>
      </c>
      <c r="N2547" s="0" t="s">
        <v>12606</v>
      </c>
      <c r="P2547" s="0" t="s">
        <v>12607</v>
      </c>
      <c r="Q2547" s="2" t="n">
        <v>43902</v>
      </c>
      <c r="S2547" s="0" t="n">
        <f aca="false">YEAR(Q2547)</f>
        <v>2020</v>
      </c>
      <c r="T2547" s="0" t="n">
        <f aca="false">MONTH(Q2547)</f>
        <v>3</v>
      </c>
    </row>
    <row r="2548" customFormat="false" ht="14.25" hidden="true" customHeight="false" outlineLevel="0" collapsed="false">
      <c r="A2548" s="0" t="n">
        <v>2565</v>
      </c>
      <c r="B2548" s="1" t="s">
        <v>1453</v>
      </c>
      <c r="C2548" s="1" t="s">
        <v>1479</v>
      </c>
      <c r="D2548" s="1" t="s">
        <v>1487</v>
      </c>
      <c r="E2548" s="4" t="s">
        <v>1488</v>
      </c>
      <c r="F2548" s="0" t="s">
        <v>48</v>
      </c>
      <c r="G2548" s="0" t="s">
        <v>12608</v>
      </c>
      <c r="I2548" s="6" t="n">
        <v>0.576388888888889</v>
      </c>
      <c r="K2548" s="0" t="n">
        <v>14</v>
      </c>
      <c r="L2548" s="0" t="n">
        <v>30</v>
      </c>
      <c r="M2548" s="0" t="s">
        <v>12609</v>
      </c>
      <c r="N2548" s="0" t="s">
        <v>12610</v>
      </c>
      <c r="P2548" s="0" t="s">
        <v>12611</v>
      </c>
      <c r="Q2548" s="2" t="n">
        <v>43903</v>
      </c>
      <c r="S2548" s="0" t="n">
        <f aca="false">YEAR(Q2548)</f>
        <v>2020</v>
      </c>
      <c r="T2548" s="0" t="n">
        <f aca="false">MONTH(Q2548)</f>
        <v>3</v>
      </c>
    </row>
    <row r="2549" customFormat="false" ht="14.25" hidden="true" customHeight="false" outlineLevel="0" collapsed="false">
      <c r="A2549" s="0" t="n">
        <v>2566</v>
      </c>
      <c r="B2549" s="1" t="s">
        <v>1453</v>
      </c>
      <c r="C2549" s="1" t="s">
        <v>1479</v>
      </c>
      <c r="D2549" s="1" t="s">
        <v>1487</v>
      </c>
      <c r="E2549" s="0" t="s">
        <v>1488</v>
      </c>
      <c r="F2549" s="0" t="s">
        <v>49</v>
      </c>
      <c r="G2549" s="0" t="s">
        <v>8856</v>
      </c>
      <c r="I2549" s="6" t="n">
        <v>0.576388888888889</v>
      </c>
      <c r="J2549" s="6" t="n">
        <v>0.604166666666667</v>
      </c>
      <c r="L2549" s="0" t="n">
        <v>90</v>
      </c>
      <c r="M2549" s="0" t="s">
        <v>6061</v>
      </c>
      <c r="N2549" s="0" t="s">
        <v>12612</v>
      </c>
      <c r="P2549" s="0" t="s">
        <v>12613</v>
      </c>
      <c r="Q2549" s="2" t="n">
        <v>43903</v>
      </c>
      <c r="S2549" s="0" t="n">
        <f aca="false">YEAR(Q2549)</f>
        <v>2020</v>
      </c>
      <c r="T2549" s="0" t="n">
        <f aca="false">MONTH(Q2549)</f>
        <v>3</v>
      </c>
    </row>
    <row r="2550" customFormat="false" ht="14.25" hidden="true" customHeight="false" outlineLevel="0" collapsed="false">
      <c r="A2550" s="0" t="n">
        <v>2567</v>
      </c>
      <c r="B2550" s="1" t="s">
        <v>1453</v>
      </c>
      <c r="C2550" s="1" t="s">
        <v>1479</v>
      </c>
      <c r="D2550" s="1" t="s">
        <v>1487</v>
      </c>
      <c r="E2550" s="0" t="s">
        <v>1488</v>
      </c>
      <c r="F2550" s="0" t="s">
        <v>49</v>
      </c>
      <c r="G2550" s="0" t="s">
        <v>12614</v>
      </c>
      <c r="I2550" s="6" t="n">
        <v>0.708333333333333</v>
      </c>
      <c r="J2550" s="6" t="n">
        <v>0.715277777777778</v>
      </c>
      <c r="L2550" s="0" t="n">
        <v>45</v>
      </c>
      <c r="M2550" s="0" t="s">
        <v>12615</v>
      </c>
      <c r="N2550" s="0" t="s">
        <v>12616</v>
      </c>
      <c r="P2550" s="0" t="s">
        <v>12617</v>
      </c>
      <c r="Q2550" s="2" t="n">
        <v>43903</v>
      </c>
      <c r="S2550" s="0" t="n">
        <f aca="false">YEAR(Q2550)</f>
        <v>2020</v>
      </c>
      <c r="T2550" s="0" t="n">
        <f aca="false">MONTH(Q2550)</f>
        <v>3</v>
      </c>
    </row>
    <row r="2551" customFormat="false" ht="14.25" hidden="true" customHeight="false" outlineLevel="0" collapsed="false">
      <c r="A2551" s="0" t="n">
        <v>2568</v>
      </c>
      <c r="B2551" s="1" t="s">
        <v>1453</v>
      </c>
      <c r="C2551" s="1" t="s">
        <v>1479</v>
      </c>
      <c r="D2551" s="1" t="s">
        <v>1487</v>
      </c>
      <c r="E2551" s="0" t="s">
        <v>1488</v>
      </c>
      <c r="F2551" s="0" t="s">
        <v>49</v>
      </c>
      <c r="G2551" s="0" t="s">
        <v>12618</v>
      </c>
      <c r="I2551" s="6" t="n">
        <v>0.727083333333333</v>
      </c>
      <c r="J2551" s="6" t="n">
        <v>0.743055555555555</v>
      </c>
      <c r="L2551" s="0" t="n">
        <v>70</v>
      </c>
      <c r="M2551" s="0" t="s">
        <v>12619</v>
      </c>
      <c r="N2551" s="0" t="s">
        <v>12620</v>
      </c>
      <c r="P2551" s="0" t="s">
        <v>12621</v>
      </c>
      <c r="Q2551" s="2" t="n">
        <v>43903</v>
      </c>
      <c r="S2551" s="0" t="n">
        <f aca="false">YEAR(Q2551)</f>
        <v>2020</v>
      </c>
      <c r="T2551" s="0" t="n">
        <f aca="false">MONTH(Q2551)</f>
        <v>3</v>
      </c>
    </row>
    <row r="2552" customFormat="false" ht="14.25" hidden="true" customHeight="false" outlineLevel="0" collapsed="false">
      <c r="A2552" s="0" t="n">
        <v>2569</v>
      </c>
      <c r="B2552" s="1" t="s">
        <v>1454</v>
      </c>
      <c r="C2552" s="1" t="s">
        <v>1479</v>
      </c>
      <c r="D2552" s="1" t="s">
        <v>1487</v>
      </c>
      <c r="E2552" s="0" t="s">
        <v>1488</v>
      </c>
      <c r="F2552" s="0" t="s">
        <v>48</v>
      </c>
      <c r="G2552" s="0" t="s">
        <v>9766</v>
      </c>
      <c r="I2552" s="6" t="n">
        <v>0.420138888888889</v>
      </c>
      <c r="J2552" s="6" t="n">
        <v>0.427083333333333</v>
      </c>
      <c r="L2552" s="0" t="n">
        <v>35</v>
      </c>
      <c r="M2552" s="0" t="s">
        <v>12622</v>
      </c>
      <c r="N2552" s="0" t="s">
        <v>12623</v>
      </c>
      <c r="P2552" s="0" t="s">
        <v>12624</v>
      </c>
      <c r="Q2552" s="2" t="n">
        <v>43904</v>
      </c>
      <c r="S2552" s="0" t="n">
        <f aca="false">YEAR(Q2552)</f>
        <v>2020</v>
      </c>
      <c r="T2552" s="0" t="n">
        <f aca="false">MONTH(Q2552)</f>
        <v>3</v>
      </c>
    </row>
    <row r="2553" customFormat="false" ht="14.25" hidden="true" customHeight="false" outlineLevel="0" collapsed="false">
      <c r="A2553" s="0" t="n">
        <v>2570</v>
      </c>
      <c r="B2553" s="1" t="s">
        <v>1455</v>
      </c>
      <c r="C2553" s="1" t="s">
        <v>1479</v>
      </c>
      <c r="D2553" s="1" t="s">
        <v>1487</v>
      </c>
      <c r="E2553" s="0" t="s">
        <v>1488</v>
      </c>
      <c r="F2553" s="0" t="s">
        <v>50</v>
      </c>
      <c r="G2553" s="0" t="s">
        <v>12625</v>
      </c>
      <c r="I2553" s="6" t="n">
        <v>0.895833333333333</v>
      </c>
      <c r="J2553" s="6" t="n">
        <v>0.9375</v>
      </c>
      <c r="L2553" s="0" t="n">
        <v>270</v>
      </c>
      <c r="M2553" s="0" t="s">
        <v>12626</v>
      </c>
      <c r="N2553" s="0" t="s">
        <v>12627</v>
      </c>
      <c r="P2553" s="0" t="s">
        <v>12628</v>
      </c>
      <c r="Q2553" s="2" t="n">
        <v>43905</v>
      </c>
      <c r="S2553" s="0" t="n">
        <f aca="false">YEAR(Q2553)</f>
        <v>2020</v>
      </c>
      <c r="T2553" s="0" t="n">
        <f aca="false">MONTH(Q2553)</f>
        <v>3</v>
      </c>
    </row>
    <row r="2554" customFormat="false" ht="14.25" hidden="true" customHeight="false" outlineLevel="0" collapsed="false">
      <c r="A2554" s="0" t="n">
        <v>2571</v>
      </c>
      <c r="B2554" s="1" t="s">
        <v>1455</v>
      </c>
      <c r="C2554" s="1" t="s">
        <v>1479</v>
      </c>
      <c r="D2554" s="1" t="s">
        <v>1487</v>
      </c>
      <c r="E2554" s="0" t="s">
        <v>1488</v>
      </c>
      <c r="F2554" s="0" t="s">
        <v>50</v>
      </c>
      <c r="G2554" s="0" t="s">
        <v>12629</v>
      </c>
      <c r="I2554" s="6" t="n">
        <v>0.128472222222222</v>
      </c>
      <c r="J2554" s="6" t="n">
        <v>0.128472222222222</v>
      </c>
      <c r="L2554" s="0" t="n">
        <v>25</v>
      </c>
      <c r="M2554" s="0" t="s">
        <v>12630</v>
      </c>
      <c r="N2554" s="0" t="s">
        <v>12631</v>
      </c>
      <c r="P2554" s="0" t="s">
        <v>12632</v>
      </c>
      <c r="Q2554" s="2" t="n">
        <v>43905</v>
      </c>
      <c r="S2554" s="0" t="n">
        <f aca="false">YEAR(Q2554)</f>
        <v>2020</v>
      </c>
      <c r="T2554" s="0" t="n">
        <f aca="false">MONTH(Q2554)</f>
        <v>3</v>
      </c>
    </row>
    <row r="2555" customFormat="false" ht="14.25" hidden="true" customHeight="false" outlineLevel="0" collapsed="false">
      <c r="A2555" s="0" t="n">
        <v>2572</v>
      </c>
      <c r="B2555" s="1" t="s">
        <v>1455</v>
      </c>
      <c r="C2555" s="1" t="s">
        <v>1479</v>
      </c>
      <c r="D2555" s="1" t="s">
        <v>1535</v>
      </c>
      <c r="E2555" s="0" t="s">
        <v>39</v>
      </c>
      <c r="F2555" s="0" t="s">
        <v>50</v>
      </c>
      <c r="G2555" s="0" t="s">
        <v>12633</v>
      </c>
      <c r="I2555" s="6" t="n">
        <v>0.166666666666667</v>
      </c>
      <c r="J2555" s="6" t="n">
        <v>0.175</v>
      </c>
      <c r="M2555" s="0" t="s">
        <v>12634</v>
      </c>
      <c r="N2555" s="0" t="s">
        <v>12635</v>
      </c>
      <c r="P2555" s="0" t="s">
        <v>12636</v>
      </c>
      <c r="Q2555" s="2" t="n">
        <v>43905</v>
      </c>
      <c r="S2555" s="0" t="n">
        <f aca="false">YEAR(Q2555)</f>
        <v>2020</v>
      </c>
      <c r="T2555" s="0" t="n">
        <f aca="false">MONTH(Q2555)</f>
        <v>3</v>
      </c>
    </row>
    <row r="2556" customFormat="false" ht="28.5" hidden="true" customHeight="false" outlineLevel="0" collapsed="false">
      <c r="A2556" s="0" t="n">
        <v>2573</v>
      </c>
      <c r="B2556" s="1" t="s">
        <v>12637</v>
      </c>
      <c r="C2556" s="1" t="s">
        <v>1479</v>
      </c>
      <c r="D2556" s="1" t="s">
        <v>1480</v>
      </c>
      <c r="E2556" s="0" t="s">
        <v>43</v>
      </c>
      <c r="F2556" s="0" t="s">
        <v>48</v>
      </c>
      <c r="G2556" s="0" t="s">
        <v>12638</v>
      </c>
      <c r="I2556" s="6" t="n">
        <v>0.541666666666667</v>
      </c>
      <c r="J2556" s="6" t="n">
        <v>0.555555555555556</v>
      </c>
      <c r="K2556" s="0" t="n">
        <v>0</v>
      </c>
      <c r="L2556" s="0" t="n">
        <v>150</v>
      </c>
      <c r="M2556" s="7" t="s">
        <v>12639</v>
      </c>
      <c r="N2556" s="7" t="s">
        <v>12640</v>
      </c>
      <c r="O2556" s="7"/>
      <c r="P2556" s="7" t="s">
        <v>12641</v>
      </c>
      <c r="Q2556" s="2" t="n">
        <v>44200</v>
      </c>
      <c r="S2556" s="0" t="n">
        <f aca="false">YEAR(Q2556)</f>
        <v>2021</v>
      </c>
      <c r="T2556" s="0" t="n">
        <f aca="false">MONTH(Q2556)</f>
        <v>1</v>
      </c>
    </row>
    <row r="2557" customFormat="false" ht="14.25" hidden="true" customHeight="false" outlineLevel="0" collapsed="false">
      <c r="A2557" s="0" t="n">
        <v>2574</v>
      </c>
      <c r="B2557" s="1" t="s">
        <v>12642</v>
      </c>
      <c r="C2557" s="1" t="s">
        <v>1479</v>
      </c>
      <c r="D2557" s="1" t="s">
        <v>1480</v>
      </c>
      <c r="E2557" s="0" t="s">
        <v>43</v>
      </c>
      <c r="F2557" s="0" t="s">
        <v>48</v>
      </c>
      <c r="G2557" s="0" t="s">
        <v>12643</v>
      </c>
      <c r="I2557" s="6" t="n">
        <v>0.236111111111111</v>
      </c>
      <c r="J2557" s="6" t="n">
        <v>0.302083333333333</v>
      </c>
      <c r="K2557" s="0" t="n">
        <v>0</v>
      </c>
      <c r="L2557" s="0" t="n">
        <v>440</v>
      </c>
      <c r="M2557" s="0" t="s">
        <v>12644</v>
      </c>
      <c r="N2557" s="0" t="s">
        <v>12645</v>
      </c>
      <c r="P2557" s="0" t="s">
        <v>12646</v>
      </c>
      <c r="Q2557" s="2" t="n">
        <v>44201</v>
      </c>
      <c r="S2557" s="0" t="n">
        <f aca="false">YEAR(Q2557)</f>
        <v>2021</v>
      </c>
      <c r="T2557" s="0" t="n">
        <f aca="false">MONTH(Q2557)</f>
        <v>1</v>
      </c>
    </row>
    <row r="2558" customFormat="false" ht="14.25" hidden="true" customHeight="false" outlineLevel="0" collapsed="false">
      <c r="A2558" s="0" t="n">
        <v>2575</v>
      </c>
      <c r="B2558" s="1" t="s">
        <v>12642</v>
      </c>
      <c r="C2558" s="1" t="s">
        <v>1495</v>
      </c>
      <c r="D2558" s="1" t="s">
        <v>1496</v>
      </c>
      <c r="E2558" s="0" t="s">
        <v>41</v>
      </c>
      <c r="F2558" s="0" t="s">
        <v>48</v>
      </c>
      <c r="G2558" s="0" t="s">
        <v>12647</v>
      </c>
      <c r="I2558" s="6" t="n">
        <v>0.236111111111111</v>
      </c>
      <c r="J2558" s="6" t="n">
        <v>0.354166666666667</v>
      </c>
      <c r="M2558" s="0" t="s">
        <v>12648</v>
      </c>
      <c r="N2558" s="0" t="s">
        <v>12649</v>
      </c>
      <c r="P2558" s="0" t="s">
        <v>12650</v>
      </c>
      <c r="Q2558" s="2" t="n">
        <v>44201</v>
      </c>
      <c r="S2558" s="0" t="n">
        <f aca="false">YEAR(Q2558)</f>
        <v>2021</v>
      </c>
      <c r="T2558" s="0" t="n">
        <f aca="false">MONTH(Q2558)</f>
        <v>1</v>
      </c>
    </row>
    <row r="2559" customFormat="false" ht="14.25" hidden="true" customHeight="false" outlineLevel="0" collapsed="false">
      <c r="A2559" s="0" t="n">
        <v>2576</v>
      </c>
      <c r="B2559" s="1" t="s">
        <v>12651</v>
      </c>
      <c r="C2559" s="1" t="s">
        <v>1479</v>
      </c>
      <c r="D2559" s="1" t="s">
        <v>1535</v>
      </c>
      <c r="E2559" s="0" t="s">
        <v>39</v>
      </c>
      <c r="G2559" s="0" t="s">
        <v>8322</v>
      </c>
      <c r="M2559" s="0" t="s">
        <v>12652</v>
      </c>
      <c r="N2559" s="0" t="s">
        <v>12653</v>
      </c>
      <c r="P2559" s="0" t="s">
        <v>12654</v>
      </c>
      <c r="Q2559" s="2" t="n">
        <v>44203</v>
      </c>
      <c r="S2559" s="0" t="n">
        <f aca="false">YEAR(Q2559)</f>
        <v>2021</v>
      </c>
      <c r="T2559" s="0" t="n">
        <f aca="false">MONTH(Q2559)</f>
        <v>1</v>
      </c>
    </row>
    <row r="2560" customFormat="false" ht="14.25" hidden="true" customHeight="false" outlineLevel="0" collapsed="false">
      <c r="A2560" s="0" t="n">
        <v>2577</v>
      </c>
      <c r="B2560" s="1" t="s">
        <v>12655</v>
      </c>
      <c r="C2560" s="1" t="s">
        <v>1495</v>
      </c>
      <c r="D2560" s="1" t="s">
        <v>1535</v>
      </c>
      <c r="E2560" s="0" t="s">
        <v>42</v>
      </c>
      <c r="F2560" s="0" t="s">
        <v>48</v>
      </c>
      <c r="G2560" s="0" t="s">
        <v>9101</v>
      </c>
      <c r="J2560" s="6" t="n">
        <v>0.385416666666667</v>
      </c>
      <c r="L2560" s="0" t="n">
        <v>100</v>
      </c>
      <c r="M2560" s="0" t="s">
        <v>12656</v>
      </c>
      <c r="N2560" s="0" t="s">
        <v>12657</v>
      </c>
      <c r="P2560" s="0" t="s">
        <v>12658</v>
      </c>
      <c r="Q2560" s="2" t="n">
        <v>44207</v>
      </c>
      <c r="S2560" s="0" t="n">
        <f aca="false">YEAR(Q2560)</f>
        <v>2021</v>
      </c>
      <c r="T2560" s="0" t="n">
        <f aca="false">MONTH(Q2560)</f>
        <v>1</v>
      </c>
    </row>
    <row r="2561" customFormat="false" ht="14.25" hidden="true" customHeight="false" outlineLevel="0" collapsed="false">
      <c r="A2561" s="0" t="n">
        <v>2578</v>
      </c>
      <c r="B2561" s="1" t="s">
        <v>12655</v>
      </c>
      <c r="C2561" s="1" t="s">
        <v>1479</v>
      </c>
      <c r="D2561" s="1" t="s">
        <v>1480</v>
      </c>
      <c r="E2561" s="0" t="s">
        <v>43</v>
      </c>
      <c r="F2561" s="0" t="s">
        <v>48</v>
      </c>
      <c r="G2561" s="0" t="s">
        <v>10457</v>
      </c>
      <c r="J2561" s="6" t="n">
        <v>0.359722222222222</v>
      </c>
      <c r="K2561" s="0" t="n">
        <v>0</v>
      </c>
      <c r="M2561" s="0" t="s">
        <v>12659</v>
      </c>
      <c r="N2561" s="0" t="s">
        <v>12660</v>
      </c>
      <c r="P2561" s="0" t="s">
        <v>12661</v>
      </c>
      <c r="Q2561" s="2" t="n">
        <v>44207</v>
      </c>
      <c r="S2561" s="0" t="n">
        <f aca="false">YEAR(Q2561)</f>
        <v>2021</v>
      </c>
      <c r="T2561" s="0" t="n">
        <f aca="false">MONTH(Q2561)</f>
        <v>1</v>
      </c>
    </row>
    <row r="2562" customFormat="false" ht="14.25" hidden="true" customHeight="false" outlineLevel="0" collapsed="false">
      <c r="A2562" s="0" t="n">
        <v>2579</v>
      </c>
      <c r="B2562" s="1" t="s">
        <v>12662</v>
      </c>
      <c r="C2562" s="1" t="s">
        <v>1479</v>
      </c>
      <c r="D2562" s="1" t="s">
        <v>1535</v>
      </c>
      <c r="E2562" s="0" t="s">
        <v>39</v>
      </c>
      <c r="F2562" s="0" t="s">
        <v>48</v>
      </c>
      <c r="G2562" s="0" t="s">
        <v>12663</v>
      </c>
      <c r="J2562" s="6" t="n">
        <v>0.427083333333333</v>
      </c>
      <c r="K2562" s="0" t="n">
        <v>0</v>
      </c>
      <c r="L2562" s="0" t="n">
        <v>80</v>
      </c>
      <c r="M2562" s="0" t="s">
        <v>12664</v>
      </c>
      <c r="N2562" s="0" t="s">
        <v>12665</v>
      </c>
      <c r="P2562" s="0" t="s">
        <v>12666</v>
      </c>
      <c r="Q2562" s="2" t="n">
        <v>44208</v>
      </c>
      <c r="S2562" s="0" t="n">
        <f aca="false">YEAR(Q2562)</f>
        <v>2021</v>
      </c>
      <c r="T2562" s="0" t="n">
        <f aca="false">MONTH(Q2562)</f>
        <v>1</v>
      </c>
    </row>
    <row r="2563" customFormat="false" ht="14.25" hidden="true" customHeight="false" outlineLevel="0" collapsed="false">
      <c r="A2563" s="0" t="n">
        <v>2580</v>
      </c>
      <c r="B2563" s="1" t="s">
        <v>12662</v>
      </c>
      <c r="C2563" s="1" t="s">
        <v>1479</v>
      </c>
      <c r="D2563" s="1" t="s">
        <v>1487</v>
      </c>
      <c r="E2563" s="0" t="s">
        <v>1488</v>
      </c>
      <c r="F2563" s="0" t="s">
        <v>49</v>
      </c>
      <c r="G2563" s="0" t="s">
        <v>12667</v>
      </c>
      <c r="I2563" s="6" t="n">
        <v>0.600694444444444</v>
      </c>
      <c r="J2563" s="6" t="n">
        <v>0.642361111111111</v>
      </c>
      <c r="L2563" s="0" t="n">
        <v>155</v>
      </c>
      <c r="M2563" s="0" t="s">
        <v>12668</v>
      </c>
      <c r="N2563" s="0" t="s">
        <v>12669</v>
      </c>
      <c r="P2563" s="0" t="s">
        <v>12670</v>
      </c>
      <c r="Q2563" s="2" t="n">
        <v>44208</v>
      </c>
      <c r="S2563" s="0" t="n">
        <f aca="false">YEAR(Q2563)</f>
        <v>2021</v>
      </c>
      <c r="T2563" s="0" t="n">
        <f aca="false">MONTH(Q2563)</f>
        <v>1</v>
      </c>
    </row>
    <row r="2564" customFormat="false" ht="14.25" hidden="true" customHeight="false" outlineLevel="0" collapsed="false">
      <c r="A2564" s="0" t="n">
        <v>2581</v>
      </c>
      <c r="B2564" s="1" t="s">
        <v>12671</v>
      </c>
      <c r="C2564" s="1" t="s">
        <v>1479</v>
      </c>
      <c r="D2564" s="1" t="s">
        <v>1535</v>
      </c>
      <c r="E2564" s="0" t="s">
        <v>39</v>
      </c>
      <c r="F2564" s="0" t="s">
        <v>48</v>
      </c>
      <c r="G2564" s="0" t="s">
        <v>12672</v>
      </c>
      <c r="J2564" s="6" t="n">
        <v>0.260416666666667</v>
      </c>
      <c r="K2564" s="0" t="n">
        <v>0</v>
      </c>
      <c r="M2564" s="0" t="s">
        <v>12673</v>
      </c>
      <c r="N2564" s="0" t="s">
        <v>12674</v>
      </c>
      <c r="P2564" s="0" t="s">
        <v>12675</v>
      </c>
      <c r="Q2564" s="2" t="n">
        <v>44209</v>
      </c>
      <c r="S2564" s="0" t="n">
        <f aca="false">YEAR(Q2564)</f>
        <v>2021</v>
      </c>
      <c r="T2564" s="0" t="n">
        <f aca="false">MONTH(Q2564)</f>
        <v>1</v>
      </c>
    </row>
    <row r="2565" customFormat="false" ht="14.25" hidden="true" customHeight="false" outlineLevel="0" collapsed="false">
      <c r="A2565" s="0" t="n">
        <v>2582</v>
      </c>
      <c r="B2565" s="1" t="s">
        <v>12676</v>
      </c>
      <c r="C2565" s="1" t="s">
        <v>1479</v>
      </c>
      <c r="D2565" s="1" t="s">
        <v>1480</v>
      </c>
      <c r="E2565" s="0" t="s">
        <v>43</v>
      </c>
      <c r="F2565" s="0" t="s">
        <v>48</v>
      </c>
      <c r="G2565" s="0" t="s">
        <v>12677</v>
      </c>
      <c r="J2565" s="6" t="n">
        <v>0.347222222222222</v>
      </c>
      <c r="K2565" s="0" t="n">
        <v>0</v>
      </c>
      <c r="M2565" s="0" t="s">
        <v>12678</v>
      </c>
      <c r="N2565" s="0" t="s">
        <v>12679</v>
      </c>
      <c r="P2565" s="0" t="s">
        <v>12680</v>
      </c>
      <c r="Q2565" s="2" t="n">
        <v>44210</v>
      </c>
      <c r="S2565" s="0" t="n">
        <f aca="false">YEAR(Q2565)</f>
        <v>2021</v>
      </c>
      <c r="T2565" s="0" t="n">
        <f aca="false">MONTH(Q2565)</f>
        <v>1</v>
      </c>
    </row>
    <row r="2566" customFormat="false" ht="14.25" hidden="true" customHeight="false" outlineLevel="0" collapsed="false">
      <c r="A2566" s="0" t="n">
        <v>2583</v>
      </c>
      <c r="B2566" s="1" t="s">
        <v>12681</v>
      </c>
      <c r="C2566" s="1" t="s">
        <v>1479</v>
      </c>
      <c r="D2566" s="1" t="s">
        <v>1496</v>
      </c>
      <c r="E2566" s="0" t="s">
        <v>38</v>
      </c>
      <c r="F2566" s="0" t="s">
        <v>48</v>
      </c>
      <c r="G2566" s="0" t="s">
        <v>12682</v>
      </c>
      <c r="J2566" s="6" t="n">
        <v>0.5</v>
      </c>
      <c r="K2566" s="0" t="n">
        <v>0</v>
      </c>
      <c r="M2566" s="0" t="s">
        <v>12683</v>
      </c>
      <c r="N2566" s="0" t="s">
        <v>12684</v>
      </c>
      <c r="P2566" s="0" t="s">
        <v>12685</v>
      </c>
      <c r="Q2566" s="2" t="n">
        <v>44211</v>
      </c>
      <c r="S2566" s="0" t="n">
        <f aca="false">YEAR(Q2566)</f>
        <v>2021</v>
      </c>
      <c r="T2566" s="0" t="n">
        <f aca="false">MONTH(Q2566)</f>
        <v>1</v>
      </c>
    </row>
    <row r="2567" customFormat="false" ht="14.25" hidden="true" customHeight="false" outlineLevel="0" collapsed="false">
      <c r="A2567" s="0" t="n">
        <v>2584</v>
      </c>
      <c r="B2567" s="1" t="s">
        <v>12681</v>
      </c>
      <c r="C2567" s="1" t="s">
        <v>1503</v>
      </c>
      <c r="D2567" s="1" t="s">
        <v>1535</v>
      </c>
      <c r="E2567" s="0" t="s">
        <v>1503</v>
      </c>
      <c r="F2567" s="0" t="s">
        <v>48</v>
      </c>
      <c r="G2567" s="0" t="s">
        <v>12686</v>
      </c>
      <c r="H2567" s="0" t="s">
        <v>12687</v>
      </c>
      <c r="J2567" s="6" t="n">
        <v>0.583333333333333</v>
      </c>
      <c r="K2567" s="0" t="n">
        <v>0</v>
      </c>
      <c r="M2567" s="0" t="s">
        <v>12688</v>
      </c>
      <c r="N2567" s="0" t="s">
        <v>12689</v>
      </c>
      <c r="P2567" s="0" t="s">
        <v>12690</v>
      </c>
      <c r="Q2567" s="2" t="n">
        <v>44211</v>
      </c>
      <c r="S2567" s="0" t="n">
        <f aca="false">YEAR(Q2567)</f>
        <v>2021</v>
      </c>
      <c r="T2567" s="0" t="n">
        <f aca="false">MONTH(Q2567)</f>
        <v>1</v>
      </c>
    </row>
    <row r="2568" customFormat="false" ht="14.25" hidden="true" customHeight="false" outlineLevel="0" collapsed="false">
      <c r="A2568" s="0" t="n">
        <v>2585</v>
      </c>
      <c r="B2568" s="1" t="s">
        <v>12691</v>
      </c>
      <c r="C2568" s="1" t="s">
        <v>1479</v>
      </c>
      <c r="D2568" s="1" t="s">
        <v>1496</v>
      </c>
      <c r="E2568" s="0" t="s">
        <v>38</v>
      </c>
      <c r="F2568" s="0" t="s">
        <v>48</v>
      </c>
      <c r="G2568" s="0" t="s">
        <v>12692</v>
      </c>
      <c r="J2568" s="6" t="n">
        <v>0.291666666666667</v>
      </c>
      <c r="K2568" s="0" t="n">
        <v>0</v>
      </c>
      <c r="M2568" s="0" t="s">
        <v>12683</v>
      </c>
      <c r="N2568" s="0" t="s">
        <v>12693</v>
      </c>
      <c r="P2568" s="0" t="s">
        <v>12694</v>
      </c>
      <c r="Q2568" s="2" t="n">
        <v>44214</v>
      </c>
      <c r="S2568" s="0" t="n">
        <f aca="false">YEAR(Q2568)</f>
        <v>2021</v>
      </c>
      <c r="T2568" s="0" t="n">
        <f aca="false">MONTH(Q2568)</f>
        <v>1</v>
      </c>
    </row>
    <row r="2569" customFormat="false" ht="14.25" hidden="true" customHeight="false" outlineLevel="0" collapsed="false">
      <c r="A2569" s="0" t="n">
        <v>2586</v>
      </c>
      <c r="B2569" s="1" t="s">
        <v>12695</v>
      </c>
      <c r="C2569" s="1" t="s">
        <v>1503</v>
      </c>
      <c r="D2569" s="1" t="s">
        <v>1535</v>
      </c>
      <c r="E2569" s="0" t="s">
        <v>1503</v>
      </c>
      <c r="F2569" s="0" t="s">
        <v>48</v>
      </c>
      <c r="G2569" s="0" t="s">
        <v>10064</v>
      </c>
      <c r="H2569" s="0" t="s">
        <v>12687</v>
      </c>
      <c r="J2569" s="6" t="n">
        <v>0.216666666666667</v>
      </c>
      <c r="K2569" s="0" t="n">
        <v>0</v>
      </c>
      <c r="L2569" s="0" t="n">
        <v>80</v>
      </c>
      <c r="M2569" s="0" t="s">
        <v>12696</v>
      </c>
      <c r="N2569" s="0" t="s">
        <v>12697</v>
      </c>
      <c r="P2569" s="0" t="s">
        <v>12698</v>
      </c>
      <c r="Q2569" s="2" t="n">
        <v>44215</v>
      </c>
      <c r="S2569" s="0" t="n">
        <f aca="false">YEAR(Q2569)</f>
        <v>2021</v>
      </c>
      <c r="T2569" s="0" t="n">
        <f aca="false">MONTH(Q2569)</f>
        <v>1</v>
      </c>
    </row>
    <row r="2570" customFormat="false" ht="14.25" hidden="true" customHeight="false" outlineLevel="0" collapsed="false">
      <c r="A2570" s="0" t="n">
        <v>2587</v>
      </c>
      <c r="B2570" s="1" t="s">
        <v>12695</v>
      </c>
      <c r="C2570" s="1" t="s">
        <v>1479</v>
      </c>
      <c r="D2570" s="1" t="s">
        <v>1535</v>
      </c>
      <c r="E2570" s="0" t="s">
        <v>39</v>
      </c>
      <c r="F2570" s="0" t="s">
        <v>48</v>
      </c>
      <c r="G2570" s="0" t="s">
        <v>12699</v>
      </c>
      <c r="J2570" s="6" t="n">
        <v>0.340277777777778</v>
      </c>
      <c r="M2570" s="0" t="s">
        <v>12700</v>
      </c>
      <c r="N2570" s="0" t="s">
        <v>12701</v>
      </c>
      <c r="P2570" s="0" t="s">
        <v>12702</v>
      </c>
      <c r="Q2570" s="2" t="n">
        <v>44215</v>
      </c>
      <c r="S2570" s="0" t="n">
        <f aca="false">YEAR(Q2570)</f>
        <v>2021</v>
      </c>
      <c r="T2570" s="0" t="n">
        <f aca="false">MONTH(Q2570)</f>
        <v>1</v>
      </c>
    </row>
    <row r="2571" customFormat="false" ht="14.25" hidden="true" customHeight="false" outlineLevel="0" collapsed="false">
      <c r="A2571" s="0" t="n">
        <v>2588</v>
      </c>
      <c r="B2571" s="1" t="s">
        <v>12695</v>
      </c>
      <c r="C2571" s="1" t="s">
        <v>1479</v>
      </c>
      <c r="D2571" s="1" t="s">
        <v>1487</v>
      </c>
      <c r="E2571" s="0" t="s">
        <v>1488</v>
      </c>
      <c r="F2571" s="0" t="s">
        <v>48</v>
      </c>
      <c r="G2571" s="0" t="s">
        <v>12703</v>
      </c>
      <c r="J2571" s="6" t="n">
        <v>0.465277777777778</v>
      </c>
      <c r="K2571" s="0" t="n">
        <v>0</v>
      </c>
      <c r="L2571" s="0" t="n">
        <v>60</v>
      </c>
      <c r="M2571" s="0" t="s">
        <v>12704</v>
      </c>
      <c r="N2571" s="0" t="s">
        <v>12705</v>
      </c>
      <c r="P2571" s="0" t="s">
        <v>12706</v>
      </c>
      <c r="Q2571" s="2" t="n">
        <v>44215</v>
      </c>
      <c r="S2571" s="0" t="n">
        <f aca="false">YEAR(Q2571)</f>
        <v>2021</v>
      </c>
      <c r="T2571" s="0" t="n">
        <f aca="false">MONTH(Q2571)</f>
        <v>1</v>
      </c>
    </row>
    <row r="2572" customFormat="false" ht="14.25" hidden="true" customHeight="false" outlineLevel="0" collapsed="false">
      <c r="A2572" s="0" t="n">
        <v>2589</v>
      </c>
      <c r="B2572" s="1" t="s">
        <v>12707</v>
      </c>
      <c r="C2572" s="1" t="s">
        <v>1479</v>
      </c>
      <c r="D2572" s="1" t="s">
        <v>1535</v>
      </c>
      <c r="E2572" s="0" t="s">
        <v>39</v>
      </c>
      <c r="F2572" s="0" t="s">
        <v>48</v>
      </c>
      <c r="G2572" s="0" t="s">
        <v>12708</v>
      </c>
      <c r="I2572" s="6" t="n">
        <v>0.261805555555556</v>
      </c>
      <c r="J2572" s="6" t="n">
        <v>0.263888888888889</v>
      </c>
      <c r="K2572" s="0" t="n">
        <v>45</v>
      </c>
      <c r="L2572" s="0" t="n">
        <v>50</v>
      </c>
      <c r="M2572" s="0" t="s">
        <v>12709</v>
      </c>
      <c r="N2572" s="0" t="s">
        <v>12710</v>
      </c>
      <c r="P2572" s="0" t="s">
        <v>12711</v>
      </c>
      <c r="Q2572" s="2" t="n">
        <v>44216</v>
      </c>
      <c r="S2572" s="0" t="n">
        <f aca="false">YEAR(Q2572)</f>
        <v>2021</v>
      </c>
      <c r="T2572" s="0" t="n">
        <f aca="false">MONTH(Q2572)</f>
        <v>1</v>
      </c>
    </row>
    <row r="2573" customFormat="false" ht="14.25" hidden="true" customHeight="false" outlineLevel="0" collapsed="false">
      <c r="A2573" s="0" t="n">
        <v>2590</v>
      </c>
      <c r="B2573" s="1" t="s">
        <v>12707</v>
      </c>
      <c r="C2573" s="1" t="s">
        <v>1503</v>
      </c>
      <c r="D2573" s="1" t="s">
        <v>1535</v>
      </c>
      <c r="E2573" s="0" t="s">
        <v>1503</v>
      </c>
      <c r="F2573" s="0" t="s">
        <v>48</v>
      </c>
      <c r="G2573" s="0" t="s">
        <v>12712</v>
      </c>
      <c r="H2573" s="0" t="s">
        <v>12687</v>
      </c>
      <c r="J2573" s="6" t="n">
        <v>0.277777777777778</v>
      </c>
      <c r="L2573" s="0" t="n">
        <v>420</v>
      </c>
      <c r="M2573" s="0" t="s">
        <v>12713</v>
      </c>
      <c r="N2573" s="0" t="s">
        <v>12714</v>
      </c>
      <c r="P2573" s="0" t="s">
        <v>12715</v>
      </c>
      <c r="Q2573" s="2" t="n">
        <v>44216</v>
      </c>
      <c r="S2573" s="0" t="n">
        <f aca="false">YEAR(Q2573)</f>
        <v>2021</v>
      </c>
      <c r="T2573" s="0" t="n">
        <f aca="false">MONTH(Q2573)</f>
        <v>1</v>
      </c>
    </row>
    <row r="2574" customFormat="false" ht="14.25" hidden="true" customHeight="false" outlineLevel="0" collapsed="false">
      <c r="A2574" s="0" t="n">
        <v>2591</v>
      </c>
      <c r="B2574" s="1" t="s">
        <v>12707</v>
      </c>
      <c r="C2574" s="1" t="s">
        <v>1479</v>
      </c>
      <c r="D2574" s="1" t="s">
        <v>1480</v>
      </c>
      <c r="E2574" s="0" t="s">
        <v>43</v>
      </c>
      <c r="F2574" s="0" t="s">
        <v>48</v>
      </c>
      <c r="G2574" s="0" t="s">
        <v>1568</v>
      </c>
      <c r="I2574" s="6" t="n">
        <v>0.263888888888889</v>
      </c>
      <c r="M2574" s="0" t="s">
        <v>12716</v>
      </c>
      <c r="N2574" s="0" t="s">
        <v>12717</v>
      </c>
      <c r="P2574" s="0" t="s">
        <v>12718</v>
      </c>
      <c r="Q2574" s="2" t="n">
        <v>44216</v>
      </c>
      <c r="S2574" s="0" t="n">
        <f aca="false">YEAR(Q2574)</f>
        <v>2021</v>
      </c>
      <c r="T2574" s="0" t="n">
        <f aca="false">MONTH(Q2574)</f>
        <v>1</v>
      </c>
    </row>
    <row r="2575" customFormat="false" ht="14.25" hidden="true" customHeight="false" outlineLevel="0" collapsed="false">
      <c r="A2575" s="0" t="n">
        <v>2592</v>
      </c>
      <c r="B2575" s="1" t="s">
        <v>12719</v>
      </c>
      <c r="C2575" s="1" t="s">
        <v>1503</v>
      </c>
      <c r="D2575" s="1" t="s">
        <v>1535</v>
      </c>
      <c r="E2575" s="0" t="s">
        <v>1503</v>
      </c>
      <c r="F2575" s="0" t="s">
        <v>48</v>
      </c>
      <c r="G2575" s="0" t="s">
        <v>12720</v>
      </c>
      <c r="H2575" s="0" t="s">
        <v>4303</v>
      </c>
      <c r="J2575" s="6" t="n">
        <v>0.534722222222222</v>
      </c>
      <c r="L2575" s="0" t="n">
        <v>30</v>
      </c>
      <c r="M2575" s="0" t="s">
        <v>12721</v>
      </c>
      <c r="N2575" s="0" t="s">
        <v>12722</v>
      </c>
      <c r="P2575" s="0" t="s">
        <v>12723</v>
      </c>
      <c r="Q2575" s="2" t="n">
        <v>44217</v>
      </c>
      <c r="S2575" s="0" t="n">
        <f aca="false">YEAR(Q2575)</f>
        <v>2021</v>
      </c>
      <c r="T2575" s="0" t="n">
        <f aca="false">MONTH(Q2575)</f>
        <v>1</v>
      </c>
    </row>
    <row r="2576" customFormat="false" ht="14.25" hidden="true" customHeight="false" outlineLevel="0" collapsed="false">
      <c r="A2576" s="0" t="n">
        <v>2593</v>
      </c>
      <c r="B2576" s="1" t="s">
        <v>12719</v>
      </c>
      <c r="C2576" s="1" t="s">
        <v>1495</v>
      </c>
      <c r="D2576" s="1" t="s">
        <v>1535</v>
      </c>
      <c r="E2576" s="0" t="s">
        <v>42</v>
      </c>
      <c r="F2576" s="0" t="s">
        <v>48</v>
      </c>
      <c r="G2576" s="0" t="s">
        <v>12724</v>
      </c>
      <c r="J2576" s="6" t="n">
        <v>0.544444444444444</v>
      </c>
      <c r="L2576" s="0" t="n">
        <v>20</v>
      </c>
      <c r="M2576" s="0" t="s">
        <v>12725</v>
      </c>
      <c r="N2576" s="0" t="s">
        <v>12726</v>
      </c>
      <c r="P2576" s="0" t="s">
        <v>12727</v>
      </c>
      <c r="Q2576" s="2" t="n">
        <v>44217</v>
      </c>
      <c r="S2576" s="0" t="n">
        <f aca="false">YEAR(Q2576)</f>
        <v>2021</v>
      </c>
      <c r="T2576" s="0" t="n">
        <f aca="false">MONTH(Q2576)</f>
        <v>1</v>
      </c>
    </row>
    <row r="2577" customFormat="false" ht="14.25" hidden="true" customHeight="false" outlineLevel="0" collapsed="false">
      <c r="A2577" s="0" t="n">
        <v>2594</v>
      </c>
      <c r="B2577" s="1" t="s">
        <v>12728</v>
      </c>
      <c r="C2577" s="1" t="s">
        <v>1503</v>
      </c>
      <c r="D2577" s="1" t="s">
        <v>1535</v>
      </c>
      <c r="E2577" s="0" t="s">
        <v>1503</v>
      </c>
      <c r="F2577" s="0" t="s">
        <v>48</v>
      </c>
      <c r="G2577" s="0" t="s">
        <v>12729</v>
      </c>
      <c r="H2577" s="0" t="s">
        <v>12687</v>
      </c>
      <c r="J2577" s="6" t="n">
        <v>0.326388888888889</v>
      </c>
      <c r="M2577" s="0" t="s">
        <v>12730</v>
      </c>
      <c r="N2577" s="0" t="s">
        <v>12731</v>
      </c>
      <c r="P2577" s="0" t="s">
        <v>12732</v>
      </c>
      <c r="Q2577" s="2" t="n">
        <v>44218</v>
      </c>
      <c r="S2577" s="0" t="n">
        <f aca="false">YEAR(Q2577)</f>
        <v>2021</v>
      </c>
      <c r="T2577" s="0" t="n">
        <f aca="false">MONTH(Q2577)</f>
        <v>1</v>
      </c>
    </row>
    <row r="2578" customFormat="false" ht="14.25" hidden="true" customHeight="false" outlineLevel="0" collapsed="false">
      <c r="A2578" s="0" t="n">
        <v>2595</v>
      </c>
      <c r="B2578" s="1" t="s">
        <v>12728</v>
      </c>
      <c r="C2578" s="1" t="s">
        <v>1479</v>
      </c>
      <c r="D2578" s="1" t="s">
        <v>1480</v>
      </c>
      <c r="E2578" s="0" t="s">
        <v>43</v>
      </c>
      <c r="F2578" s="0" t="s">
        <v>48</v>
      </c>
      <c r="G2578" s="0" t="s">
        <v>12733</v>
      </c>
      <c r="J2578" s="6" t="n">
        <v>0.486111111111111</v>
      </c>
      <c r="M2578" s="0" t="s">
        <v>12734</v>
      </c>
      <c r="N2578" s="0" t="s">
        <v>12735</v>
      </c>
      <c r="P2578" s="0" t="s">
        <v>12736</v>
      </c>
      <c r="Q2578" s="2" t="n">
        <v>44218</v>
      </c>
      <c r="S2578" s="0" t="n">
        <f aca="false">YEAR(Q2578)</f>
        <v>2021</v>
      </c>
      <c r="T2578" s="0" t="n">
        <f aca="false">MONTH(Q2578)</f>
        <v>1</v>
      </c>
    </row>
    <row r="2579" customFormat="false" ht="14.25" hidden="true" customHeight="false" outlineLevel="0" collapsed="false">
      <c r="A2579" s="0" t="n">
        <v>2596</v>
      </c>
      <c r="B2579" s="1" t="s">
        <v>12728</v>
      </c>
      <c r="C2579" s="1" t="s">
        <v>1495</v>
      </c>
      <c r="D2579" s="1" t="s">
        <v>1487</v>
      </c>
      <c r="E2579" s="0" t="s">
        <v>40</v>
      </c>
      <c r="F2579" s="0" t="s">
        <v>49</v>
      </c>
      <c r="G2579" s="0" t="s">
        <v>12737</v>
      </c>
      <c r="I2579" s="6" t="n">
        <v>0.699305555555556</v>
      </c>
      <c r="J2579" s="6" t="n">
        <v>0.711805555555555</v>
      </c>
      <c r="L2579" s="0" t="n">
        <v>63</v>
      </c>
      <c r="M2579" s="0" t="s">
        <v>12738</v>
      </c>
      <c r="N2579" s="0" t="s">
        <v>12739</v>
      </c>
      <c r="P2579" s="0" t="s">
        <v>12740</v>
      </c>
      <c r="Q2579" s="2" t="n">
        <v>44218</v>
      </c>
      <c r="S2579" s="0" t="n">
        <f aca="false">YEAR(Q2579)</f>
        <v>2021</v>
      </c>
      <c r="T2579" s="0" t="n">
        <f aca="false">MONTH(Q2579)</f>
        <v>1</v>
      </c>
    </row>
    <row r="2580" customFormat="false" ht="14.25" hidden="true" customHeight="false" outlineLevel="0" collapsed="false">
      <c r="A2580" s="0" t="n">
        <v>2597</v>
      </c>
      <c r="B2580" s="1" t="s">
        <v>1458</v>
      </c>
      <c r="C2580" s="1" t="s">
        <v>1479</v>
      </c>
      <c r="D2580" s="1" t="s">
        <v>1487</v>
      </c>
      <c r="E2580" s="0" t="s">
        <v>1488</v>
      </c>
      <c r="F2580" s="0" t="s">
        <v>48</v>
      </c>
      <c r="G2580" s="0" t="s">
        <v>12741</v>
      </c>
      <c r="I2580" s="6" t="n">
        <v>0.421527777777778</v>
      </c>
      <c r="J2580" s="6" t="n">
        <v>0.432638888888889</v>
      </c>
      <c r="L2580" s="0" t="n">
        <v>35</v>
      </c>
      <c r="M2580" s="0" t="s">
        <v>12742</v>
      </c>
      <c r="N2580" s="0" t="s">
        <v>12743</v>
      </c>
      <c r="P2580" s="0" t="s">
        <v>12744</v>
      </c>
      <c r="Q2580" s="2" t="n">
        <v>44221</v>
      </c>
      <c r="S2580" s="0" t="n">
        <f aca="false">YEAR(Q2580)</f>
        <v>2021</v>
      </c>
      <c r="T2580" s="0" t="n">
        <f aca="false">MONTH(Q2580)</f>
        <v>1</v>
      </c>
    </row>
    <row r="2581" customFormat="false" ht="14.25" hidden="true" customHeight="false" outlineLevel="0" collapsed="false">
      <c r="A2581" s="0" t="n">
        <v>2598</v>
      </c>
      <c r="B2581" s="1" t="s">
        <v>1458</v>
      </c>
      <c r="C2581" s="1" t="s">
        <v>1479</v>
      </c>
      <c r="D2581" s="1" t="s">
        <v>1487</v>
      </c>
      <c r="E2581" s="0" t="s">
        <v>1488</v>
      </c>
      <c r="F2581" s="0" t="s">
        <v>49</v>
      </c>
      <c r="G2581" s="0" t="s">
        <v>12745</v>
      </c>
      <c r="I2581" s="6" t="n">
        <v>0.59375</v>
      </c>
      <c r="J2581" s="6" t="n">
        <v>0.611111111111111</v>
      </c>
      <c r="L2581" s="0" t="n">
        <v>15</v>
      </c>
      <c r="M2581" s="0" t="s">
        <v>12746</v>
      </c>
      <c r="N2581" s="0" t="s">
        <v>12747</v>
      </c>
      <c r="P2581" s="0" t="s">
        <v>12748</v>
      </c>
      <c r="Q2581" s="2" t="n">
        <v>44221</v>
      </c>
      <c r="S2581" s="0" t="n">
        <f aca="false">YEAR(Q2581)</f>
        <v>2021</v>
      </c>
      <c r="T2581" s="0" t="n">
        <f aca="false">MONTH(Q2581)</f>
        <v>1</v>
      </c>
    </row>
    <row r="2582" customFormat="false" ht="14.25" hidden="true" customHeight="false" outlineLevel="0" collapsed="false">
      <c r="A2582" s="0" t="n">
        <v>2599</v>
      </c>
      <c r="B2582" s="1" t="s">
        <v>1458</v>
      </c>
      <c r="C2582" s="1" t="s">
        <v>1479</v>
      </c>
      <c r="D2582" s="1" t="s">
        <v>1487</v>
      </c>
      <c r="E2582" s="0" t="s">
        <v>1488</v>
      </c>
      <c r="F2582" s="0" t="s">
        <v>49</v>
      </c>
      <c r="G2582" s="0" t="s">
        <v>12749</v>
      </c>
      <c r="I2582" s="6" t="n">
        <v>0.601388888888889</v>
      </c>
      <c r="J2582" s="6" t="n">
        <v>0.628472222222222</v>
      </c>
      <c r="L2582" s="0" t="n">
        <v>54</v>
      </c>
      <c r="M2582" s="0" t="s">
        <v>12750</v>
      </c>
      <c r="N2582" s="0" t="s">
        <v>2801</v>
      </c>
      <c r="P2582" s="0" t="s">
        <v>12751</v>
      </c>
      <c r="Q2582" s="2" t="n">
        <v>44221</v>
      </c>
      <c r="S2582" s="0" t="n">
        <f aca="false">YEAR(Q2582)</f>
        <v>2021</v>
      </c>
      <c r="T2582" s="0" t="n">
        <f aca="false">MONTH(Q2582)</f>
        <v>1</v>
      </c>
    </row>
    <row r="2583" customFormat="false" ht="14.25" hidden="true" customHeight="false" outlineLevel="0" collapsed="false">
      <c r="A2583" s="0" t="n">
        <v>2600</v>
      </c>
      <c r="B2583" s="1" t="s">
        <v>12752</v>
      </c>
      <c r="C2583" s="1" t="s">
        <v>1479</v>
      </c>
      <c r="D2583" s="1" t="s">
        <v>1535</v>
      </c>
      <c r="E2583" s="0" t="s">
        <v>39</v>
      </c>
      <c r="F2583" s="0" t="s">
        <v>49</v>
      </c>
      <c r="G2583" s="0" t="s">
        <v>12753</v>
      </c>
      <c r="I2583" s="6" t="n">
        <v>0.732638888888889</v>
      </c>
      <c r="J2583" s="6" t="n">
        <v>0.739583333333333</v>
      </c>
      <c r="L2583" s="0" t="n">
        <v>40</v>
      </c>
      <c r="M2583" s="0" t="s">
        <v>12754</v>
      </c>
      <c r="N2583" s="0" t="s">
        <v>12755</v>
      </c>
      <c r="P2583" s="0" t="s">
        <v>12756</v>
      </c>
      <c r="Q2583" s="2" t="n">
        <v>44223</v>
      </c>
      <c r="S2583" s="0" t="n">
        <f aca="false">YEAR(Q2583)</f>
        <v>2021</v>
      </c>
      <c r="T2583" s="0" t="n">
        <f aca="false">MONTH(Q2583)</f>
        <v>1</v>
      </c>
    </row>
    <row r="2584" customFormat="false" ht="14.25" hidden="true" customHeight="false" outlineLevel="0" collapsed="false">
      <c r="A2584" s="0" t="n">
        <v>2601</v>
      </c>
      <c r="B2584" s="1" t="s">
        <v>12757</v>
      </c>
      <c r="C2584" s="1" t="s">
        <v>1479</v>
      </c>
      <c r="D2584" s="1" t="s">
        <v>1535</v>
      </c>
      <c r="E2584" s="0" t="s">
        <v>39</v>
      </c>
      <c r="F2584" s="0" t="s">
        <v>48</v>
      </c>
      <c r="G2584" s="0" t="s">
        <v>12758</v>
      </c>
      <c r="I2584" s="6" t="n">
        <v>0.208333333333333</v>
      </c>
      <c r="J2584" s="6" t="n">
        <v>0.222222222222222</v>
      </c>
      <c r="K2584" s="0" t="n">
        <v>0</v>
      </c>
      <c r="L2584" s="0" t="n">
        <v>20</v>
      </c>
      <c r="M2584" s="0" t="s">
        <v>12759</v>
      </c>
      <c r="N2584" s="0" t="s">
        <v>12760</v>
      </c>
      <c r="P2584" s="0" t="s">
        <v>12761</v>
      </c>
      <c r="Q2584" s="2" t="n">
        <v>44224</v>
      </c>
      <c r="S2584" s="0" t="n">
        <f aca="false">YEAR(Q2584)</f>
        <v>2021</v>
      </c>
      <c r="T2584" s="0" t="n">
        <f aca="false">MONTH(Q2584)</f>
        <v>1</v>
      </c>
    </row>
    <row r="2585" customFormat="false" ht="14.25" hidden="true" customHeight="false" outlineLevel="0" collapsed="false">
      <c r="A2585" s="0" t="n">
        <v>2602</v>
      </c>
      <c r="B2585" s="1" t="s">
        <v>12757</v>
      </c>
      <c r="C2585" s="1" t="s">
        <v>1495</v>
      </c>
      <c r="D2585" s="1" t="s">
        <v>1487</v>
      </c>
      <c r="E2585" s="0" t="s">
        <v>40</v>
      </c>
      <c r="F2585" s="0" t="s">
        <v>48</v>
      </c>
      <c r="G2585" s="0" t="s">
        <v>12762</v>
      </c>
      <c r="I2585" s="6" t="n">
        <v>0.208333333333333</v>
      </c>
      <c r="J2585" s="6" t="n">
        <v>0.23125</v>
      </c>
      <c r="L2585" s="0" t="n">
        <v>120</v>
      </c>
      <c r="M2585" s="0" t="s">
        <v>12763</v>
      </c>
      <c r="N2585" s="0" t="s">
        <v>12764</v>
      </c>
      <c r="P2585" s="0" t="s">
        <v>12765</v>
      </c>
      <c r="Q2585" s="2" t="n">
        <v>44224</v>
      </c>
      <c r="S2585" s="0" t="n">
        <f aca="false">YEAR(Q2585)</f>
        <v>2021</v>
      </c>
      <c r="T2585" s="0" t="n">
        <f aca="false">MONTH(Q2585)</f>
        <v>1</v>
      </c>
    </row>
    <row r="2586" customFormat="false" ht="14.25" hidden="true" customHeight="false" outlineLevel="0" collapsed="false">
      <c r="A2586" s="0" t="n">
        <v>2603</v>
      </c>
      <c r="B2586" s="1" t="s">
        <v>12757</v>
      </c>
      <c r="C2586" s="1" t="s">
        <v>1479</v>
      </c>
      <c r="D2586" s="1" t="s">
        <v>1496</v>
      </c>
      <c r="E2586" s="0" t="s">
        <v>38</v>
      </c>
      <c r="F2586" s="0" t="s">
        <v>48</v>
      </c>
      <c r="I2586" s="6" t="n">
        <v>0.245138888888889</v>
      </c>
      <c r="J2586" s="6" t="n">
        <v>0.252083333333333</v>
      </c>
      <c r="L2586" s="0" t="n">
        <v>70</v>
      </c>
      <c r="M2586" s="0" t="s">
        <v>12766</v>
      </c>
      <c r="N2586" s="0" t="s">
        <v>12767</v>
      </c>
      <c r="P2586" s="0" t="s">
        <v>12768</v>
      </c>
      <c r="Q2586" s="2" t="n">
        <v>44224</v>
      </c>
      <c r="S2586" s="0" t="n">
        <f aca="false">YEAR(Q2586)</f>
        <v>2021</v>
      </c>
      <c r="T2586" s="0" t="n">
        <f aca="false">MONTH(Q2586)</f>
        <v>1</v>
      </c>
    </row>
    <row r="2587" customFormat="false" ht="14.25" hidden="true" customHeight="false" outlineLevel="0" collapsed="false">
      <c r="A2587" s="0" t="n">
        <v>2604</v>
      </c>
      <c r="B2587" s="1" t="s">
        <v>12769</v>
      </c>
      <c r="C2587" s="1" t="s">
        <v>1479</v>
      </c>
      <c r="D2587" s="1" t="s">
        <v>1535</v>
      </c>
      <c r="E2587" s="0" t="s">
        <v>39</v>
      </c>
      <c r="F2587" s="0" t="s">
        <v>48</v>
      </c>
      <c r="G2587" s="0" t="s">
        <v>12770</v>
      </c>
      <c r="I2587" s="0" t="s">
        <v>6637</v>
      </c>
      <c r="J2587" s="6" t="n">
        <v>0.229166666666667</v>
      </c>
      <c r="M2587" s="0" t="s">
        <v>12771</v>
      </c>
      <c r="N2587" s="0" t="s">
        <v>12772</v>
      </c>
      <c r="P2587" s="0" t="s">
        <v>12773</v>
      </c>
      <c r="Q2587" s="2" t="n">
        <v>44228</v>
      </c>
      <c r="S2587" s="0" t="n">
        <f aca="false">YEAR(Q2587)</f>
        <v>2021</v>
      </c>
      <c r="T2587" s="0" t="n">
        <f aca="false">MONTH(Q2587)</f>
        <v>2</v>
      </c>
    </row>
    <row r="2588" customFormat="false" ht="14.25" hidden="true" customHeight="false" outlineLevel="0" collapsed="false">
      <c r="A2588" s="0" t="n">
        <v>2605</v>
      </c>
      <c r="B2588" s="1" t="s">
        <v>12769</v>
      </c>
      <c r="C2588" s="1" t="s">
        <v>1503</v>
      </c>
      <c r="D2588" s="1" t="s">
        <v>1535</v>
      </c>
      <c r="E2588" s="0" t="s">
        <v>1503</v>
      </c>
      <c r="F2588" s="0" t="s">
        <v>48</v>
      </c>
      <c r="G2588" s="0" t="s">
        <v>12774</v>
      </c>
      <c r="H2588" s="0" t="s">
        <v>12687</v>
      </c>
      <c r="I2588" s="6" t="n">
        <v>0.243055555555556</v>
      </c>
      <c r="J2588" s="6" t="n">
        <v>0.291666666666667</v>
      </c>
      <c r="L2588" s="0" t="n">
        <v>210</v>
      </c>
      <c r="M2588" s="0" t="s">
        <v>12775</v>
      </c>
      <c r="N2588" s="0" t="s">
        <v>12776</v>
      </c>
      <c r="P2588" s="0" t="s">
        <v>12777</v>
      </c>
      <c r="Q2588" s="2" t="n">
        <v>44228</v>
      </c>
      <c r="S2588" s="0" t="n">
        <f aca="false">YEAR(Q2588)</f>
        <v>2021</v>
      </c>
      <c r="T2588" s="0" t="n">
        <f aca="false">MONTH(Q2588)</f>
        <v>2</v>
      </c>
    </row>
    <row r="2589" customFormat="false" ht="14.25" hidden="true" customHeight="false" outlineLevel="0" collapsed="false">
      <c r="A2589" s="0" t="n">
        <v>2606</v>
      </c>
      <c r="B2589" s="1" t="s">
        <v>12769</v>
      </c>
      <c r="C2589" s="1" t="s">
        <v>1503</v>
      </c>
      <c r="D2589" s="1" t="s">
        <v>1535</v>
      </c>
      <c r="E2589" s="0" t="s">
        <v>1503</v>
      </c>
      <c r="F2589" s="0" t="s">
        <v>48</v>
      </c>
      <c r="G2589" s="0" t="s">
        <v>12778</v>
      </c>
      <c r="H2589" s="0" t="s">
        <v>12687</v>
      </c>
      <c r="J2589" s="6" t="n">
        <v>0.291666666666667</v>
      </c>
      <c r="L2589" s="0" t="n">
        <v>150</v>
      </c>
      <c r="M2589" s="0" t="s">
        <v>12779</v>
      </c>
      <c r="N2589" s="0" t="s">
        <v>12780</v>
      </c>
      <c r="P2589" s="0" t="s">
        <v>12781</v>
      </c>
      <c r="Q2589" s="2" t="n">
        <v>44228</v>
      </c>
      <c r="S2589" s="0" t="n">
        <f aca="false">YEAR(Q2589)</f>
        <v>2021</v>
      </c>
      <c r="T2589" s="0" t="n">
        <f aca="false">MONTH(Q2589)</f>
        <v>2</v>
      </c>
    </row>
    <row r="2590" customFormat="false" ht="14.25" hidden="true" customHeight="false" outlineLevel="0" collapsed="false">
      <c r="A2590" s="0" t="n">
        <v>2607</v>
      </c>
      <c r="B2590" s="1" t="s">
        <v>12769</v>
      </c>
      <c r="C2590" s="1" t="s">
        <v>1503</v>
      </c>
      <c r="D2590" s="1" t="s">
        <v>1535</v>
      </c>
      <c r="E2590" s="0" t="s">
        <v>1503</v>
      </c>
      <c r="F2590" s="0" t="s">
        <v>48</v>
      </c>
      <c r="G2590" s="0" t="s">
        <v>12782</v>
      </c>
      <c r="H2590" s="0" t="s">
        <v>12687</v>
      </c>
      <c r="J2590" s="6" t="n">
        <v>0.381944444444444</v>
      </c>
      <c r="M2590" s="0" t="s">
        <v>12783</v>
      </c>
      <c r="N2590" s="0" t="s">
        <v>12784</v>
      </c>
      <c r="P2590" s="0" t="s">
        <v>12785</v>
      </c>
      <c r="Q2590" s="2" t="n">
        <v>44228</v>
      </c>
      <c r="S2590" s="0" t="n">
        <f aca="false">YEAR(Q2590)</f>
        <v>2021</v>
      </c>
      <c r="T2590" s="0" t="n">
        <f aca="false">MONTH(Q2590)</f>
        <v>2</v>
      </c>
    </row>
    <row r="2591" customFormat="false" ht="14.25" hidden="true" customHeight="false" outlineLevel="0" collapsed="false">
      <c r="A2591" s="0" t="n">
        <v>2608</v>
      </c>
      <c r="B2591" s="1" t="s">
        <v>12769</v>
      </c>
      <c r="C2591" s="1" t="s">
        <v>1503</v>
      </c>
      <c r="D2591" s="1" t="s">
        <v>1535</v>
      </c>
      <c r="E2591" s="0" t="s">
        <v>1503</v>
      </c>
      <c r="F2591" s="0" t="s">
        <v>48</v>
      </c>
      <c r="G2591" s="0" t="s">
        <v>12786</v>
      </c>
      <c r="H2591" s="0" t="s">
        <v>4303</v>
      </c>
      <c r="M2591" s="0" t="s">
        <v>12787</v>
      </c>
      <c r="N2591" s="0" t="s">
        <v>12788</v>
      </c>
      <c r="P2591" s="0" t="s">
        <v>12789</v>
      </c>
      <c r="Q2591" s="2" t="n">
        <v>44228</v>
      </c>
      <c r="S2591" s="0" t="n">
        <f aca="false">YEAR(Q2591)</f>
        <v>2021</v>
      </c>
      <c r="T2591" s="0" t="n">
        <f aca="false">MONTH(Q2591)</f>
        <v>2</v>
      </c>
    </row>
    <row r="2592" customFormat="false" ht="14.25" hidden="true" customHeight="false" outlineLevel="0" collapsed="false">
      <c r="A2592" s="0" t="n">
        <v>2609</v>
      </c>
      <c r="B2592" s="1" t="s">
        <v>12769</v>
      </c>
      <c r="Q2592" s="2" t="n">
        <v>44228</v>
      </c>
      <c r="S2592" s="0" t="n">
        <f aca="false">YEAR(Q2592)</f>
        <v>2021</v>
      </c>
      <c r="T2592" s="0" t="n">
        <f aca="false">MONTH(Q2592)</f>
        <v>2</v>
      </c>
    </row>
    <row r="2593" customFormat="false" ht="42.75" hidden="true" customHeight="false" outlineLevel="0" collapsed="false">
      <c r="A2593" s="0" t="n">
        <v>2610</v>
      </c>
      <c r="B2593" s="1" t="s">
        <v>1459</v>
      </c>
      <c r="C2593" s="1" t="s">
        <v>1479</v>
      </c>
      <c r="D2593" s="1" t="s">
        <v>1535</v>
      </c>
      <c r="E2593" s="0" t="s">
        <v>39</v>
      </c>
      <c r="F2593" s="0" t="s">
        <v>49</v>
      </c>
      <c r="G2593" s="0" t="s">
        <v>8322</v>
      </c>
      <c r="J2593" s="6" t="n">
        <v>0.229166666666667</v>
      </c>
      <c r="M2593" s="0" t="s">
        <v>12790</v>
      </c>
      <c r="N2593" s="0" t="s">
        <v>12791</v>
      </c>
      <c r="P2593" s="7" t="s">
        <v>12792</v>
      </c>
      <c r="Q2593" s="2" t="n">
        <v>44229</v>
      </c>
      <c r="S2593" s="0" t="n">
        <f aca="false">YEAR(Q2593)</f>
        <v>2021</v>
      </c>
      <c r="T2593" s="0" t="n">
        <f aca="false">MONTH(Q2593)</f>
        <v>2</v>
      </c>
    </row>
    <row r="2594" customFormat="false" ht="14.25" hidden="true" customHeight="false" outlineLevel="0" collapsed="false">
      <c r="A2594" s="0" t="n">
        <v>2611</v>
      </c>
      <c r="B2594" s="1" t="s">
        <v>12793</v>
      </c>
      <c r="C2594" s="1" t="s">
        <v>1503</v>
      </c>
      <c r="D2594" s="1" t="s">
        <v>1504</v>
      </c>
      <c r="E2594" s="0" t="s">
        <v>1503</v>
      </c>
      <c r="F2594" s="0" t="s">
        <v>48</v>
      </c>
      <c r="G2594" s="0" t="s">
        <v>12794</v>
      </c>
      <c r="H2594" s="0" t="s">
        <v>12687</v>
      </c>
      <c r="I2594" s="6" t="n">
        <v>0.236111111111111</v>
      </c>
      <c r="J2594" s="6" t="n">
        <v>0.3125</v>
      </c>
      <c r="M2594" s="0" t="s">
        <v>12795</v>
      </c>
      <c r="N2594" s="0" t="s">
        <v>12796</v>
      </c>
      <c r="P2594" s="0" t="s">
        <v>12797</v>
      </c>
      <c r="Q2594" s="2" t="n">
        <v>44230</v>
      </c>
      <c r="S2594" s="0" t="n">
        <f aca="false">YEAR(Q2594)</f>
        <v>2021</v>
      </c>
      <c r="T2594" s="0" t="n">
        <f aca="false">MONTH(Q2594)</f>
        <v>2</v>
      </c>
    </row>
    <row r="2595" customFormat="false" ht="14.25" hidden="true" customHeight="false" outlineLevel="0" collapsed="false">
      <c r="A2595" s="0" t="n">
        <v>2612</v>
      </c>
      <c r="B2595" s="1" t="s">
        <v>12793</v>
      </c>
      <c r="C2595" s="1" t="s">
        <v>1503</v>
      </c>
      <c r="D2595" s="1" t="s">
        <v>1535</v>
      </c>
      <c r="E2595" s="0" t="s">
        <v>1503</v>
      </c>
      <c r="F2595" s="0" t="s">
        <v>48</v>
      </c>
      <c r="G2595" s="0" t="s">
        <v>12798</v>
      </c>
      <c r="H2595" s="0" t="s">
        <v>12687</v>
      </c>
      <c r="J2595" s="6" t="n">
        <v>0.354166666666667</v>
      </c>
      <c r="M2595" s="0" t="s">
        <v>12799</v>
      </c>
      <c r="N2595" s="0" t="s">
        <v>12800</v>
      </c>
      <c r="P2595" s="0" t="s">
        <v>12801</v>
      </c>
      <c r="Q2595" s="2" t="n">
        <v>44230</v>
      </c>
      <c r="S2595" s="0" t="n">
        <f aca="false">YEAR(Q2595)</f>
        <v>2021</v>
      </c>
      <c r="T2595" s="0" t="n">
        <f aca="false">MONTH(Q2595)</f>
        <v>2</v>
      </c>
    </row>
    <row r="2596" customFormat="false" ht="14.25" hidden="true" customHeight="false" outlineLevel="0" collapsed="false">
      <c r="A2596" s="0" t="n">
        <v>2613</v>
      </c>
      <c r="B2596" s="1" t="s">
        <v>12793</v>
      </c>
      <c r="C2596" s="1" t="s">
        <v>1479</v>
      </c>
      <c r="D2596" s="1" t="s">
        <v>1487</v>
      </c>
      <c r="E2596" s="0" t="s">
        <v>1488</v>
      </c>
      <c r="F2596" s="0" t="s">
        <v>49</v>
      </c>
      <c r="G2596" s="0" t="s">
        <v>12802</v>
      </c>
      <c r="I2596" s="6" t="n">
        <v>0.586805555555556</v>
      </c>
      <c r="J2596" s="6" t="n">
        <v>0.594444444444444</v>
      </c>
      <c r="M2596" s="0" t="s">
        <v>12803</v>
      </c>
      <c r="N2596" s="0" t="s">
        <v>12804</v>
      </c>
      <c r="P2596" s="0" t="s">
        <v>12805</v>
      </c>
      <c r="Q2596" s="2" t="n">
        <v>44230</v>
      </c>
      <c r="S2596" s="0" t="n">
        <f aca="false">YEAR(Q2596)</f>
        <v>2021</v>
      </c>
      <c r="T2596" s="0" t="n">
        <f aca="false">MONTH(Q2596)</f>
        <v>2</v>
      </c>
    </row>
    <row r="2597" customFormat="false" ht="14.25" hidden="true" customHeight="false" outlineLevel="0" collapsed="false">
      <c r="A2597" s="0" t="n">
        <v>2614</v>
      </c>
      <c r="B2597" s="1" t="s">
        <v>12793</v>
      </c>
      <c r="C2597" s="1" t="s">
        <v>1495</v>
      </c>
      <c r="D2597" s="1" t="s">
        <v>1487</v>
      </c>
      <c r="E2597" s="0" t="s">
        <v>40</v>
      </c>
      <c r="F2597" s="0" t="s">
        <v>49</v>
      </c>
      <c r="G2597" s="0" t="s">
        <v>12806</v>
      </c>
      <c r="I2597" s="6" t="n">
        <v>0.671527777777778</v>
      </c>
      <c r="J2597" s="6" t="n">
        <v>0.713194444444444</v>
      </c>
      <c r="L2597" s="0" t="n">
        <v>100</v>
      </c>
      <c r="M2597" s="0" t="s">
        <v>12807</v>
      </c>
      <c r="N2597" s="0" t="s">
        <v>12808</v>
      </c>
      <c r="P2597" s="0" t="s">
        <v>12809</v>
      </c>
      <c r="Q2597" s="2" t="n">
        <v>44230</v>
      </c>
      <c r="S2597" s="0" t="n">
        <f aca="false">YEAR(Q2597)</f>
        <v>2021</v>
      </c>
      <c r="T2597" s="0" t="n">
        <f aca="false">MONTH(Q2597)</f>
        <v>2</v>
      </c>
    </row>
    <row r="2598" customFormat="false" ht="14.25" hidden="true" customHeight="false" outlineLevel="0" collapsed="false">
      <c r="A2598" s="0" t="n">
        <v>2615</v>
      </c>
      <c r="B2598" s="1" t="s">
        <v>12793</v>
      </c>
      <c r="C2598" s="1" t="s">
        <v>1503</v>
      </c>
      <c r="D2598" s="1" t="s">
        <v>1535</v>
      </c>
      <c r="E2598" s="0" t="s">
        <v>1503</v>
      </c>
      <c r="F2598" s="0" t="s">
        <v>49</v>
      </c>
      <c r="G2598" s="0" t="s">
        <v>12810</v>
      </c>
      <c r="H2598" s="0" t="s">
        <v>12687</v>
      </c>
      <c r="I2598" s="6" t="n">
        <v>0.75</v>
      </c>
      <c r="J2598" s="6" t="n">
        <v>0.807638888888889</v>
      </c>
      <c r="M2598" s="0" t="s">
        <v>12811</v>
      </c>
      <c r="N2598" s="0" t="s">
        <v>12812</v>
      </c>
      <c r="P2598" s="0" t="s">
        <v>12813</v>
      </c>
      <c r="Q2598" s="2" t="n">
        <v>44230</v>
      </c>
      <c r="S2598" s="0" t="n">
        <f aca="false">YEAR(Q2598)</f>
        <v>2021</v>
      </c>
      <c r="T2598" s="0" t="n">
        <f aca="false">MONTH(Q2598)</f>
        <v>2</v>
      </c>
    </row>
    <row r="2599" customFormat="false" ht="14.25" hidden="true" customHeight="false" outlineLevel="0" collapsed="false">
      <c r="A2599" s="0" t="n">
        <v>2616</v>
      </c>
      <c r="B2599" s="1" t="s">
        <v>12814</v>
      </c>
      <c r="C2599" s="1" t="s">
        <v>1479</v>
      </c>
      <c r="D2599" s="1" t="s">
        <v>1480</v>
      </c>
      <c r="E2599" s="0" t="s">
        <v>43</v>
      </c>
      <c r="F2599" s="0" t="s">
        <v>48</v>
      </c>
      <c r="G2599" s="0" t="s">
        <v>12815</v>
      </c>
      <c r="M2599" s="0" t="s">
        <v>12816</v>
      </c>
      <c r="N2599" s="0" t="s">
        <v>12817</v>
      </c>
      <c r="P2599" s="0" t="s">
        <v>12818</v>
      </c>
      <c r="Q2599" s="2" t="n">
        <v>44231</v>
      </c>
      <c r="S2599" s="0" t="n">
        <f aca="false">YEAR(Q2599)</f>
        <v>2021</v>
      </c>
      <c r="T2599" s="0" t="n">
        <f aca="false">MONTH(Q2599)</f>
        <v>2</v>
      </c>
    </row>
    <row r="2600" customFormat="false" ht="14.25" hidden="true" customHeight="false" outlineLevel="0" collapsed="false">
      <c r="A2600" s="0" t="n">
        <v>2617</v>
      </c>
      <c r="B2600" s="1" t="s">
        <v>12819</v>
      </c>
      <c r="C2600" s="1" t="s">
        <v>1479</v>
      </c>
      <c r="D2600" s="1" t="s">
        <v>1535</v>
      </c>
      <c r="E2600" s="0" t="s">
        <v>39</v>
      </c>
      <c r="F2600" s="0" t="s">
        <v>48</v>
      </c>
      <c r="G2600" s="0" t="s">
        <v>12820</v>
      </c>
      <c r="I2600" s="6" t="n">
        <v>0.238194444444444</v>
      </c>
      <c r="J2600" s="6" t="n">
        <v>0.254166666666667</v>
      </c>
      <c r="M2600" s="0" t="s">
        <v>12821</v>
      </c>
      <c r="N2600" s="0" t="s">
        <v>12822</v>
      </c>
      <c r="P2600" s="0" t="s">
        <v>12823</v>
      </c>
      <c r="Q2600" s="2" t="n">
        <v>44232</v>
      </c>
      <c r="S2600" s="0" t="n">
        <f aca="false">YEAR(Q2600)</f>
        <v>2021</v>
      </c>
      <c r="T2600" s="0" t="n">
        <f aca="false">MONTH(Q2600)</f>
        <v>2</v>
      </c>
    </row>
    <row r="2601" customFormat="false" ht="14.25" hidden="true" customHeight="false" outlineLevel="0" collapsed="false">
      <c r="A2601" s="0" t="n">
        <v>2618</v>
      </c>
      <c r="B2601" s="1" t="s">
        <v>12819</v>
      </c>
      <c r="C2601" s="1" t="s">
        <v>1479</v>
      </c>
      <c r="D2601" s="1" t="s">
        <v>1480</v>
      </c>
      <c r="E2601" s="0" t="s">
        <v>43</v>
      </c>
      <c r="F2601" s="0" t="s">
        <v>48</v>
      </c>
      <c r="G2601" s="0" t="s">
        <v>12824</v>
      </c>
      <c r="I2601" s="6" t="n">
        <v>0.256944444444444</v>
      </c>
      <c r="J2601" s="6" t="n">
        <v>0.281944444444444</v>
      </c>
      <c r="L2601" s="0" t="n">
        <v>80</v>
      </c>
      <c r="M2601" s="0" t="s">
        <v>12825</v>
      </c>
      <c r="N2601" s="0" t="s">
        <v>12826</v>
      </c>
      <c r="P2601" s="0" t="s">
        <v>12827</v>
      </c>
      <c r="Q2601" s="2" t="n">
        <v>44232</v>
      </c>
      <c r="S2601" s="0" t="n">
        <f aca="false">YEAR(Q2601)</f>
        <v>2021</v>
      </c>
      <c r="T2601" s="0" t="n">
        <f aca="false">MONTH(Q2601)</f>
        <v>2</v>
      </c>
    </row>
    <row r="2602" customFormat="false" ht="14.25" hidden="true" customHeight="false" outlineLevel="0" collapsed="false">
      <c r="A2602" s="0" t="n">
        <v>2619</v>
      </c>
      <c r="B2602" s="1" t="s">
        <v>12828</v>
      </c>
      <c r="C2602" s="1" t="s">
        <v>1479</v>
      </c>
      <c r="D2602" s="1" t="s">
        <v>1535</v>
      </c>
      <c r="E2602" s="0" t="s">
        <v>39</v>
      </c>
      <c r="F2602" s="0" t="s">
        <v>48</v>
      </c>
      <c r="G2602" s="0" t="s">
        <v>12829</v>
      </c>
      <c r="J2602" s="6" t="n">
        <v>0.436805555555555</v>
      </c>
      <c r="M2602" s="0" t="s">
        <v>12830</v>
      </c>
      <c r="N2602" s="0" t="s">
        <v>12831</v>
      </c>
      <c r="P2602" s="0" t="s">
        <v>12832</v>
      </c>
      <c r="Q2602" s="2" t="n">
        <v>44235</v>
      </c>
      <c r="S2602" s="0" t="n">
        <f aca="false">YEAR(Q2602)</f>
        <v>2021</v>
      </c>
      <c r="T2602" s="0" t="n">
        <f aca="false">MONTH(Q2602)</f>
        <v>2</v>
      </c>
    </row>
    <row r="2603" customFormat="false" ht="14.25" hidden="true" customHeight="false" outlineLevel="0" collapsed="false">
      <c r="A2603" s="0" t="n">
        <v>2620</v>
      </c>
      <c r="B2603" s="1" t="s">
        <v>12833</v>
      </c>
      <c r="C2603" s="1" t="s">
        <v>1503</v>
      </c>
      <c r="D2603" s="1" t="s">
        <v>1535</v>
      </c>
      <c r="E2603" s="0" t="s">
        <v>1503</v>
      </c>
      <c r="F2603" s="0" t="s">
        <v>48</v>
      </c>
      <c r="G2603" s="0" t="s">
        <v>8334</v>
      </c>
      <c r="H2603" s="0" t="s">
        <v>4303</v>
      </c>
      <c r="I2603" s="6" t="n">
        <v>0.25</v>
      </c>
      <c r="J2603" s="6" t="n">
        <v>0.361111111111111</v>
      </c>
      <c r="M2603" s="0" t="s">
        <v>12834</v>
      </c>
      <c r="N2603" s="0" t="s">
        <v>12835</v>
      </c>
      <c r="Q2603" s="2" t="n">
        <v>44236</v>
      </c>
      <c r="S2603" s="0" t="n">
        <f aca="false">YEAR(Q2603)</f>
        <v>2021</v>
      </c>
      <c r="T2603" s="0" t="n">
        <f aca="false">MONTH(Q2603)</f>
        <v>2</v>
      </c>
    </row>
    <row r="2604" customFormat="false" ht="14.25" hidden="true" customHeight="false" outlineLevel="0" collapsed="false">
      <c r="A2604" s="0" t="n">
        <v>2621</v>
      </c>
      <c r="B2604" s="1" t="s">
        <v>12836</v>
      </c>
      <c r="C2604" s="1" t="s">
        <v>1503</v>
      </c>
      <c r="D2604" s="1" t="s">
        <v>1535</v>
      </c>
      <c r="E2604" s="0" t="s">
        <v>1503</v>
      </c>
      <c r="F2604" s="0" t="s">
        <v>48</v>
      </c>
      <c r="G2604" s="0" t="s">
        <v>12837</v>
      </c>
      <c r="H2604" s="0" t="s">
        <v>12687</v>
      </c>
      <c r="I2604" s="6" t="n">
        <v>0.25</v>
      </c>
      <c r="J2604" s="6" t="n">
        <v>0.309027777777778</v>
      </c>
      <c r="L2604" s="0" t="n">
        <v>110</v>
      </c>
      <c r="M2604" s="0" t="s">
        <v>12838</v>
      </c>
      <c r="N2604" s="0" t="s">
        <v>12839</v>
      </c>
      <c r="P2604" s="0" t="s">
        <v>12840</v>
      </c>
      <c r="Q2604" s="2" t="n">
        <v>44244</v>
      </c>
      <c r="S2604" s="0" t="n">
        <f aca="false">YEAR(Q2604)</f>
        <v>2021</v>
      </c>
      <c r="T2604" s="0" t="n">
        <f aca="false">MONTH(Q2604)</f>
        <v>2</v>
      </c>
    </row>
    <row r="2605" customFormat="false" ht="14.25" hidden="true" customHeight="false" outlineLevel="0" collapsed="false">
      <c r="A2605" s="0" t="n">
        <v>2622</v>
      </c>
      <c r="B2605" s="1" t="s">
        <v>12836</v>
      </c>
      <c r="C2605" s="1" t="s">
        <v>1503</v>
      </c>
      <c r="D2605" s="1" t="s">
        <v>1535</v>
      </c>
      <c r="E2605" s="0" t="s">
        <v>1503</v>
      </c>
      <c r="F2605" s="0" t="s">
        <v>48</v>
      </c>
      <c r="G2605" s="0" t="s">
        <v>12841</v>
      </c>
      <c r="H2605" s="0" t="s">
        <v>12687</v>
      </c>
      <c r="I2605" s="6" t="n">
        <v>0.25</v>
      </c>
      <c r="J2605" s="6" t="n">
        <v>0.402777777777778</v>
      </c>
      <c r="L2605" s="0" t="n">
        <v>390</v>
      </c>
      <c r="M2605" s="0" t="s">
        <v>12842</v>
      </c>
      <c r="N2605" s="0" t="s">
        <v>12843</v>
      </c>
      <c r="P2605" s="0" t="s">
        <v>12844</v>
      </c>
      <c r="Q2605" s="2" t="n">
        <v>44244</v>
      </c>
      <c r="S2605" s="0" t="n">
        <f aca="false">YEAR(Q2605)</f>
        <v>2021</v>
      </c>
      <c r="T2605" s="0" t="n">
        <f aca="false">MONTH(Q2605)</f>
        <v>2</v>
      </c>
    </row>
    <row r="2606" customFormat="false" ht="14.25" hidden="true" customHeight="false" outlineLevel="0" collapsed="false">
      <c r="A2606" s="0" t="n">
        <v>2623</v>
      </c>
      <c r="B2606" s="1" t="s">
        <v>12836</v>
      </c>
      <c r="C2606" s="1" t="s">
        <v>1495</v>
      </c>
      <c r="D2606" s="1" t="s">
        <v>1535</v>
      </c>
      <c r="E2606" s="0" t="s">
        <v>42</v>
      </c>
      <c r="F2606" s="0" t="s">
        <v>48</v>
      </c>
      <c r="G2606" s="0" t="s">
        <v>12845</v>
      </c>
      <c r="I2606" s="6" t="n">
        <v>0.416666666666667</v>
      </c>
      <c r="J2606" s="6" t="n">
        <v>0.479166666666667</v>
      </c>
      <c r="M2606" s="0" t="s">
        <v>12846</v>
      </c>
      <c r="N2606" s="0" t="s">
        <v>12847</v>
      </c>
      <c r="P2606" s="0" t="s">
        <v>12848</v>
      </c>
      <c r="Q2606" s="2" t="n">
        <v>44244</v>
      </c>
      <c r="S2606" s="0" t="n">
        <f aca="false">YEAR(Q2606)</f>
        <v>2021</v>
      </c>
      <c r="T2606" s="0" t="n">
        <f aca="false">MONTH(Q2606)</f>
        <v>2</v>
      </c>
    </row>
    <row r="2607" customFormat="false" ht="42.75" hidden="true" customHeight="false" outlineLevel="0" collapsed="false">
      <c r="A2607" s="0" t="n">
        <v>2624</v>
      </c>
      <c r="B2607" s="1" t="s">
        <v>12836</v>
      </c>
      <c r="C2607" s="1" t="s">
        <v>1479</v>
      </c>
      <c r="D2607" s="1" t="s">
        <v>1487</v>
      </c>
      <c r="E2607" s="0" t="s">
        <v>1488</v>
      </c>
      <c r="F2607" s="0" t="s">
        <v>49</v>
      </c>
      <c r="G2607" s="0" t="s">
        <v>12849</v>
      </c>
      <c r="I2607" s="6" t="n">
        <v>0.803472222222222</v>
      </c>
      <c r="J2607" s="6" t="n">
        <v>0.827777777777778</v>
      </c>
      <c r="L2607" s="0" t="n">
        <v>47</v>
      </c>
      <c r="M2607" s="0" t="s">
        <v>12850</v>
      </c>
      <c r="N2607" s="0" t="s">
        <v>12851</v>
      </c>
      <c r="P2607" s="7" t="s">
        <v>12852</v>
      </c>
      <c r="Q2607" s="2" t="n">
        <v>44244</v>
      </c>
      <c r="S2607" s="0" t="n">
        <f aca="false">YEAR(Q2607)</f>
        <v>2021</v>
      </c>
      <c r="T2607" s="0" t="n">
        <f aca="false">MONTH(Q2607)</f>
        <v>2</v>
      </c>
    </row>
    <row r="2608" customFormat="false" ht="14.25" hidden="true" customHeight="false" outlineLevel="0" collapsed="false">
      <c r="A2608" s="0" t="n">
        <v>2625</v>
      </c>
      <c r="B2608" s="1" t="s">
        <v>12853</v>
      </c>
      <c r="C2608" s="1" t="s">
        <v>1503</v>
      </c>
      <c r="D2608" s="1" t="s">
        <v>1535</v>
      </c>
      <c r="E2608" s="0" t="s">
        <v>1503</v>
      </c>
      <c r="F2608" s="0" t="s">
        <v>48</v>
      </c>
      <c r="G2608" s="0" t="s">
        <v>12854</v>
      </c>
      <c r="H2608" s="0" t="s">
        <v>12687</v>
      </c>
      <c r="M2608" s="0" t="s">
        <v>12855</v>
      </c>
      <c r="N2608" s="0" t="s">
        <v>12856</v>
      </c>
      <c r="P2608" s="0" t="s">
        <v>12857</v>
      </c>
      <c r="Q2608" s="2" t="n">
        <v>44245</v>
      </c>
      <c r="S2608" s="0" t="n">
        <f aca="false">YEAR(Q2608)</f>
        <v>2021</v>
      </c>
      <c r="T2608" s="0" t="n">
        <f aca="false">MONTH(Q2608)</f>
        <v>2</v>
      </c>
    </row>
    <row r="2609" customFormat="false" ht="42.75" hidden="true" customHeight="false" outlineLevel="0" collapsed="false">
      <c r="A2609" s="0" t="n">
        <v>2626</v>
      </c>
      <c r="B2609" s="1" t="s">
        <v>12853</v>
      </c>
      <c r="C2609" s="1" t="s">
        <v>1495</v>
      </c>
      <c r="D2609" s="1" t="s">
        <v>1487</v>
      </c>
      <c r="E2609" s="0" t="s">
        <v>40</v>
      </c>
      <c r="F2609" s="0" t="s">
        <v>49</v>
      </c>
      <c r="G2609" s="0" t="s">
        <v>12858</v>
      </c>
      <c r="I2609" s="6" t="n">
        <v>0.66875</v>
      </c>
      <c r="J2609" s="6" t="n">
        <v>0.688888888888889</v>
      </c>
      <c r="L2609" s="0" t="n">
        <v>70</v>
      </c>
      <c r="M2609" s="0" t="s">
        <v>12859</v>
      </c>
      <c r="N2609" s="0" t="s">
        <v>12860</v>
      </c>
      <c r="P2609" s="7" t="s">
        <v>12861</v>
      </c>
      <c r="Q2609" s="2" t="n">
        <v>44245</v>
      </c>
      <c r="S2609" s="0" t="n">
        <f aca="false">YEAR(Q2609)</f>
        <v>2021</v>
      </c>
      <c r="T2609" s="0" t="n">
        <f aca="false">MONTH(Q2609)</f>
        <v>2</v>
      </c>
    </row>
    <row r="2610" customFormat="false" ht="14.25" hidden="true" customHeight="false" outlineLevel="0" collapsed="false">
      <c r="A2610" s="0" t="n">
        <v>2627</v>
      </c>
      <c r="B2610" s="1" t="s">
        <v>1460</v>
      </c>
      <c r="C2610" s="1" t="s">
        <v>1479</v>
      </c>
      <c r="D2610" s="1" t="s">
        <v>1535</v>
      </c>
      <c r="E2610" s="0" t="s">
        <v>39</v>
      </c>
      <c r="F2610" s="0" t="s">
        <v>48</v>
      </c>
      <c r="G2610" s="0" t="s">
        <v>12862</v>
      </c>
      <c r="I2610" s="6" t="n">
        <v>0.254166666666667</v>
      </c>
      <c r="J2610" s="6" t="n">
        <v>0.257638888888889</v>
      </c>
      <c r="K2610" s="0" t="n">
        <v>6</v>
      </c>
      <c r="L2610" s="0" t="n">
        <v>6</v>
      </c>
      <c r="M2610" s="0" t="s">
        <v>12863</v>
      </c>
      <c r="N2610" s="0" t="s">
        <v>12864</v>
      </c>
      <c r="P2610" s="0" t="s">
        <v>12865</v>
      </c>
      <c r="Q2610" s="2" t="n">
        <v>44246</v>
      </c>
      <c r="S2610" s="0" t="n">
        <f aca="false">YEAR(Q2610)</f>
        <v>2021</v>
      </c>
      <c r="T2610" s="0" t="n">
        <f aca="false">MONTH(Q2610)</f>
        <v>2</v>
      </c>
    </row>
    <row r="2611" customFormat="false" ht="14.25" hidden="true" customHeight="false" outlineLevel="0" collapsed="false">
      <c r="A2611" s="0" t="n">
        <v>2628</v>
      </c>
      <c r="B2611" s="1" t="s">
        <v>1460</v>
      </c>
      <c r="C2611" s="1" t="s">
        <v>1479</v>
      </c>
      <c r="D2611" s="1" t="s">
        <v>1535</v>
      </c>
      <c r="E2611" s="0" t="s">
        <v>39</v>
      </c>
      <c r="F2611" s="0" t="s">
        <v>48</v>
      </c>
      <c r="G2611" s="0" t="s">
        <v>12866</v>
      </c>
      <c r="I2611" s="6" t="n">
        <v>0.526388888888889</v>
      </c>
      <c r="J2611" s="6" t="n">
        <v>0.531944444444444</v>
      </c>
      <c r="K2611" s="0" t="n">
        <v>6</v>
      </c>
      <c r="L2611" s="0" t="n">
        <v>12</v>
      </c>
      <c r="M2611" s="0" t="s">
        <v>12867</v>
      </c>
      <c r="N2611" s="0" t="s">
        <v>12868</v>
      </c>
      <c r="P2611" s="0" t="s">
        <v>12869</v>
      </c>
      <c r="Q2611" s="2" t="n">
        <v>44246</v>
      </c>
      <c r="S2611" s="0" t="n">
        <f aca="false">YEAR(Q2611)</f>
        <v>2021</v>
      </c>
      <c r="T2611" s="0" t="n">
        <f aca="false">MONTH(Q2611)</f>
        <v>2</v>
      </c>
    </row>
    <row r="2612" customFormat="false" ht="14.25" hidden="true" customHeight="false" outlineLevel="0" collapsed="false">
      <c r="A2612" s="0" t="n">
        <v>2629</v>
      </c>
      <c r="B2612" s="1" t="s">
        <v>12870</v>
      </c>
      <c r="C2612" s="1" t="s">
        <v>1479</v>
      </c>
      <c r="D2612" s="1" t="s">
        <v>1535</v>
      </c>
      <c r="E2612" s="0" t="s">
        <v>39</v>
      </c>
      <c r="F2612" s="0" t="s">
        <v>48</v>
      </c>
      <c r="G2612" s="0" t="s">
        <v>12871</v>
      </c>
      <c r="I2612" s="0" t="s">
        <v>12872</v>
      </c>
      <c r="J2612" s="0" t="s">
        <v>12872</v>
      </c>
      <c r="K2612" s="0" t="n">
        <v>2</v>
      </c>
      <c r="L2612" s="0" t="n">
        <v>100</v>
      </c>
      <c r="M2612" s="0" t="s">
        <v>12873</v>
      </c>
      <c r="N2612" s="0" t="s">
        <v>12874</v>
      </c>
      <c r="P2612" s="0" t="s">
        <v>12875</v>
      </c>
      <c r="Q2612" s="2" t="n">
        <v>44249</v>
      </c>
      <c r="S2612" s="0" t="n">
        <f aca="false">YEAR(Q2612)</f>
        <v>2021</v>
      </c>
      <c r="T2612" s="0" t="n">
        <f aca="false">MONTH(Q2612)</f>
        <v>2</v>
      </c>
    </row>
    <row r="2613" customFormat="false" ht="14.25" hidden="true" customHeight="false" outlineLevel="0" collapsed="false">
      <c r="A2613" s="0" t="n">
        <v>2630</v>
      </c>
      <c r="B2613" s="1" t="s">
        <v>12870</v>
      </c>
      <c r="C2613" s="1" t="s">
        <v>1479</v>
      </c>
      <c r="D2613" s="1" t="s">
        <v>1496</v>
      </c>
      <c r="E2613" s="0" t="s">
        <v>38</v>
      </c>
      <c r="F2613" s="0" t="s">
        <v>48</v>
      </c>
      <c r="G2613" s="0" t="s">
        <v>12876</v>
      </c>
      <c r="I2613" s="6" t="n">
        <v>0.347222222222222</v>
      </c>
      <c r="J2613" s="6" t="n">
        <v>0.363888888888889</v>
      </c>
      <c r="M2613" s="0" t="s">
        <v>12877</v>
      </c>
      <c r="N2613" s="0" t="s">
        <v>12878</v>
      </c>
      <c r="P2613" s="0" t="s">
        <v>12879</v>
      </c>
      <c r="Q2613" s="2" t="n">
        <v>44249</v>
      </c>
      <c r="S2613" s="0" t="n">
        <f aca="false">YEAR(Q2613)</f>
        <v>2021</v>
      </c>
      <c r="T2613" s="0" t="n">
        <f aca="false">MONTH(Q2613)</f>
        <v>2</v>
      </c>
    </row>
    <row r="2614" customFormat="false" ht="14.25" hidden="true" customHeight="false" outlineLevel="0" collapsed="false">
      <c r="A2614" s="0" t="n">
        <v>2631</v>
      </c>
      <c r="B2614" s="1" t="s">
        <v>12870</v>
      </c>
      <c r="C2614" s="1" t="s">
        <v>1495</v>
      </c>
      <c r="D2614" s="1" t="s">
        <v>1487</v>
      </c>
      <c r="E2614" s="0" t="s">
        <v>40</v>
      </c>
      <c r="F2614" s="0" t="s">
        <v>49</v>
      </c>
      <c r="G2614" s="0" t="s">
        <v>12880</v>
      </c>
      <c r="I2614" s="6" t="n">
        <v>0.666666666666667</v>
      </c>
      <c r="J2614" s="6" t="n">
        <v>0.921527777777778</v>
      </c>
      <c r="N2614" s="0" t="s">
        <v>12881</v>
      </c>
      <c r="P2614" s="0" t="s">
        <v>12882</v>
      </c>
      <c r="Q2614" s="2" t="n">
        <v>44249</v>
      </c>
      <c r="S2614" s="0" t="n">
        <f aca="false">YEAR(Q2614)</f>
        <v>2021</v>
      </c>
      <c r="T2614" s="0" t="n">
        <f aca="false">MONTH(Q2614)</f>
        <v>2</v>
      </c>
    </row>
    <row r="2615" customFormat="false" ht="14.25" hidden="true" customHeight="false" outlineLevel="0" collapsed="false">
      <c r="A2615" s="0" t="n">
        <v>2632</v>
      </c>
      <c r="B2615" s="1" t="s">
        <v>12883</v>
      </c>
      <c r="C2615" s="1" t="s">
        <v>1495</v>
      </c>
      <c r="D2615" s="1" t="s">
        <v>1487</v>
      </c>
      <c r="E2615" s="0" t="s">
        <v>40</v>
      </c>
      <c r="F2615" s="0" t="s">
        <v>48</v>
      </c>
      <c r="G2615" s="0" t="s">
        <v>12884</v>
      </c>
      <c r="I2615" s="6" t="n">
        <v>0.666666666666667</v>
      </c>
      <c r="J2615" s="6" t="n">
        <v>0.921527777777778</v>
      </c>
      <c r="M2615" s="0" t="s">
        <v>12885</v>
      </c>
      <c r="N2615" s="0" t="s">
        <v>12886</v>
      </c>
      <c r="P2615" s="0" t="s">
        <v>12887</v>
      </c>
      <c r="Q2615" s="2" t="n">
        <v>44250</v>
      </c>
      <c r="S2615" s="0" t="n">
        <f aca="false">YEAR(Q2615)</f>
        <v>2021</v>
      </c>
      <c r="T2615" s="0" t="n">
        <f aca="false">MONTH(Q2615)</f>
        <v>2</v>
      </c>
    </row>
    <row r="2616" customFormat="false" ht="14.25" hidden="true" customHeight="false" outlineLevel="0" collapsed="false">
      <c r="A2616" s="0" t="n">
        <v>2633</v>
      </c>
      <c r="B2616" s="1" t="s">
        <v>12883</v>
      </c>
      <c r="C2616" s="1" t="s">
        <v>1479</v>
      </c>
      <c r="D2616" s="1" t="s">
        <v>1496</v>
      </c>
      <c r="E2616" s="0" t="s">
        <v>38</v>
      </c>
      <c r="F2616" s="0" t="s">
        <v>48</v>
      </c>
      <c r="G2616" s="0" t="s">
        <v>12888</v>
      </c>
      <c r="I2616" s="6" t="n">
        <v>0.259722222222222</v>
      </c>
      <c r="J2616" s="6" t="n">
        <v>0.270833333333333</v>
      </c>
      <c r="L2616" s="0" t="n">
        <v>120</v>
      </c>
      <c r="M2616" s="0" t="s">
        <v>12889</v>
      </c>
      <c r="N2616" s="0" t="s">
        <v>12890</v>
      </c>
      <c r="P2616" s="0" t="s">
        <v>12891</v>
      </c>
      <c r="Q2616" s="2" t="n">
        <v>44250</v>
      </c>
      <c r="S2616" s="0" t="n">
        <f aca="false">YEAR(Q2616)</f>
        <v>2021</v>
      </c>
      <c r="T2616" s="0" t="n">
        <f aca="false">MONTH(Q2616)</f>
        <v>2</v>
      </c>
    </row>
    <row r="2617" customFormat="false" ht="14.25" hidden="true" customHeight="false" outlineLevel="0" collapsed="false">
      <c r="A2617" s="0" t="n">
        <v>2634</v>
      </c>
      <c r="B2617" s="1" t="s">
        <v>12883</v>
      </c>
      <c r="C2617" s="1" t="s">
        <v>1503</v>
      </c>
      <c r="D2617" s="1" t="s">
        <v>1535</v>
      </c>
      <c r="E2617" s="0" t="s">
        <v>1503</v>
      </c>
      <c r="F2617" s="0" t="s">
        <v>48</v>
      </c>
      <c r="G2617" s="0" t="s">
        <v>12892</v>
      </c>
      <c r="H2617" s="0" t="s">
        <v>12687</v>
      </c>
      <c r="I2617" s="6" t="n">
        <v>0.3125</v>
      </c>
      <c r="J2617" s="6" t="n">
        <v>0.336111111111111</v>
      </c>
      <c r="L2617" s="0" t="n">
        <v>60</v>
      </c>
      <c r="M2617" s="0" t="s">
        <v>12893</v>
      </c>
      <c r="N2617" s="0" t="s">
        <v>12894</v>
      </c>
      <c r="P2617" s="0" t="s">
        <v>12895</v>
      </c>
      <c r="Q2617" s="2" t="n">
        <v>44250</v>
      </c>
      <c r="S2617" s="0" t="n">
        <f aca="false">YEAR(Q2617)</f>
        <v>2021</v>
      </c>
      <c r="T2617" s="0" t="n">
        <f aca="false">MONTH(Q2617)</f>
        <v>2</v>
      </c>
    </row>
    <row r="2618" customFormat="false" ht="14.25" hidden="true" customHeight="false" outlineLevel="0" collapsed="false">
      <c r="A2618" s="0" t="n">
        <v>2635</v>
      </c>
      <c r="B2618" s="1" t="s">
        <v>12883</v>
      </c>
      <c r="C2618" s="1" t="s">
        <v>1479</v>
      </c>
      <c r="D2618" s="1" t="s">
        <v>1496</v>
      </c>
      <c r="E2618" s="0" t="s">
        <v>38</v>
      </c>
      <c r="F2618" s="0" t="s">
        <v>49</v>
      </c>
      <c r="G2618" s="0" t="s">
        <v>12896</v>
      </c>
      <c r="I2618" s="6" t="n">
        <v>0.809027777777778</v>
      </c>
      <c r="J2618" s="6" t="n">
        <v>0.817361111111111</v>
      </c>
      <c r="K2618" s="0" t="n">
        <v>0</v>
      </c>
      <c r="L2618" s="0" t="n">
        <v>15</v>
      </c>
      <c r="M2618" s="0" t="s">
        <v>12897</v>
      </c>
      <c r="N2618" s="0" t="s">
        <v>12898</v>
      </c>
      <c r="P2618" s="0" t="s">
        <v>12899</v>
      </c>
      <c r="Q2618" s="2" t="n">
        <v>44250</v>
      </c>
      <c r="S2618" s="0" t="n">
        <f aca="false">YEAR(Q2618)</f>
        <v>2021</v>
      </c>
      <c r="T2618" s="0" t="n">
        <f aca="false">MONTH(Q2618)</f>
        <v>2</v>
      </c>
    </row>
    <row r="2619" customFormat="false" ht="14.25" hidden="true" customHeight="false" outlineLevel="0" collapsed="false">
      <c r="A2619" s="0" t="n">
        <v>2636</v>
      </c>
      <c r="B2619" s="1" t="s">
        <v>12900</v>
      </c>
      <c r="C2619" s="1" t="s">
        <v>1503</v>
      </c>
      <c r="D2619" s="1" t="s">
        <v>1535</v>
      </c>
      <c r="E2619" s="0" t="s">
        <v>1503</v>
      </c>
      <c r="F2619" s="0" t="s">
        <v>48</v>
      </c>
      <c r="G2619" s="0" t="s">
        <v>12901</v>
      </c>
      <c r="H2619" s="0" t="s">
        <v>12687</v>
      </c>
      <c r="I2619" s="6" t="n">
        <v>0.25</v>
      </c>
      <c r="J2619" s="6" t="n">
        <v>0.297222222222222</v>
      </c>
      <c r="L2619" s="0" t="n">
        <v>110</v>
      </c>
      <c r="M2619" s="0" t="s">
        <v>12902</v>
      </c>
      <c r="N2619" s="0" t="s">
        <v>12903</v>
      </c>
      <c r="P2619" s="0" t="s">
        <v>5148</v>
      </c>
      <c r="Q2619" s="2" t="n">
        <v>44251</v>
      </c>
      <c r="S2619" s="0" t="n">
        <f aca="false">YEAR(Q2619)</f>
        <v>2021</v>
      </c>
      <c r="T2619" s="0" t="n">
        <f aca="false">MONTH(Q2619)</f>
        <v>2</v>
      </c>
    </row>
    <row r="2620" customFormat="false" ht="14.25" hidden="true" customHeight="false" outlineLevel="0" collapsed="false">
      <c r="A2620" s="0" t="n">
        <v>2637</v>
      </c>
      <c r="B2620" s="1" t="s">
        <v>1461</v>
      </c>
      <c r="C2620" s="1" t="s">
        <v>1479</v>
      </c>
      <c r="D2620" s="1" t="s">
        <v>1496</v>
      </c>
      <c r="E2620" s="0" t="s">
        <v>38</v>
      </c>
      <c r="F2620" s="0" t="s">
        <v>49</v>
      </c>
      <c r="G2620" s="0" t="s">
        <v>12904</v>
      </c>
      <c r="J2620" s="6" t="n">
        <v>0.915972222222222</v>
      </c>
      <c r="M2620" s="0" t="s">
        <v>12905</v>
      </c>
      <c r="N2620" s="0" t="s">
        <v>12906</v>
      </c>
      <c r="P2620" s="0" t="s">
        <v>12907</v>
      </c>
      <c r="Q2620" s="2" t="n">
        <v>44253</v>
      </c>
      <c r="S2620" s="0" t="n">
        <f aca="false">YEAR(Q2620)</f>
        <v>2021</v>
      </c>
      <c r="T2620" s="0" t="n">
        <f aca="false">MONTH(Q2620)</f>
        <v>2</v>
      </c>
    </row>
    <row r="2621" customFormat="false" ht="14.25" hidden="true" customHeight="false" outlineLevel="0" collapsed="false">
      <c r="A2621" s="0" t="n">
        <v>2638</v>
      </c>
      <c r="B2621" s="1" t="s">
        <v>12908</v>
      </c>
      <c r="C2621" s="1" t="s">
        <v>1495</v>
      </c>
      <c r="D2621" s="1" t="s">
        <v>1487</v>
      </c>
      <c r="E2621" s="0" t="s">
        <v>40</v>
      </c>
      <c r="F2621" s="0" t="s">
        <v>48</v>
      </c>
      <c r="G2621" s="0" t="s">
        <v>12909</v>
      </c>
      <c r="I2621" s="6" t="n">
        <v>0.236111111111111</v>
      </c>
      <c r="J2621" s="6" t="n">
        <v>0.258333333333333</v>
      </c>
      <c r="L2621" s="0" t="n">
        <v>54</v>
      </c>
      <c r="M2621" s="0" t="s">
        <v>12910</v>
      </c>
      <c r="N2621" s="0" t="s">
        <v>12911</v>
      </c>
      <c r="P2621" s="0" t="s">
        <v>12912</v>
      </c>
      <c r="Q2621" s="2" t="n">
        <v>44256</v>
      </c>
      <c r="S2621" s="0" t="n">
        <f aca="false">YEAR(Q2621)</f>
        <v>2021</v>
      </c>
      <c r="T2621" s="0" t="n">
        <f aca="false">MONTH(Q2621)</f>
        <v>3</v>
      </c>
    </row>
    <row r="2622" customFormat="false" ht="14.25" hidden="true" customHeight="false" outlineLevel="0" collapsed="false">
      <c r="A2622" s="0" t="n">
        <v>2639</v>
      </c>
      <c r="B2622" s="1" t="s">
        <v>12908</v>
      </c>
      <c r="C2622" s="1" t="s">
        <v>1479</v>
      </c>
      <c r="D2622" s="1" t="s">
        <v>1535</v>
      </c>
      <c r="E2622" s="0" t="s">
        <v>39</v>
      </c>
      <c r="F2622" s="0" t="s">
        <v>48</v>
      </c>
      <c r="G2622" s="0" t="s">
        <v>8609</v>
      </c>
      <c r="J2622" s="6" t="n">
        <v>0.28125</v>
      </c>
      <c r="M2622" s="0" t="s">
        <v>12913</v>
      </c>
      <c r="N2622" s="0" t="s">
        <v>12914</v>
      </c>
      <c r="P2622" s="0" t="s">
        <v>12915</v>
      </c>
      <c r="Q2622" s="2" t="n">
        <v>44256</v>
      </c>
      <c r="S2622" s="0" t="n">
        <f aca="false">YEAR(Q2622)</f>
        <v>2021</v>
      </c>
      <c r="T2622" s="0" t="n">
        <f aca="false">MONTH(Q2622)</f>
        <v>3</v>
      </c>
    </row>
    <row r="2623" customFormat="false" ht="14.25" hidden="true" customHeight="false" outlineLevel="0" collapsed="false">
      <c r="A2623" s="0" t="n">
        <v>2640</v>
      </c>
      <c r="B2623" s="1" t="s">
        <v>12908</v>
      </c>
      <c r="C2623" s="1" t="s">
        <v>1479</v>
      </c>
      <c r="D2623" s="1" t="s">
        <v>1535</v>
      </c>
      <c r="E2623" s="0" t="s">
        <v>39</v>
      </c>
      <c r="F2623" s="0" t="s">
        <v>48</v>
      </c>
      <c r="G2623" s="0" t="s">
        <v>8294</v>
      </c>
      <c r="I2623" s="6" t="n">
        <v>0.285416666666667</v>
      </c>
      <c r="J2623" s="6" t="n">
        <v>0.305555555555555</v>
      </c>
      <c r="L2623" s="0" t="n">
        <v>20</v>
      </c>
      <c r="M2623" s="0" t="s">
        <v>12916</v>
      </c>
      <c r="N2623" s="0" t="s">
        <v>12917</v>
      </c>
      <c r="P2623" s="0" t="s">
        <v>12918</v>
      </c>
      <c r="Q2623" s="2" t="n">
        <v>44256</v>
      </c>
      <c r="S2623" s="0" t="n">
        <f aca="false">YEAR(Q2623)</f>
        <v>2021</v>
      </c>
      <c r="T2623" s="0" t="n">
        <f aca="false">MONTH(Q2623)</f>
        <v>3</v>
      </c>
    </row>
    <row r="2624" customFormat="false" ht="14.25" hidden="true" customHeight="false" outlineLevel="0" collapsed="false">
      <c r="A2624" s="0" t="n">
        <v>2641</v>
      </c>
      <c r="B2624" s="1" t="s">
        <v>12908</v>
      </c>
      <c r="C2624" s="1" t="s">
        <v>1479</v>
      </c>
      <c r="D2624" s="1" t="s">
        <v>1487</v>
      </c>
      <c r="E2624" s="0" t="s">
        <v>1488</v>
      </c>
      <c r="F2624" s="0" t="s">
        <v>48</v>
      </c>
      <c r="G2624" s="0" t="s">
        <v>12919</v>
      </c>
      <c r="I2624" s="6" t="n">
        <v>0.260416666666667</v>
      </c>
      <c r="J2624" s="6" t="n">
        <v>0.302083333333333</v>
      </c>
      <c r="L2624" s="0" t="n">
        <v>60</v>
      </c>
      <c r="M2624" s="0" t="s">
        <v>12920</v>
      </c>
      <c r="N2624" s="0" t="s">
        <v>12921</v>
      </c>
      <c r="P2624" s="0" t="s">
        <v>12922</v>
      </c>
      <c r="Q2624" s="2" t="n">
        <v>44256</v>
      </c>
      <c r="S2624" s="0" t="n">
        <f aca="false">YEAR(Q2624)</f>
        <v>2021</v>
      </c>
      <c r="T2624" s="0" t="n">
        <f aca="false">MONTH(Q2624)</f>
        <v>3</v>
      </c>
    </row>
    <row r="2625" customFormat="false" ht="14.25" hidden="true" customHeight="false" outlineLevel="0" collapsed="false">
      <c r="A2625" s="0" t="n">
        <v>2642</v>
      </c>
      <c r="B2625" s="1" t="s">
        <v>12908</v>
      </c>
      <c r="C2625" s="1" t="s">
        <v>1479</v>
      </c>
      <c r="D2625" s="1" t="s">
        <v>1487</v>
      </c>
      <c r="E2625" s="0" t="s">
        <v>1488</v>
      </c>
      <c r="F2625" s="0" t="s">
        <v>49</v>
      </c>
      <c r="G2625" s="0" t="s">
        <v>12923</v>
      </c>
      <c r="I2625" s="6" t="n">
        <v>0.692361111111111</v>
      </c>
      <c r="J2625" s="6" t="n">
        <v>0.754861111111111</v>
      </c>
      <c r="L2625" s="0" t="n">
        <v>110</v>
      </c>
      <c r="M2625" s="0" t="s">
        <v>12924</v>
      </c>
      <c r="N2625" s="0" t="s">
        <v>12925</v>
      </c>
      <c r="P2625" s="0" t="s">
        <v>12926</v>
      </c>
      <c r="Q2625" s="2" t="n">
        <v>44256</v>
      </c>
      <c r="S2625" s="0" t="n">
        <f aca="false">YEAR(Q2625)</f>
        <v>2021</v>
      </c>
      <c r="T2625" s="0" t="n">
        <f aca="false">MONTH(Q2625)</f>
        <v>3</v>
      </c>
    </row>
    <row r="2626" customFormat="false" ht="14.25" hidden="true" customHeight="false" outlineLevel="0" collapsed="false">
      <c r="A2626" s="0" t="n">
        <v>2643</v>
      </c>
      <c r="B2626" s="1" t="s">
        <v>12927</v>
      </c>
      <c r="C2626" s="1" t="s">
        <v>1495</v>
      </c>
      <c r="D2626" s="1" t="s">
        <v>1487</v>
      </c>
      <c r="E2626" s="0" t="s">
        <v>40</v>
      </c>
      <c r="F2626" s="0" t="s">
        <v>49</v>
      </c>
      <c r="G2626" s="0" t="s">
        <v>12928</v>
      </c>
      <c r="I2626" s="6" t="n">
        <v>0.701388888888889</v>
      </c>
      <c r="J2626" s="6" t="n">
        <v>0.722222222222222</v>
      </c>
      <c r="L2626" s="0" t="n">
        <v>75</v>
      </c>
      <c r="M2626" s="0" t="s">
        <v>12929</v>
      </c>
      <c r="N2626" s="0" t="s">
        <v>12930</v>
      </c>
      <c r="P2626" s="0" t="s">
        <v>12931</v>
      </c>
      <c r="Q2626" s="2" t="n">
        <v>44258</v>
      </c>
      <c r="S2626" s="0" t="n">
        <f aca="false">YEAR(Q2626)</f>
        <v>2021</v>
      </c>
      <c r="T2626" s="0" t="n">
        <f aca="false">MONTH(Q2626)</f>
        <v>3</v>
      </c>
    </row>
    <row r="2627" customFormat="false" ht="14.25" hidden="true" customHeight="false" outlineLevel="0" collapsed="false">
      <c r="A2627" s="0" t="n">
        <v>2644</v>
      </c>
      <c r="B2627" s="1" t="s">
        <v>12932</v>
      </c>
      <c r="C2627" s="1" t="s">
        <v>1503</v>
      </c>
      <c r="D2627" s="1" t="s">
        <v>1535</v>
      </c>
      <c r="E2627" s="0" t="s">
        <v>1503</v>
      </c>
      <c r="F2627" s="0" t="s">
        <v>48</v>
      </c>
      <c r="G2627" s="0" t="s">
        <v>12933</v>
      </c>
      <c r="H2627" s="0" t="s">
        <v>12687</v>
      </c>
      <c r="I2627" s="6" t="n">
        <v>0.270833333333333</v>
      </c>
      <c r="J2627" s="6" t="n">
        <v>0.347222222222222</v>
      </c>
      <c r="L2627" s="0" t="n">
        <v>150</v>
      </c>
      <c r="M2627" s="0" t="s">
        <v>12934</v>
      </c>
      <c r="N2627" s="0" t="s">
        <v>12935</v>
      </c>
      <c r="P2627" s="0" t="s">
        <v>12936</v>
      </c>
      <c r="Q2627" s="2" t="n">
        <v>44259</v>
      </c>
      <c r="S2627" s="0" t="n">
        <f aca="false">YEAR(Q2627)</f>
        <v>2021</v>
      </c>
      <c r="T2627" s="0" t="n">
        <f aca="false">MONTH(Q2627)</f>
        <v>3</v>
      </c>
    </row>
    <row r="2628" customFormat="false" ht="14.25" hidden="true" customHeight="false" outlineLevel="0" collapsed="false">
      <c r="A2628" s="0" t="n">
        <v>2645</v>
      </c>
      <c r="B2628" s="1" t="s">
        <v>12932</v>
      </c>
      <c r="C2628" s="1" t="s">
        <v>1479</v>
      </c>
      <c r="D2628" s="1" t="s">
        <v>1496</v>
      </c>
      <c r="E2628" s="0" t="s">
        <v>38</v>
      </c>
      <c r="F2628" s="0" t="s">
        <v>49</v>
      </c>
      <c r="G2628" s="0" t="s">
        <v>12937</v>
      </c>
      <c r="I2628" s="6" t="n">
        <v>0.631944444444444</v>
      </c>
      <c r="J2628" s="6" t="n">
        <v>0.634722222222222</v>
      </c>
      <c r="L2628" s="0" t="n">
        <v>8</v>
      </c>
      <c r="M2628" s="0" t="s">
        <v>12938</v>
      </c>
      <c r="N2628" s="0" t="s">
        <v>12939</v>
      </c>
      <c r="P2628" s="0" t="s">
        <v>12940</v>
      </c>
      <c r="Q2628" s="2" t="n">
        <v>44259</v>
      </c>
      <c r="S2628" s="0" t="n">
        <f aca="false">YEAR(Q2628)</f>
        <v>2021</v>
      </c>
      <c r="T2628" s="0" t="n">
        <f aca="false">MONTH(Q2628)</f>
        <v>3</v>
      </c>
    </row>
    <row r="2629" customFormat="false" ht="42.75" hidden="true" customHeight="false" outlineLevel="0" collapsed="false">
      <c r="A2629" s="0" t="n">
        <v>2646</v>
      </c>
      <c r="B2629" s="1" t="s">
        <v>12941</v>
      </c>
      <c r="C2629" s="1" t="s">
        <v>1495</v>
      </c>
      <c r="D2629" s="1" t="s">
        <v>1535</v>
      </c>
      <c r="E2629" s="0" t="s">
        <v>42</v>
      </c>
      <c r="F2629" s="0" t="s">
        <v>48</v>
      </c>
      <c r="G2629" s="0" t="s">
        <v>12942</v>
      </c>
      <c r="I2629" s="6" t="n">
        <v>0.333333333333333</v>
      </c>
      <c r="J2629" s="6" t="n">
        <v>0.375</v>
      </c>
      <c r="L2629" s="0" t="n">
        <v>76</v>
      </c>
      <c r="M2629" s="0" t="s">
        <v>12943</v>
      </c>
      <c r="N2629" s="7" t="s">
        <v>12944</v>
      </c>
      <c r="O2629" s="7"/>
      <c r="P2629" s="0" t="s">
        <v>12945</v>
      </c>
      <c r="Q2629" s="2" t="n">
        <v>44260</v>
      </c>
      <c r="S2629" s="0" t="n">
        <f aca="false">YEAR(Q2629)</f>
        <v>2021</v>
      </c>
      <c r="T2629" s="0" t="n">
        <f aca="false">MONTH(Q2629)</f>
        <v>3</v>
      </c>
    </row>
    <row r="2630" customFormat="false" ht="14.25" hidden="true" customHeight="false" outlineLevel="0" collapsed="false">
      <c r="A2630" s="0" t="n">
        <v>2647</v>
      </c>
      <c r="B2630" s="1" t="s">
        <v>12941</v>
      </c>
      <c r="C2630" s="1" t="s">
        <v>1479</v>
      </c>
      <c r="D2630" s="1" t="s">
        <v>1863</v>
      </c>
      <c r="E2630" s="0" t="s">
        <v>1863</v>
      </c>
      <c r="F2630" s="0" t="s">
        <v>48</v>
      </c>
      <c r="G2630" s="0" t="s">
        <v>12946</v>
      </c>
      <c r="I2630" s="6" t="n">
        <v>0.333333333333333</v>
      </c>
      <c r="J2630" s="6" t="n">
        <v>0.305555555555555</v>
      </c>
      <c r="M2630" s="0" t="s">
        <v>12947</v>
      </c>
      <c r="N2630" s="0" t="s">
        <v>12948</v>
      </c>
      <c r="P2630" s="0" t="s">
        <v>12949</v>
      </c>
      <c r="Q2630" s="2" t="n">
        <v>44260</v>
      </c>
      <c r="S2630" s="0" t="n">
        <f aca="false">YEAR(Q2630)</f>
        <v>2021</v>
      </c>
      <c r="T2630" s="0" t="n">
        <f aca="false">MONTH(Q2630)</f>
        <v>3</v>
      </c>
    </row>
    <row r="2631" customFormat="false" ht="14.25" hidden="true" customHeight="false" outlineLevel="0" collapsed="false">
      <c r="A2631" s="0" t="n">
        <v>2648</v>
      </c>
      <c r="B2631" s="1" t="s">
        <v>12941</v>
      </c>
      <c r="C2631" s="1" t="s">
        <v>1479</v>
      </c>
      <c r="D2631" s="1" t="s">
        <v>1487</v>
      </c>
      <c r="E2631" s="0" t="s">
        <v>1488</v>
      </c>
      <c r="F2631" s="0" t="s">
        <v>49</v>
      </c>
      <c r="G2631" s="0" t="s">
        <v>12950</v>
      </c>
      <c r="I2631" s="6" t="n">
        <v>0.53125</v>
      </c>
      <c r="J2631" s="6" t="n">
        <v>0.6625</v>
      </c>
      <c r="L2631" s="0" t="n">
        <v>420</v>
      </c>
      <c r="M2631" s="0" t="s">
        <v>12951</v>
      </c>
      <c r="N2631" s="0" t="s">
        <v>12952</v>
      </c>
      <c r="P2631" s="0" t="s">
        <v>12953</v>
      </c>
      <c r="Q2631" s="2" t="n">
        <v>44260</v>
      </c>
      <c r="S2631" s="0" t="n">
        <f aca="false">YEAR(Q2631)</f>
        <v>2021</v>
      </c>
      <c r="T2631" s="0" t="n">
        <f aca="false">MONTH(Q2631)</f>
        <v>3</v>
      </c>
    </row>
    <row r="2632" customFormat="false" ht="42.75" hidden="true" customHeight="false" outlineLevel="0" collapsed="false">
      <c r="A2632" s="0" t="n">
        <v>2649</v>
      </c>
      <c r="B2632" s="1" t="s">
        <v>1462</v>
      </c>
      <c r="C2632" s="1" t="s">
        <v>1479</v>
      </c>
      <c r="D2632" s="1" t="s">
        <v>1496</v>
      </c>
      <c r="E2632" s="0" t="s">
        <v>38</v>
      </c>
      <c r="F2632" s="0" t="s">
        <v>49</v>
      </c>
      <c r="G2632" s="0" t="s">
        <v>12954</v>
      </c>
      <c r="J2632" s="6" t="n">
        <v>0.802083333333333</v>
      </c>
      <c r="M2632" s="0" t="s">
        <v>12955</v>
      </c>
      <c r="N2632" s="7" t="s">
        <v>12956</v>
      </c>
      <c r="O2632" s="7"/>
      <c r="P2632" s="0" t="s">
        <v>12957</v>
      </c>
      <c r="Q2632" s="2" t="n">
        <v>44263</v>
      </c>
      <c r="S2632" s="0" t="n">
        <f aca="false">YEAR(Q2632)</f>
        <v>2021</v>
      </c>
      <c r="T2632" s="0" t="n">
        <f aca="false">MONTH(Q2632)</f>
        <v>3</v>
      </c>
    </row>
    <row r="2633" customFormat="false" ht="14.25" hidden="true" customHeight="false" outlineLevel="0" collapsed="false">
      <c r="A2633" s="0" t="n">
        <v>2650</v>
      </c>
      <c r="B2633" s="1" t="s">
        <v>12958</v>
      </c>
      <c r="C2633" s="1" t="s">
        <v>1495</v>
      </c>
      <c r="D2633" s="1" t="s">
        <v>1535</v>
      </c>
      <c r="E2633" s="0" t="s">
        <v>42</v>
      </c>
      <c r="F2633" s="0" t="s">
        <v>48</v>
      </c>
      <c r="G2633" s="0" t="s">
        <v>12959</v>
      </c>
      <c r="J2633" s="6" t="n">
        <v>0.386805555555556</v>
      </c>
      <c r="M2633" s="0" t="s">
        <v>12960</v>
      </c>
      <c r="N2633" s="0" t="s">
        <v>12961</v>
      </c>
      <c r="P2633" s="0" t="s">
        <v>12962</v>
      </c>
      <c r="Q2633" s="2" t="n">
        <v>44264</v>
      </c>
      <c r="S2633" s="0" t="n">
        <f aca="false">YEAR(Q2633)</f>
        <v>2021</v>
      </c>
      <c r="T2633" s="0" t="n">
        <f aca="false">MONTH(Q2633)</f>
        <v>3</v>
      </c>
    </row>
    <row r="2634" customFormat="false" ht="14.25" hidden="true" customHeight="false" outlineLevel="0" collapsed="false">
      <c r="A2634" s="0" t="n">
        <v>2651</v>
      </c>
      <c r="B2634" s="1" t="s">
        <v>12958</v>
      </c>
      <c r="C2634" s="1" t="s">
        <v>1495</v>
      </c>
      <c r="D2634" s="1" t="s">
        <v>1496</v>
      </c>
      <c r="E2634" s="0" t="s">
        <v>41</v>
      </c>
      <c r="F2634" s="0" t="s">
        <v>48</v>
      </c>
      <c r="G2634" s="0" t="s">
        <v>12963</v>
      </c>
      <c r="I2634" s="6" t="n">
        <v>0.432638888888889</v>
      </c>
      <c r="J2634" s="6" t="n">
        <v>0.442361111111111</v>
      </c>
      <c r="M2634" s="0" t="s">
        <v>12964</v>
      </c>
      <c r="N2634" s="0" t="s">
        <v>12965</v>
      </c>
      <c r="P2634" s="0" t="s">
        <v>12966</v>
      </c>
      <c r="Q2634" s="2" t="n">
        <v>44264</v>
      </c>
      <c r="S2634" s="0" t="n">
        <f aca="false">YEAR(Q2634)</f>
        <v>2021</v>
      </c>
      <c r="T2634" s="0" t="n">
        <f aca="false">MONTH(Q2634)</f>
        <v>3</v>
      </c>
    </row>
    <row r="2635" customFormat="false" ht="14.25" hidden="true" customHeight="false" outlineLevel="0" collapsed="false">
      <c r="A2635" s="0" t="n">
        <v>2652</v>
      </c>
      <c r="B2635" s="1" t="s">
        <v>12967</v>
      </c>
      <c r="C2635" s="1" t="s">
        <v>1479</v>
      </c>
      <c r="D2635" s="1" t="s">
        <v>1480</v>
      </c>
      <c r="E2635" s="0" t="s">
        <v>43</v>
      </c>
      <c r="F2635" s="0" t="s">
        <v>48</v>
      </c>
      <c r="G2635" s="0" t="s">
        <v>12968</v>
      </c>
      <c r="I2635" s="6" t="n">
        <v>0.125</v>
      </c>
      <c r="J2635" s="6" t="n">
        <v>0.229166666666667</v>
      </c>
      <c r="L2635" s="0" t="n">
        <v>180</v>
      </c>
      <c r="M2635" s="0" t="s">
        <v>12969</v>
      </c>
      <c r="N2635" s="0" t="s">
        <v>12970</v>
      </c>
      <c r="P2635" s="0" t="s">
        <v>12971</v>
      </c>
      <c r="Q2635" s="2" t="n">
        <v>44265</v>
      </c>
      <c r="S2635" s="0" t="n">
        <f aca="false">YEAR(Q2635)</f>
        <v>2021</v>
      </c>
      <c r="T2635" s="0" t="n">
        <f aca="false">MONTH(Q2635)</f>
        <v>3</v>
      </c>
    </row>
    <row r="2636" customFormat="false" ht="14.25" hidden="true" customHeight="false" outlineLevel="0" collapsed="false">
      <c r="A2636" s="0" t="n">
        <v>2653</v>
      </c>
      <c r="B2636" s="1" t="s">
        <v>12967</v>
      </c>
      <c r="C2636" s="1" t="s">
        <v>1495</v>
      </c>
      <c r="D2636" s="1" t="s">
        <v>1496</v>
      </c>
      <c r="E2636" s="0" t="s">
        <v>41</v>
      </c>
      <c r="F2636" s="0" t="s">
        <v>48</v>
      </c>
      <c r="G2636" s="0" t="s">
        <v>12972</v>
      </c>
      <c r="I2636" s="6" t="n">
        <v>0.25</v>
      </c>
      <c r="J2636" s="6" t="n">
        <v>0.291666666666667</v>
      </c>
      <c r="M2636" s="0" t="s">
        <v>12973</v>
      </c>
      <c r="N2636" s="0" t="s">
        <v>12974</v>
      </c>
      <c r="P2636" s="0" t="s">
        <v>12975</v>
      </c>
      <c r="Q2636" s="2" t="n">
        <v>44265</v>
      </c>
      <c r="S2636" s="0" t="n">
        <f aca="false">YEAR(Q2636)</f>
        <v>2021</v>
      </c>
      <c r="T2636" s="0" t="n">
        <f aca="false">MONTH(Q2636)</f>
        <v>3</v>
      </c>
    </row>
    <row r="2637" customFormat="false" ht="14.25" hidden="true" customHeight="false" outlineLevel="0" collapsed="false">
      <c r="A2637" s="0" t="n">
        <v>2654</v>
      </c>
      <c r="B2637" s="1" t="s">
        <v>12967</v>
      </c>
      <c r="C2637" s="1" t="s">
        <v>1479</v>
      </c>
      <c r="D2637" s="1" t="s">
        <v>1496</v>
      </c>
      <c r="E2637" s="0" t="s">
        <v>38</v>
      </c>
      <c r="F2637" s="0" t="s">
        <v>48</v>
      </c>
      <c r="G2637" s="0" t="s">
        <v>12976</v>
      </c>
      <c r="I2637" s="6" t="n">
        <v>0.432638888888889</v>
      </c>
      <c r="J2637" s="6" t="n">
        <v>0.442361111111111</v>
      </c>
      <c r="M2637" s="0" t="s">
        <v>12977</v>
      </c>
      <c r="N2637" s="0" t="s">
        <v>12978</v>
      </c>
      <c r="P2637" s="0" t="s">
        <v>12979</v>
      </c>
      <c r="Q2637" s="2" t="n">
        <v>44265</v>
      </c>
      <c r="S2637" s="0" t="n">
        <f aca="false">YEAR(Q2637)</f>
        <v>2021</v>
      </c>
      <c r="T2637" s="0" t="n">
        <f aca="false">MONTH(Q2637)</f>
        <v>3</v>
      </c>
    </row>
    <row r="2638" customFormat="false" ht="14.25" hidden="true" customHeight="false" outlineLevel="0" collapsed="false">
      <c r="A2638" s="0" t="n">
        <v>2655</v>
      </c>
      <c r="B2638" s="1" t="s">
        <v>12980</v>
      </c>
      <c r="C2638" s="1" t="s">
        <v>1495</v>
      </c>
      <c r="D2638" s="1" t="s">
        <v>1496</v>
      </c>
      <c r="E2638" s="0" t="s">
        <v>41</v>
      </c>
      <c r="F2638" s="0" t="s">
        <v>48</v>
      </c>
      <c r="G2638" s="0" t="s">
        <v>12981</v>
      </c>
      <c r="I2638" s="6" t="n">
        <v>0.272222222222222</v>
      </c>
      <c r="J2638" s="6" t="n">
        <v>0.291666666666667</v>
      </c>
      <c r="K2638" s="0" t="n">
        <v>0</v>
      </c>
      <c r="M2638" s="0" t="s">
        <v>12982</v>
      </c>
      <c r="N2638" s="0" t="s">
        <v>12983</v>
      </c>
      <c r="P2638" s="0" t="s">
        <v>12984</v>
      </c>
      <c r="Q2638" s="2" t="n">
        <v>44267</v>
      </c>
      <c r="S2638" s="0" t="n">
        <f aca="false">YEAR(Q2638)</f>
        <v>2021</v>
      </c>
      <c r="T2638" s="0" t="n">
        <f aca="false">MONTH(Q2638)</f>
        <v>3</v>
      </c>
    </row>
    <row r="2639" customFormat="false" ht="14.25" hidden="true" customHeight="false" outlineLevel="0" collapsed="false">
      <c r="A2639" s="0" t="n">
        <v>2656</v>
      </c>
      <c r="B2639" s="1" t="s">
        <v>12980</v>
      </c>
      <c r="C2639" s="1" t="s">
        <v>1479</v>
      </c>
      <c r="D2639" s="1" t="s">
        <v>1535</v>
      </c>
      <c r="E2639" s="0" t="s">
        <v>39</v>
      </c>
      <c r="F2639" s="0" t="s">
        <v>49</v>
      </c>
      <c r="G2639" s="0" t="s">
        <v>12985</v>
      </c>
      <c r="I2639" s="6" t="n">
        <v>0.760416666666667</v>
      </c>
      <c r="J2639" s="6" t="n">
        <v>0.78125</v>
      </c>
      <c r="M2639" s="0" t="s">
        <v>12986</v>
      </c>
      <c r="N2639" s="0" t="s">
        <v>12987</v>
      </c>
      <c r="P2639" s="0" t="s">
        <v>12988</v>
      </c>
      <c r="Q2639" s="2" t="n">
        <v>44267</v>
      </c>
      <c r="S2639" s="0" t="n">
        <f aca="false">YEAR(Q2639)</f>
        <v>2021</v>
      </c>
      <c r="T2639" s="0" t="n">
        <f aca="false">MONTH(Q2639)</f>
        <v>3</v>
      </c>
    </row>
    <row r="2640" customFormat="false" ht="14.25" hidden="true" customHeight="false" outlineLevel="0" collapsed="false">
      <c r="A2640" s="0" t="n">
        <v>2657</v>
      </c>
      <c r="B2640" s="1" t="s">
        <v>1457</v>
      </c>
      <c r="C2640" s="1" t="s">
        <v>1495</v>
      </c>
      <c r="D2640" s="1" t="s">
        <v>1496</v>
      </c>
      <c r="E2640" s="0" t="s">
        <v>41</v>
      </c>
      <c r="F2640" s="0" t="s">
        <v>48</v>
      </c>
      <c r="G2640" s="0" t="s">
        <v>12989</v>
      </c>
      <c r="I2640" s="6" t="n">
        <v>0.243055555555556</v>
      </c>
      <c r="J2640" s="6" t="n">
        <v>0.318055555555556</v>
      </c>
      <c r="M2640" s="0" t="s">
        <v>12990</v>
      </c>
      <c r="N2640" s="0" t="s">
        <v>12991</v>
      </c>
      <c r="P2640" s="0" t="s">
        <v>12992</v>
      </c>
      <c r="Q2640" s="2" t="n">
        <v>44270</v>
      </c>
      <c r="S2640" s="0" t="n">
        <f aca="false">YEAR(Q2640)</f>
        <v>2021</v>
      </c>
      <c r="T2640" s="0" t="n">
        <f aca="false">MONTH(Q2640)</f>
        <v>3</v>
      </c>
    </row>
    <row r="2641" customFormat="false" ht="14.25" hidden="true" customHeight="false" outlineLevel="0" collapsed="false">
      <c r="A2641" s="0" t="n">
        <v>2658</v>
      </c>
      <c r="B2641" s="1" t="s">
        <v>1457</v>
      </c>
      <c r="C2641" s="1" t="s">
        <v>1503</v>
      </c>
      <c r="D2641" s="1" t="s">
        <v>1535</v>
      </c>
      <c r="E2641" s="0" t="s">
        <v>1503</v>
      </c>
      <c r="F2641" s="0" t="s">
        <v>48</v>
      </c>
      <c r="G2641" s="0" t="s">
        <v>12993</v>
      </c>
      <c r="H2641" s="0" t="s">
        <v>12687</v>
      </c>
      <c r="I2641" s="6" t="n">
        <v>0.454861111111111</v>
      </c>
      <c r="J2641" s="6" t="n">
        <v>0.4875</v>
      </c>
      <c r="L2641" s="0" t="n">
        <v>140</v>
      </c>
      <c r="M2641" s="0" t="s">
        <v>12994</v>
      </c>
      <c r="N2641" s="0" t="s">
        <v>12995</v>
      </c>
      <c r="P2641" s="0" t="s">
        <v>12996</v>
      </c>
      <c r="Q2641" s="2" t="n">
        <v>44270</v>
      </c>
      <c r="S2641" s="0" t="n">
        <f aca="false">YEAR(Q2641)</f>
        <v>2021</v>
      </c>
      <c r="T2641" s="0" t="n">
        <f aca="false">MONTH(Q2641)</f>
        <v>3</v>
      </c>
    </row>
    <row r="2642" customFormat="false" ht="14.25" hidden="true" customHeight="false" outlineLevel="0" collapsed="false">
      <c r="A2642" s="0" t="n">
        <v>2659</v>
      </c>
      <c r="B2642" s="1" t="s">
        <v>1457</v>
      </c>
      <c r="C2642" s="1" t="s">
        <v>1495</v>
      </c>
      <c r="D2642" s="1" t="s">
        <v>1496</v>
      </c>
      <c r="E2642" s="0" t="s">
        <v>41</v>
      </c>
      <c r="F2642" s="0" t="s">
        <v>49</v>
      </c>
      <c r="G2642" s="0" t="s">
        <v>12989</v>
      </c>
      <c r="I2642" s="6" t="n">
        <v>0.520833333333333</v>
      </c>
      <c r="J2642" s="6" t="n">
        <v>0.561111111111111</v>
      </c>
      <c r="M2642" s="0" t="s">
        <v>12990</v>
      </c>
      <c r="N2642" s="0" t="s">
        <v>12997</v>
      </c>
      <c r="P2642" s="0" t="s">
        <v>12998</v>
      </c>
      <c r="Q2642" s="2" t="n">
        <v>44270</v>
      </c>
      <c r="S2642" s="0" t="n">
        <f aca="false">YEAR(Q2642)</f>
        <v>2021</v>
      </c>
      <c r="T2642" s="0" t="n">
        <f aca="false">MONTH(Q2642)</f>
        <v>3</v>
      </c>
    </row>
    <row r="2643" customFormat="false" ht="14.25" hidden="true" customHeight="false" outlineLevel="0" collapsed="false">
      <c r="A2643" s="0" t="n">
        <v>2660</v>
      </c>
      <c r="B2643" s="1" t="s">
        <v>1457</v>
      </c>
      <c r="C2643" s="1" t="s">
        <v>1479</v>
      </c>
      <c r="D2643" s="1" t="s">
        <v>1487</v>
      </c>
      <c r="E2643" s="0" t="s">
        <v>1488</v>
      </c>
      <c r="F2643" s="0" t="s">
        <v>49</v>
      </c>
      <c r="G2643" s="0" t="s">
        <v>9326</v>
      </c>
      <c r="I2643" s="6" t="n">
        <v>0.75</v>
      </c>
      <c r="J2643" s="6" t="n">
        <v>0.770138888888889</v>
      </c>
      <c r="L2643" s="0" t="n">
        <v>145</v>
      </c>
      <c r="M2643" s="0" t="s">
        <v>12999</v>
      </c>
      <c r="N2643" s="0" t="s">
        <v>13000</v>
      </c>
      <c r="P2643" s="0" t="s">
        <v>13001</v>
      </c>
      <c r="Q2643" s="2" t="n">
        <v>44270</v>
      </c>
      <c r="S2643" s="0" t="n">
        <f aca="false">YEAR(Q2643)</f>
        <v>2021</v>
      </c>
      <c r="T2643" s="0" t="n">
        <f aca="false">MONTH(Q2643)</f>
        <v>3</v>
      </c>
    </row>
    <row r="2644" customFormat="false" ht="14.25" hidden="true" customHeight="false" outlineLevel="0" collapsed="false">
      <c r="A2644" s="0" t="n">
        <v>2661</v>
      </c>
      <c r="B2644" s="1" t="s">
        <v>1463</v>
      </c>
      <c r="C2644" s="1" t="s">
        <v>1495</v>
      </c>
      <c r="D2644" s="1" t="s">
        <v>1496</v>
      </c>
      <c r="E2644" s="0" t="s">
        <v>41</v>
      </c>
      <c r="F2644" s="0" t="s">
        <v>48</v>
      </c>
      <c r="G2644" s="0" t="s">
        <v>13002</v>
      </c>
      <c r="I2644" s="6" t="n">
        <v>0.513888888888889</v>
      </c>
      <c r="J2644" s="6" t="n">
        <v>0.526388888888889</v>
      </c>
      <c r="L2644" s="0" t="n">
        <v>35</v>
      </c>
      <c r="M2644" s="0" t="s">
        <v>13003</v>
      </c>
      <c r="N2644" s="0" t="s">
        <v>13004</v>
      </c>
      <c r="P2644" s="0" t="s">
        <v>13005</v>
      </c>
      <c r="Q2644" s="2" t="n">
        <v>44271</v>
      </c>
      <c r="S2644" s="0" t="n">
        <f aca="false">YEAR(Q2644)</f>
        <v>2021</v>
      </c>
      <c r="T2644" s="0" t="n">
        <f aca="false">MONTH(Q2644)</f>
        <v>3</v>
      </c>
    </row>
    <row r="2645" customFormat="false" ht="14.25" hidden="true" customHeight="false" outlineLevel="0" collapsed="false">
      <c r="A2645" s="0" t="n">
        <v>2662</v>
      </c>
      <c r="B2645" s="1" t="s">
        <v>1463</v>
      </c>
      <c r="C2645" s="1" t="s">
        <v>1479</v>
      </c>
      <c r="D2645" s="1" t="s">
        <v>1480</v>
      </c>
      <c r="E2645" s="0" t="s">
        <v>43</v>
      </c>
      <c r="F2645" s="0" t="s">
        <v>49</v>
      </c>
      <c r="G2645" s="0" t="s">
        <v>13006</v>
      </c>
      <c r="I2645" s="6" t="n">
        <v>0.572916666666667</v>
      </c>
      <c r="J2645" s="6" t="n">
        <v>0.597222222222222</v>
      </c>
      <c r="L2645" s="0" t="n">
        <v>75</v>
      </c>
      <c r="M2645" s="0" t="s">
        <v>13007</v>
      </c>
      <c r="N2645" s="0" t="s">
        <v>13008</v>
      </c>
      <c r="P2645" s="0" t="s">
        <v>13009</v>
      </c>
      <c r="Q2645" s="2" t="n">
        <v>44271</v>
      </c>
      <c r="S2645" s="0" t="n">
        <f aca="false">YEAR(Q2645)</f>
        <v>2021</v>
      </c>
      <c r="T2645" s="0" t="n">
        <f aca="false">MONTH(Q2645)</f>
        <v>3</v>
      </c>
    </row>
    <row r="2646" customFormat="false" ht="14.25" hidden="true" customHeight="false" outlineLevel="0" collapsed="false">
      <c r="A2646" s="0" t="n">
        <v>2663</v>
      </c>
      <c r="B2646" s="1" t="s">
        <v>1463</v>
      </c>
      <c r="C2646" s="1" t="s">
        <v>1479</v>
      </c>
      <c r="D2646" s="1" t="s">
        <v>1535</v>
      </c>
      <c r="E2646" s="0" t="s">
        <v>39</v>
      </c>
      <c r="F2646" s="0" t="s">
        <v>49</v>
      </c>
      <c r="G2646" s="0" t="s">
        <v>13010</v>
      </c>
      <c r="I2646" s="6" t="n">
        <v>0.666666666666667</v>
      </c>
      <c r="J2646" s="6" t="n">
        <v>0.673611111111111</v>
      </c>
      <c r="L2646" s="0" t="n">
        <v>135</v>
      </c>
      <c r="M2646" s="0" t="s">
        <v>13011</v>
      </c>
      <c r="N2646" s="0" t="s">
        <v>13012</v>
      </c>
      <c r="P2646" s="0" t="s">
        <v>13013</v>
      </c>
      <c r="Q2646" s="2" t="n">
        <v>44271</v>
      </c>
      <c r="S2646" s="0" t="n">
        <f aca="false">YEAR(Q2646)</f>
        <v>2021</v>
      </c>
      <c r="T2646" s="0" t="n">
        <f aca="false">MONTH(Q2646)</f>
        <v>3</v>
      </c>
    </row>
    <row r="2647" customFormat="false" ht="14.25" hidden="true" customHeight="false" outlineLevel="0" collapsed="false">
      <c r="A2647" s="0" t="n">
        <v>2664</v>
      </c>
      <c r="B2647" s="1" t="s">
        <v>1463</v>
      </c>
      <c r="C2647" s="1" t="s">
        <v>1479</v>
      </c>
      <c r="D2647" s="1" t="s">
        <v>1480</v>
      </c>
      <c r="E2647" s="0" t="s">
        <v>43</v>
      </c>
      <c r="F2647" s="0" t="s">
        <v>49</v>
      </c>
      <c r="G2647" s="0" t="s">
        <v>3332</v>
      </c>
      <c r="I2647" s="6" t="n">
        <v>0.875</v>
      </c>
      <c r="J2647" s="6" t="n">
        <v>0.902777777777778</v>
      </c>
      <c r="L2647" s="0" t="n">
        <v>80</v>
      </c>
      <c r="M2647" s="0" t="s">
        <v>13014</v>
      </c>
      <c r="N2647" s="0" t="s">
        <v>13015</v>
      </c>
      <c r="P2647" s="0" t="s">
        <v>13016</v>
      </c>
      <c r="Q2647" s="2" t="n">
        <v>44271</v>
      </c>
      <c r="S2647" s="0" t="n">
        <f aca="false">YEAR(Q2647)</f>
        <v>2021</v>
      </c>
      <c r="T2647" s="0" t="n">
        <f aca="false">MONTH(Q2647)</f>
        <v>3</v>
      </c>
    </row>
    <row r="2648" customFormat="false" ht="14.25" hidden="true" customHeight="false" outlineLevel="0" collapsed="false">
      <c r="A2648" s="0" t="n">
        <v>2665</v>
      </c>
      <c r="B2648" s="1" t="s">
        <v>13017</v>
      </c>
      <c r="C2648" s="1" t="s">
        <v>1479</v>
      </c>
      <c r="D2648" s="1" t="s">
        <v>1535</v>
      </c>
      <c r="E2648" s="0" t="s">
        <v>39</v>
      </c>
      <c r="F2648" s="0" t="s">
        <v>48</v>
      </c>
      <c r="G2648" s="0" t="s">
        <v>13018</v>
      </c>
      <c r="I2648" s="6" t="n">
        <v>0.260416666666667</v>
      </c>
      <c r="J2648" s="6" t="n">
        <v>0.274305555555555</v>
      </c>
      <c r="M2648" s="0" t="s">
        <v>13019</v>
      </c>
      <c r="N2648" s="0" t="s">
        <v>13020</v>
      </c>
      <c r="P2648" s="0" t="s">
        <v>13021</v>
      </c>
      <c r="Q2648" s="2" t="n">
        <v>44272</v>
      </c>
      <c r="S2648" s="0" t="n">
        <f aca="false">YEAR(Q2648)</f>
        <v>2021</v>
      </c>
      <c r="T2648" s="0" t="n">
        <f aca="false">MONTH(Q2648)</f>
        <v>3</v>
      </c>
    </row>
    <row r="2649" customFormat="false" ht="14.25" hidden="true" customHeight="false" outlineLevel="0" collapsed="false">
      <c r="A2649" s="0" t="n">
        <v>2666</v>
      </c>
      <c r="B2649" s="1" t="s">
        <v>13017</v>
      </c>
      <c r="C2649" s="1" t="s">
        <v>1479</v>
      </c>
      <c r="D2649" s="1" t="s">
        <v>1487</v>
      </c>
      <c r="E2649" s="0" t="s">
        <v>1488</v>
      </c>
      <c r="F2649" s="0" t="s">
        <v>48</v>
      </c>
      <c r="G2649" s="0" t="s">
        <v>13022</v>
      </c>
      <c r="I2649" s="6" t="n">
        <v>0.298611111111111</v>
      </c>
      <c r="J2649" s="6" t="n">
        <v>0.309027777777778</v>
      </c>
      <c r="L2649" s="0" t="n">
        <v>180</v>
      </c>
      <c r="M2649" s="0" t="s">
        <v>13023</v>
      </c>
      <c r="N2649" s="0" t="s">
        <v>13024</v>
      </c>
      <c r="P2649" s="0" t="s">
        <v>13025</v>
      </c>
      <c r="Q2649" s="2" t="n">
        <v>44272</v>
      </c>
      <c r="S2649" s="0" t="n">
        <f aca="false">YEAR(Q2649)</f>
        <v>2021</v>
      </c>
      <c r="T2649" s="0" t="n">
        <f aca="false">MONTH(Q2649)</f>
        <v>3</v>
      </c>
    </row>
    <row r="2650" customFormat="false" ht="28.5" hidden="true" customHeight="false" outlineLevel="0" collapsed="false">
      <c r="A2650" s="0" t="n">
        <v>2667</v>
      </c>
      <c r="B2650" s="1" t="s">
        <v>13026</v>
      </c>
      <c r="C2650" s="1" t="s">
        <v>1503</v>
      </c>
      <c r="D2650" s="1" t="s">
        <v>1535</v>
      </c>
      <c r="E2650" s="0" t="s">
        <v>1503</v>
      </c>
      <c r="F2650" s="0" t="s">
        <v>48</v>
      </c>
      <c r="G2650" s="0" t="s">
        <v>13027</v>
      </c>
      <c r="I2650" s="6" t="n">
        <v>0.347222222222222</v>
      </c>
      <c r="J2650" s="6" t="n">
        <v>0.3875</v>
      </c>
      <c r="M2650" s="21" t="s">
        <v>13028</v>
      </c>
      <c r="N2650" s="22" t="s">
        <v>13029</v>
      </c>
      <c r="O2650" s="22"/>
      <c r="P2650" s="21" t="s">
        <v>13030</v>
      </c>
      <c r="Q2650" s="2" t="n">
        <v>44273</v>
      </c>
      <c r="S2650" s="0" t="n">
        <f aca="false">YEAR(Q2650)</f>
        <v>2021</v>
      </c>
      <c r="T2650" s="0" t="n">
        <f aca="false">MONTH(Q2650)</f>
        <v>3</v>
      </c>
    </row>
    <row r="2651" customFormat="false" ht="14.25" hidden="true" customHeight="false" outlineLevel="0" collapsed="false">
      <c r="A2651" s="0" t="n">
        <v>2668</v>
      </c>
      <c r="B2651" s="1" t="s">
        <v>13031</v>
      </c>
      <c r="C2651" s="1" t="s">
        <v>1479</v>
      </c>
      <c r="D2651" s="1" t="s">
        <v>1480</v>
      </c>
      <c r="E2651" s="0" t="s">
        <v>43</v>
      </c>
      <c r="F2651" s="0" t="s">
        <v>48</v>
      </c>
      <c r="G2651" s="0" t="s">
        <v>13032</v>
      </c>
      <c r="I2651" s="6" t="n">
        <v>0.461805555555556</v>
      </c>
      <c r="J2651" s="6" t="n">
        <v>0.529861111111111</v>
      </c>
      <c r="L2651" s="0" t="n">
        <v>120</v>
      </c>
      <c r="M2651" s="0" t="s">
        <v>13033</v>
      </c>
      <c r="N2651" s="23" t="s">
        <v>13034</v>
      </c>
      <c r="O2651" s="23"/>
      <c r="P2651" s="0" t="s">
        <v>13035</v>
      </c>
      <c r="Q2651" s="2" t="n">
        <v>44274</v>
      </c>
      <c r="S2651" s="0" t="n">
        <f aca="false">YEAR(Q2651)</f>
        <v>2021</v>
      </c>
      <c r="T2651" s="0" t="n">
        <f aca="false">MONTH(Q2651)</f>
        <v>3</v>
      </c>
    </row>
    <row r="2652" customFormat="false" ht="14.25" hidden="true" customHeight="false" outlineLevel="0" collapsed="false">
      <c r="A2652" s="0" t="n">
        <v>2669</v>
      </c>
      <c r="B2652" s="1" t="s">
        <v>13036</v>
      </c>
      <c r="C2652" s="1" t="s">
        <v>1479</v>
      </c>
      <c r="D2652" s="1" t="s">
        <v>1480</v>
      </c>
      <c r="E2652" s="0" t="s">
        <v>43</v>
      </c>
      <c r="F2652" s="0" t="s">
        <v>49</v>
      </c>
      <c r="G2652" s="24" t="s">
        <v>11468</v>
      </c>
      <c r="H2652" s="24"/>
      <c r="I2652" s="25" t="n">
        <v>0.902777777777778</v>
      </c>
      <c r="J2652" s="6" t="n">
        <v>0.940972222222222</v>
      </c>
      <c r="L2652" s="0" t="n">
        <v>90</v>
      </c>
      <c r="M2652" s="0" t="s">
        <v>13037</v>
      </c>
      <c r="N2652" s="0" t="s">
        <v>13038</v>
      </c>
      <c r="P2652" s="0" t="s">
        <v>13039</v>
      </c>
      <c r="Q2652" s="2" t="n">
        <v>44274</v>
      </c>
      <c r="S2652" s="0" t="n">
        <f aca="false">YEAR(Q2652)</f>
        <v>2021</v>
      </c>
      <c r="T2652" s="0" t="n">
        <f aca="false">MONTH(Q2652)</f>
        <v>3</v>
      </c>
    </row>
    <row r="2653" customFormat="false" ht="14.25" hidden="true" customHeight="false" outlineLevel="0" collapsed="false">
      <c r="A2653" s="0" t="n">
        <v>2670</v>
      </c>
      <c r="B2653" s="1" t="s">
        <v>13040</v>
      </c>
      <c r="C2653" s="1" t="s">
        <v>1479</v>
      </c>
      <c r="D2653" s="1" t="s">
        <v>1480</v>
      </c>
      <c r="E2653" s="0" t="s">
        <v>43</v>
      </c>
      <c r="F2653" s="0" t="s">
        <v>48</v>
      </c>
      <c r="G2653" s="0" t="s">
        <v>13041</v>
      </c>
      <c r="I2653" s="26" t="n">
        <v>0.222222222222222</v>
      </c>
      <c r="J2653" s="6" t="n">
        <v>0.259027777777778</v>
      </c>
      <c r="L2653" s="0" t="n">
        <v>120</v>
      </c>
      <c r="M2653" s="0" t="s">
        <v>13042</v>
      </c>
      <c r="N2653" s="0" t="s">
        <v>13043</v>
      </c>
      <c r="P2653" s="0" t="s">
        <v>13044</v>
      </c>
      <c r="Q2653" s="2" t="n">
        <v>44277</v>
      </c>
      <c r="S2653" s="0" t="n">
        <f aca="false">YEAR(Q2653)</f>
        <v>2021</v>
      </c>
      <c r="T2653" s="0" t="n">
        <f aca="false">MONTH(Q2653)</f>
        <v>3</v>
      </c>
    </row>
    <row r="2654" customFormat="false" ht="14.25" hidden="true" customHeight="false" outlineLevel="0" collapsed="false">
      <c r="A2654" s="0" t="n">
        <v>2671</v>
      </c>
      <c r="B2654" s="1" t="s">
        <v>13040</v>
      </c>
      <c r="C2654" s="1" t="s">
        <v>1479</v>
      </c>
      <c r="D2654" s="1" t="s">
        <v>1487</v>
      </c>
      <c r="E2654" s="0" t="s">
        <v>1488</v>
      </c>
      <c r="F2654" s="0" t="s">
        <v>48</v>
      </c>
      <c r="G2654" s="0" t="s">
        <v>8471</v>
      </c>
      <c r="I2654" s="6" t="n">
        <v>0.247222222222222</v>
      </c>
      <c r="J2654" s="6" t="n">
        <v>0.303472222222222</v>
      </c>
      <c r="L2654" s="0" t="n">
        <v>175</v>
      </c>
      <c r="M2654" s="0" t="s">
        <v>13045</v>
      </c>
      <c r="N2654" s="0" t="s">
        <v>13046</v>
      </c>
      <c r="P2654" s="0" t="s">
        <v>13047</v>
      </c>
      <c r="Q2654" s="2" t="n">
        <v>44277</v>
      </c>
      <c r="S2654" s="0" t="n">
        <f aca="false">YEAR(Q2654)</f>
        <v>2021</v>
      </c>
      <c r="T2654" s="0" t="n">
        <f aca="false">MONTH(Q2654)</f>
        <v>3</v>
      </c>
    </row>
    <row r="2655" customFormat="false" ht="14.25" hidden="true" customHeight="false" outlineLevel="0" collapsed="false">
      <c r="A2655" s="0" t="n">
        <v>2672</v>
      </c>
      <c r="B2655" s="1" t="s">
        <v>13048</v>
      </c>
      <c r="C2655" s="1" t="s">
        <v>1479</v>
      </c>
      <c r="D2655" s="1" t="s">
        <v>1496</v>
      </c>
      <c r="E2655" s="0" t="s">
        <v>38</v>
      </c>
      <c r="F2655" s="0" t="s">
        <v>49</v>
      </c>
      <c r="G2655" s="0" t="s">
        <v>13049</v>
      </c>
      <c r="I2655" s="6" t="n">
        <v>0.763888888888889</v>
      </c>
      <c r="J2655" s="6" t="n">
        <v>0.76875</v>
      </c>
      <c r="M2655" s="0" t="s">
        <v>13050</v>
      </c>
      <c r="N2655" s="0" t="s">
        <v>13051</v>
      </c>
      <c r="P2655" s="0" t="s">
        <v>13052</v>
      </c>
      <c r="Q2655" s="2" t="n">
        <v>44279</v>
      </c>
      <c r="S2655" s="0" t="n">
        <f aca="false">YEAR(Q2655)</f>
        <v>2021</v>
      </c>
      <c r="T2655" s="0" t="n">
        <f aca="false">MONTH(Q2655)</f>
        <v>3</v>
      </c>
    </row>
    <row r="2656" customFormat="false" ht="14.25" hidden="true" customHeight="false" outlineLevel="0" collapsed="false">
      <c r="A2656" s="0" t="n">
        <v>2673</v>
      </c>
      <c r="B2656" s="1" t="s">
        <v>13048</v>
      </c>
      <c r="C2656" s="1" t="s">
        <v>1479</v>
      </c>
      <c r="D2656" s="1" t="s">
        <v>1535</v>
      </c>
      <c r="E2656" s="0" t="s">
        <v>39</v>
      </c>
      <c r="F2656" s="0" t="s">
        <v>48</v>
      </c>
      <c r="G2656" s="0" t="s">
        <v>4489</v>
      </c>
      <c r="I2656" s="6" t="n">
        <v>0.276388888888889</v>
      </c>
      <c r="J2656" s="6" t="n">
        <v>0.279861111111111</v>
      </c>
      <c r="L2656" s="0" t="n">
        <v>90</v>
      </c>
      <c r="M2656" s="0" t="s">
        <v>13053</v>
      </c>
      <c r="N2656" s="0" t="s">
        <v>13054</v>
      </c>
      <c r="P2656" s="0" t="s">
        <v>13055</v>
      </c>
      <c r="Q2656" s="2" t="n">
        <v>44279</v>
      </c>
      <c r="S2656" s="0" t="n">
        <f aca="false">YEAR(Q2656)</f>
        <v>2021</v>
      </c>
      <c r="T2656" s="0" t="n">
        <f aca="false">MONTH(Q2656)</f>
        <v>3</v>
      </c>
    </row>
    <row r="2657" customFormat="false" ht="14.25" hidden="true" customHeight="false" outlineLevel="0" collapsed="false">
      <c r="A2657" s="0" t="n">
        <v>2674</v>
      </c>
      <c r="B2657" s="1" t="s">
        <v>13056</v>
      </c>
      <c r="C2657" s="1" t="s">
        <v>1495</v>
      </c>
      <c r="D2657" s="1" t="s">
        <v>1487</v>
      </c>
      <c r="E2657" s="0" t="s">
        <v>40</v>
      </c>
      <c r="F2657" s="0" t="s">
        <v>48</v>
      </c>
      <c r="G2657" s="0" t="s">
        <v>13057</v>
      </c>
      <c r="I2657" s="6" t="n">
        <v>0.3125</v>
      </c>
      <c r="J2657" s="6" t="n">
        <v>0.865277777777778</v>
      </c>
      <c r="L2657" s="0" t="n">
        <v>140</v>
      </c>
      <c r="M2657" s="0" t="s">
        <v>13058</v>
      </c>
      <c r="N2657" s="0" t="s">
        <v>13059</v>
      </c>
      <c r="P2657" s="0" t="s">
        <v>13060</v>
      </c>
      <c r="Q2657" s="2" t="n">
        <v>44278</v>
      </c>
      <c r="S2657" s="0" t="n">
        <f aca="false">YEAR(Q2657)</f>
        <v>2021</v>
      </c>
      <c r="T2657" s="0" t="n">
        <f aca="false">MONTH(Q2657)</f>
        <v>3</v>
      </c>
    </row>
    <row r="2658" customFormat="false" ht="14.25" hidden="true" customHeight="false" outlineLevel="0" collapsed="false">
      <c r="A2658" s="0" t="n">
        <v>2675</v>
      </c>
      <c r="B2658" s="1" t="s">
        <v>13061</v>
      </c>
      <c r="C2658" s="1" t="s">
        <v>1495</v>
      </c>
      <c r="D2658" s="1" t="s">
        <v>1487</v>
      </c>
      <c r="E2658" s="0" t="s">
        <v>40</v>
      </c>
      <c r="F2658" s="0" t="s">
        <v>48</v>
      </c>
      <c r="G2658" s="0" t="s">
        <v>13062</v>
      </c>
      <c r="L2658" s="0" t="n">
        <v>33</v>
      </c>
      <c r="M2658" s="0" t="s">
        <v>13063</v>
      </c>
      <c r="N2658" s="0" t="s">
        <v>13064</v>
      </c>
      <c r="P2658" s="0" t="s">
        <v>13065</v>
      </c>
      <c r="Q2658" s="2" t="n">
        <v>44280</v>
      </c>
      <c r="S2658" s="0" t="n">
        <f aca="false">YEAR(Q2658)</f>
        <v>2021</v>
      </c>
      <c r="T2658" s="0" t="n">
        <f aca="false">MONTH(Q2658)</f>
        <v>3</v>
      </c>
    </row>
    <row r="2659" customFormat="false" ht="14.25" hidden="true" customHeight="false" outlineLevel="0" collapsed="false">
      <c r="A2659" s="0" t="n">
        <v>2676</v>
      </c>
      <c r="B2659" s="1" t="s">
        <v>13066</v>
      </c>
      <c r="C2659" s="1" t="s">
        <v>1495</v>
      </c>
      <c r="D2659" s="1" t="s">
        <v>1487</v>
      </c>
      <c r="E2659" s="0" t="s">
        <v>40</v>
      </c>
      <c r="F2659" s="0" t="s">
        <v>49</v>
      </c>
      <c r="G2659" s="0" t="s">
        <v>13067</v>
      </c>
      <c r="I2659" s="6" t="n">
        <v>0.725694444444444</v>
      </c>
      <c r="J2659" s="6" t="n">
        <v>0.754861111111111</v>
      </c>
      <c r="L2659" s="0" t="n">
        <v>60</v>
      </c>
      <c r="M2659" s="0" t="s">
        <v>13068</v>
      </c>
      <c r="N2659" s="0" t="s">
        <v>13069</v>
      </c>
      <c r="P2659" s="0" t="s">
        <v>13070</v>
      </c>
      <c r="Q2659" s="2" t="n">
        <v>44281</v>
      </c>
      <c r="S2659" s="0" t="n">
        <f aca="false">YEAR(Q2659)</f>
        <v>2021</v>
      </c>
      <c r="T2659" s="0" t="n">
        <f aca="false">MONTH(Q2659)</f>
        <v>3</v>
      </c>
    </row>
    <row r="2660" customFormat="false" ht="14.25" hidden="true" customHeight="false" outlineLevel="0" collapsed="false">
      <c r="A2660" s="0" t="n">
        <v>2677</v>
      </c>
      <c r="B2660" s="1" t="s">
        <v>13071</v>
      </c>
      <c r="C2660" s="1" t="s">
        <v>1479</v>
      </c>
      <c r="D2660" s="1" t="s">
        <v>1480</v>
      </c>
      <c r="E2660" s="0" t="s">
        <v>43</v>
      </c>
      <c r="F2660" s="0" t="s">
        <v>48</v>
      </c>
      <c r="G2660" s="0" t="s">
        <v>11831</v>
      </c>
      <c r="I2660" s="6" t="n">
        <v>0.236111111111111</v>
      </c>
      <c r="J2660" s="6" t="n">
        <v>0.25</v>
      </c>
      <c r="L2660" s="0" t="n">
        <v>460</v>
      </c>
      <c r="M2660" s="0" t="s">
        <v>13072</v>
      </c>
      <c r="N2660" s="0" t="s">
        <v>13073</v>
      </c>
      <c r="P2660" s="0" t="s">
        <v>13074</v>
      </c>
      <c r="Q2660" s="2" t="n">
        <v>44291</v>
      </c>
      <c r="S2660" s="0" t="n">
        <f aca="false">YEAR(Q2660)</f>
        <v>2021</v>
      </c>
      <c r="T2660" s="0" t="n">
        <f aca="false">MONTH(Q2660)</f>
        <v>4</v>
      </c>
    </row>
    <row r="2661" customFormat="false" ht="14.25" hidden="true" customHeight="false" outlineLevel="0" collapsed="false">
      <c r="A2661" s="0" t="n">
        <v>2678</v>
      </c>
      <c r="B2661" s="1" t="s">
        <v>13075</v>
      </c>
      <c r="C2661" s="1" t="s">
        <v>1479</v>
      </c>
      <c r="D2661" s="1" t="s">
        <v>1496</v>
      </c>
      <c r="E2661" s="0" t="s">
        <v>38</v>
      </c>
      <c r="F2661" s="0" t="s">
        <v>49</v>
      </c>
      <c r="G2661" s="0" t="s">
        <v>13076</v>
      </c>
      <c r="I2661" s="6" t="n">
        <v>0.6875</v>
      </c>
      <c r="J2661" s="6" t="n">
        <v>0.695833333333333</v>
      </c>
      <c r="L2661" s="0" t="n">
        <v>75</v>
      </c>
      <c r="M2661" s="0" t="s">
        <v>13077</v>
      </c>
      <c r="N2661" s="0" t="s">
        <v>13078</v>
      </c>
      <c r="P2661" s="0" t="s">
        <v>13079</v>
      </c>
      <c r="Q2661" s="2" t="n">
        <v>44292</v>
      </c>
      <c r="S2661" s="0" t="n">
        <f aca="false">YEAR(Q2661)</f>
        <v>2021</v>
      </c>
      <c r="T2661" s="0" t="n">
        <f aca="false">MONTH(Q2661)</f>
        <v>4</v>
      </c>
    </row>
    <row r="2662" customFormat="false" ht="14.25" hidden="true" customHeight="false" outlineLevel="0" collapsed="false">
      <c r="A2662" s="0" t="n">
        <v>2679</v>
      </c>
      <c r="B2662" s="1" t="s">
        <v>13080</v>
      </c>
      <c r="C2662" s="1" t="s">
        <v>1479</v>
      </c>
      <c r="D2662" s="1" t="s">
        <v>1496</v>
      </c>
      <c r="E2662" s="0" t="s">
        <v>38</v>
      </c>
      <c r="F2662" s="0" t="s">
        <v>48</v>
      </c>
      <c r="G2662" s="0" t="s">
        <v>13081</v>
      </c>
      <c r="I2662" s="6" t="n">
        <v>0.236111111111111</v>
      </c>
      <c r="J2662" s="6" t="n">
        <v>0.25</v>
      </c>
      <c r="M2662" s="0" t="s">
        <v>13082</v>
      </c>
      <c r="N2662" s="0" t="s">
        <v>13083</v>
      </c>
      <c r="P2662" s="0" t="s">
        <v>13084</v>
      </c>
      <c r="Q2662" s="2" t="n">
        <v>44293</v>
      </c>
      <c r="S2662" s="0" t="n">
        <f aca="false">YEAR(Q2662)</f>
        <v>2021</v>
      </c>
      <c r="T2662" s="0" t="n">
        <f aca="false">MONTH(Q2662)</f>
        <v>4</v>
      </c>
    </row>
    <row r="2663" customFormat="false" ht="14.25" hidden="true" customHeight="false" outlineLevel="0" collapsed="false">
      <c r="A2663" s="0" t="n">
        <v>2680</v>
      </c>
      <c r="B2663" s="1" t="s">
        <v>13085</v>
      </c>
      <c r="C2663" s="1" t="s">
        <v>1479</v>
      </c>
      <c r="D2663" s="1" t="s">
        <v>1535</v>
      </c>
      <c r="E2663" s="0" t="s">
        <v>39</v>
      </c>
      <c r="F2663" s="0" t="s">
        <v>48</v>
      </c>
      <c r="G2663" s="0" t="s">
        <v>13086</v>
      </c>
      <c r="I2663" s="6" t="n">
        <v>0.291666666666667</v>
      </c>
      <c r="J2663" s="6" t="n">
        <v>0.296527777777778</v>
      </c>
      <c r="L2663" s="0" t="n">
        <v>13</v>
      </c>
      <c r="M2663" s="0" t="s">
        <v>13087</v>
      </c>
      <c r="N2663" s="0" t="s">
        <v>13088</v>
      </c>
      <c r="P2663" s="0" t="s">
        <v>13089</v>
      </c>
      <c r="Q2663" s="2" t="n">
        <v>44295</v>
      </c>
      <c r="S2663" s="0" t="n">
        <f aca="false">YEAR(Q2663)</f>
        <v>2021</v>
      </c>
      <c r="T2663" s="0" t="n">
        <f aca="false">MONTH(Q2663)</f>
        <v>4</v>
      </c>
    </row>
    <row r="2664" customFormat="false" ht="14.25" hidden="true" customHeight="false" outlineLevel="0" collapsed="false">
      <c r="A2664" s="0" t="n">
        <v>2681</v>
      </c>
      <c r="B2664" s="1" t="s">
        <v>13085</v>
      </c>
      <c r="C2664" s="1" t="s">
        <v>1479</v>
      </c>
      <c r="D2664" s="1" t="s">
        <v>1535</v>
      </c>
      <c r="E2664" s="0" t="s">
        <v>39</v>
      </c>
      <c r="F2664" s="0" t="s">
        <v>48</v>
      </c>
      <c r="G2664" s="0" t="s">
        <v>13090</v>
      </c>
      <c r="I2664" s="6" t="n">
        <v>0.239583333333333</v>
      </c>
      <c r="J2664" s="6" t="n">
        <v>0.296527777777778</v>
      </c>
      <c r="L2664" s="0" t="n">
        <v>120</v>
      </c>
      <c r="M2664" s="0" t="s">
        <v>13091</v>
      </c>
      <c r="N2664" s="0" t="s">
        <v>13092</v>
      </c>
      <c r="P2664" s="0" t="s">
        <v>13093</v>
      </c>
      <c r="Q2664" s="2" t="n">
        <v>44295</v>
      </c>
      <c r="S2664" s="0" t="n">
        <f aca="false">YEAR(Q2664)</f>
        <v>2021</v>
      </c>
      <c r="T2664" s="0" t="n">
        <f aca="false">MONTH(Q2664)</f>
        <v>4</v>
      </c>
    </row>
    <row r="2665" customFormat="false" ht="14.25" hidden="true" customHeight="false" outlineLevel="0" collapsed="false">
      <c r="A2665" s="0" t="n">
        <v>2682</v>
      </c>
      <c r="B2665" s="1" t="s">
        <v>13075</v>
      </c>
      <c r="C2665" s="1" t="s">
        <v>1503</v>
      </c>
      <c r="D2665" s="1" t="s">
        <v>1535</v>
      </c>
      <c r="E2665" s="0" t="s">
        <v>1503</v>
      </c>
      <c r="F2665" s="0" t="s">
        <v>48</v>
      </c>
      <c r="G2665" s="0" t="s">
        <v>13094</v>
      </c>
      <c r="H2665" s="0" t="s">
        <v>12687</v>
      </c>
      <c r="I2665" s="6" t="n">
        <v>0.239583333333333</v>
      </c>
      <c r="J2665" s="6" t="n">
        <v>0.298611111111111</v>
      </c>
      <c r="L2665" s="0" t="n">
        <v>240</v>
      </c>
      <c r="M2665" s="0" t="s">
        <v>13095</v>
      </c>
      <c r="N2665" s="0" t="s">
        <v>13096</v>
      </c>
      <c r="P2665" s="0" t="s">
        <v>13097</v>
      </c>
      <c r="Q2665" s="2" t="n">
        <v>44292</v>
      </c>
      <c r="S2665" s="0" t="n">
        <f aca="false">YEAR(Q2665)</f>
        <v>2021</v>
      </c>
      <c r="T2665" s="0" t="n">
        <f aca="false">MONTH(Q2665)</f>
        <v>4</v>
      </c>
    </row>
    <row r="2666" customFormat="false" ht="14.25" hidden="true" customHeight="false" outlineLevel="0" collapsed="false">
      <c r="A2666" s="0" t="n">
        <v>2683</v>
      </c>
      <c r="B2666" s="1" t="s">
        <v>13075</v>
      </c>
      <c r="C2666" s="1" t="s">
        <v>1503</v>
      </c>
      <c r="D2666" s="1" t="s">
        <v>1535</v>
      </c>
      <c r="E2666" s="0" t="s">
        <v>1503</v>
      </c>
      <c r="F2666" s="0" t="s">
        <v>48</v>
      </c>
      <c r="G2666" s="0" t="s">
        <v>13098</v>
      </c>
      <c r="H2666" s="0" t="s">
        <v>12687</v>
      </c>
      <c r="I2666" s="6" t="n">
        <v>0.375</v>
      </c>
      <c r="J2666" s="6" t="n">
        <v>0.429166666666667</v>
      </c>
      <c r="L2666" s="0" t="n">
        <v>130</v>
      </c>
      <c r="M2666" s="0" t="s">
        <v>13099</v>
      </c>
      <c r="N2666" s="0" t="s">
        <v>13100</v>
      </c>
      <c r="P2666" s="0" t="s">
        <v>13101</v>
      </c>
      <c r="Q2666" s="2" t="n">
        <v>44292</v>
      </c>
      <c r="S2666" s="0" t="n">
        <f aca="false">YEAR(Q2666)</f>
        <v>2021</v>
      </c>
      <c r="T2666" s="0" t="n">
        <f aca="false">MONTH(Q2666)</f>
        <v>4</v>
      </c>
    </row>
    <row r="2667" customFormat="false" ht="14.25" hidden="true" customHeight="false" outlineLevel="0" collapsed="false">
      <c r="A2667" s="0" t="n">
        <v>2684</v>
      </c>
      <c r="B2667" s="1" t="s">
        <v>13102</v>
      </c>
      <c r="C2667" s="1" t="s">
        <v>1479</v>
      </c>
      <c r="D2667" s="1" t="s">
        <v>1535</v>
      </c>
      <c r="E2667" s="0" t="s">
        <v>39</v>
      </c>
      <c r="F2667" s="0" t="s">
        <v>48</v>
      </c>
      <c r="G2667" s="0" t="s">
        <v>13103</v>
      </c>
      <c r="I2667" s="6" t="n">
        <v>0.236111111111111</v>
      </c>
      <c r="J2667" s="6" t="n">
        <v>0.273611111111111</v>
      </c>
      <c r="M2667" s="0" t="s">
        <v>13104</v>
      </c>
      <c r="N2667" s="0" t="s">
        <v>13105</v>
      </c>
      <c r="P2667" s="0" t="s">
        <v>13106</v>
      </c>
      <c r="Q2667" s="2" t="n">
        <v>44300</v>
      </c>
      <c r="S2667" s="0" t="n">
        <f aca="false">YEAR(Q2667)</f>
        <v>2021</v>
      </c>
      <c r="T2667" s="0" t="n">
        <f aca="false">MONTH(Q2667)</f>
        <v>4</v>
      </c>
    </row>
    <row r="2668" customFormat="false" ht="14.25" hidden="true" customHeight="false" outlineLevel="0" collapsed="false">
      <c r="A2668" s="0" t="n">
        <v>2685</v>
      </c>
      <c r="B2668" s="1" t="s">
        <v>13107</v>
      </c>
      <c r="C2668" s="1" t="s">
        <v>1479</v>
      </c>
      <c r="D2668" s="1" t="s">
        <v>1535</v>
      </c>
      <c r="E2668" s="0" t="s">
        <v>39</v>
      </c>
      <c r="F2668" s="0" t="s">
        <v>48</v>
      </c>
      <c r="I2668" s="6" t="n">
        <v>0.236111111111111</v>
      </c>
      <c r="J2668" s="6" t="n">
        <v>0.263194444444444</v>
      </c>
      <c r="M2668" s="0" t="s">
        <v>13108</v>
      </c>
      <c r="N2668" s="0" t="s">
        <v>13109</v>
      </c>
      <c r="P2668" s="0" t="s">
        <v>13110</v>
      </c>
      <c r="Q2668" s="2" t="n">
        <v>44301</v>
      </c>
      <c r="S2668" s="0" t="n">
        <f aca="false">YEAR(Q2668)</f>
        <v>2021</v>
      </c>
      <c r="T2668" s="0" t="n">
        <f aca="false">MONTH(Q2668)</f>
        <v>4</v>
      </c>
    </row>
    <row r="2669" customFormat="false" ht="14.25" hidden="true" customHeight="false" outlineLevel="0" collapsed="false">
      <c r="A2669" s="0" t="n">
        <v>2686</v>
      </c>
      <c r="B2669" s="1" t="s">
        <v>13102</v>
      </c>
      <c r="C2669" s="1" t="s">
        <v>1479</v>
      </c>
      <c r="D2669" s="1" t="s">
        <v>1487</v>
      </c>
      <c r="E2669" s="0" t="s">
        <v>1488</v>
      </c>
      <c r="F2669" s="0" t="s">
        <v>49</v>
      </c>
      <c r="G2669" s="0" t="s">
        <v>12181</v>
      </c>
      <c r="I2669" s="6" t="n">
        <v>0.795833333333333</v>
      </c>
      <c r="J2669" s="6" t="n">
        <v>0.842361111111111</v>
      </c>
      <c r="L2669" s="0" t="n">
        <v>134</v>
      </c>
      <c r="M2669" s="0" t="s">
        <v>13111</v>
      </c>
      <c r="N2669" s="0" t="s">
        <v>13112</v>
      </c>
      <c r="P2669" s="0" t="s">
        <v>13113</v>
      </c>
      <c r="Q2669" s="2" t="n">
        <v>44300</v>
      </c>
      <c r="S2669" s="0" t="n">
        <f aca="false">YEAR(Q2669)</f>
        <v>2021</v>
      </c>
      <c r="T2669" s="0" t="n">
        <f aca="false">MONTH(Q2669)</f>
        <v>4</v>
      </c>
    </row>
    <row r="2670" customFormat="false" ht="14.25" hidden="true" customHeight="false" outlineLevel="0" collapsed="false">
      <c r="A2670" s="0" t="n">
        <v>2687</v>
      </c>
      <c r="B2670" s="1" t="s">
        <v>13107</v>
      </c>
      <c r="C2670" s="1" t="s">
        <v>1479</v>
      </c>
      <c r="D2670" s="1" t="s">
        <v>1496</v>
      </c>
      <c r="E2670" s="0" t="s">
        <v>38</v>
      </c>
      <c r="F2670" s="0" t="s">
        <v>48</v>
      </c>
      <c r="G2670" s="0" t="s">
        <v>8294</v>
      </c>
      <c r="I2670" s="6" t="n">
        <v>0.236111111111111</v>
      </c>
      <c r="J2670" s="6" t="n">
        <v>0.259027777777778</v>
      </c>
      <c r="L2670" s="0" t="n">
        <v>0</v>
      </c>
      <c r="M2670" s="0" t="s">
        <v>13114</v>
      </c>
      <c r="N2670" s="0" t="s">
        <v>13115</v>
      </c>
      <c r="P2670" s="0" t="s">
        <v>13116</v>
      </c>
      <c r="Q2670" s="2" t="n">
        <v>44301</v>
      </c>
      <c r="S2670" s="0" t="n">
        <f aca="false">YEAR(Q2670)</f>
        <v>2021</v>
      </c>
      <c r="T2670" s="0" t="n">
        <f aca="false">MONTH(Q2670)</f>
        <v>4</v>
      </c>
    </row>
    <row r="2671" customFormat="false" ht="14.25" hidden="true" customHeight="false" outlineLevel="0" collapsed="false">
      <c r="A2671" s="0" t="n">
        <v>2688</v>
      </c>
      <c r="B2671" s="1" t="s">
        <v>13117</v>
      </c>
      <c r="C2671" s="1" t="s">
        <v>1495</v>
      </c>
      <c r="D2671" s="1" t="s">
        <v>1487</v>
      </c>
      <c r="E2671" s="0" t="s">
        <v>40</v>
      </c>
      <c r="F2671" s="0" t="s">
        <v>48</v>
      </c>
      <c r="G2671" s="0" t="s">
        <v>13118</v>
      </c>
      <c r="I2671" s="6" t="n">
        <v>0.53125</v>
      </c>
      <c r="J2671" s="6" t="n">
        <v>0.535416666666667</v>
      </c>
      <c r="L2671" s="0" t="n">
        <v>60</v>
      </c>
      <c r="M2671" s="0" t="s">
        <v>13119</v>
      </c>
      <c r="N2671" s="0" t="s">
        <v>13120</v>
      </c>
      <c r="P2671" s="0" t="s">
        <v>13121</v>
      </c>
      <c r="Q2671" s="2" t="n">
        <v>44298</v>
      </c>
      <c r="S2671" s="0" t="n">
        <f aca="false">YEAR(Q2671)</f>
        <v>2021</v>
      </c>
      <c r="T2671" s="0" t="n">
        <f aca="false">MONTH(Q2671)</f>
        <v>4</v>
      </c>
    </row>
    <row r="2672" customFormat="false" ht="14.25" hidden="true" customHeight="false" outlineLevel="0" collapsed="false">
      <c r="A2672" s="0" t="n">
        <v>2689</v>
      </c>
      <c r="B2672" s="1" t="s">
        <v>13122</v>
      </c>
      <c r="C2672" s="1" t="s">
        <v>1495</v>
      </c>
      <c r="D2672" s="1" t="s">
        <v>1535</v>
      </c>
      <c r="E2672" s="0" t="s">
        <v>42</v>
      </c>
      <c r="F2672" s="0" t="s">
        <v>49</v>
      </c>
      <c r="G2672" s="0" t="s">
        <v>13123</v>
      </c>
      <c r="I2672" s="6" t="n">
        <v>0.701388888888889</v>
      </c>
      <c r="J2672" s="6" t="n">
        <v>0.720138888888889</v>
      </c>
      <c r="L2672" s="0" t="n">
        <v>50</v>
      </c>
      <c r="M2672" s="0" t="s">
        <v>13124</v>
      </c>
      <c r="N2672" s="0" t="s">
        <v>13125</v>
      </c>
      <c r="P2672" s="0" t="s">
        <v>13126</v>
      </c>
      <c r="Q2672" s="2" t="n">
        <v>44299</v>
      </c>
      <c r="S2672" s="0" t="n">
        <f aca="false">YEAR(Q2672)</f>
        <v>2021</v>
      </c>
      <c r="T2672" s="0" t="n">
        <f aca="false">MONTH(Q2672)</f>
        <v>4</v>
      </c>
    </row>
    <row r="2673" customFormat="false" ht="14.25" hidden="true" customHeight="false" outlineLevel="0" collapsed="false">
      <c r="A2673" s="0" t="n">
        <v>2690</v>
      </c>
      <c r="B2673" s="1" t="s">
        <v>13102</v>
      </c>
      <c r="C2673" s="1" t="s">
        <v>1495</v>
      </c>
      <c r="D2673" s="1" t="s">
        <v>1535</v>
      </c>
      <c r="E2673" s="0" t="s">
        <v>42</v>
      </c>
      <c r="F2673" s="0" t="s">
        <v>48</v>
      </c>
      <c r="G2673" s="0" t="s">
        <v>8322</v>
      </c>
      <c r="I2673" s="6" t="n">
        <v>0.236111111111111</v>
      </c>
      <c r="J2673" s="6" t="n">
        <v>0.292361111111111</v>
      </c>
      <c r="L2673" s="0" t="n">
        <v>180</v>
      </c>
      <c r="M2673" s="0" t="s">
        <v>13127</v>
      </c>
      <c r="N2673" s="0" t="s">
        <v>13128</v>
      </c>
      <c r="P2673" s="0" t="s">
        <v>13129</v>
      </c>
      <c r="Q2673" s="2" t="n">
        <v>44300</v>
      </c>
      <c r="S2673" s="0" t="n">
        <f aca="false">YEAR(Q2673)</f>
        <v>2021</v>
      </c>
      <c r="T2673" s="0" t="n">
        <f aca="false">MONTH(Q2673)</f>
        <v>4</v>
      </c>
    </row>
    <row r="2674" customFormat="false" ht="14.25" hidden="true" customHeight="false" outlineLevel="0" collapsed="false">
      <c r="A2674" s="0" t="n">
        <v>2691</v>
      </c>
      <c r="B2674" s="1" t="s">
        <v>13107</v>
      </c>
      <c r="C2674" s="1" t="s">
        <v>1503</v>
      </c>
      <c r="D2674" s="1" t="s">
        <v>1535</v>
      </c>
      <c r="E2674" s="0" t="s">
        <v>1503</v>
      </c>
      <c r="F2674" s="0" t="s">
        <v>49</v>
      </c>
      <c r="G2674" s="0" t="s">
        <v>8334</v>
      </c>
      <c r="H2674" s="0" t="s">
        <v>13130</v>
      </c>
      <c r="J2674" s="6" t="n">
        <v>0.548611111111111</v>
      </c>
      <c r="M2674" s="0" t="s">
        <v>13131</v>
      </c>
      <c r="N2674" s="0" t="s">
        <v>13132</v>
      </c>
      <c r="P2674" s="0" t="s">
        <v>13133</v>
      </c>
      <c r="Q2674" s="2" t="n">
        <v>44301</v>
      </c>
      <c r="S2674" s="0" t="n">
        <f aca="false">YEAR(Q2674)</f>
        <v>2021</v>
      </c>
      <c r="T2674" s="0" t="n">
        <f aca="false">MONTH(Q2674)</f>
        <v>4</v>
      </c>
    </row>
    <row r="2675" customFormat="false" ht="14.25" hidden="true" customHeight="false" outlineLevel="0" collapsed="false">
      <c r="A2675" s="0" t="n">
        <v>2692</v>
      </c>
      <c r="B2675" s="1" t="s">
        <v>13134</v>
      </c>
      <c r="C2675" s="1" t="s">
        <v>1479</v>
      </c>
      <c r="D2675" s="1" t="s">
        <v>1487</v>
      </c>
      <c r="E2675" s="0" t="s">
        <v>1488</v>
      </c>
      <c r="F2675" s="0" t="s">
        <v>48</v>
      </c>
      <c r="G2675" s="0" t="s">
        <v>13135</v>
      </c>
      <c r="I2675" s="6" t="n">
        <v>0.482638888888889</v>
      </c>
      <c r="J2675" s="6" t="n">
        <v>0.497222222222222</v>
      </c>
      <c r="L2675" s="0" t="n">
        <v>35</v>
      </c>
      <c r="M2675" s="0" t="s">
        <v>13136</v>
      </c>
      <c r="N2675" s="0" t="s">
        <v>13137</v>
      </c>
      <c r="P2675" s="0" t="s">
        <v>13138</v>
      </c>
      <c r="Q2675" s="2" t="n">
        <v>44308</v>
      </c>
      <c r="S2675" s="0" t="n">
        <f aca="false">YEAR(Q2675)</f>
        <v>2021</v>
      </c>
      <c r="T2675" s="0" t="n">
        <f aca="false">MONTH(Q2675)</f>
        <v>4</v>
      </c>
    </row>
    <row r="2676" customFormat="false" ht="14.25" hidden="true" customHeight="false" outlineLevel="0" collapsed="false">
      <c r="A2676" s="0" t="n">
        <v>2693</v>
      </c>
      <c r="B2676" s="1" t="s">
        <v>13134</v>
      </c>
      <c r="C2676" s="1" t="s">
        <v>1479</v>
      </c>
      <c r="D2676" s="1" t="s">
        <v>1487</v>
      </c>
      <c r="E2676" s="0" t="s">
        <v>1488</v>
      </c>
      <c r="F2676" s="0" t="s">
        <v>49</v>
      </c>
      <c r="G2676" s="0" t="s">
        <v>13139</v>
      </c>
      <c r="I2676" s="6" t="n">
        <v>0.611111111111111</v>
      </c>
      <c r="J2676" s="6" t="n">
        <v>0.627777777777778</v>
      </c>
      <c r="L2676" s="0" t="n">
        <v>60</v>
      </c>
      <c r="M2676" s="0" t="s">
        <v>13140</v>
      </c>
      <c r="N2676" s="0" t="s">
        <v>13141</v>
      </c>
      <c r="P2676" s="0" t="s">
        <v>13142</v>
      </c>
      <c r="Q2676" s="2" t="n">
        <v>44308</v>
      </c>
      <c r="S2676" s="0" t="n">
        <f aca="false">YEAR(Q2676)</f>
        <v>2021</v>
      </c>
      <c r="T2676" s="0" t="n">
        <f aca="false">MONTH(Q2676)</f>
        <v>4</v>
      </c>
    </row>
    <row r="2677" customFormat="false" ht="14.25" hidden="true" customHeight="false" outlineLevel="0" collapsed="false">
      <c r="A2677" s="0" t="n">
        <v>2694</v>
      </c>
      <c r="B2677" s="1" t="s">
        <v>13143</v>
      </c>
      <c r="C2677" s="1" t="s">
        <v>1479</v>
      </c>
      <c r="D2677" s="1" t="s">
        <v>1487</v>
      </c>
      <c r="E2677" s="0" t="s">
        <v>1488</v>
      </c>
      <c r="F2677" s="0" t="s">
        <v>48</v>
      </c>
      <c r="G2677" s="0" t="s">
        <v>13144</v>
      </c>
      <c r="J2677" s="6" t="n">
        <v>0.448611111111111</v>
      </c>
      <c r="L2677" s="0" t="n">
        <v>100</v>
      </c>
      <c r="M2677" s="0" t="s">
        <v>13145</v>
      </c>
      <c r="N2677" s="0" t="s">
        <v>13146</v>
      </c>
      <c r="P2677" s="0" t="s">
        <v>13147</v>
      </c>
      <c r="Q2677" s="2" t="n">
        <v>44309</v>
      </c>
      <c r="S2677" s="0" t="n">
        <f aca="false">YEAR(Q2677)</f>
        <v>2021</v>
      </c>
      <c r="T2677" s="0" t="n">
        <f aca="false">MONTH(Q2677)</f>
        <v>4</v>
      </c>
    </row>
    <row r="2678" customFormat="false" ht="14.25" hidden="true" customHeight="false" outlineLevel="0" collapsed="false">
      <c r="A2678" s="0" t="n">
        <v>2695</v>
      </c>
      <c r="B2678" s="1" t="s">
        <v>13143</v>
      </c>
      <c r="C2678" s="1" t="s">
        <v>1479</v>
      </c>
      <c r="D2678" s="1" t="s">
        <v>1487</v>
      </c>
      <c r="E2678" s="0" t="s">
        <v>1488</v>
      </c>
      <c r="F2678" s="0" t="s">
        <v>48</v>
      </c>
      <c r="G2678" s="0" t="s">
        <v>8515</v>
      </c>
      <c r="M2678" s="0" t="s">
        <v>13148</v>
      </c>
      <c r="N2678" s="0" t="s">
        <v>13149</v>
      </c>
      <c r="P2678" s="0" t="s">
        <v>13150</v>
      </c>
      <c r="Q2678" s="2" t="n">
        <v>44309</v>
      </c>
      <c r="S2678" s="0" t="n">
        <f aca="false">YEAR(Q2678)</f>
        <v>2021</v>
      </c>
      <c r="T2678" s="0" t="n">
        <f aca="false">MONTH(Q2678)</f>
        <v>4</v>
      </c>
    </row>
    <row r="2679" customFormat="false" ht="14.25" hidden="true" customHeight="false" outlineLevel="0" collapsed="false">
      <c r="A2679" s="0" t="n">
        <v>2696</v>
      </c>
      <c r="B2679" s="1" t="s">
        <v>13143</v>
      </c>
      <c r="C2679" s="1" t="s">
        <v>1479</v>
      </c>
      <c r="D2679" s="1" t="s">
        <v>1535</v>
      </c>
      <c r="E2679" s="0" t="s">
        <v>39</v>
      </c>
      <c r="F2679" s="0" t="s">
        <v>48</v>
      </c>
      <c r="G2679" s="0" t="s">
        <v>13151</v>
      </c>
      <c r="I2679" s="6" t="n">
        <v>0.236111111111111</v>
      </c>
      <c r="J2679" s="6" t="n">
        <v>0.339583333333333</v>
      </c>
      <c r="M2679" s="0" t="s">
        <v>13152</v>
      </c>
      <c r="N2679" s="0" t="s">
        <v>13153</v>
      </c>
      <c r="P2679" s="0" t="s">
        <v>13154</v>
      </c>
      <c r="Q2679" s="2" t="n">
        <v>44309</v>
      </c>
      <c r="S2679" s="0" t="n">
        <f aca="false">YEAR(Q2679)</f>
        <v>2021</v>
      </c>
      <c r="T2679" s="0" t="n">
        <f aca="false">MONTH(Q2679)</f>
        <v>4</v>
      </c>
    </row>
    <row r="2680" customFormat="false" ht="14.25" hidden="true" customHeight="false" outlineLevel="0" collapsed="false">
      <c r="A2680" s="0" t="n">
        <v>2697</v>
      </c>
      <c r="B2680" s="1" t="s">
        <v>13143</v>
      </c>
      <c r="C2680" s="1" t="s">
        <v>1479</v>
      </c>
      <c r="D2680" s="1" t="s">
        <v>1535</v>
      </c>
      <c r="E2680" s="0" t="s">
        <v>39</v>
      </c>
      <c r="F2680" s="0" t="s">
        <v>48</v>
      </c>
      <c r="G2680" s="0" t="s">
        <v>13155</v>
      </c>
      <c r="J2680" s="6" t="n">
        <v>0.395833333333333</v>
      </c>
      <c r="L2680" s="0" t="n">
        <v>15</v>
      </c>
      <c r="M2680" s="0" t="s">
        <v>13156</v>
      </c>
      <c r="N2680" s="0" t="s">
        <v>13157</v>
      </c>
      <c r="P2680" s="0" t="s">
        <v>13158</v>
      </c>
      <c r="Q2680" s="2" t="n">
        <v>44309</v>
      </c>
      <c r="S2680" s="0" t="n">
        <f aca="false">YEAR(Q2680)</f>
        <v>2021</v>
      </c>
      <c r="T2680" s="0" t="n">
        <f aca="false">MONTH(Q2680)</f>
        <v>4</v>
      </c>
    </row>
    <row r="2681" customFormat="false" ht="14.25" hidden="true" customHeight="false" outlineLevel="0" collapsed="false">
      <c r="A2681" s="0" t="n">
        <v>2698</v>
      </c>
      <c r="B2681" s="1" t="s">
        <v>13159</v>
      </c>
      <c r="C2681" s="1" t="s">
        <v>1479</v>
      </c>
      <c r="D2681" s="1" t="s">
        <v>1487</v>
      </c>
      <c r="E2681" s="0" t="s">
        <v>1488</v>
      </c>
      <c r="F2681" s="0" t="s">
        <v>48</v>
      </c>
      <c r="G2681" s="0" t="s">
        <v>11036</v>
      </c>
      <c r="I2681" s="6" t="n">
        <v>0.501388888888889</v>
      </c>
      <c r="J2681" s="6" t="n">
        <v>0.546527777777778</v>
      </c>
      <c r="L2681" s="0" t="n">
        <v>75</v>
      </c>
      <c r="M2681" s="0" t="s">
        <v>13160</v>
      </c>
      <c r="N2681" s="0" t="s">
        <v>13161</v>
      </c>
      <c r="P2681" s="0" t="s">
        <v>13162</v>
      </c>
      <c r="Q2681" s="2" t="n">
        <v>44312</v>
      </c>
      <c r="S2681" s="0" t="n">
        <f aca="false">YEAR(Q2681)</f>
        <v>2021</v>
      </c>
      <c r="T2681" s="0" t="n">
        <f aca="false">MONTH(Q2681)</f>
        <v>4</v>
      </c>
    </row>
    <row r="2682" customFormat="false" ht="14.25" hidden="true" customHeight="false" outlineLevel="0" collapsed="false">
      <c r="A2682" s="0" t="n">
        <v>2699</v>
      </c>
      <c r="B2682" s="1" t="s">
        <v>13163</v>
      </c>
      <c r="C2682" s="1" t="s">
        <v>1479</v>
      </c>
      <c r="D2682" s="1" t="s">
        <v>1487</v>
      </c>
      <c r="E2682" s="0" t="s">
        <v>1488</v>
      </c>
      <c r="F2682" s="0" t="s">
        <v>48</v>
      </c>
      <c r="G2682" s="0" t="s">
        <v>8294</v>
      </c>
      <c r="I2682" s="6" t="n">
        <v>0.239583333333333</v>
      </c>
      <c r="J2682" s="6" t="n">
        <v>0.243055555555556</v>
      </c>
      <c r="L2682" s="0" t="n">
        <v>20</v>
      </c>
      <c r="M2682" s="0" t="s">
        <v>4415</v>
      </c>
      <c r="N2682" s="0" t="s">
        <v>13164</v>
      </c>
      <c r="P2682" s="0" t="s">
        <v>13164</v>
      </c>
      <c r="Q2682" s="2" t="n">
        <v>44313</v>
      </c>
      <c r="S2682" s="0" t="n">
        <f aca="false">YEAR(Q2682)</f>
        <v>2021</v>
      </c>
      <c r="T2682" s="0" t="n">
        <f aca="false">MONTH(Q2682)</f>
        <v>4</v>
      </c>
    </row>
    <row r="2683" customFormat="false" ht="14.25" hidden="true" customHeight="false" outlineLevel="0" collapsed="false">
      <c r="A2683" s="0" t="n">
        <v>2700</v>
      </c>
      <c r="B2683" s="1" t="s">
        <v>13159</v>
      </c>
      <c r="C2683" s="1" t="s">
        <v>1503</v>
      </c>
      <c r="D2683" s="1" t="s">
        <v>1535</v>
      </c>
      <c r="E2683" s="0" t="s">
        <v>1503</v>
      </c>
      <c r="F2683" s="0" t="s">
        <v>50</v>
      </c>
      <c r="G2683" s="0" t="s">
        <v>13165</v>
      </c>
      <c r="H2683" s="0" t="s">
        <v>12687</v>
      </c>
      <c r="J2683" s="6" t="n">
        <v>0.34375</v>
      </c>
      <c r="L2683" s="0" t="n">
        <v>240</v>
      </c>
      <c r="M2683" s="0" t="s">
        <v>13166</v>
      </c>
      <c r="N2683" s="0" t="s">
        <v>13167</v>
      </c>
      <c r="P2683" s="0" t="s">
        <v>13168</v>
      </c>
      <c r="Q2683" s="2" t="n">
        <v>44312</v>
      </c>
      <c r="S2683" s="0" t="n">
        <f aca="false">YEAR(Q2683)</f>
        <v>2021</v>
      </c>
      <c r="T2683" s="0" t="n">
        <f aca="false">MONTH(Q2683)</f>
        <v>4</v>
      </c>
    </row>
    <row r="2684" customFormat="false" ht="14.25" hidden="true" customHeight="false" outlineLevel="0" collapsed="false">
      <c r="A2684" s="0" t="n">
        <v>2701</v>
      </c>
      <c r="B2684" s="1" t="s">
        <v>13169</v>
      </c>
      <c r="C2684" s="1" t="s">
        <v>1503</v>
      </c>
      <c r="D2684" s="1" t="s">
        <v>1535</v>
      </c>
      <c r="E2684" s="0" t="s">
        <v>1503</v>
      </c>
      <c r="F2684" s="0" t="s">
        <v>48</v>
      </c>
      <c r="G2684" s="0" t="s">
        <v>13170</v>
      </c>
      <c r="H2684" s="0" t="s">
        <v>13130</v>
      </c>
      <c r="J2684" s="6" t="n">
        <v>0.395833333333333</v>
      </c>
      <c r="M2684" s="0" t="s">
        <v>13171</v>
      </c>
      <c r="N2684" s="0" t="s">
        <v>13172</v>
      </c>
      <c r="P2684" s="0" t="s">
        <v>13173</v>
      </c>
      <c r="Q2684" s="2" t="n">
        <v>44314</v>
      </c>
      <c r="S2684" s="0" t="n">
        <f aca="false">YEAR(Q2684)</f>
        <v>2021</v>
      </c>
      <c r="T2684" s="0" t="n">
        <f aca="false">MONTH(Q2684)</f>
        <v>4</v>
      </c>
    </row>
    <row r="2685" customFormat="false" ht="14.25" hidden="true" customHeight="false" outlineLevel="0" collapsed="false">
      <c r="A2685" s="0" t="n">
        <v>2702</v>
      </c>
      <c r="B2685" s="1" t="s">
        <v>13174</v>
      </c>
      <c r="C2685" s="1" t="s">
        <v>1479</v>
      </c>
      <c r="D2685" s="1" t="s">
        <v>1496</v>
      </c>
      <c r="E2685" s="0" t="s">
        <v>38</v>
      </c>
      <c r="F2685" s="0" t="s">
        <v>48</v>
      </c>
      <c r="G2685" s="0" t="s">
        <v>13175</v>
      </c>
      <c r="I2685" s="6" t="n">
        <v>0.493055555555556</v>
      </c>
      <c r="J2685" s="6" t="n">
        <v>0.493055555555556</v>
      </c>
      <c r="L2685" s="0" t="n">
        <v>18</v>
      </c>
      <c r="M2685" s="0" t="s">
        <v>13176</v>
      </c>
      <c r="N2685" s="0" t="s">
        <v>13177</v>
      </c>
      <c r="P2685" s="0" t="s">
        <v>13178</v>
      </c>
      <c r="Q2685" s="2" t="n">
        <v>44322</v>
      </c>
      <c r="S2685" s="0" t="n">
        <f aca="false">YEAR(Q2685)</f>
        <v>2021</v>
      </c>
      <c r="T2685" s="0" t="n">
        <f aca="false">MONTH(Q2685)</f>
        <v>5</v>
      </c>
    </row>
    <row r="2686" customFormat="false" ht="14.25" hidden="true" customHeight="false" outlineLevel="0" collapsed="false">
      <c r="A2686" s="0" t="n">
        <v>2703</v>
      </c>
      <c r="B2686" s="1" t="s">
        <v>13179</v>
      </c>
      <c r="C2686" s="1" t="s">
        <v>1479</v>
      </c>
      <c r="D2686" s="1" t="s">
        <v>1535</v>
      </c>
      <c r="E2686" s="0" t="s">
        <v>39</v>
      </c>
      <c r="F2686" s="0" t="s">
        <v>48</v>
      </c>
      <c r="G2686" s="0" t="s">
        <v>13180</v>
      </c>
      <c r="M2686" s="0" t="s">
        <v>13181</v>
      </c>
      <c r="N2686" s="0" t="s">
        <v>13182</v>
      </c>
      <c r="P2686" s="0" t="s">
        <v>13183</v>
      </c>
      <c r="Q2686" s="2" t="n">
        <v>44320</v>
      </c>
      <c r="S2686" s="0" t="n">
        <f aca="false">YEAR(Q2686)</f>
        <v>2021</v>
      </c>
      <c r="T2686" s="0" t="n">
        <f aca="false">MONTH(Q2686)</f>
        <v>5</v>
      </c>
    </row>
    <row r="2687" customFormat="false" ht="14.25" hidden="true" customHeight="false" outlineLevel="0" collapsed="false">
      <c r="A2687" s="0" t="n">
        <v>2704</v>
      </c>
      <c r="B2687" s="1" t="s">
        <v>13184</v>
      </c>
      <c r="C2687" s="1" t="s">
        <v>1479</v>
      </c>
      <c r="D2687" s="1" t="s">
        <v>1535</v>
      </c>
      <c r="E2687" s="0" t="s">
        <v>39</v>
      </c>
      <c r="F2687" s="0" t="s">
        <v>48</v>
      </c>
      <c r="G2687" s="0" t="s">
        <v>13185</v>
      </c>
      <c r="I2687" s="6" t="n">
        <v>0.506944444444444</v>
      </c>
      <c r="J2687" s="6" t="n">
        <v>0.520833333333333</v>
      </c>
      <c r="L2687" s="0" t="n">
        <v>100</v>
      </c>
      <c r="M2687" s="0" t="s">
        <v>13186</v>
      </c>
      <c r="N2687" s="0" t="s">
        <v>13187</v>
      </c>
      <c r="P2687" s="0" t="s">
        <v>13188</v>
      </c>
      <c r="Q2687" s="2" t="n">
        <v>44319</v>
      </c>
      <c r="S2687" s="0" t="n">
        <f aca="false">YEAR(Q2687)</f>
        <v>2021</v>
      </c>
      <c r="T2687" s="0" t="n">
        <f aca="false">MONTH(Q2687)</f>
        <v>5</v>
      </c>
    </row>
    <row r="2688" customFormat="false" ht="14.25" hidden="true" customHeight="false" outlineLevel="0" collapsed="false">
      <c r="A2688" s="0" t="n">
        <v>2705</v>
      </c>
      <c r="B2688" s="1" t="s">
        <v>13184</v>
      </c>
      <c r="C2688" s="1" t="s">
        <v>1479</v>
      </c>
      <c r="D2688" s="1" t="s">
        <v>1535</v>
      </c>
      <c r="E2688" s="0" t="s">
        <v>39</v>
      </c>
      <c r="F2688" s="0" t="s">
        <v>48</v>
      </c>
      <c r="G2688" s="0" t="s">
        <v>13180</v>
      </c>
      <c r="I2688" s="6" t="n">
        <v>0.4375</v>
      </c>
      <c r="J2688" s="6" t="n">
        <v>0.458333333333333</v>
      </c>
      <c r="M2688" s="0" t="s">
        <v>13181</v>
      </c>
      <c r="N2688" s="0" t="s">
        <v>13189</v>
      </c>
      <c r="P2688" s="0" t="s">
        <v>13190</v>
      </c>
      <c r="Q2688" s="2" t="n">
        <v>44319</v>
      </c>
      <c r="S2688" s="0" t="n">
        <f aca="false">YEAR(Q2688)</f>
        <v>2021</v>
      </c>
      <c r="T2688" s="0" t="n">
        <f aca="false">MONTH(Q2688)</f>
        <v>5</v>
      </c>
    </row>
    <row r="2689" customFormat="false" ht="14.25" hidden="true" customHeight="false" outlineLevel="0" collapsed="false">
      <c r="A2689" s="0" t="n">
        <v>2706</v>
      </c>
      <c r="B2689" s="1" t="s">
        <v>13191</v>
      </c>
      <c r="C2689" s="1" t="s">
        <v>1495</v>
      </c>
      <c r="D2689" s="1" t="s">
        <v>1496</v>
      </c>
      <c r="E2689" s="0" t="s">
        <v>41</v>
      </c>
      <c r="F2689" s="0" t="s">
        <v>48</v>
      </c>
      <c r="G2689" s="0" t="s">
        <v>13192</v>
      </c>
      <c r="I2689" s="6" t="n">
        <v>0.4375</v>
      </c>
      <c r="J2689" s="6" t="n">
        <v>0.440972222222222</v>
      </c>
      <c r="L2689" s="0" t="n">
        <v>240</v>
      </c>
      <c r="M2689" s="0" t="s">
        <v>13193</v>
      </c>
      <c r="N2689" s="0" t="s">
        <v>13194</v>
      </c>
      <c r="P2689" s="0" t="s">
        <v>13195</v>
      </c>
      <c r="Q2689" s="2" t="n">
        <v>44323</v>
      </c>
      <c r="S2689" s="0" t="n">
        <f aca="false">YEAR(Q2689)</f>
        <v>2021</v>
      </c>
      <c r="T2689" s="0" t="n">
        <f aca="false">MONTH(Q2689)</f>
        <v>5</v>
      </c>
    </row>
    <row r="2690" customFormat="false" ht="14.25" hidden="true" customHeight="false" outlineLevel="0" collapsed="false">
      <c r="A2690" s="0" t="n">
        <v>2707</v>
      </c>
      <c r="B2690" s="1" t="s">
        <v>13179</v>
      </c>
      <c r="C2690" s="1" t="s">
        <v>1503</v>
      </c>
      <c r="D2690" s="1" t="s">
        <v>1535</v>
      </c>
      <c r="E2690" s="0" t="s">
        <v>1503</v>
      </c>
      <c r="F2690" s="0" t="s">
        <v>48</v>
      </c>
      <c r="G2690" s="0" t="s">
        <v>13196</v>
      </c>
      <c r="H2690" s="0" t="s">
        <v>4303</v>
      </c>
      <c r="M2690" s="0" t="s">
        <v>13197</v>
      </c>
      <c r="N2690" s="0" t="s">
        <v>13198</v>
      </c>
      <c r="P2690" s="0" t="s">
        <v>13199</v>
      </c>
      <c r="Q2690" s="2" t="n">
        <v>44320</v>
      </c>
      <c r="S2690" s="0" t="n">
        <f aca="false">YEAR(Q2690)</f>
        <v>2021</v>
      </c>
      <c r="T2690" s="0" t="n">
        <f aca="false">MONTH(Q2690)</f>
        <v>5</v>
      </c>
    </row>
    <row r="2691" customFormat="false" ht="14.25" hidden="true" customHeight="false" outlineLevel="0" collapsed="false">
      <c r="A2691" s="0" t="n">
        <v>2708</v>
      </c>
      <c r="B2691" s="1" t="s">
        <v>13179</v>
      </c>
      <c r="C2691" s="1" t="s">
        <v>1503</v>
      </c>
      <c r="D2691" s="1" t="s">
        <v>1535</v>
      </c>
      <c r="E2691" s="0" t="s">
        <v>1503</v>
      </c>
      <c r="F2691" s="0" t="s">
        <v>48</v>
      </c>
      <c r="G2691" s="0" t="s">
        <v>13200</v>
      </c>
      <c r="H2691" s="0" t="s">
        <v>13130</v>
      </c>
      <c r="M2691" s="0" t="s">
        <v>13197</v>
      </c>
      <c r="N2691" s="0" t="s">
        <v>13201</v>
      </c>
      <c r="P2691" s="0" t="s">
        <v>13202</v>
      </c>
      <c r="Q2691" s="2" t="n">
        <v>44320</v>
      </c>
      <c r="S2691" s="0" t="n">
        <f aca="false">YEAR(Q2691)</f>
        <v>2021</v>
      </c>
      <c r="T2691" s="0" t="n">
        <f aca="false">MONTH(Q2691)</f>
        <v>5</v>
      </c>
    </row>
    <row r="2692" customFormat="false" ht="14.25" hidden="true" customHeight="false" outlineLevel="0" collapsed="false">
      <c r="A2692" s="0" t="n">
        <v>2709</v>
      </c>
      <c r="B2692" s="1" t="s">
        <v>13203</v>
      </c>
      <c r="C2692" s="1" t="s">
        <v>1479</v>
      </c>
      <c r="D2692" s="1" t="s">
        <v>1487</v>
      </c>
      <c r="E2692" s="0" t="s">
        <v>1488</v>
      </c>
      <c r="F2692" s="0" t="s">
        <v>48</v>
      </c>
      <c r="G2692" s="0" t="s">
        <v>13204</v>
      </c>
      <c r="I2692" s="6" t="n">
        <v>0.319444444444444</v>
      </c>
      <c r="J2692" s="6" t="n">
        <v>0.370833333333333</v>
      </c>
      <c r="L2692" s="0" t="n">
        <v>130</v>
      </c>
      <c r="M2692" s="0" t="s">
        <v>13205</v>
      </c>
      <c r="N2692" s="0" t="s">
        <v>13206</v>
      </c>
      <c r="P2692" s="0" t="s">
        <v>13207</v>
      </c>
      <c r="Q2692" s="2" t="n">
        <v>44326</v>
      </c>
      <c r="S2692" s="0" t="n">
        <f aca="false">YEAR(Q2692)</f>
        <v>2021</v>
      </c>
      <c r="T2692" s="0" t="n">
        <f aca="false">MONTH(Q2692)</f>
        <v>5</v>
      </c>
    </row>
    <row r="2693" customFormat="false" ht="14.25" hidden="true" customHeight="false" outlineLevel="0" collapsed="false">
      <c r="A2693" s="0" t="n">
        <v>2710</v>
      </c>
      <c r="B2693" s="1" t="s">
        <v>13203</v>
      </c>
      <c r="C2693" s="1" t="s">
        <v>1479</v>
      </c>
      <c r="D2693" s="1" t="s">
        <v>1535</v>
      </c>
      <c r="E2693" s="0" t="s">
        <v>39</v>
      </c>
      <c r="F2693" s="0" t="s">
        <v>48</v>
      </c>
      <c r="G2693" s="0" t="s">
        <v>13185</v>
      </c>
      <c r="I2693" s="6" t="n">
        <v>0.496527777777778</v>
      </c>
      <c r="J2693" s="6" t="n">
        <v>0.511111111111111</v>
      </c>
      <c r="L2693" s="0" t="n">
        <v>70</v>
      </c>
      <c r="M2693" s="0" t="s">
        <v>13208</v>
      </c>
      <c r="N2693" s="0" t="s">
        <v>13209</v>
      </c>
      <c r="P2693" s="0" t="s">
        <v>13210</v>
      </c>
      <c r="Q2693" s="2" t="n">
        <v>44326</v>
      </c>
      <c r="S2693" s="0" t="n">
        <f aca="false">YEAR(Q2693)</f>
        <v>2021</v>
      </c>
      <c r="T2693" s="0" t="n">
        <f aca="false">MONTH(Q2693)</f>
        <v>5</v>
      </c>
    </row>
    <row r="2694" customFormat="false" ht="14.25" hidden="true" customHeight="false" outlineLevel="0" collapsed="false">
      <c r="A2694" s="0" t="n">
        <v>2711</v>
      </c>
      <c r="B2694" s="1" t="s">
        <v>13211</v>
      </c>
      <c r="C2694" s="1" t="s">
        <v>1479</v>
      </c>
      <c r="D2694" s="1" t="s">
        <v>1535</v>
      </c>
      <c r="E2694" s="0" t="s">
        <v>39</v>
      </c>
      <c r="F2694" s="0" t="s">
        <v>48</v>
      </c>
      <c r="G2694" s="0" t="s">
        <v>13212</v>
      </c>
      <c r="I2694" s="6" t="n">
        <v>0.3125</v>
      </c>
      <c r="J2694" s="6" t="n">
        <v>0.317361111111111</v>
      </c>
      <c r="L2694" s="0" t="n">
        <v>24</v>
      </c>
      <c r="M2694" s="0" t="s">
        <v>13213</v>
      </c>
      <c r="N2694" s="0" t="s">
        <v>3545</v>
      </c>
      <c r="P2694" s="0" t="s">
        <v>13214</v>
      </c>
      <c r="Q2694" s="2" t="n">
        <v>44330</v>
      </c>
      <c r="S2694" s="0" t="n">
        <f aca="false">YEAR(Q2694)</f>
        <v>2021</v>
      </c>
      <c r="T2694" s="0" t="n">
        <f aca="false">MONTH(Q2694)</f>
        <v>5</v>
      </c>
    </row>
    <row r="2695" customFormat="false" ht="14.25" hidden="true" customHeight="false" outlineLevel="0" collapsed="false">
      <c r="A2695" s="0" t="n">
        <v>2712</v>
      </c>
      <c r="B2695" s="1" t="s">
        <v>13215</v>
      </c>
      <c r="C2695" s="1" t="s">
        <v>1495</v>
      </c>
      <c r="D2695" s="1" t="s">
        <v>1487</v>
      </c>
      <c r="E2695" s="0" t="s">
        <v>40</v>
      </c>
      <c r="F2695" s="0" t="s">
        <v>48</v>
      </c>
      <c r="G2695" s="0" t="s">
        <v>11036</v>
      </c>
      <c r="I2695" s="6" t="n">
        <v>0.270833333333333</v>
      </c>
      <c r="J2695" s="6" t="n">
        <v>0.283333333333333</v>
      </c>
      <c r="L2695" s="0" t="n">
        <v>10</v>
      </c>
      <c r="M2695" s="0" t="s">
        <v>13216</v>
      </c>
      <c r="N2695" s="0" t="s">
        <v>13217</v>
      </c>
      <c r="P2695" s="0" t="s">
        <v>13218</v>
      </c>
      <c r="Q2695" s="2" t="n">
        <v>44329</v>
      </c>
      <c r="S2695" s="0" t="n">
        <f aca="false">YEAR(Q2695)</f>
        <v>2021</v>
      </c>
      <c r="T2695" s="0" t="n">
        <f aca="false">MONTH(Q2695)</f>
        <v>5</v>
      </c>
    </row>
    <row r="2696" customFormat="false" ht="14.25" hidden="true" customHeight="false" outlineLevel="0" collapsed="false">
      <c r="A2696" s="0" t="n">
        <v>2713</v>
      </c>
      <c r="B2696" s="1" t="s">
        <v>13219</v>
      </c>
      <c r="C2696" s="1" t="s">
        <v>1495</v>
      </c>
      <c r="D2696" s="1" t="s">
        <v>1487</v>
      </c>
      <c r="E2696" s="0" t="s">
        <v>40</v>
      </c>
      <c r="F2696" s="0" t="s">
        <v>48</v>
      </c>
      <c r="G2696" s="0" t="s">
        <v>8647</v>
      </c>
      <c r="I2696" s="6" t="n">
        <v>0.260416666666667</v>
      </c>
      <c r="J2696" s="6" t="n">
        <v>0.263888888888889</v>
      </c>
      <c r="L2696" s="0" t="n">
        <v>60</v>
      </c>
      <c r="M2696" s="0" t="s">
        <v>13220</v>
      </c>
      <c r="N2696" s="0" t="s">
        <v>13221</v>
      </c>
      <c r="P2696" s="0" t="s">
        <v>13222</v>
      </c>
      <c r="Q2696" s="2" t="n">
        <v>44327</v>
      </c>
      <c r="S2696" s="0" t="n">
        <f aca="false">YEAR(Q2696)</f>
        <v>2021</v>
      </c>
      <c r="T2696" s="0" t="n">
        <f aca="false">MONTH(Q2696)</f>
        <v>5</v>
      </c>
    </row>
    <row r="2697" customFormat="false" ht="14.25" hidden="true" customHeight="false" outlineLevel="0" collapsed="false">
      <c r="A2697" s="0" t="n">
        <v>2714</v>
      </c>
      <c r="B2697" s="1" t="s">
        <v>13211</v>
      </c>
      <c r="C2697" s="1" t="s">
        <v>1495</v>
      </c>
      <c r="D2697" s="1" t="s">
        <v>1487</v>
      </c>
      <c r="E2697" s="0" t="s">
        <v>40</v>
      </c>
      <c r="F2697" s="0" t="s">
        <v>48</v>
      </c>
      <c r="G2697" s="0" t="s">
        <v>13223</v>
      </c>
      <c r="I2697" s="6" t="n">
        <v>0.506944444444444</v>
      </c>
      <c r="J2697" s="6" t="n">
        <v>0.509722222222222</v>
      </c>
      <c r="L2697" s="0" t="n">
        <v>75</v>
      </c>
      <c r="M2697" s="0" t="s">
        <v>13224</v>
      </c>
      <c r="N2697" s="0" t="s">
        <v>13225</v>
      </c>
      <c r="P2697" s="0" t="s">
        <v>13226</v>
      </c>
      <c r="Q2697" s="2" t="n">
        <v>44330</v>
      </c>
      <c r="S2697" s="0" t="n">
        <f aca="false">YEAR(Q2697)</f>
        <v>2021</v>
      </c>
      <c r="T2697" s="0" t="n">
        <f aca="false">MONTH(Q2697)</f>
        <v>5</v>
      </c>
    </row>
    <row r="2698" customFormat="false" ht="14.25" hidden="true" customHeight="false" outlineLevel="0" collapsed="false">
      <c r="A2698" s="0" t="n">
        <v>2715</v>
      </c>
      <c r="B2698" s="1" t="s">
        <v>13227</v>
      </c>
      <c r="C2698" s="1" t="s">
        <v>1495</v>
      </c>
      <c r="D2698" s="1" t="s">
        <v>1535</v>
      </c>
      <c r="E2698" s="0" t="s">
        <v>42</v>
      </c>
      <c r="F2698" s="0" t="s">
        <v>48</v>
      </c>
      <c r="G2698" s="0" t="s">
        <v>13228</v>
      </c>
      <c r="I2698" s="6" t="n">
        <v>0.391666666666667</v>
      </c>
      <c r="J2698" s="6" t="n">
        <v>0.429861111111111</v>
      </c>
      <c r="L2698" s="0" t="n">
        <v>231</v>
      </c>
      <c r="M2698" s="0" t="s">
        <v>13229</v>
      </c>
      <c r="N2698" s="0" t="s">
        <v>13230</v>
      </c>
      <c r="P2698" s="0" t="s">
        <v>13231</v>
      </c>
      <c r="Q2698" s="2" t="n">
        <v>44328</v>
      </c>
      <c r="S2698" s="0" t="n">
        <f aca="false">YEAR(Q2698)</f>
        <v>2021</v>
      </c>
      <c r="T2698" s="0" t="n">
        <f aca="false">MONTH(Q2698)</f>
        <v>5</v>
      </c>
    </row>
    <row r="2699" customFormat="false" ht="14.25" hidden="true" customHeight="false" outlineLevel="0" collapsed="false">
      <c r="A2699" s="0" t="n">
        <v>2716</v>
      </c>
      <c r="B2699" s="1" t="s">
        <v>13232</v>
      </c>
      <c r="C2699" s="1" t="s">
        <v>1479</v>
      </c>
      <c r="D2699" s="1" t="s">
        <v>1496</v>
      </c>
      <c r="E2699" s="0" t="s">
        <v>38</v>
      </c>
      <c r="F2699" s="0" t="s">
        <v>48</v>
      </c>
      <c r="G2699" s="0" t="s">
        <v>13233</v>
      </c>
      <c r="I2699" s="6" t="n">
        <v>0.489583333333333</v>
      </c>
      <c r="J2699" s="6" t="n">
        <v>0.517361111111111</v>
      </c>
      <c r="M2699" s="0" t="s">
        <v>13234</v>
      </c>
      <c r="N2699" s="0" t="s">
        <v>13235</v>
      </c>
      <c r="P2699" s="0" t="s">
        <v>13236</v>
      </c>
      <c r="Q2699" s="2" t="n">
        <v>44333</v>
      </c>
      <c r="S2699" s="0" t="n">
        <f aca="false">YEAR(Q2699)</f>
        <v>2021</v>
      </c>
      <c r="T2699" s="0" t="n">
        <f aca="false">MONTH(Q2699)</f>
        <v>5</v>
      </c>
    </row>
    <row r="2700" customFormat="false" ht="14.25" hidden="true" customHeight="false" outlineLevel="0" collapsed="false">
      <c r="A2700" s="0" t="n">
        <v>2717</v>
      </c>
      <c r="B2700" s="1" t="s">
        <v>13232</v>
      </c>
      <c r="C2700" s="1" t="s">
        <v>1479</v>
      </c>
      <c r="D2700" s="1" t="s">
        <v>1496</v>
      </c>
      <c r="E2700" s="0" t="s">
        <v>38</v>
      </c>
      <c r="F2700" s="0" t="s">
        <v>49</v>
      </c>
      <c r="G2700" s="0" t="s">
        <v>13237</v>
      </c>
      <c r="J2700" s="6" t="n">
        <v>0.871527777777778</v>
      </c>
      <c r="M2700" s="0" t="s">
        <v>13238</v>
      </c>
      <c r="N2700" s="0" t="s">
        <v>13239</v>
      </c>
      <c r="P2700" s="0" t="s">
        <v>13240</v>
      </c>
      <c r="Q2700" s="2" t="n">
        <v>44333</v>
      </c>
      <c r="S2700" s="0" t="n">
        <f aca="false">YEAR(Q2700)</f>
        <v>2021</v>
      </c>
      <c r="T2700" s="0" t="n">
        <f aca="false">MONTH(Q2700)</f>
        <v>5</v>
      </c>
    </row>
    <row r="2701" customFormat="false" ht="14.25" hidden="true" customHeight="false" outlineLevel="0" collapsed="false">
      <c r="A2701" s="0" t="n">
        <v>2718</v>
      </c>
      <c r="B2701" s="1" t="s">
        <v>13232</v>
      </c>
      <c r="C2701" s="1" t="s">
        <v>1479</v>
      </c>
      <c r="D2701" s="1" t="s">
        <v>1535</v>
      </c>
      <c r="E2701" s="0" t="s">
        <v>39</v>
      </c>
      <c r="F2701" s="0" t="s">
        <v>48</v>
      </c>
      <c r="G2701" s="0" t="s">
        <v>13180</v>
      </c>
      <c r="I2701" s="6" t="n">
        <v>0.25</v>
      </c>
      <c r="J2701" s="6" t="n">
        <v>0.291666666666667</v>
      </c>
      <c r="M2701" s="0" t="s">
        <v>13241</v>
      </c>
      <c r="N2701" s="0" t="s">
        <v>13242</v>
      </c>
      <c r="P2701" s="0" t="s">
        <v>13243</v>
      </c>
      <c r="Q2701" s="2" t="n">
        <v>44333</v>
      </c>
      <c r="S2701" s="0" t="n">
        <f aca="false">YEAR(Q2701)</f>
        <v>2021</v>
      </c>
      <c r="T2701" s="0" t="n">
        <f aca="false">MONTH(Q2701)</f>
        <v>5</v>
      </c>
    </row>
    <row r="2702" customFormat="false" ht="14.25" hidden="true" customHeight="false" outlineLevel="0" collapsed="false">
      <c r="A2702" s="0" t="n">
        <v>2719</v>
      </c>
      <c r="B2702" s="1" t="s">
        <v>13244</v>
      </c>
      <c r="C2702" s="1" t="s">
        <v>1479</v>
      </c>
      <c r="D2702" s="1" t="s">
        <v>1535</v>
      </c>
      <c r="E2702" s="0" t="s">
        <v>39</v>
      </c>
      <c r="F2702" s="0" t="s">
        <v>48</v>
      </c>
      <c r="G2702" s="0" t="s">
        <v>13245</v>
      </c>
      <c r="I2702" s="6" t="n">
        <v>0.270833333333333</v>
      </c>
      <c r="J2702" s="6" t="n">
        <v>0.28125</v>
      </c>
      <c r="L2702" s="0" t="n">
        <v>60</v>
      </c>
      <c r="M2702" s="0" t="s">
        <v>13246</v>
      </c>
      <c r="N2702" s="0" t="s">
        <v>13247</v>
      </c>
      <c r="P2702" s="0" t="s">
        <v>13248</v>
      </c>
      <c r="Q2702" s="2" t="n">
        <v>44334</v>
      </c>
      <c r="S2702" s="0" t="n">
        <f aca="false">YEAR(Q2702)</f>
        <v>2021</v>
      </c>
      <c r="T2702" s="0" t="n">
        <f aca="false">MONTH(Q2702)</f>
        <v>5</v>
      </c>
    </row>
    <row r="2703" customFormat="false" ht="14.25" hidden="true" customHeight="false" outlineLevel="0" collapsed="false">
      <c r="A2703" s="0" t="n">
        <v>2720</v>
      </c>
      <c r="B2703" s="1" t="s">
        <v>13244</v>
      </c>
      <c r="C2703" s="1" t="s">
        <v>1479</v>
      </c>
      <c r="D2703" s="1" t="s">
        <v>1487</v>
      </c>
      <c r="E2703" s="0" t="s">
        <v>1488</v>
      </c>
      <c r="F2703" s="0" t="s">
        <v>49</v>
      </c>
      <c r="G2703" s="0" t="s">
        <v>13249</v>
      </c>
      <c r="I2703" s="6" t="n">
        <v>0.6875</v>
      </c>
      <c r="J2703" s="6" t="n">
        <v>0.711805555555555</v>
      </c>
      <c r="L2703" s="0" t="n">
        <v>100</v>
      </c>
      <c r="M2703" s="0" t="s">
        <v>13250</v>
      </c>
      <c r="N2703" s="0" t="s">
        <v>13251</v>
      </c>
      <c r="P2703" s="0" t="s">
        <v>13252</v>
      </c>
      <c r="Q2703" s="2" t="n">
        <v>44334</v>
      </c>
      <c r="S2703" s="0" t="n">
        <f aca="false">YEAR(Q2703)</f>
        <v>2021</v>
      </c>
      <c r="T2703" s="0" t="n">
        <f aca="false">MONTH(Q2703)</f>
        <v>5</v>
      </c>
    </row>
    <row r="2704" customFormat="false" ht="14.25" hidden="true" customHeight="false" outlineLevel="0" collapsed="false">
      <c r="A2704" s="0" t="n">
        <v>2721</v>
      </c>
      <c r="B2704" s="1" t="s">
        <v>13253</v>
      </c>
      <c r="C2704" s="1" t="s">
        <v>1479</v>
      </c>
      <c r="D2704" s="1" t="s">
        <v>1487</v>
      </c>
      <c r="E2704" s="0" t="s">
        <v>1488</v>
      </c>
      <c r="F2704" s="0" t="s">
        <v>48</v>
      </c>
      <c r="G2704" s="0" t="s">
        <v>13254</v>
      </c>
      <c r="I2704" s="6" t="n">
        <v>0.236111111111111</v>
      </c>
      <c r="J2704" s="6" t="n">
        <v>0.254861111111111</v>
      </c>
      <c r="L2704" s="0" t="n">
        <v>97</v>
      </c>
      <c r="M2704" s="0" t="s">
        <v>13255</v>
      </c>
      <c r="N2704" s="0" t="s">
        <v>13256</v>
      </c>
      <c r="P2704" s="0" t="s">
        <v>13257</v>
      </c>
      <c r="Q2704" s="2" t="n">
        <v>44336</v>
      </c>
      <c r="S2704" s="0" t="n">
        <f aca="false">YEAR(Q2704)</f>
        <v>2021</v>
      </c>
      <c r="T2704" s="0" t="n">
        <f aca="false">MONTH(Q2704)</f>
        <v>5</v>
      </c>
    </row>
    <row r="2705" customFormat="false" ht="14.25" hidden="true" customHeight="false" outlineLevel="0" collapsed="false">
      <c r="A2705" s="0" t="n">
        <v>2722</v>
      </c>
      <c r="B2705" s="1" t="s">
        <v>13253</v>
      </c>
      <c r="C2705" s="1" t="s">
        <v>1479</v>
      </c>
      <c r="D2705" s="1" t="s">
        <v>1487</v>
      </c>
      <c r="E2705" s="0" t="s">
        <v>1488</v>
      </c>
      <c r="F2705" s="0" t="s">
        <v>49</v>
      </c>
      <c r="G2705" s="0" t="s">
        <v>10357</v>
      </c>
      <c r="I2705" s="6" t="n">
        <v>0.798611111111111</v>
      </c>
      <c r="J2705" s="6" t="n">
        <v>0.831944444444444</v>
      </c>
      <c r="M2705" s="0" t="s">
        <v>13258</v>
      </c>
      <c r="N2705" s="0" t="s">
        <v>13259</v>
      </c>
      <c r="P2705" s="0" t="s">
        <v>13260</v>
      </c>
      <c r="Q2705" s="2" t="n">
        <v>44336</v>
      </c>
      <c r="S2705" s="0" t="n">
        <f aca="false">YEAR(Q2705)</f>
        <v>2021</v>
      </c>
      <c r="T2705" s="0" t="n">
        <f aca="false">MONTH(Q2705)</f>
        <v>5</v>
      </c>
    </row>
    <row r="2706" customFormat="false" ht="14.25" hidden="true" customHeight="false" outlineLevel="0" collapsed="false">
      <c r="A2706" s="0" t="n">
        <v>2723</v>
      </c>
      <c r="B2706" s="1" t="s">
        <v>13253</v>
      </c>
      <c r="C2706" s="1" t="s">
        <v>1479</v>
      </c>
      <c r="D2706" s="1" t="s">
        <v>1487</v>
      </c>
      <c r="E2706" s="0" t="s">
        <v>1488</v>
      </c>
      <c r="F2706" s="0" t="s">
        <v>49</v>
      </c>
      <c r="G2706" s="0" t="s">
        <v>13261</v>
      </c>
      <c r="I2706" s="6" t="n">
        <v>0.868055555555555</v>
      </c>
      <c r="J2706" s="6" t="n">
        <v>0.881944444444444</v>
      </c>
      <c r="L2706" s="0" t="n">
        <v>82</v>
      </c>
      <c r="M2706" s="0" t="s">
        <v>13262</v>
      </c>
      <c r="N2706" s="0" t="s">
        <v>13263</v>
      </c>
      <c r="P2706" s="0" t="s">
        <v>13264</v>
      </c>
      <c r="Q2706" s="2" t="n">
        <v>44336</v>
      </c>
      <c r="S2706" s="0" t="n">
        <f aca="false">YEAR(Q2706)</f>
        <v>2021</v>
      </c>
      <c r="T2706" s="0" t="n">
        <f aca="false">MONTH(Q2706)</f>
        <v>5</v>
      </c>
    </row>
    <row r="2707" customFormat="false" ht="14.25" hidden="true" customHeight="false" outlineLevel="0" collapsed="false">
      <c r="A2707" s="0" t="n">
        <v>2724</v>
      </c>
      <c r="B2707" s="1" t="s">
        <v>13265</v>
      </c>
      <c r="C2707" s="1" t="s">
        <v>1495</v>
      </c>
      <c r="D2707" s="1" t="s">
        <v>1487</v>
      </c>
      <c r="E2707" s="0" t="s">
        <v>40</v>
      </c>
      <c r="F2707" s="0" t="s">
        <v>48</v>
      </c>
      <c r="G2707" s="0" t="s">
        <v>13266</v>
      </c>
      <c r="I2707" s="6" t="n">
        <v>0.236111111111111</v>
      </c>
      <c r="J2707" s="6" t="n">
        <v>0.254861111111111</v>
      </c>
      <c r="L2707" s="0" t="n">
        <v>200</v>
      </c>
      <c r="M2707" s="0" t="s">
        <v>13267</v>
      </c>
      <c r="N2707" s="0" t="s">
        <v>13268</v>
      </c>
      <c r="P2707" s="0" t="s">
        <v>13269</v>
      </c>
      <c r="Q2707" s="2" t="n">
        <v>44336</v>
      </c>
      <c r="S2707" s="0" t="n">
        <f aca="false">YEAR(Q2707)</f>
        <v>2021</v>
      </c>
      <c r="T2707" s="0" t="n">
        <f aca="false">MONTH(Q2707)</f>
        <v>5</v>
      </c>
    </row>
    <row r="2708" customFormat="false" ht="14.25" hidden="true" customHeight="false" outlineLevel="0" collapsed="false">
      <c r="A2708" s="0" t="n">
        <v>2725</v>
      </c>
      <c r="B2708" s="1" t="s">
        <v>13270</v>
      </c>
      <c r="C2708" s="1" t="s">
        <v>1479</v>
      </c>
      <c r="D2708" s="1" t="s">
        <v>1535</v>
      </c>
      <c r="E2708" s="0" t="s">
        <v>39</v>
      </c>
      <c r="F2708" s="0" t="s">
        <v>48</v>
      </c>
      <c r="G2708" s="0" t="s">
        <v>13271</v>
      </c>
      <c r="M2708" s="0" t="s">
        <v>13272</v>
      </c>
      <c r="N2708" s="0" t="s">
        <v>13273</v>
      </c>
      <c r="P2708" s="0" t="s">
        <v>13274</v>
      </c>
      <c r="Q2708" s="2" t="n">
        <v>44340</v>
      </c>
      <c r="S2708" s="0" t="n">
        <f aca="false">YEAR(Q2708)</f>
        <v>2021</v>
      </c>
      <c r="T2708" s="0" t="n">
        <f aca="false">MONTH(Q2708)</f>
        <v>5</v>
      </c>
    </row>
    <row r="2709" customFormat="false" ht="14.25" hidden="true" customHeight="false" outlineLevel="0" collapsed="false">
      <c r="A2709" s="0" t="n">
        <v>2726</v>
      </c>
      <c r="B2709" s="1" t="s">
        <v>13275</v>
      </c>
      <c r="C2709" s="1" t="s">
        <v>1479</v>
      </c>
      <c r="D2709" s="1" t="s">
        <v>1535</v>
      </c>
      <c r="E2709" s="0" t="s">
        <v>39</v>
      </c>
      <c r="F2709" s="0" t="s">
        <v>48</v>
      </c>
      <c r="G2709" s="0" t="s">
        <v>13276</v>
      </c>
      <c r="I2709" s="6" t="n">
        <v>0.180555555555556</v>
      </c>
      <c r="J2709" s="6" t="n">
        <v>0.25</v>
      </c>
      <c r="M2709" s="0" t="s">
        <v>13277</v>
      </c>
      <c r="N2709" s="0" t="s">
        <v>13278</v>
      </c>
      <c r="P2709" s="0" t="s">
        <v>13279</v>
      </c>
      <c r="Q2709" s="2" t="n">
        <v>44341</v>
      </c>
      <c r="S2709" s="0" t="n">
        <f aca="false">YEAR(Q2709)</f>
        <v>2021</v>
      </c>
      <c r="T2709" s="0" t="n">
        <f aca="false">MONTH(Q2709)</f>
        <v>5</v>
      </c>
    </row>
    <row r="2710" customFormat="false" ht="14.25" hidden="true" customHeight="false" outlineLevel="0" collapsed="false">
      <c r="A2710" s="0" t="n">
        <v>2727</v>
      </c>
      <c r="B2710" s="1" t="s">
        <v>13275</v>
      </c>
      <c r="C2710" s="1" t="s">
        <v>1479</v>
      </c>
      <c r="D2710" s="1" t="s">
        <v>1480</v>
      </c>
      <c r="E2710" s="0" t="s">
        <v>43</v>
      </c>
      <c r="F2710" s="0" t="s">
        <v>48</v>
      </c>
      <c r="G2710" s="0" t="s">
        <v>13006</v>
      </c>
      <c r="H2710" s="0" t="s">
        <v>1569</v>
      </c>
      <c r="I2710" s="6" t="n">
        <v>0.402777777777778</v>
      </c>
      <c r="J2710" s="6" t="n">
        <v>0.420833333333333</v>
      </c>
      <c r="L2710" s="0" t="n">
        <v>90</v>
      </c>
      <c r="M2710" s="0" t="s">
        <v>13280</v>
      </c>
      <c r="N2710" s="0" t="s">
        <v>13281</v>
      </c>
      <c r="P2710" s="0" t="s">
        <v>13282</v>
      </c>
      <c r="Q2710" s="2" t="n">
        <v>44341</v>
      </c>
      <c r="S2710" s="0" t="n">
        <f aca="false">YEAR(Q2710)</f>
        <v>2021</v>
      </c>
      <c r="T2710" s="0" t="n">
        <f aca="false">MONTH(Q2710)</f>
        <v>5</v>
      </c>
    </row>
    <row r="2711" customFormat="false" ht="14.25" hidden="true" customHeight="false" outlineLevel="0" collapsed="false">
      <c r="A2711" s="0" t="n">
        <v>2728</v>
      </c>
      <c r="B2711" s="1" t="s">
        <v>13283</v>
      </c>
      <c r="C2711" s="1" t="s">
        <v>1479</v>
      </c>
      <c r="D2711" s="1" t="s">
        <v>1487</v>
      </c>
      <c r="E2711" s="0" t="s">
        <v>1488</v>
      </c>
      <c r="F2711" s="0" t="s">
        <v>48</v>
      </c>
      <c r="G2711" s="0" t="s">
        <v>13284</v>
      </c>
      <c r="I2711" s="6" t="n">
        <v>0.371527777777778</v>
      </c>
      <c r="J2711" s="6" t="n">
        <v>0.385416666666667</v>
      </c>
      <c r="L2711" s="6" t="n">
        <v>0.140972222222222</v>
      </c>
      <c r="M2711" s="0" t="s">
        <v>13285</v>
      </c>
      <c r="N2711" s="0" t="s">
        <v>13286</v>
      </c>
      <c r="P2711" s="0" t="s">
        <v>13287</v>
      </c>
      <c r="Q2711" s="2" t="n">
        <v>44342</v>
      </c>
      <c r="S2711" s="0" t="n">
        <f aca="false">YEAR(Q2711)</f>
        <v>2021</v>
      </c>
      <c r="T2711" s="0" t="n">
        <f aca="false">MONTH(Q2711)</f>
        <v>5</v>
      </c>
    </row>
    <row r="2712" customFormat="false" ht="14.25" hidden="true" customHeight="false" outlineLevel="0" collapsed="false">
      <c r="A2712" s="0" t="n">
        <v>2729</v>
      </c>
      <c r="B2712" s="1" t="s">
        <v>13288</v>
      </c>
      <c r="C2712" s="1" t="s">
        <v>1479</v>
      </c>
      <c r="D2712" s="1" t="s">
        <v>1487</v>
      </c>
      <c r="E2712" s="0" t="s">
        <v>1488</v>
      </c>
      <c r="F2712" s="0" t="s">
        <v>48</v>
      </c>
      <c r="M2712" s="0" t="s">
        <v>13289</v>
      </c>
      <c r="N2712" s="0" t="s">
        <v>13290</v>
      </c>
      <c r="P2712" s="0" t="s">
        <v>13291</v>
      </c>
      <c r="Q2712" s="2" t="n">
        <v>44344</v>
      </c>
      <c r="S2712" s="0" t="n">
        <f aca="false">YEAR(Q2712)</f>
        <v>2021</v>
      </c>
      <c r="T2712" s="0" t="n">
        <f aca="false">MONTH(Q2712)</f>
        <v>5</v>
      </c>
    </row>
    <row r="2713" customFormat="false" ht="14.25" hidden="true" customHeight="false" outlineLevel="0" collapsed="false">
      <c r="A2713" s="0" t="n">
        <v>2730</v>
      </c>
      <c r="B2713" s="1" t="s">
        <v>13275</v>
      </c>
      <c r="C2713" s="1" t="s">
        <v>1495</v>
      </c>
      <c r="D2713" s="1" t="s">
        <v>1487</v>
      </c>
      <c r="E2713" s="0" t="s">
        <v>40</v>
      </c>
      <c r="F2713" s="0" t="s">
        <v>48</v>
      </c>
      <c r="G2713" s="0" t="s">
        <v>13292</v>
      </c>
      <c r="J2713" s="6" t="n">
        <v>0.3</v>
      </c>
      <c r="M2713" s="0" t="s">
        <v>13293</v>
      </c>
      <c r="N2713" s="0" t="s">
        <v>13294</v>
      </c>
      <c r="P2713" s="0" t="s">
        <v>13295</v>
      </c>
      <c r="Q2713" s="2" t="n">
        <v>44341</v>
      </c>
      <c r="S2713" s="0" t="n">
        <f aca="false">YEAR(Q2713)</f>
        <v>2021</v>
      </c>
      <c r="T2713" s="0" t="n">
        <f aca="false">MONTH(Q2713)</f>
        <v>5</v>
      </c>
    </row>
    <row r="2714" customFormat="false" ht="14.25" hidden="true" customHeight="false" outlineLevel="0" collapsed="false">
      <c r="A2714" s="0" t="n">
        <v>2731</v>
      </c>
      <c r="B2714" s="1" t="s">
        <v>13283</v>
      </c>
      <c r="C2714" s="1" t="s">
        <v>1495</v>
      </c>
      <c r="D2714" s="1" t="s">
        <v>1487</v>
      </c>
      <c r="E2714" s="0" t="s">
        <v>40</v>
      </c>
      <c r="F2714" s="0" t="s">
        <v>49</v>
      </c>
      <c r="G2714" s="0" t="s">
        <v>13296</v>
      </c>
      <c r="I2714" s="6" t="n">
        <v>0.777777777777778</v>
      </c>
      <c r="J2714" s="6" t="n">
        <v>0.791666666666667</v>
      </c>
      <c r="L2714" s="0" t="n">
        <v>86</v>
      </c>
      <c r="M2714" s="0" t="s">
        <v>13297</v>
      </c>
      <c r="N2714" s="0" t="s">
        <v>13298</v>
      </c>
      <c r="P2714" s="0" t="s">
        <v>13299</v>
      </c>
      <c r="Q2714" s="2" t="n">
        <v>44342</v>
      </c>
      <c r="S2714" s="0" t="n">
        <f aca="false">YEAR(Q2714)</f>
        <v>2021</v>
      </c>
      <c r="T2714" s="0" t="n">
        <f aca="false">MONTH(Q2714)</f>
        <v>5</v>
      </c>
    </row>
    <row r="2715" customFormat="false" ht="14.25" hidden="true" customHeight="false" outlineLevel="0" collapsed="false">
      <c r="A2715" s="0" t="n">
        <v>2732</v>
      </c>
      <c r="B2715" s="1" t="s">
        <v>13288</v>
      </c>
      <c r="C2715" s="1" t="s">
        <v>1495</v>
      </c>
      <c r="D2715" s="1" t="s">
        <v>1487</v>
      </c>
      <c r="E2715" s="0" t="s">
        <v>40</v>
      </c>
      <c r="F2715" s="0" t="s">
        <v>48</v>
      </c>
      <c r="G2715" s="0" t="s">
        <v>13300</v>
      </c>
      <c r="I2715" s="6" t="n">
        <v>0.522222222222222</v>
      </c>
      <c r="J2715" s="6" t="n">
        <v>0.527083333333333</v>
      </c>
      <c r="L2715" s="0" t="n">
        <v>34</v>
      </c>
      <c r="M2715" s="0" t="s">
        <v>13301</v>
      </c>
      <c r="N2715" s="0" t="s">
        <v>13302</v>
      </c>
      <c r="P2715" s="0" t="s">
        <v>13303</v>
      </c>
      <c r="Q2715" s="2" t="n">
        <v>44344</v>
      </c>
      <c r="S2715" s="0" t="n">
        <f aca="false">YEAR(Q2715)</f>
        <v>2021</v>
      </c>
      <c r="T2715" s="0" t="n">
        <f aca="false">MONTH(Q2715)</f>
        <v>5</v>
      </c>
    </row>
    <row r="2716" customFormat="false" ht="14.25" hidden="true" customHeight="false" outlineLevel="0" collapsed="false">
      <c r="A2716" s="0" t="n">
        <v>2733</v>
      </c>
      <c r="B2716" s="1" t="s">
        <v>13288</v>
      </c>
      <c r="C2716" s="1" t="s">
        <v>1495</v>
      </c>
      <c r="D2716" s="1" t="s">
        <v>1487</v>
      </c>
      <c r="E2716" s="0" t="s">
        <v>40</v>
      </c>
      <c r="F2716" s="0" t="s">
        <v>48</v>
      </c>
      <c r="G2716" s="0" t="s">
        <v>13304</v>
      </c>
      <c r="I2716" s="6" t="n">
        <v>0.546527777777778</v>
      </c>
      <c r="J2716" s="6" t="n">
        <v>0.546527777777778</v>
      </c>
      <c r="L2716" s="0" t="n">
        <v>56</v>
      </c>
      <c r="M2716" s="0" t="s">
        <v>13305</v>
      </c>
      <c r="N2716" s="0" t="s">
        <v>13306</v>
      </c>
      <c r="P2716" s="0" t="s">
        <v>13307</v>
      </c>
      <c r="Q2716" s="2" t="n">
        <v>44344</v>
      </c>
      <c r="S2716" s="0" t="n">
        <f aca="false">YEAR(Q2716)</f>
        <v>2021</v>
      </c>
      <c r="T2716" s="0" t="n">
        <f aca="false">MONTH(Q2716)</f>
        <v>5</v>
      </c>
    </row>
    <row r="2717" customFormat="false" ht="14.25" hidden="true" customHeight="false" outlineLevel="0" collapsed="false">
      <c r="A2717" s="0" t="n">
        <v>2734</v>
      </c>
      <c r="B2717" s="1" t="s">
        <v>13283</v>
      </c>
      <c r="C2717" s="1" t="s">
        <v>1503</v>
      </c>
      <c r="D2717" s="1" t="s">
        <v>1535</v>
      </c>
      <c r="E2717" s="0" t="s">
        <v>1503</v>
      </c>
      <c r="F2717" s="0" t="s">
        <v>49</v>
      </c>
      <c r="G2717" s="0" t="s">
        <v>13308</v>
      </c>
      <c r="H2717" s="0" t="s">
        <v>1648</v>
      </c>
      <c r="J2717" s="6" t="n">
        <v>0.677083333333333</v>
      </c>
      <c r="M2717" s="0" t="s">
        <v>13309</v>
      </c>
      <c r="N2717" s="0" t="s">
        <v>13310</v>
      </c>
      <c r="P2717" s="0" t="s">
        <v>13311</v>
      </c>
      <c r="Q2717" s="2" t="n">
        <v>44342</v>
      </c>
      <c r="S2717" s="0" t="n">
        <f aca="false">YEAR(Q2717)</f>
        <v>2021</v>
      </c>
      <c r="T2717" s="0" t="n">
        <f aca="false">MONTH(Q2717)</f>
        <v>5</v>
      </c>
    </row>
    <row r="2718" customFormat="false" ht="14.25" hidden="true" customHeight="false" outlineLevel="0" collapsed="false">
      <c r="A2718" s="0" t="n">
        <v>2735</v>
      </c>
      <c r="B2718" s="1" t="s">
        <v>13312</v>
      </c>
      <c r="C2718" s="1" t="s">
        <v>1479</v>
      </c>
      <c r="D2718" s="1" t="s">
        <v>1535</v>
      </c>
      <c r="E2718" s="0" t="s">
        <v>39</v>
      </c>
      <c r="F2718" s="0" t="s">
        <v>48</v>
      </c>
      <c r="G2718" s="0" t="s">
        <v>13313</v>
      </c>
      <c r="I2718" s="6" t="n">
        <v>0.243055555555556</v>
      </c>
      <c r="J2718" s="6" t="n">
        <v>0.277777777777778</v>
      </c>
      <c r="L2718" s="0" t="n">
        <v>150</v>
      </c>
      <c r="M2718" s="0" t="s">
        <v>13314</v>
      </c>
      <c r="N2718" s="0" t="s">
        <v>13315</v>
      </c>
      <c r="P2718" s="0" t="s">
        <v>13316</v>
      </c>
      <c r="Q2718" s="2" t="n">
        <v>44347</v>
      </c>
      <c r="S2718" s="0" t="n">
        <f aca="false">YEAR(Q2718)</f>
        <v>2021</v>
      </c>
      <c r="T2718" s="0" t="n">
        <f aca="false">MONTH(Q2718)</f>
        <v>5</v>
      </c>
    </row>
    <row r="2719" customFormat="false" ht="14.25" hidden="true" customHeight="false" outlineLevel="0" collapsed="false">
      <c r="A2719" s="0" t="n">
        <v>2736</v>
      </c>
      <c r="B2719" s="1" t="s">
        <v>13312</v>
      </c>
      <c r="C2719" s="1" t="s">
        <v>1479</v>
      </c>
      <c r="D2719" s="1" t="s">
        <v>1535</v>
      </c>
      <c r="E2719" s="0" t="s">
        <v>39</v>
      </c>
      <c r="F2719" s="0" t="s">
        <v>48</v>
      </c>
      <c r="G2719" s="0" t="s">
        <v>13317</v>
      </c>
      <c r="I2719" s="6" t="n">
        <v>0.5</v>
      </c>
      <c r="J2719" s="6" t="n">
        <v>0.510416666666667</v>
      </c>
      <c r="L2719" s="0" t="n">
        <v>120</v>
      </c>
      <c r="M2719" s="0" t="s">
        <v>13318</v>
      </c>
      <c r="N2719" s="0" t="s">
        <v>13319</v>
      </c>
      <c r="P2719" s="0" t="s">
        <v>13320</v>
      </c>
      <c r="Q2719" s="2" t="n">
        <v>44347</v>
      </c>
      <c r="S2719" s="0" t="n">
        <f aca="false">YEAR(Q2719)</f>
        <v>2021</v>
      </c>
      <c r="T2719" s="0" t="n">
        <f aca="false">MONTH(Q2719)</f>
        <v>5</v>
      </c>
    </row>
    <row r="2720" customFormat="false" ht="14.25" hidden="true" customHeight="false" outlineLevel="0" collapsed="false">
      <c r="A2720" s="0" t="n">
        <v>2737</v>
      </c>
      <c r="B2720" s="1" t="s">
        <v>13312</v>
      </c>
      <c r="C2720" s="1" t="s">
        <v>1479</v>
      </c>
      <c r="D2720" s="1" t="s">
        <v>1487</v>
      </c>
      <c r="E2720" s="0" t="s">
        <v>1488</v>
      </c>
      <c r="F2720" s="0" t="s">
        <v>49</v>
      </c>
      <c r="G2720" s="0" t="s">
        <v>13284</v>
      </c>
      <c r="I2720" s="6" t="n">
        <v>0.8875</v>
      </c>
      <c r="M2720" s="0" t="s">
        <v>13285</v>
      </c>
      <c r="N2720" s="0" t="s">
        <v>13321</v>
      </c>
      <c r="P2720" s="0" t="s">
        <v>13322</v>
      </c>
      <c r="Q2720" s="2" t="n">
        <v>44347</v>
      </c>
      <c r="S2720" s="0" t="n">
        <f aca="false">YEAR(Q2720)</f>
        <v>2021</v>
      </c>
      <c r="T2720" s="0" t="n">
        <f aca="false">MONTH(Q2720)</f>
        <v>5</v>
      </c>
    </row>
    <row r="2721" customFormat="false" ht="14.25" hidden="true" customHeight="false" outlineLevel="0" collapsed="false">
      <c r="A2721" s="0" t="n">
        <v>2738</v>
      </c>
      <c r="B2721" s="1" t="s">
        <v>13312</v>
      </c>
      <c r="C2721" s="1" t="s">
        <v>1495</v>
      </c>
      <c r="D2721" s="1" t="s">
        <v>1535</v>
      </c>
      <c r="E2721" s="0" t="s">
        <v>42</v>
      </c>
      <c r="F2721" s="0" t="s">
        <v>48</v>
      </c>
      <c r="G2721" s="0" t="s">
        <v>8718</v>
      </c>
      <c r="I2721" s="6" t="n">
        <v>0.236111111111111</v>
      </c>
      <c r="J2721" s="6" t="n">
        <v>0.247222222222222</v>
      </c>
      <c r="L2721" s="0" t="n">
        <v>120</v>
      </c>
      <c r="M2721" s="0" t="s">
        <v>13323</v>
      </c>
      <c r="N2721" s="0" t="s">
        <v>13324</v>
      </c>
      <c r="P2721" s="0" t="s">
        <v>13325</v>
      </c>
      <c r="Q2721" s="2" t="n">
        <v>44347</v>
      </c>
      <c r="S2721" s="0" t="n">
        <f aca="false">YEAR(Q2721)</f>
        <v>2021</v>
      </c>
      <c r="T2721" s="0" t="n">
        <f aca="false">MONTH(Q2721)</f>
        <v>5</v>
      </c>
    </row>
    <row r="2722" customFormat="false" ht="14.25" hidden="true" customHeight="false" outlineLevel="0" collapsed="false">
      <c r="A2722" s="0" t="n">
        <v>2739</v>
      </c>
      <c r="B2722" s="1" t="s">
        <v>13312</v>
      </c>
      <c r="C2722" s="1" t="s">
        <v>1495</v>
      </c>
      <c r="D2722" s="1" t="s">
        <v>1487</v>
      </c>
      <c r="E2722" s="0" t="s">
        <v>40</v>
      </c>
      <c r="F2722" s="0" t="s">
        <v>48</v>
      </c>
      <c r="G2722" s="0" t="s">
        <v>13326</v>
      </c>
      <c r="I2722" s="6" t="n">
        <v>0.243055555555556</v>
      </c>
      <c r="J2722" s="6" t="n">
        <v>0.277777777777778</v>
      </c>
      <c r="L2722" s="0" t="n">
        <v>150</v>
      </c>
      <c r="M2722" s="0" t="s">
        <v>13327</v>
      </c>
      <c r="N2722" s="0" t="s">
        <v>13328</v>
      </c>
      <c r="P2722" s="0" t="s">
        <v>13329</v>
      </c>
      <c r="Q2722" s="2" t="n">
        <v>44347</v>
      </c>
      <c r="S2722" s="0" t="n">
        <f aca="false">YEAR(Q2722)</f>
        <v>2021</v>
      </c>
      <c r="T2722" s="0" t="n">
        <f aca="false">MONTH(Q2722)</f>
        <v>5</v>
      </c>
    </row>
    <row r="2723" customFormat="false" ht="14.25" hidden="true" customHeight="false" outlineLevel="0" collapsed="false">
      <c r="A2723" s="0" t="n">
        <v>2740</v>
      </c>
      <c r="B2723" s="1" t="s">
        <v>13330</v>
      </c>
      <c r="C2723" s="1" t="s">
        <v>1495</v>
      </c>
      <c r="D2723" s="1" t="s">
        <v>1487</v>
      </c>
      <c r="E2723" s="0" t="s">
        <v>40</v>
      </c>
      <c r="F2723" s="0" t="s">
        <v>48</v>
      </c>
      <c r="G2723" s="0" t="s">
        <v>11452</v>
      </c>
      <c r="H2723" s="4" t="s">
        <v>13331</v>
      </c>
      <c r="I2723" s="6" t="n">
        <v>0.239583333333333</v>
      </c>
      <c r="J2723" s="6" t="n">
        <v>0.254166666666667</v>
      </c>
      <c r="M2723" s="0" t="s">
        <v>13332</v>
      </c>
      <c r="N2723" s="0" t="s">
        <v>13333</v>
      </c>
      <c r="P2723" s="0" t="s">
        <v>13334</v>
      </c>
      <c r="Q2723" s="2" t="n">
        <v>44350</v>
      </c>
      <c r="S2723" s="0" t="n">
        <f aca="false">YEAR(Q2723)</f>
        <v>2021</v>
      </c>
      <c r="T2723" s="0" t="n">
        <f aca="false">MONTH(Q2723)</f>
        <v>6</v>
      </c>
    </row>
    <row r="2724" customFormat="false" ht="14.25" hidden="true" customHeight="false" outlineLevel="0" collapsed="false">
      <c r="A2724" s="0" t="n">
        <v>2741</v>
      </c>
      <c r="B2724" s="1" t="s">
        <v>13335</v>
      </c>
      <c r="C2724" s="1" t="s">
        <v>1479</v>
      </c>
      <c r="D2724" s="1" t="s">
        <v>1480</v>
      </c>
      <c r="E2724" s="0" t="s">
        <v>43</v>
      </c>
      <c r="F2724" s="0" t="s">
        <v>48</v>
      </c>
      <c r="G2724" s="0" t="s">
        <v>13336</v>
      </c>
      <c r="H2724" s="4" t="s">
        <v>13337</v>
      </c>
      <c r="I2724" s="6" t="n">
        <v>0.236111111111111</v>
      </c>
      <c r="J2724" s="6" t="n">
        <v>0.277777777777778</v>
      </c>
      <c r="L2724" s="0" t="n">
        <v>300</v>
      </c>
      <c r="M2724" s="0" t="s">
        <v>13338</v>
      </c>
      <c r="N2724" s="0" t="s">
        <v>13339</v>
      </c>
      <c r="P2724" s="0" t="s">
        <v>13340</v>
      </c>
      <c r="Q2724" s="2" t="n">
        <v>44354</v>
      </c>
      <c r="S2724" s="0" t="n">
        <f aca="false">YEAR(Q2724)</f>
        <v>2021</v>
      </c>
      <c r="T2724" s="0" t="n">
        <f aca="false">MONTH(Q2724)</f>
        <v>6</v>
      </c>
    </row>
    <row r="2725" customFormat="false" ht="14.25" hidden="true" customHeight="false" outlineLevel="0" collapsed="false">
      <c r="A2725" s="0" t="n">
        <v>2742</v>
      </c>
      <c r="B2725" s="1" t="s">
        <v>13335</v>
      </c>
      <c r="C2725" s="1" t="s">
        <v>1479</v>
      </c>
      <c r="D2725" s="1" t="s">
        <v>1487</v>
      </c>
      <c r="E2725" s="0" t="s">
        <v>1488</v>
      </c>
      <c r="F2725" s="0" t="s">
        <v>49</v>
      </c>
      <c r="G2725" s="0" t="s">
        <v>2129</v>
      </c>
      <c r="H2725" s="4" t="s">
        <v>13341</v>
      </c>
      <c r="I2725" s="6" t="n">
        <v>0.958333333333333</v>
      </c>
      <c r="J2725" s="6" t="n">
        <v>0.236111111111111</v>
      </c>
      <c r="L2725" s="0" t="n">
        <v>80</v>
      </c>
      <c r="M2725" s="0" t="s">
        <v>13342</v>
      </c>
      <c r="N2725" s="0" t="s">
        <v>13343</v>
      </c>
      <c r="P2725" s="0" t="s">
        <v>13344</v>
      </c>
      <c r="Q2725" s="2" t="n">
        <v>44354</v>
      </c>
      <c r="S2725" s="0" t="n">
        <f aca="false">YEAR(Q2725)</f>
        <v>2021</v>
      </c>
      <c r="T2725" s="0" t="n">
        <f aca="false">MONTH(Q2725)</f>
        <v>6</v>
      </c>
    </row>
    <row r="2726" customFormat="false" ht="14.25" hidden="true" customHeight="false" outlineLevel="0" collapsed="false">
      <c r="A2726" s="0" t="n">
        <v>2743</v>
      </c>
      <c r="B2726" s="1" t="s">
        <v>13345</v>
      </c>
      <c r="C2726" s="1" t="s">
        <v>1479</v>
      </c>
      <c r="D2726" s="1" t="s">
        <v>1535</v>
      </c>
      <c r="E2726" s="0" t="s">
        <v>39</v>
      </c>
      <c r="F2726" s="0" t="s">
        <v>48</v>
      </c>
      <c r="G2726" s="0" t="s">
        <v>13346</v>
      </c>
      <c r="H2726" s="4" t="s">
        <v>3583</v>
      </c>
      <c r="I2726" s="6" t="n">
        <v>0.569444444444444</v>
      </c>
      <c r="J2726" s="6" t="n">
        <v>0.576388888888889</v>
      </c>
      <c r="L2726" s="0" t="n">
        <v>10</v>
      </c>
      <c r="M2726" s="0" t="s">
        <v>13347</v>
      </c>
      <c r="N2726" s="0" t="s">
        <v>13348</v>
      </c>
      <c r="P2726" s="0" t="s">
        <v>13349</v>
      </c>
      <c r="Q2726" s="2" t="n">
        <v>44355</v>
      </c>
      <c r="S2726" s="0" t="n">
        <f aca="false">YEAR(Q2726)</f>
        <v>2021</v>
      </c>
      <c r="T2726" s="0" t="n">
        <f aca="false">MONTH(Q2726)</f>
        <v>6</v>
      </c>
    </row>
    <row r="2727" customFormat="false" ht="14.25" hidden="true" customHeight="false" outlineLevel="0" collapsed="false">
      <c r="A2727" s="0" t="n">
        <v>2744</v>
      </c>
      <c r="B2727" s="1" t="s">
        <v>13345</v>
      </c>
      <c r="C2727" s="1" t="s">
        <v>1479</v>
      </c>
      <c r="D2727" s="1" t="s">
        <v>1535</v>
      </c>
      <c r="E2727" s="0" t="s">
        <v>39</v>
      </c>
      <c r="F2727" s="0" t="s">
        <v>48</v>
      </c>
      <c r="G2727" s="0" t="s">
        <v>13346</v>
      </c>
      <c r="H2727" s="4" t="s">
        <v>3583</v>
      </c>
      <c r="I2727" s="6" t="n">
        <v>0.569444444444444</v>
      </c>
      <c r="J2727" s="6" t="n">
        <v>0.576388888888889</v>
      </c>
      <c r="L2727" s="0" t="n">
        <v>10</v>
      </c>
      <c r="M2727" s="0" t="s">
        <v>13347</v>
      </c>
      <c r="N2727" s="0" t="s">
        <v>13348</v>
      </c>
      <c r="P2727" s="0" t="s">
        <v>13350</v>
      </c>
      <c r="Q2727" s="2" t="n">
        <v>44355</v>
      </c>
      <c r="S2727" s="0" t="n">
        <f aca="false">YEAR(Q2727)</f>
        <v>2021</v>
      </c>
      <c r="T2727" s="0" t="n">
        <f aca="false">MONTH(Q2727)</f>
        <v>6</v>
      </c>
    </row>
    <row r="2728" customFormat="false" ht="14.25" hidden="true" customHeight="false" outlineLevel="0" collapsed="false">
      <c r="A2728" s="0" t="n">
        <v>2745</v>
      </c>
      <c r="B2728" s="1" t="s">
        <v>13335</v>
      </c>
      <c r="C2728" s="1" t="s">
        <v>1479</v>
      </c>
      <c r="D2728" s="1" t="s">
        <v>1535</v>
      </c>
      <c r="E2728" s="0" t="s">
        <v>39</v>
      </c>
      <c r="F2728" s="0" t="s">
        <v>48</v>
      </c>
      <c r="G2728" s="0" t="s">
        <v>13351</v>
      </c>
      <c r="H2728" s="4" t="s">
        <v>7876</v>
      </c>
      <c r="I2728" s="6" t="n">
        <v>0.236111111111111</v>
      </c>
      <c r="J2728" s="6" t="n">
        <v>0.236111111111111</v>
      </c>
      <c r="L2728" s="0" t="n">
        <v>240</v>
      </c>
      <c r="M2728" s="0" t="s">
        <v>13352</v>
      </c>
      <c r="N2728" s="0" t="s">
        <v>13353</v>
      </c>
      <c r="P2728" s="0" t="s">
        <v>13354</v>
      </c>
      <c r="Q2728" s="2" t="n">
        <v>44354</v>
      </c>
      <c r="S2728" s="0" t="n">
        <f aca="false">YEAR(Q2728)</f>
        <v>2021</v>
      </c>
      <c r="T2728" s="0" t="n">
        <f aca="false">MONTH(Q2728)</f>
        <v>6</v>
      </c>
    </row>
    <row r="2729" customFormat="false" ht="14.25" hidden="true" customHeight="false" outlineLevel="0" collapsed="false">
      <c r="A2729" s="0" t="n">
        <v>2746</v>
      </c>
      <c r="B2729" s="1" t="s">
        <v>13335</v>
      </c>
      <c r="C2729" s="1" t="s">
        <v>1495</v>
      </c>
      <c r="D2729" s="1" t="s">
        <v>1487</v>
      </c>
      <c r="E2729" s="0" t="s">
        <v>40</v>
      </c>
      <c r="F2729" s="0" t="s">
        <v>48</v>
      </c>
      <c r="G2729" s="0" t="s">
        <v>13355</v>
      </c>
      <c r="H2729" s="4" t="s">
        <v>1498</v>
      </c>
      <c r="I2729" s="6" t="n">
        <v>0.236111111111111</v>
      </c>
      <c r="J2729" s="6" t="n">
        <v>0.416666666666667</v>
      </c>
      <c r="M2729" s="0" t="s">
        <v>13356</v>
      </c>
      <c r="N2729" s="0" t="s">
        <v>13357</v>
      </c>
      <c r="P2729" s="0" t="s">
        <v>13358</v>
      </c>
      <c r="Q2729" s="2" t="n">
        <v>44354</v>
      </c>
      <c r="S2729" s="0" t="n">
        <f aca="false">YEAR(Q2729)</f>
        <v>2021</v>
      </c>
      <c r="T2729" s="0" t="n">
        <f aca="false">MONTH(Q2729)</f>
        <v>6</v>
      </c>
    </row>
    <row r="2730" customFormat="false" ht="14.25" hidden="true" customHeight="false" outlineLevel="0" collapsed="false">
      <c r="A2730" s="0" t="n">
        <v>2747</v>
      </c>
      <c r="B2730" s="1" t="s">
        <v>13359</v>
      </c>
      <c r="C2730" s="1" t="s">
        <v>1495</v>
      </c>
      <c r="D2730" s="1" t="s">
        <v>1487</v>
      </c>
      <c r="E2730" s="0" t="s">
        <v>40</v>
      </c>
      <c r="F2730" s="0" t="s">
        <v>49</v>
      </c>
      <c r="G2730" s="0" t="s">
        <v>13360</v>
      </c>
      <c r="H2730" s="4" t="s">
        <v>13361</v>
      </c>
      <c r="I2730" s="6" t="n">
        <v>0.743055555555555</v>
      </c>
      <c r="J2730" s="6" t="n">
        <v>0.75</v>
      </c>
      <c r="L2730" s="0" t="n">
        <v>150</v>
      </c>
      <c r="M2730" s="0" t="s">
        <v>13362</v>
      </c>
      <c r="N2730" s="0" t="s">
        <v>13363</v>
      </c>
      <c r="P2730" s="0" t="s">
        <v>13364</v>
      </c>
      <c r="Q2730" s="2" t="n">
        <v>44359</v>
      </c>
      <c r="S2730" s="0" t="n">
        <f aca="false">YEAR(Q2730)</f>
        <v>2021</v>
      </c>
      <c r="T2730" s="0" t="n">
        <f aca="false">MONTH(Q2730)</f>
        <v>6</v>
      </c>
    </row>
    <row r="2731" customFormat="false" ht="14.25" hidden="true" customHeight="false" outlineLevel="0" collapsed="false">
      <c r="A2731" s="0" t="n">
        <v>2748</v>
      </c>
      <c r="B2731" s="1" t="s">
        <v>13335</v>
      </c>
      <c r="C2731" s="1" t="s">
        <v>1495</v>
      </c>
      <c r="D2731" s="1" t="s">
        <v>1496</v>
      </c>
      <c r="E2731" s="0" t="s">
        <v>41</v>
      </c>
      <c r="F2731" s="0" t="s">
        <v>48</v>
      </c>
      <c r="G2731" s="0" t="s">
        <v>13365</v>
      </c>
      <c r="H2731" s="4" t="s">
        <v>1564</v>
      </c>
      <c r="I2731" s="6" t="n">
        <v>0.236111111111111</v>
      </c>
      <c r="J2731" s="6" t="n">
        <v>0.236111111111111</v>
      </c>
      <c r="M2731" s="0" t="s">
        <v>8098</v>
      </c>
      <c r="N2731" s="0" t="s">
        <v>13366</v>
      </c>
      <c r="P2731" s="0" t="s">
        <v>13367</v>
      </c>
      <c r="Q2731" s="2" t="n">
        <v>44354</v>
      </c>
      <c r="S2731" s="0" t="n">
        <f aca="false">YEAR(Q2731)</f>
        <v>2021</v>
      </c>
      <c r="T2731" s="0" t="n">
        <f aca="false">MONTH(Q2731)</f>
        <v>6</v>
      </c>
    </row>
    <row r="2732" customFormat="false" ht="14.25" hidden="true" customHeight="false" outlineLevel="0" collapsed="false">
      <c r="A2732" s="0" t="n">
        <v>2749</v>
      </c>
      <c r="B2732" s="1" t="s">
        <v>13359</v>
      </c>
      <c r="C2732" s="1" t="s">
        <v>1495</v>
      </c>
      <c r="D2732" s="1" t="s">
        <v>1496</v>
      </c>
      <c r="E2732" s="0" t="s">
        <v>41</v>
      </c>
      <c r="F2732" s="0" t="s">
        <v>48</v>
      </c>
      <c r="G2732" s="0" t="s">
        <v>13368</v>
      </c>
      <c r="H2732" s="4" t="s">
        <v>13369</v>
      </c>
      <c r="I2732" s="6" t="n">
        <v>0.510416666666667</v>
      </c>
      <c r="J2732" s="6" t="n">
        <v>0.517361111111111</v>
      </c>
      <c r="L2732" s="0" t="n">
        <v>30</v>
      </c>
      <c r="M2732" s="0" t="s">
        <v>13370</v>
      </c>
      <c r="N2732" s="0" t="s">
        <v>13371</v>
      </c>
      <c r="P2732" s="0" t="s">
        <v>13372</v>
      </c>
      <c r="Q2732" s="2" t="n">
        <v>44359</v>
      </c>
      <c r="S2732" s="0" t="n">
        <f aca="false">YEAR(Q2732)</f>
        <v>2021</v>
      </c>
      <c r="T2732" s="0" t="n">
        <f aca="false">MONTH(Q2732)</f>
        <v>6</v>
      </c>
    </row>
    <row r="2733" customFormat="false" ht="14.25" hidden="true" customHeight="false" outlineLevel="0" collapsed="false">
      <c r="A2733" s="0" t="n">
        <v>2750</v>
      </c>
      <c r="B2733" s="1" t="s">
        <v>13373</v>
      </c>
      <c r="C2733" s="1" t="s">
        <v>1479</v>
      </c>
      <c r="D2733" s="1" t="s">
        <v>1535</v>
      </c>
      <c r="E2733" s="0" t="s">
        <v>39</v>
      </c>
      <c r="F2733" s="0" t="s">
        <v>49</v>
      </c>
      <c r="G2733" s="0" t="s">
        <v>13374</v>
      </c>
      <c r="H2733" s="4" t="s">
        <v>4643</v>
      </c>
      <c r="I2733" s="6" t="n">
        <v>0.604166666666667</v>
      </c>
      <c r="J2733" s="6" t="n">
        <v>0.617361111111111</v>
      </c>
      <c r="M2733" s="0" t="s">
        <v>13375</v>
      </c>
      <c r="N2733" s="0" t="s">
        <v>13376</v>
      </c>
      <c r="P2733" s="0" t="s">
        <v>13377</v>
      </c>
      <c r="Q2733" s="2" t="n">
        <v>44361</v>
      </c>
      <c r="S2733" s="0" t="n">
        <f aca="false">YEAR(Q2733)</f>
        <v>2021</v>
      </c>
      <c r="T2733" s="0" t="n">
        <f aca="false">MONTH(Q2733)</f>
        <v>6</v>
      </c>
    </row>
    <row r="2734" customFormat="false" ht="14.25" hidden="true" customHeight="false" outlineLevel="0" collapsed="false">
      <c r="A2734" s="0" t="n">
        <v>2751</v>
      </c>
      <c r="B2734" s="1" t="s">
        <v>13373</v>
      </c>
      <c r="C2734" s="1" t="s">
        <v>1479</v>
      </c>
      <c r="D2734" s="1" t="s">
        <v>1487</v>
      </c>
      <c r="E2734" s="0" t="s">
        <v>1488</v>
      </c>
      <c r="F2734" s="0" t="s">
        <v>48</v>
      </c>
      <c r="G2734" s="0" t="s">
        <v>13378</v>
      </c>
      <c r="H2734" s="4" t="s">
        <v>13379</v>
      </c>
      <c r="I2734" s="6" t="n">
        <v>0.236111111111111</v>
      </c>
      <c r="J2734" s="6" t="n">
        <v>0.265972222222222</v>
      </c>
      <c r="L2734" s="0" t="n">
        <v>80</v>
      </c>
      <c r="M2734" s="0" t="s">
        <v>13380</v>
      </c>
      <c r="N2734" s="0" t="s">
        <v>13381</v>
      </c>
      <c r="P2734" s="0" t="s">
        <v>13382</v>
      </c>
      <c r="Q2734" s="2" t="n">
        <v>44361</v>
      </c>
      <c r="S2734" s="0" t="n">
        <f aca="false">YEAR(Q2734)</f>
        <v>2021</v>
      </c>
      <c r="T2734" s="0" t="n">
        <f aca="false">MONTH(Q2734)</f>
        <v>6</v>
      </c>
    </row>
    <row r="2735" customFormat="false" ht="14.25" hidden="true" customHeight="false" outlineLevel="0" collapsed="false">
      <c r="A2735" s="0" t="n">
        <v>2752</v>
      </c>
      <c r="B2735" s="1" t="s">
        <v>13373</v>
      </c>
      <c r="C2735" s="1" t="s">
        <v>1479</v>
      </c>
      <c r="D2735" s="1" t="s">
        <v>1487</v>
      </c>
      <c r="E2735" s="0" t="s">
        <v>1488</v>
      </c>
      <c r="F2735" s="0" t="s">
        <v>48</v>
      </c>
      <c r="G2735" s="0" t="s">
        <v>13383</v>
      </c>
      <c r="H2735" s="4" t="s">
        <v>13384</v>
      </c>
      <c r="I2735" s="6" t="n">
        <v>0.331944444444444</v>
      </c>
      <c r="J2735" s="6" t="n">
        <v>0.331944444444444</v>
      </c>
      <c r="L2735" s="0" t="n">
        <v>45</v>
      </c>
      <c r="M2735" s="0" t="s">
        <v>13385</v>
      </c>
      <c r="N2735" s="0" t="s">
        <v>13386</v>
      </c>
      <c r="P2735" s="0" t="s">
        <v>13387</v>
      </c>
      <c r="Q2735" s="2" t="n">
        <v>44361</v>
      </c>
      <c r="S2735" s="0" t="n">
        <f aca="false">YEAR(Q2735)</f>
        <v>2021</v>
      </c>
      <c r="T2735" s="0" t="n">
        <f aca="false">MONTH(Q2735)</f>
        <v>6</v>
      </c>
    </row>
    <row r="2736" customFormat="false" ht="14.25" hidden="true" customHeight="false" outlineLevel="0" collapsed="false">
      <c r="A2736" s="0" t="n">
        <v>2753</v>
      </c>
      <c r="B2736" s="1" t="s">
        <v>13373</v>
      </c>
      <c r="C2736" s="1" t="s">
        <v>1479</v>
      </c>
      <c r="D2736" s="1" t="s">
        <v>1487</v>
      </c>
      <c r="E2736" s="0" t="s">
        <v>1488</v>
      </c>
      <c r="F2736" s="0" t="s">
        <v>48</v>
      </c>
      <c r="G2736" s="0" t="s">
        <v>13388</v>
      </c>
      <c r="H2736" s="4" t="s">
        <v>12096</v>
      </c>
      <c r="I2736" s="6" t="n">
        <v>0.295138888888889</v>
      </c>
      <c r="J2736" s="6" t="n">
        <v>0.295138888888889</v>
      </c>
      <c r="L2736" s="0" t="n">
        <v>8</v>
      </c>
      <c r="M2736" s="0" t="s">
        <v>13389</v>
      </c>
      <c r="N2736" s="0" t="s">
        <v>13390</v>
      </c>
      <c r="P2736" s="0" t="s">
        <v>13391</v>
      </c>
      <c r="Q2736" s="2" t="n">
        <v>44361</v>
      </c>
      <c r="S2736" s="0" t="n">
        <f aca="false">YEAR(Q2736)</f>
        <v>2021</v>
      </c>
      <c r="T2736" s="0" t="n">
        <f aca="false">MONTH(Q2736)</f>
        <v>6</v>
      </c>
    </row>
    <row r="2737" customFormat="false" ht="14.25" hidden="true" customHeight="false" outlineLevel="0" collapsed="false">
      <c r="A2737" s="0" t="n">
        <v>2754</v>
      </c>
      <c r="B2737" s="1" t="s">
        <v>13373</v>
      </c>
      <c r="C2737" s="1" t="s">
        <v>1479</v>
      </c>
      <c r="D2737" s="1" t="s">
        <v>1480</v>
      </c>
      <c r="E2737" s="0" t="s">
        <v>43</v>
      </c>
      <c r="F2737" s="0" t="s">
        <v>48</v>
      </c>
      <c r="G2737" s="0" t="s">
        <v>7858</v>
      </c>
      <c r="H2737" s="4" t="s">
        <v>1569</v>
      </c>
      <c r="I2737" s="6" t="n">
        <v>0.413194444444444</v>
      </c>
      <c r="J2737" s="6" t="n">
        <v>0.4625</v>
      </c>
      <c r="M2737" s="0" t="s">
        <v>13392</v>
      </c>
      <c r="N2737" s="0" t="s">
        <v>13393</v>
      </c>
      <c r="P2737" s="0" t="s">
        <v>13394</v>
      </c>
      <c r="Q2737" s="2" t="n">
        <v>44361</v>
      </c>
      <c r="S2737" s="0" t="n">
        <f aca="false">YEAR(Q2737)</f>
        <v>2021</v>
      </c>
      <c r="T2737" s="0" t="n">
        <f aca="false">MONTH(Q2737)</f>
        <v>6</v>
      </c>
    </row>
    <row r="2738" customFormat="false" ht="14.25" hidden="true" customHeight="false" outlineLevel="0" collapsed="false">
      <c r="A2738" s="0" t="n">
        <v>2755</v>
      </c>
      <c r="B2738" s="1" t="s">
        <v>13373</v>
      </c>
      <c r="C2738" s="1" t="s">
        <v>1495</v>
      </c>
      <c r="D2738" s="1" t="s">
        <v>1496</v>
      </c>
      <c r="E2738" s="0" t="s">
        <v>41</v>
      </c>
      <c r="F2738" s="0" t="s">
        <v>48</v>
      </c>
      <c r="G2738" s="0" t="s">
        <v>13395</v>
      </c>
      <c r="H2738" s="4" t="s">
        <v>13396</v>
      </c>
      <c r="I2738" s="6" t="n">
        <v>0.236111111111111</v>
      </c>
      <c r="J2738" s="6" t="n">
        <v>0.239583333333333</v>
      </c>
      <c r="L2738" s="0" t="n">
        <v>120</v>
      </c>
      <c r="M2738" s="0" t="s">
        <v>13397</v>
      </c>
      <c r="N2738" s="0" t="s">
        <v>13398</v>
      </c>
      <c r="P2738" s="0" t="s">
        <v>13399</v>
      </c>
      <c r="Q2738" s="2" t="n">
        <v>44361</v>
      </c>
      <c r="S2738" s="0" t="n">
        <f aca="false">YEAR(Q2738)</f>
        <v>2021</v>
      </c>
      <c r="T2738" s="0" t="n">
        <f aca="false">MONTH(Q2738)</f>
        <v>6</v>
      </c>
    </row>
    <row r="2739" customFormat="false" ht="14.25" hidden="true" customHeight="false" outlineLevel="0" collapsed="false">
      <c r="A2739" s="0" t="n">
        <v>2756</v>
      </c>
      <c r="B2739" s="1" t="s">
        <v>13400</v>
      </c>
      <c r="C2739" s="1" t="s">
        <v>1495</v>
      </c>
      <c r="D2739" s="1" t="s">
        <v>1535</v>
      </c>
      <c r="E2739" s="0" t="s">
        <v>42</v>
      </c>
      <c r="F2739" s="0" t="s">
        <v>48</v>
      </c>
      <c r="G2739" s="0" t="s">
        <v>2464</v>
      </c>
      <c r="H2739" s="4" t="s">
        <v>13401</v>
      </c>
      <c r="I2739" s="6" t="n">
        <v>0.279166666666667</v>
      </c>
      <c r="J2739" s="6" t="n">
        <v>0.263888888888889</v>
      </c>
      <c r="M2739" s="0" t="s">
        <v>13402</v>
      </c>
      <c r="N2739" s="0" t="s">
        <v>13403</v>
      </c>
      <c r="O2739" s="0" t="s">
        <v>13404</v>
      </c>
      <c r="P2739" s="0" t="s">
        <v>13405</v>
      </c>
      <c r="Q2739" s="2" t="n">
        <v>44364</v>
      </c>
      <c r="S2739" s="0" t="n">
        <f aca="false">YEAR(Q2739)</f>
        <v>2021</v>
      </c>
      <c r="T2739" s="0" t="n">
        <f aca="false">MONTH(Q2739)</f>
        <v>6</v>
      </c>
    </row>
    <row r="2740" customFormat="false" ht="14.25" hidden="true" customHeight="false" outlineLevel="0" collapsed="false">
      <c r="A2740" s="0" t="n">
        <v>2757</v>
      </c>
      <c r="B2740" s="1" t="s">
        <v>13406</v>
      </c>
      <c r="C2740" s="1" t="s">
        <v>1479</v>
      </c>
      <c r="D2740" s="1" t="s">
        <v>1487</v>
      </c>
      <c r="E2740" s="0" t="s">
        <v>1488</v>
      </c>
      <c r="F2740" s="0" t="s">
        <v>48</v>
      </c>
      <c r="G2740" s="0" t="s">
        <v>13407</v>
      </c>
      <c r="H2740" s="4" t="s">
        <v>13408</v>
      </c>
      <c r="I2740" s="6" t="n">
        <v>0.239583333333333</v>
      </c>
      <c r="J2740" s="6" t="n">
        <v>0.252083333333333</v>
      </c>
      <c r="M2740" s="0" t="s">
        <v>13409</v>
      </c>
      <c r="N2740" s="0" t="s">
        <v>13410</v>
      </c>
      <c r="O2740" s="0" t="s">
        <v>13411</v>
      </c>
      <c r="P2740" s="0" t="s">
        <v>13412</v>
      </c>
      <c r="Q2740" s="2" t="n">
        <v>44368</v>
      </c>
      <c r="S2740" s="0" t="n">
        <f aca="false">YEAR(Q2740)</f>
        <v>2021</v>
      </c>
      <c r="T2740" s="0" t="n">
        <f aca="false">MONTH(Q2740)</f>
        <v>6</v>
      </c>
    </row>
    <row r="2741" customFormat="false" ht="14.25" hidden="true" customHeight="false" outlineLevel="0" collapsed="false">
      <c r="A2741" s="0" t="n">
        <v>2758</v>
      </c>
      <c r="B2741" s="1" t="s">
        <v>13413</v>
      </c>
      <c r="C2741" s="1" t="s">
        <v>1479</v>
      </c>
      <c r="D2741" s="1" t="s">
        <v>1480</v>
      </c>
      <c r="E2741" s="0" t="s">
        <v>43</v>
      </c>
      <c r="F2741" s="0" t="s">
        <v>48</v>
      </c>
      <c r="G2741" s="0" t="s">
        <v>7858</v>
      </c>
      <c r="H2741" s="4" t="s">
        <v>13337</v>
      </c>
      <c r="I2741" s="6" t="n">
        <v>0.215277777777778</v>
      </c>
      <c r="J2741" s="6" t="n">
        <v>0.252083333333333</v>
      </c>
      <c r="L2741" s="0" t="n">
        <v>310</v>
      </c>
      <c r="M2741" s="0" t="s">
        <v>13414</v>
      </c>
      <c r="N2741" s="0" t="s">
        <v>13415</v>
      </c>
      <c r="O2741" s="0" t="s">
        <v>13416</v>
      </c>
      <c r="P2741" s="0" t="s">
        <v>13417</v>
      </c>
      <c r="Q2741" s="2" t="n">
        <v>44369</v>
      </c>
      <c r="S2741" s="0" t="n">
        <f aca="false">YEAR(Q2741)</f>
        <v>2021</v>
      </c>
      <c r="T2741" s="0" t="n">
        <f aca="false">MONTH(Q2741)</f>
        <v>6</v>
      </c>
    </row>
    <row r="2742" customFormat="false" ht="14.25" hidden="true" customHeight="false" outlineLevel="0" collapsed="false">
      <c r="A2742" s="0" t="n">
        <v>2759</v>
      </c>
      <c r="B2742" s="1" t="s">
        <v>13418</v>
      </c>
      <c r="C2742" s="1" t="s">
        <v>1479</v>
      </c>
      <c r="D2742" s="1" t="s">
        <v>1496</v>
      </c>
      <c r="E2742" s="0" t="s">
        <v>38</v>
      </c>
      <c r="F2742" s="0" t="s">
        <v>48</v>
      </c>
      <c r="G2742" s="0" t="s">
        <v>13419</v>
      </c>
      <c r="H2742" s="4" t="s">
        <v>13420</v>
      </c>
      <c r="I2742" s="6" t="n">
        <v>0.350694444444444</v>
      </c>
      <c r="J2742" s="6" t="n">
        <v>0.354166666666667</v>
      </c>
      <c r="L2742" s="0" t="n">
        <v>35</v>
      </c>
      <c r="M2742" s="0" t="s">
        <v>13421</v>
      </c>
      <c r="N2742" s="0" t="s">
        <v>13422</v>
      </c>
      <c r="O2742" s="0" t="s">
        <v>13423</v>
      </c>
      <c r="P2742" s="0" t="s">
        <v>13424</v>
      </c>
      <c r="Q2742" s="2" t="n">
        <v>44370</v>
      </c>
      <c r="S2742" s="0" t="n">
        <f aca="false">YEAR(Q2742)</f>
        <v>2021</v>
      </c>
      <c r="T2742" s="0" t="n">
        <f aca="false">MONTH(Q2742)</f>
        <v>6</v>
      </c>
    </row>
    <row r="2743" customFormat="false" ht="14.25" hidden="true" customHeight="false" outlineLevel="0" collapsed="false">
      <c r="A2743" s="0" t="n">
        <v>2760</v>
      </c>
      <c r="B2743" s="1" t="s">
        <v>13418</v>
      </c>
      <c r="C2743" s="1" t="s">
        <v>1495</v>
      </c>
      <c r="D2743" s="1" t="s">
        <v>1496</v>
      </c>
      <c r="E2743" s="0" t="s">
        <v>41</v>
      </c>
      <c r="F2743" s="0" t="s">
        <v>49</v>
      </c>
      <c r="G2743" s="0" t="s">
        <v>13425</v>
      </c>
      <c r="H2743" s="4" t="s">
        <v>1498</v>
      </c>
      <c r="J2743" s="6" t="n">
        <v>0.772916666666667</v>
      </c>
      <c r="M2743" s="0" t="s">
        <v>13426</v>
      </c>
      <c r="N2743" s="0" t="s">
        <v>13427</v>
      </c>
      <c r="P2743" s="0" t="s">
        <v>13428</v>
      </c>
      <c r="Q2743" s="2" t="n">
        <v>44370</v>
      </c>
      <c r="S2743" s="0" t="n">
        <f aca="false">YEAR(Q2743)</f>
        <v>2021</v>
      </c>
      <c r="T2743" s="0" t="n">
        <f aca="false">MONTH(Q2743)</f>
        <v>6</v>
      </c>
    </row>
    <row r="2744" customFormat="false" ht="14.25" hidden="true" customHeight="false" outlineLevel="0" collapsed="false">
      <c r="A2744" s="0" t="n">
        <v>2761</v>
      </c>
      <c r="B2744" s="1" t="s">
        <v>13429</v>
      </c>
      <c r="C2744" s="1" t="s">
        <v>1479</v>
      </c>
      <c r="D2744" s="1" t="s">
        <v>1487</v>
      </c>
      <c r="E2744" s="0" t="s">
        <v>1488</v>
      </c>
      <c r="F2744" s="0" t="s">
        <v>49</v>
      </c>
      <c r="G2744" s="0" t="s">
        <v>13430</v>
      </c>
      <c r="H2744" s="4" t="s">
        <v>13431</v>
      </c>
      <c r="M2744" s="0" t="s">
        <v>13432</v>
      </c>
      <c r="N2744" s="0" t="s">
        <v>13433</v>
      </c>
      <c r="O2744" s="0" t="s">
        <v>13434</v>
      </c>
      <c r="P2744" s="0" t="s">
        <v>13435</v>
      </c>
      <c r="Q2744" s="2" t="n">
        <v>44375</v>
      </c>
      <c r="S2744" s="0" t="n">
        <f aca="false">YEAR(Q2744)</f>
        <v>2021</v>
      </c>
      <c r="T2744" s="0" t="n">
        <f aca="false">MONTH(Q2744)</f>
        <v>6</v>
      </c>
    </row>
    <row r="2745" customFormat="false" ht="14.25" hidden="true" customHeight="false" outlineLevel="0" collapsed="false">
      <c r="A2745" s="0" t="n">
        <v>2762</v>
      </c>
      <c r="B2745" s="1" t="s">
        <v>13429</v>
      </c>
      <c r="C2745" s="1" t="s">
        <v>1479</v>
      </c>
      <c r="D2745" s="1" t="s">
        <v>1535</v>
      </c>
      <c r="E2745" s="0" t="s">
        <v>39</v>
      </c>
      <c r="F2745" s="0" t="s">
        <v>49</v>
      </c>
      <c r="G2745" s="0" t="s">
        <v>8638</v>
      </c>
      <c r="H2745" s="4" t="s">
        <v>13436</v>
      </c>
      <c r="I2745" s="6" t="n">
        <v>0.801388888888889</v>
      </c>
      <c r="J2745" s="6" t="n">
        <v>0.80625</v>
      </c>
      <c r="K2745" s="0" t="n">
        <v>11</v>
      </c>
      <c r="L2745" s="0" t="n">
        <v>15</v>
      </c>
      <c r="M2745" s="0" t="s">
        <v>13437</v>
      </c>
      <c r="N2745" s="0" t="s">
        <v>13438</v>
      </c>
      <c r="P2745" s="0" t="s">
        <v>13439</v>
      </c>
      <c r="Q2745" s="2" t="n">
        <v>44375</v>
      </c>
      <c r="S2745" s="0" t="n">
        <f aca="false">YEAR(Q2745)</f>
        <v>2021</v>
      </c>
      <c r="T2745" s="0" t="n">
        <f aca="false">MONTH(Q2745)</f>
        <v>6</v>
      </c>
    </row>
    <row r="2746" customFormat="false" ht="14.25" hidden="true" customHeight="false" outlineLevel="0" collapsed="false">
      <c r="A2746" s="0" t="n">
        <v>2763</v>
      </c>
      <c r="B2746" s="1" t="s">
        <v>13440</v>
      </c>
      <c r="C2746" s="1" t="s">
        <v>1479</v>
      </c>
      <c r="D2746" s="1" t="s">
        <v>1535</v>
      </c>
      <c r="E2746" s="0" t="s">
        <v>39</v>
      </c>
      <c r="F2746" s="0" t="s">
        <v>48</v>
      </c>
      <c r="G2746" s="0" t="s">
        <v>13441</v>
      </c>
      <c r="H2746" s="4" t="s">
        <v>13442</v>
      </c>
      <c r="M2746" s="0" t="s">
        <v>13443</v>
      </c>
      <c r="N2746" s="0" t="s">
        <v>13444</v>
      </c>
      <c r="P2746" s="0" t="s">
        <v>13445</v>
      </c>
      <c r="Q2746" s="2" t="n">
        <v>44376</v>
      </c>
      <c r="S2746" s="0" t="n">
        <f aca="false">YEAR(Q2746)</f>
        <v>2021</v>
      </c>
      <c r="T2746" s="0" t="n">
        <f aca="false">MONTH(Q2746)</f>
        <v>6</v>
      </c>
    </row>
    <row r="2747" customFormat="false" ht="14.25" hidden="true" customHeight="false" outlineLevel="0" collapsed="false">
      <c r="A2747" s="0" t="n">
        <v>2764</v>
      </c>
      <c r="B2747" s="1" t="s">
        <v>13440</v>
      </c>
      <c r="C2747" s="1" t="s">
        <v>1479</v>
      </c>
      <c r="D2747" s="1" t="s">
        <v>1535</v>
      </c>
      <c r="E2747" s="0" t="s">
        <v>39</v>
      </c>
      <c r="F2747" s="0" t="s">
        <v>49</v>
      </c>
      <c r="G2747" s="0" t="s">
        <v>13446</v>
      </c>
      <c r="H2747" s="4" t="s">
        <v>13442</v>
      </c>
      <c r="M2747" s="0" t="s">
        <v>13447</v>
      </c>
      <c r="N2747" s="0" t="s">
        <v>13448</v>
      </c>
      <c r="P2747" s="0" t="s">
        <v>13449</v>
      </c>
      <c r="Q2747" s="2" t="n">
        <v>44376</v>
      </c>
      <c r="S2747" s="0" t="n">
        <f aca="false">YEAR(Q2747)</f>
        <v>2021</v>
      </c>
      <c r="T2747" s="0" t="n">
        <f aca="false">MONTH(Q2747)</f>
        <v>6</v>
      </c>
    </row>
    <row r="2748" customFormat="false" ht="14.25" hidden="true" customHeight="false" outlineLevel="0" collapsed="false">
      <c r="A2748" s="0" t="n">
        <v>2765</v>
      </c>
      <c r="B2748" s="1" t="s">
        <v>13450</v>
      </c>
      <c r="C2748" s="1" t="s">
        <v>1495</v>
      </c>
      <c r="D2748" s="1" t="s">
        <v>1487</v>
      </c>
      <c r="E2748" s="0" t="s">
        <v>40</v>
      </c>
      <c r="F2748" s="0" t="s">
        <v>49</v>
      </c>
      <c r="G2748" s="0" t="s">
        <v>13451</v>
      </c>
      <c r="H2748" s="4" t="s">
        <v>13452</v>
      </c>
      <c r="I2748" s="6" t="n">
        <v>0.59375</v>
      </c>
      <c r="J2748" s="6" t="n">
        <v>0.6375</v>
      </c>
      <c r="L2748" s="0" t="n">
        <v>130</v>
      </c>
      <c r="M2748" s="0" t="s">
        <v>13453</v>
      </c>
      <c r="N2748" s="0" t="s">
        <v>13454</v>
      </c>
      <c r="O2748" s="0" t="s">
        <v>13455</v>
      </c>
      <c r="P2748" s="0" t="s">
        <v>13456</v>
      </c>
      <c r="Q2748" s="2" t="n">
        <v>44377</v>
      </c>
      <c r="S2748" s="0" t="n">
        <f aca="false">YEAR(Q2748)</f>
        <v>2021</v>
      </c>
      <c r="T2748" s="0" t="n">
        <f aca="false">MONTH(Q2748)</f>
        <v>6</v>
      </c>
    </row>
    <row r="2749" customFormat="false" ht="14.25" hidden="true" customHeight="false" outlineLevel="0" collapsed="false">
      <c r="A2749" s="0" t="n">
        <v>2766</v>
      </c>
      <c r="B2749" s="1" t="s">
        <v>13457</v>
      </c>
      <c r="C2749" s="1" t="s">
        <v>1495</v>
      </c>
      <c r="D2749" s="1" t="s">
        <v>1487</v>
      </c>
      <c r="E2749" s="0" t="s">
        <v>40</v>
      </c>
      <c r="F2749" s="0" t="s">
        <v>48</v>
      </c>
      <c r="G2749" s="0" t="s">
        <v>13458</v>
      </c>
      <c r="H2749" s="4" t="s">
        <v>13459</v>
      </c>
      <c r="I2749" s="6" t="n">
        <v>0.239583333333333</v>
      </c>
      <c r="J2749" s="6" t="n">
        <v>0.252083333333333</v>
      </c>
      <c r="L2749" s="0" t="n">
        <v>80</v>
      </c>
      <c r="M2749" s="0" t="s">
        <v>13460</v>
      </c>
      <c r="N2749" s="0" t="s">
        <v>13461</v>
      </c>
      <c r="O2749" s="0" t="s">
        <v>13462</v>
      </c>
      <c r="P2749" s="0" t="s">
        <v>13463</v>
      </c>
      <c r="Q2749" s="2" t="n">
        <v>44382</v>
      </c>
      <c r="S2749" s="0" t="n">
        <f aca="false">YEAR(Q2749)</f>
        <v>2021</v>
      </c>
      <c r="T2749" s="0" t="n">
        <f aca="false">MONTH(Q2749)</f>
        <v>7</v>
      </c>
    </row>
    <row r="2750" customFormat="false" ht="14.25" hidden="true" customHeight="false" outlineLevel="0" collapsed="false">
      <c r="A2750" s="0" t="n">
        <v>2767</v>
      </c>
      <c r="B2750" s="1" t="s">
        <v>13457</v>
      </c>
      <c r="C2750" s="1" t="s">
        <v>1479</v>
      </c>
      <c r="D2750" s="1" t="s">
        <v>1496</v>
      </c>
      <c r="E2750" s="0" t="s">
        <v>38</v>
      </c>
      <c r="F2750" s="0" t="s">
        <v>48</v>
      </c>
      <c r="G2750" s="0" t="s">
        <v>13464</v>
      </c>
      <c r="H2750" s="4" t="s">
        <v>13465</v>
      </c>
      <c r="J2750" s="6" t="n">
        <v>0.416666666666667</v>
      </c>
      <c r="M2750" s="0" t="s">
        <v>13466</v>
      </c>
      <c r="N2750" s="0" t="s">
        <v>13467</v>
      </c>
      <c r="O2750" s="0" t="s">
        <v>13468</v>
      </c>
      <c r="P2750" s="0" t="s">
        <v>13469</v>
      </c>
      <c r="Q2750" s="2" t="n">
        <v>44382</v>
      </c>
      <c r="S2750" s="0" t="n">
        <f aca="false">YEAR(Q2750)</f>
        <v>2021</v>
      </c>
      <c r="T2750" s="0" t="n">
        <f aca="false">MONTH(Q2750)</f>
        <v>7</v>
      </c>
    </row>
    <row r="2751" customFormat="false" ht="14.25" hidden="true" customHeight="false" outlineLevel="0" collapsed="false">
      <c r="A2751" s="0" t="n">
        <v>2768</v>
      </c>
      <c r="B2751" s="1" t="s">
        <v>13457</v>
      </c>
      <c r="C2751" s="1" t="s">
        <v>1479</v>
      </c>
      <c r="D2751" s="1" t="s">
        <v>1487</v>
      </c>
      <c r="E2751" s="0" t="s">
        <v>1488</v>
      </c>
      <c r="F2751" s="0" t="s">
        <v>49</v>
      </c>
      <c r="G2751" s="0" t="s">
        <v>13470</v>
      </c>
      <c r="H2751" s="4" t="s">
        <v>13431</v>
      </c>
      <c r="I2751" s="6" t="n">
        <v>0.624305555555556</v>
      </c>
      <c r="L2751" s="0" t="n">
        <v>60</v>
      </c>
      <c r="M2751" s="0" t="s">
        <v>13471</v>
      </c>
      <c r="N2751" s="0" t="s">
        <v>13472</v>
      </c>
      <c r="O2751" s="0" t="s">
        <v>13473</v>
      </c>
      <c r="P2751" s="0" t="s">
        <v>13474</v>
      </c>
      <c r="Q2751" s="2" t="n">
        <v>44382</v>
      </c>
      <c r="S2751" s="0" t="n">
        <f aca="false">YEAR(Q2751)</f>
        <v>2021</v>
      </c>
      <c r="T2751" s="0" t="n">
        <f aca="false">MONTH(Q2751)</f>
        <v>7</v>
      </c>
    </row>
    <row r="2752" customFormat="false" ht="14.25" hidden="true" customHeight="false" outlineLevel="0" collapsed="false">
      <c r="A2752" s="0" t="n">
        <v>2769</v>
      </c>
      <c r="B2752" s="1" t="s">
        <v>13475</v>
      </c>
      <c r="C2752" s="1" t="s">
        <v>1495</v>
      </c>
      <c r="D2752" s="1" t="s">
        <v>1487</v>
      </c>
      <c r="E2752" s="0" t="s">
        <v>40</v>
      </c>
      <c r="F2752" s="0" t="s">
        <v>49</v>
      </c>
      <c r="G2752" s="4" t="s">
        <v>9698</v>
      </c>
      <c r="H2752" s="4" t="s">
        <v>13476</v>
      </c>
      <c r="J2752" s="6" t="n">
        <v>0.645833333333333</v>
      </c>
      <c r="M2752" s="0" t="s">
        <v>5804</v>
      </c>
      <c r="N2752" s="0" t="s">
        <v>13477</v>
      </c>
      <c r="O2752" s="0" t="s">
        <v>13478</v>
      </c>
      <c r="P2752" s="0" t="s">
        <v>8474</v>
      </c>
      <c r="Q2752" s="2" t="n">
        <v>44383</v>
      </c>
      <c r="S2752" s="0" t="n">
        <f aca="false">YEAR(Q2752)</f>
        <v>2021</v>
      </c>
      <c r="T2752" s="0" t="n">
        <f aca="false">MONTH(Q2752)</f>
        <v>7</v>
      </c>
    </row>
    <row r="2753" customFormat="false" ht="14.25" hidden="true" customHeight="false" outlineLevel="0" collapsed="false">
      <c r="A2753" s="0" t="n">
        <v>2770</v>
      </c>
      <c r="B2753" s="1" t="s">
        <v>13479</v>
      </c>
      <c r="C2753" s="1" t="s">
        <v>1479</v>
      </c>
      <c r="D2753" s="1" t="s">
        <v>1487</v>
      </c>
      <c r="E2753" s="0" t="s">
        <v>1488</v>
      </c>
      <c r="F2753" s="0" t="s">
        <v>49</v>
      </c>
      <c r="G2753" s="0" t="s">
        <v>13480</v>
      </c>
      <c r="H2753" s="0" t="s">
        <v>13481</v>
      </c>
      <c r="I2753" s="6" t="n">
        <v>0.6875</v>
      </c>
      <c r="J2753" s="6" t="n">
        <v>0.741666666666667</v>
      </c>
      <c r="K2753" s="0" t="n">
        <v>65</v>
      </c>
      <c r="L2753" s="0" t="n">
        <v>240</v>
      </c>
      <c r="M2753" s="0" t="s">
        <v>13482</v>
      </c>
      <c r="N2753" s="0" t="s">
        <v>13483</v>
      </c>
      <c r="O2753" s="0" t="s">
        <v>13484</v>
      </c>
      <c r="P2753" s="0" t="s">
        <v>13485</v>
      </c>
      <c r="Q2753" s="2" t="n">
        <v>44384</v>
      </c>
      <c r="R2753" s="0" t="n">
        <v>1016171</v>
      </c>
      <c r="S2753" s="0" t="n">
        <f aca="false">YEAR(Q2753)</f>
        <v>2021</v>
      </c>
      <c r="T2753" s="0" t="n">
        <f aca="false">MONTH(Q2753)</f>
        <v>7</v>
      </c>
    </row>
    <row r="2754" customFormat="false" ht="14.25" hidden="true" customHeight="false" outlineLevel="0" collapsed="false">
      <c r="A2754" s="0" t="n">
        <v>2771</v>
      </c>
      <c r="B2754" s="1" t="s">
        <v>13450</v>
      </c>
      <c r="C2754" s="1" t="s">
        <v>1479</v>
      </c>
      <c r="D2754" s="1" t="s">
        <v>1487</v>
      </c>
      <c r="E2754" s="0" t="s">
        <v>1488</v>
      </c>
      <c r="F2754" s="0" t="s">
        <v>48</v>
      </c>
      <c r="G2754" s="0" t="s">
        <v>13486</v>
      </c>
      <c r="H2754" s="0" t="s">
        <v>13487</v>
      </c>
      <c r="I2754" s="6" t="n">
        <v>0.273611111111111</v>
      </c>
      <c r="J2754" s="6" t="n">
        <v>0.282638888888889</v>
      </c>
      <c r="M2754" s="0" t="s">
        <v>13488</v>
      </c>
      <c r="N2754" s="0" t="s">
        <v>13489</v>
      </c>
      <c r="O2754" s="0" t="s">
        <v>13490</v>
      </c>
      <c r="P2754" s="0" t="s">
        <v>13491</v>
      </c>
      <c r="Q2754" s="2" t="n">
        <v>44377</v>
      </c>
      <c r="S2754" s="0" t="n">
        <f aca="false">YEAR(Q2754)</f>
        <v>2021</v>
      </c>
      <c r="T2754" s="0" t="n">
        <f aca="false">MONTH(Q2754)</f>
        <v>6</v>
      </c>
    </row>
    <row r="2755" customFormat="false" ht="14.25" hidden="true" customHeight="false" outlineLevel="0" collapsed="false">
      <c r="A2755" s="0" t="n">
        <v>2772</v>
      </c>
      <c r="B2755" s="1" t="s">
        <v>13492</v>
      </c>
      <c r="C2755" s="1" t="s">
        <v>1479</v>
      </c>
      <c r="D2755" s="1" t="s">
        <v>1487</v>
      </c>
      <c r="E2755" s="0" t="s">
        <v>1488</v>
      </c>
      <c r="F2755" s="0" t="s">
        <v>48</v>
      </c>
      <c r="G2755" s="0" t="s">
        <v>13493</v>
      </c>
      <c r="H2755" s="0" t="s">
        <v>13494</v>
      </c>
      <c r="I2755" s="6" t="n">
        <v>0.504861111111111</v>
      </c>
      <c r="J2755" s="6" t="n">
        <v>0.541666666666667</v>
      </c>
      <c r="M2755" s="0" t="s">
        <v>13495</v>
      </c>
      <c r="N2755" s="0" t="s">
        <v>13496</v>
      </c>
      <c r="O2755" s="0" t="s">
        <v>13497</v>
      </c>
      <c r="P2755" s="0" t="s">
        <v>13498</v>
      </c>
      <c r="Q2755" s="2" t="n">
        <v>44386</v>
      </c>
      <c r="S2755" s="0" t="n">
        <f aca="false">YEAR(Q2755)</f>
        <v>2021</v>
      </c>
      <c r="T2755" s="0" t="n">
        <f aca="false">MONTH(Q2755)</f>
        <v>7</v>
      </c>
    </row>
    <row r="2756" customFormat="false" ht="14.25" hidden="true" customHeight="false" outlineLevel="0" collapsed="false">
      <c r="A2756" s="0" t="n">
        <v>2773</v>
      </c>
      <c r="B2756" s="1" t="s">
        <v>13492</v>
      </c>
      <c r="C2756" s="1" t="s">
        <v>1479</v>
      </c>
      <c r="D2756" s="1" t="s">
        <v>1487</v>
      </c>
      <c r="E2756" s="0" t="s">
        <v>1488</v>
      </c>
      <c r="F2756" s="0" t="s">
        <v>49</v>
      </c>
      <c r="G2756" s="0" t="s">
        <v>13499</v>
      </c>
      <c r="H2756" s="0" t="s">
        <v>13500</v>
      </c>
      <c r="I2756" s="6" t="n">
        <v>0.694444444444444</v>
      </c>
      <c r="J2756" s="6" t="n">
        <v>0.708333333333333</v>
      </c>
      <c r="L2756" s="0" t="n">
        <v>60</v>
      </c>
      <c r="M2756" s="0" t="s">
        <v>13501</v>
      </c>
      <c r="N2756" s="0" t="s">
        <v>13502</v>
      </c>
      <c r="O2756" s="0" t="s">
        <v>13503</v>
      </c>
      <c r="P2756" s="0" t="s">
        <v>13504</v>
      </c>
      <c r="Q2756" s="2" t="n">
        <v>44386</v>
      </c>
      <c r="S2756" s="0" t="n">
        <f aca="false">YEAR(Q2756)</f>
        <v>2021</v>
      </c>
      <c r="T2756" s="0" t="n">
        <f aca="false">MONTH(Q2756)</f>
        <v>7</v>
      </c>
    </row>
    <row r="2757" customFormat="false" ht="14.25" hidden="true" customHeight="false" outlineLevel="0" collapsed="false">
      <c r="A2757" s="0" t="n">
        <v>2774</v>
      </c>
      <c r="B2757" s="1" t="s">
        <v>13505</v>
      </c>
      <c r="C2757" s="1" t="s">
        <v>1495</v>
      </c>
      <c r="D2757" s="1" t="s">
        <v>1487</v>
      </c>
      <c r="E2757" s="0" t="s">
        <v>40</v>
      </c>
      <c r="F2757" s="0" t="s">
        <v>48</v>
      </c>
      <c r="G2757" s="0" t="s">
        <v>1497</v>
      </c>
      <c r="H2757" s="0" t="s">
        <v>13506</v>
      </c>
      <c r="I2757" s="6" t="n">
        <v>0.241666666666667</v>
      </c>
      <c r="J2757" s="6" t="n">
        <v>0.263888888888889</v>
      </c>
      <c r="K2757" s="0" t="n">
        <v>0</v>
      </c>
      <c r="L2757" s="0" t="n">
        <v>65</v>
      </c>
      <c r="M2757" s="0" t="s">
        <v>13507</v>
      </c>
      <c r="N2757" s="0" t="s">
        <v>13508</v>
      </c>
      <c r="O2757" s="0" t="s">
        <v>13509</v>
      </c>
      <c r="P2757" s="0" t="s">
        <v>13510</v>
      </c>
      <c r="Q2757" s="2" t="n">
        <v>44389</v>
      </c>
      <c r="S2757" s="0" t="n">
        <f aca="false">YEAR(Q2757)</f>
        <v>2021</v>
      </c>
      <c r="T2757" s="0" t="n">
        <f aca="false">MONTH(Q2757)</f>
        <v>7</v>
      </c>
    </row>
    <row r="2758" customFormat="false" ht="14.25" hidden="true" customHeight="false" outlineLevel="0" collapsed="false">
      <c r="A2758" s="0" t="n">
        <v>2775</v>
      </c>
      <c r="B2758" s="1" t="s">
        <v>13511</v>
      </c>
      <c r="C2758" s="1" t="s">
        <v>1479</v>
      </c>
      <c r="D2758" s="1" t="s">
        <v>1480</v>
      </c>
      <c r="E2758" s="0" t="s">
        <v>43</v>
      </c>
      <c r="F2758" s="0" t="s">
        <v>49</v>
      </c>
      <c r="G2758" s="0" t="s">
        <v>13512</v>
      </c>
      <c r="H2758" s="0" t="s">
        <v>13513</v>
      </c>
      <c r="I2758" s="6" t="n">
        <v>0.770833333333333</v>
      </c>
      <c r="J2758" s="6" t="n">
        <v>0.784722222222222</v>
      </c>
      <c r="L2758" s="0" t="n">
        <v>55</v>
      </c>
      <c r="M2758" s="0" t="s">
        <v>13514</v>
      </c>
      <c r="N2758" s="0" t="s">
        <v>13515</v>
      </c>
      <c r="O2758" s="0" t="s">
        <v>13516</v>
      </c>
      <c r="P2758" s="0" t="s">
        <v>13517</v>
      </c>
      <c r="Q2758" s="2" t="n">
        <v>44390</v>
      </c>
      <c r="S2758" s="0" t="n">
        <f aca="false">YEAR(Q2758)</f>
        <v>2021</v>
      </c>
      <c r="T2758" s="0" t="n">
        <f aca="false">MONTH(Q2758)</f>
        <v>7</v>
      </c>
    </row>
    <row r="2759" customFormat="false" ht="14.25" hidden="true" customHeight="false" outlineLevel="0" collapsed="false">
      <c r="A2759" s="0" t="n">
        <v>2776</v>
      </c>
      <c r="B2759" s="1" t="s">
        <v>13518</v>
      </c>
      <c r="C2759" s="1" t="s">
        <v>1479</v>
      </c>
      <c r="D2759" s="1" t="s">
        <v>1480</v>
      </c>
      <c r="E2759" s="0" t="s">
        <v>43</v>
      </c>
      <c r="F2759" s="0" t="s">
        <v>48</v>
      </c>
      <c r="G2759" s="0" t="s">
        <v>13336</v>
      </c>
      <c r="H2759" s="0" t="s">
        <v>13519</v>
      </c>
      <c r="I2759" s="6" t="n">
        <v>0.5</v>
      </c>
      <c r="M2759" s="0" t="s">
        <v>13520</v>
      </c>
      <c r="N2759" s="0" t="s">
        <v>13521</v>
      </c>
      <c r="O2759" s="0" t="s">
        <v>13522</v>
      </c>
      <c r="P2759" s="0" t="s">
        <v>13523</v>
      </c>
      <c r="Q2759" s="2" t="n">
        <v>44391</v>
      </c>
      <c r="S2759" s="0" t="n">
        <f aca="false">YEAR(Q2759)</f>
        <v>2021</v>
      </c>
      <c r="T2759" s="0" t="n">
        <f aca="false">MONTH(Q2759)</f>
        <v>7</v>
      </c>
    </row>
    <row r="2760" customFormat="false" ht="14.25" hidden="true" customHeight="false" outlineLevel="0" collapsed="false">
      <c r="A2760" s="0" t="n">
        <v>2777</v>
      </c>
      <c r="B2760" s="1" t="s">
        <v>13518</v>
      </c>
      <c r="C2760" s="1" t="s">
        <v>1479</v>
      </c>
      <c r="D2760" s="1" t="s">
        <v>1863</v>
      </c>
      <c r="E2760" s="0" t="s">
        <v>1863</v>
      </c>
      <c r="F2760" s="0" t="s">
        <v>49</v>
      </c>
      <c r="G2760" s="0" t="s">
        <v>13524</v>
      </c>
      <c r="H2760" s="0" t="s">
        <v>13525</v>
      </c>
      <c r="I2760" s="6" t="n">
        <v>0.65</v>
      </c>
      <c r="J2760" s="6" t="n">
        <v>0.668055555555556</v>
      </c>
      <c r="L2760" s="0" t="n">
        <v>90</v>
      </c>
      <c r="M2760" s="0" t="s">
        <v>13526</v>
      </c>
      <c r="N2760" s="0" t="s">
        <v>13527</v>
      </c>
      <c r="O2760" s="0" t="s">
        <v>13528</v>
      </c>
      <c r="P2760" s="0" t="s">
        <v>13529</v>
      </c>
      <c r="Q2760" s="2" t="n">
        <v>44391</v>
      </c>
      <c r="S2760" s="0" t="n">
        <f aca="false">YEAR(Q2760)</f>
        <v>2021</v>
      </c>
      <c r="T2760" s="0" t="n">
        <f aca="false">MONTH(Q2760)</f>
        <v>7</v>
      </c>
    </row>
    <row r="2761" customFormat="false" ht="14.25" hidden="true" customHeight="false" outlineLevel="0" collapsed="false">
      <c r="A2761" s="0" t="n">
        <v>2778</v>
      </c>
      <c r="B2761" s="1" t="s">
        <v>13518</v>
      </c>
      <c r="C2761" s="1" t="s">
        <v>1479</v>
      </c>
      <c r="D2761" s="1" t="s">
        <v>1487</v>
      </c>
      <c r="E2761" s="0" t="s">
        <v>1488</v>
      </c>
      <c r="F2761" s="0" t="s">
        <v>49</v>
      </c>
      <c r="G2761" s="0" t="s">
        <v>13530</v>
      </c>
      <c r="H2761" s="0" t="s">
        <v>3499</v>
      </c>
      <c r="I2761" s="6" t="n">
        <v>0.916666666666667</v>
      </c>
      <c r="J2761" s="6" t="n">
        <v>0.933333333333333</v>
      </c>
      <c r="L2761" s="0" t="n">
        <v>42</v>
      </c>
      <c r="M2761" s="0" t="s">
        <v>13531</v>
      </c>
      <c r="N2761" s="0" t="s">
        <v>13532</v>
      </c>
      <c r="O2761" s="0" t="s">
        <v>13533</v>
      </c>
      <c r="P2761" s="0" t="s">
        <v>13534</v>
      </c>
      <c r="Q2761" s="2" t="n">
        <v>44391</v>
      </c>
      <c r="S2761" s="0" t="n">
        <f aca="false">YEAR(Q2761)</f>
        <v>2021</v>
      </c>
      <c r="T2761" s="0" t="n">
        <f aca="false">MONTH(Q2761)</f>
        <v>7</v>
      </c>
    </row>
    <row r="2762" customFormat="false" ht="14.25" hidden="true" customHeight="false" outlineLevel="0" collapsed="false">
      <c r="A2762" s="0" t="n">
        <v>2779</v>
      </c>
      <c r="B2762" s="1" t="s">
        <v>13535</v>
      </c>
      <c r="C2762" s="1" t="s">
        <v>1479</v>
      </c>
      <c r="D2762" s="1" t="s">
        <v>1535</v>
      </c>
      <c r="E2762" s="0" t="s">
        <v>39</v>
      </c>
      <c r="F2762" s="0" t="s">
        <v>48</v>
      </c>
      <c r="G2762" s="0" t="s">
        <v>13536</v>
      </c>
      <c r="H2762" s="0" t="s">
        <v>3559</v>
      </c>
      <c r="I2762" s="6" t="n">
        <v>0.259027777777778</v>
      </c>
      <c r="J2762" s="6" t="n">
        <v>0.272916666666667</v>
      </c>
      <c r="K2762" s="0" t="n">
        <v>3</v>
      </c>
      <c r="L2762" s="0" t="n">
        <v>99</v>
      </c>
      <c r="M2762" s="0" t="s">
        <v>13537</v>
      </c>
      <c r="N2762" s="0" t="s">
        <v>13538</v>
      </c>
      <c r="O2762" s="0" t="s">
        <v>13539</v>
      </c>
      <c r="P2762" s="0" t="s">
        <v>13540</v>
      </c>
      <c r="Q2762" s="2" t="n">
        <v>44393</v>
      </c>
      <c r="S2762" s="0" t="n">
        <f aca="false">YEAR(Q2762)</f>
        <v>2021</v>
      </c>
      <c r="T2762" s="0" t="n">
        <f aca="false">MONTH(Q2762)</f>
        <v>7</v>
      </c>
    </row>
    <row r="2763" customFormat="false" ht="14.25" hidden="true" customHeight="false" outlineLevel="0" collapsed="false">
      <c r="A2763" s="0" t="n">
        <v>2780</v>
      </c>
      <c r="B2763" s="1" t="s">
        <v>13541</v>
      </c>
      <c r="C2763" s="1" t="s">
        <v>1495</v>
      </c>
      <c r="D2763" s="1" t="s">
        <v>1496</v>
      </c>
      <c r="E2763" s="0" t="s">
        <v>41</v>
      </c>
      <c r="F2763" s="0" t="s">
        <v>48</v>
      </c>
      <c r="G2763" s="0" t="s">
        <v>2884</v>
      </c>
      <c r="I2763" s="6" t="n">
        <v>0.248611111111111</v>
      </c>
      <c r="J2763" s="6" t="n">
        <v>0.256944444444444</v>
      </c>
      <c r="K2763" s="0" t="n">
        <v>0</v>
      </c>
      <c r="L2763" s="0" t="n">
        <v>180</v>
      </c>
      <c r="M2763" s="0" t="s">
        <v>13542</v>
      </c>
      <c r="N2763" s="0" t="s">
        <v>13543</v>
      </c>
      <c r="O2763" s="0" t="s">
        <v>13544</v>
      </c>
      <c r="P2763" s="0" t="s">
        <v>13545</v>
      </c>
      <c r="Q2763" s="2" t="n">
        <v>44397</v>
      </c>
      <c r="S2763" s="0" t="n">
        <f aca="false">YEAR(Q2763)</f>
        <v>2021</v>
      </c>
      <c r="T2763" s="0" t="n">
        <f aca="false">MONTH(Q2763)</f>
        <v>7</v>
      </c>
    </row>
    <row r="2764" customFormat="false" ht="14.25" hidden="true" customHeight="false" outlineLevel="0" collapsed="false">
      <c r="A2764" s="0" t="n">
        <v>2781</v>
      </c>
      <c r="B2764" s="1" t="s">
        <v>13541</v>
      </c>
      <c r="C2764" s="1" t="s">
        <v>1479</v>
      </c>
      <c r="D2764" s="1" t="s">
        <v>1487</v>
      </c>
      <c r="E2764" s="0" t="s">
        <v>1488</v>
      </c>
      <c r="F2764" s="0" t="s">
        <v>48</v>
      </c>
      <c r="G2764" s="0" t="s">
        <v>13546</v>
      </c>
      <c r="H2764" s="0" t="s">
        <v>13547</v>
      </c>
      <c r="I2764" s="6" t="n">
        <v>0.430555555555556</v>
      </c>
      <c r="J2764" s="6" t="n">
        <v>0.451388888888889</v>
      </c>
      <c r="K2764" s="0" t="n">
        <v>42</v>
      </c>
      <c r="L2764" s="0" t="n">
        <v>75</v>
      </c>
      <c r="M2764" s="0" t="s">
        <v>3504</v>
      </c>
      <c r="N2764" s="0" t="s">
        <v>13548</v>
      </c>
      <c r="O2764" s="0" t="s">
        <v>13549</v>
      </c>
      <c r="P2764" s="0" t="s">
        <v>13550</v>
      </c>
      <c r="Q2764" s="2" t="n">
        <v>44397</v>
      </c>
      <c r="S2764" s="0" t="n">
        <f aca="false">YEAR(Q2764)</f>
        <v>2021</v>
      </c>
      <c r="T2764" s="0" t="n">
        <f aca="false">MONTH(Q2764)</f>
        <v>7</v>
      </c>
    </row>
    <row r="2765" customFormat="false" ht="14.25" hidden="true" customHeight="false" outlineLevel="0" collapsed="false">
      <c r="A2765" s="0" t="n">
        <v>2782</v>
      </c>
      <c r="B2765" s="1" t="s">
        <v>13551</v>
      </c>
      <c r="C2765" s="1" t="s">
        <v>1503</v>
      </c>
      <c r="D2765" s="1" t="s">
        <v>1535</v>
      </c>
      <c r="E2765" s="0" t="s">
        <v>1503</v>
      </c>
      <c r="F2765" s="0" t="s">
        <v>48</v>
      </c>
      <c r="G2765" s="0" t="s">
        <v>8766</v>
      </c>
      <c r="H2765" s="0" t="s">
        <v>13552</v>
      </c>
      <c r="I2765" s="6" t="n">
        <v>0.25</v>
      </c>
      <c r="J2765" s="6" t="n">
        <v>0.290277777777778</v>
      </c>
      <c r="L2765" s="0" t="n">
        <v>80</v>
      </c>
      <c r="M2765" s="0" t="s">
        <v>13553</v>
      </c>
      <c r="N2765" s="0" t="s">
        <v>13554</v>
      </c>
      <c r="O2765" s="0" t="s">
        <v>13555</v>
      </c>
      <c r="P2765" s="0" t="s">
        <v>13556</v>
      </c>
      <c r="Q2765" s="2" t="n">
        <v>44398</v>
      </c>
      <c r="S2765" s="0" t="n">
        <f aca="false">YEAR(Q2765)</f>
        <v>2021</v>
      </c>
      <c r="T2765" s="0" t="n">
        <f aca="false">MONTH(Q2765)</f>
        <v>7</v>
      </c>
    </row>
    <row r="2766" customFormat="false" ht="14.25" hidden="true" customHeight="false" outlineLevel="0" collapsed="false">
      <c r="A2766" s="0" t="n">
        <v>2783</v>
      </c>
      <c r="B2766" s="1" t="s">
        <v>13557</v>
      </c>
      <c r="C2766" s="1" t="s">
        <v>1495</v>
      </c>
      <c r="D2766" s="1" t="s">
        <v>1496</v>
      </c>
      <c r="E2766" s="0" t="s">
        <v>41</v>
      </c>
      <c r="F2766" s="0" t="s">
        <v>48</v>
      </c>
      <c r="G2766" s="0" t="s">
        <v>13558</v>
      </c>
      <c r="H2766" s="0" t="s">
        <v>1498</v>
      </c>
      <c r="I2766" s="6" t="n">
        <v>0.423611111111111</v>
      </c>
      <c r="J2766" s="6" t="n">
        <v>0.444444444444444</v>
      </c>
      <c r="L2766" s="0" t="n">
        <v>320</v>
      </c>
      <c r="M2766" s="0" t="s">
        <v>13559</v>
      </c>
      <c r="N2766" s="0" t="s">
        <v>13560</v>
      </c>
      <c r="O2766" s="0" t="s">
        <v>13561</v>
      </c>
      <c r="P2766" s="0" t="s">
        <v>13562</v>
      </c>
      <c r="Q2766" s="2" t="n">
        <v>44399</v>
      </c>
      <c r="S2766" s="0" t="n">
        <f aca="false">YEAR(Q2766)</f>
        <v>2021</v>
      </c>
      <c r="T2766" s="0" t="n">
        <f aca="false">MONTH(Q2766)</f>
        <v>7</v>
      </c>
    </row>
    <row r="2767" customFormat="false" ht="14.25" hidden="true" customHeight="false" outlineLevel="0" collapsed="false">
      <c r="A2767" s="0" t="n">
        <v>2784</v>
      </c>
      <c r="B2767" s="1" t="s">
        <v>13563</v>
      </c>
      <c r="C2767" s="1" t="s">
        <v>1479</v>
      </c>
      <c r="D2767" s="1" t="s">
        <v>1480</v>
      </c>
      <c r="E2767" s="0" t="s">
        <v>43</v>
      </c>
      <c r="F2767" s="0" t="s">
        <v>48</v>
      </c>
      <c r="G2767" s="0" t="s">
        <v>10816</v>
      </c>
      <c r="H2767" s="0" t="s">
        <v>1569</v>
      </c>
      <c r="I2767" s="6" t="n">
        <v>0.274305555555555</v>
      </c>
      <c r="J2767" s="6" t="n">
        <v>0.288194444444444</v>
      </c>
      <c r="L2767" s="0" t="n">
        <v>100</v>
      </c>
      <c r="M2767" s="0" t="s">
        <v>13564</v>
      </c>
      <c r="N2767" s="0" t="s">
        <v>13565</v>
      </c>
      <c r="O2767" s="0" t="s">
        <v>13566</v>
      </c>
      <c r="P2767" s="0" t="s">
        <v>13567</v>
      </c>
      <c r="Q2767" s="2" t="n">
        <v>44403</v>
      </c>
      <c r="S2767" s="0" t="n">
        <f aca="false">YEAR(Q2767)</f>
        <v>2021</v>
      </c>
      <c r="T2767" s="0" t="n">
        <f aca="false">MONTH(Q2767)</f>
        <v>7</v>
      </c>
    </row>
    <row r="2768" customFormat="false" ht="14.25" hidden="true" customHeight="false" outlineLevel="0" collapsed="false">
      <c r="A2768" s="0" t="n">
        <v>2785</v>
      </c>
      <c r="B2768" s="1" t="s">
        <v>13568</v>
      </c>
      <c r="C2768" s="1" t="s">
        <v>1479</v>
      </c>
      <c r="D2768" s="1" t="s">
        <v>1487</v>
      </c>
      <c r="E2768" s="0" t="s">
        <v>1488</v>
      </c>
      <c r="F2768" s="0" t="s">
        <v>48</v>
      </c>
      <c r="G2768" s="0" t="s">
        <v>13569</v>
      </c>
      <c r="H2768" s="0" t="s">
        <v>13570</v>
      </c>
      <c r="I2768" s="6" t="n">
        <v>0.311805555555556</v>
      </c>
      <c r="J2768" s="6" t="n">
        <v>0.334027777777778</v>
      </c>
      <c r="L2768" s="0" t="n">
        <v>120</v>
      </c>
      <c r="M2768" s="0" t="s">
        <v>13571</v>
      </c>
      <c r="N2768" s="0" t="s">
        <v>13572</v>
      </c>
      <c r="O2768" s="0" t="s">
        <v>13573</v>
      </c>
      <c r="P2768" s="0" t="s">
        <v>13574</v>
      </c>
      <c r="Q2768" s="2" t="n">
        <v>44404</v>
      </c>
      <c r="S2768" s="0" t="n">
        <f aca="false">YEAR(Q2768)</f>
        <v>2021</v>
      </c>
      <c r="T2768" s="0" t="n">
        <f aca="false">MONTH(Q2768)</f>
        <v>7</v>
      </c>
    </row>
    <row r="2769" customFormat="false" ht="14.25" hidden="true" customHeight="false" outlineLevel="0" collapsed="false">
      <c r="A2769" s="0" t="n">
        <v>2786</v>
      </c>
      <c r="B2769" s="1" t="s">
        <v>13575</v>
      </c>
      <c r="C2769" s="1" t="s">
        <v>1495</v>
      </c>
      <c r="D2769" s="1" t="s">
        <v>1487</v>
      </c>
      <c r="E2769" s="0" t="s">
        <v>40</v>
      </c>
      <c r="F2769" s="0" t="s">
        <v>48</v>
      </c>
      <c r="H2769" s="0" t="s">
        <v>13576</v>
      </c>
      <c r="I2769" s="6" t="n">
        <v>0.541666666666667</v>
      </c>
      <c r="J2769" s="6" t="n">
        <v>0.565972222222222</v>
      </c>
      <c r="L2769" s="0" t="n">
        <v>53</v>
      </c>
      <c r="M2769" s="0" t="s">
        <v>13577</v>
      </c>
      <c r="N2769" s="0" t="s">
        <v>13578</v>
      </c>
      <c r="O2769" s="0" t="s">
        <v>13579</v>
      </c>
      <c r="P2769" s="0" t="s">
        <v>13580</v>
      </c>
      <c r="Q2769" s="2" t="n">
        <v>44406</v>
      </c>
      <c r="S2769" s="0" t="n">
        <f aca="false">YEAR(Q2769)</f>
        <v>2021</v>
      </c>
      <c r="T2769" s="0" t="n">
        <f aca="false">MONTH(Q2769)</f>
        <v>7</v>
      </c>
    </row>
    <row r="2770" customFormat="false" ht="14.25" hidden="true" customHeight="false" outlineLevel="0" collapsed="false">
      <c r="A2770" s="0" t="n">
        <v>2787</v>
      </c>
      <c r="B2770" s="1" t="s">
        <v>13581</v>
      </c>
      <c r="C2770" s="1" t="s">
        <v>1495</v>
      </c>
      <c r="D2770" s="1" t="s">
        <v>1487</v>
      </c>
      <c r="E2770" s="0" t="s">
        <v>40</v>
      </c>
      <c r="F2770" s="0" t="s">
        <v>48</v>
      </c>
      <c r="G2770" s="0" t="s">
        <v>13582</v>
      </c>
      <c r="H2770" s="0" t="s">
        <v>13583</v>
      </c>
      <c r="I2770" s="6" t="n">
        <v>0.243055555555556</v>
      </c>
      <c r="J2770" s="6" t="n">
        <v>0.25</v>
      </c>
      <c r="M2770" s="0" t="s">
        <v>13584</v>
      </c>
      <c r="N2770" s="0" t="s">
        <v>13585</v>
      </c>
      <c r="O2770" s="0" t="s">
        <v>13586</v>
      </c>
      <c r="P2770" s="0" t="s">
        <v>13587</v>
      </c>
      <c r="Q2770" s="2" t="n">
        <v>44417</v>
      </c>
      <c r="S2770" s="0" t="n">
        <f aca="false">YEAR(Q2770)</f>
        <v>2021</v>
      </c>
      <c r="T2770" s="0" t="n">
        <f aca="false">MONTH(Q2770)</f>
        <v>8</v>
      </c>
    </row>
    <row r="2771" customFormat="false" ht="14.25" hidden="true" customHeight="false" outlineLevel="0" collapsed="false">
      <c r="A2771" s="0" t="n">
        <v>2788</v>
      </c>
      <c r="B2771" s="1" t="s">
        <v>13581</v>
      </c>
      <c r="C2771" s="1" t="s">
        <v>1495</v>
      </c>
      <c r="D2771" s="1" t="s">
        <v>1496</v>
      </c>
      <c r="E2771" s="0" t="s">
        <v>41</v>
      </c>
      <c r="F2771" s="0" t="s">
        <v>48</v>
      </c>
      <c r="G2771" s="0" t="s">
        <v>8605</v>
      </c>
      <c r="H2771" s="0" t="s">
        <v>1564</v>
      </c>
      <c r="I2771" s="6" t="n">
        <v>0.261805555555556</v>
      </c>
      <c r="J2771" s="6" t="n">
        <v>0.329861111111111</v>
      </c>
      <c r="L2771" s="0" t="n">
        <v>9</v>
      </c>
      <c r="M2771" s="0" t="s">
        <v>13588</v>
      </c>
      <c r="N2771" s="0" t="s">
        <v>13589</v>
      </c>
      <c r="O2771" s="0" t="s">
        <v>13590</v>
      </c>
      <c r="P2771" s="0" t="s">
        <v>13591</v>
      </c>
      <c r="Q2771" s="2" t="n">
        <v>44417</v>
      </c>
      <c r="S2771" s="0" t="n">
        <f aca="false">YEAR(Q2771)</f>
        <v>2021</v>
      </c>
      <c r="T2771" s="0" t="n">
        <f aca="false">MONTH(Q2771)</f>
        <v>8</v>
      </c>
    </row>
    <row r="2772" customFormat="false" ht="14.25" hidden="true" customHeight="false" outlineLevel="0" collapsed="false">
      <c r="A2772" s="0" t="n">
        <v>2789</v>
      </c>
      <c r="B2772" s="1" t="s">
        <v>13592</v>
      </c>
      <c r="C2772" s="1" t="s">
        <v>1479</v>
      </c>
      <c r="D2772" s="1" t="s">
        <v>1487</v>
      </c>
      <c r="E2772" s="0" t="s">
        <v>1488</v>
      </c>
      <c r="F2772" s="0" t="s">
        <v>48</v>
      </c>
      <c r="G2772" s="0" t="s">
        <v>13593</v>
      </c>
      <c r="H2772" s="0" t="s">
        <v>13594</v>
      </c>
      <c r="M2772" s="0" t="s">
        <v>13595</v>
      </c>
      <c r="N2772" s="0" t="s">
        <v>13596</v>
      </c>
      <c r="O2772" s="0" t="s">
        <v>13597</v>
      </c>
      <c r="P2772" s="0" t="s">
        <v>13598</v>
      </c>
      <c r="Q2772" s="2" t="n">
        <v>44424</v>
      </c>
      <c r="S2772" s="0" t="n">
        <f aca="false">YEAR(Q2772)</f>
        <v>2021</v>
      </c>
      <c r="T2772" s="0" t="n">
        <f aca="false">MONTH(Q2772)</f>
        <v>8</v>
      </c>
    </row>
    <row r="2773" customFormat="false" ht="14.25" hidden="true" customHeight="false" outlineLevel="0" collapsed="false">
      <c r="A2773" s="0" t="n">
        <v>2790</v>
      </c>
      <c r="B2773" s="1" t="s">
        <v>13599</v>
      </c>
      <c r="C2773" s="1" t="s">
        <v>1479</v>
      </c>
      <c r="D2773" s="1" t="s">
        <v>1480</v>
      </c>
      <c r="E2773" s="0" t="s">
        <v>43</v>
      </c>
      <c r="F2773" s="0" t="s">
        <v>49</v>
      </c>
      <c r="G2773" s="0" t="s">
        <v>10654</v>
      </c>
      <c r="H2773" s="0" t="s">
        <v>13600</v>
      </c>
      <c r="I2773" s="6" t="n">
        <v>0.895833333333333</v>
      </c>
      <c r="J2773" s="6" t="n">
        <v>0.916666666666667</v>
      </c>
      <c r="L2773" s="0" t="s">
        <v>13601</v>
      </c>
      <c r="M2773" s="0" t="s">
        <v>13602</v>
      </c>
      <c r="N2773" s="0" t="s">
        <v>13603</v>
      </c>
      <c r="O2773" s="0" t="s">
        <v>4437</v>
      </c>
      <c r="P2773" s="0" t="s">
        <v>13604</v>
      </c>
      <c r="Q2773" s="2" t="n">
        <v>44425</v>
      </c>
      <c r="S2773" s="0" t="n">
        <f aca="false">YEAR(Q2773)</f>
        <v>2021</v>
      </c>
      <c r="T2773" s="0" t="n">
        <f aca="false">MONTH(Q2773)</f>
        <v>8</v>
      </c>
    </row>
    <row r="2774" customFormat="false" ht="14.25" hidden="true" customHeight="false" outlineLevel="0" collapsed="false">
      <c r="A2774" s="0" t="n">
        <v>2791</v>
      </c>
      <c r="B2774" s="1" t="s">
        <v>13599</v>
      </c>
      <c r="C2774" s="1" t="s">
        <v>1495</v>
      </c>
      <c r="D2774" s="1" t="s">
        <v>1535</v>
      </c>
      <c r="E2774" s="0" t="s">
        <v>42</v>
      </c>
      <c r="F2774" s="0" t="s">
        <v>49</v>
      </c>
      <c r="G2774" s="0" t="s">
        <v>13605</v>
      </c>
      <c r="H2774" s="0" t="s">
        <v>13606</v>
      </c>
      <c r="I2774" s="6" t="n">
        <v>0.645833333333333</v>
      </c>
      <c r="J2774" s="6" t="n">
        <v>0.655555555555556</v>
      </c>
      <c r="L2774" s="0" t="s">
        <v>13607</v>
      </c>
      <c r="M2774" s="0" t="s">
        <v>13608</v>
      </c>
      <c r="N2774" s="0" t="s">
        <v>13609</v>
      </c>
      <c r="O2774" s="0" t="s">
        <v>11642</v>
      </c>
      <c r="P2774" s="0" t="s">
        <v>13610</v>
      </c>
      <c r="Q2774" s="2" t="n">
        <v>44425</v>
      </c>
      <c r="S2774" s="0" t="n">
        <f aca="false">YEAR(Q2774)</f>
        <v>2021</v>
      </c>
      <c r="T2774" s="0" t="n">
        <f aca="false">MONTH(Q2774)</f>
        <v>8</v>
      </c>
    </row>
    <row r="2775" customFormat="false" ht="14.25" hidden="true" customHeight="false" outlineLevel="0" collapsed="false">
      <c r="A2775" s="0" t="n">
        <v>2792</v>
      </c>
      <c r="B2775" s="1" t="s">
        <v>13611</v>
      </c>
      <c r="C2775" s="1" t="s">
        <v>1479</v>
      </c>
      <c r="D2775" s="1" t="s">
        <v>1480</v>
      </c>
      <c r="E2775" s="0" t="s">
        <v>43</v>
      </c>
      <c r="F2775" s="0" t="s">
        <v>48</v>
      </c>
      <c r="G2775" s="0" t="s">
        <v>13612</v>
      </c>
      <c r="H2775" s="0" t="s">
        <v>1524</v>
      </c>
      <c r="I2775" s="6" t="n">
        <v>0.270833333333333</v>
      </c>
      <c r="J2775" s="6" t="n">
        <v>0.29375</v>
      </c>
      <c r="L2775" s="0" t="n">
        <v>110</v>
      </c>
      <c r="M2775" s="0" t="s">
        <v>13613</v>
      </c>
      <c r="N2775" s="0" t="s">
        <v>13614</v>
      </c>
      <c r="O2775" s="0" t="s">
        <v>13615</v>
      </c>
      <c r="P2775" s="0" t="s">
        <v>13616</v>
      </c>
      <c r="Q2775" s="2" t="n">
        <v>44431</v>
      </c>
      <c r="S2775" s="0" t="n">
        <f aca="false">YEAR(Q2775)</f>
        <v>2021</v>
      </c>
      <c r="T2775" s="0" t="n">
        <f aca="false">MONTH(Q2775)</f>
        <v>8</v>
      </c>
    </row>
    <row r="2776" customFormat="false" ht="14.25" hidden="true" customHeight="false" outlineLevel="0" collapsed="false">
      <c r="A2776" s="0" t="n">
        <v>2793</v>
      </c>
      <c r="B2776" s="1" t="s">
        <v>13611</v>
      </c>
      <c r="C2776" s="1" t="s">
        <v>1503</v>
      </c>
      <c r="D2776" s="1" t="s">
        <v>1535</v>
      </c>
      <c r="E2776" s="0" t="s">
        <v>1503</v>
      </c>
      <c r="F2776" s="0" t="s">
        <v>49</v>
      </c>
      <c r="G2776" s="0" t="s">
        <v>13617</v>
      </c>
      <c r="H2776" s="0" t="s">
        <v>13618</v>
      </c>
      <c r="I2776" s="6" t="n">
        <v>0.729166666666667</v>
      </c>
      <c r="J2776" s="6" t="n">
        <v>0.757638888888889</v>
      </c>
      <c r="L2776" s="0" t="n">
        <v>200</v>
      </c>
      <c r="M2776" s="0" t="s">
        <v>13619</v>
      </c>
      <c r="N2776" s="0" t="s">
        <v>13620</v>
      </c>
      <c r="O2776" s="0" t="s">
        <v>13621</v>
      </c>
      <c r="P2776" s="0" t="s">
        <v>13622</v>
      </c>
      <c r="Q2776" s="2" t="n">
        <v>44431</v>
      </c>
      <c r="S2776" s="0" t="n">
        <f aca="false">YEAR(Q2776)</f>
        <v>2021</v>
      </c>
      <c r="T2776" s="0" t="n">
        <f aca="false">MONTH(Q2776)</f>
        <v>8</v>
      </c>
    </row>
    <row r="2777" customFormat="false" ht="14.25" hidden="true" customHeight="false" outlineLevel="0" collapsed="false">
      <c r="A2777" s="0" t="n">
        <v>2794</v>
      </c>
      <c r="B2777" s="1" t="s">
        <v>13623</v>
      </c>
      <c r="C2777" s="1" t="s">
        <v>1479</v>
      </c>
      <c r="D2777" s="1" t="s">
        <v>1480</v>
      </c>
      <c r="E2777" s="0" t="s">
        <v>43</v>
      </c>
      <c r="F2777" s="0" t="s">
        <v>49</v>
      </c>
      <c r="G2777" s="0" t="s">
        <v>13624</v>
      </c>
      <c r="H2777" s="0" t="s">
        <v>1569</v>
      </c>
      <c r="M2777" s="0" t="s">
        <v>13625</v>
      </c>
      <c r="N2777" s="0" t="s">
        <v>13626</v>
      </c>
      <c r="O2777" s="0" t="s">
        <v>13627</v>
      </c>
      <c r="P2777" s="0" t="s">
        <v>13628</v>
      </c>
      <c r="Q2777" s="2" t="n">
        <v>44441</v>
      </c>
      <c r="S2777" s="0" t="n">
        <f aca="false">YEAR(Q2777)</f>
        <v>2021</v>
      </c>
      <c r="T2777" s="0" t="n">
        <f aca="false">MONTH(Q2777)</f>
        <v>9</v>
      </c>
    </row>
    <row r="2778" customFormat="false" ht="14.25" hidden="true" customHeight="false" outlineLevel="0" collapsed="false">
      <c r="A2778" s="0" t="n">
        <v>2795</v>
      </c>
      <c r="B2778" s="1" t="s">
        <v>13623</v>
      </c>
      <c r="C2778" s="1" t="s">
        <v>1479</v>
      </c>
      <c r="D2778" s="1" t="s">
        <v>1487</v>
      </c>
      <c r="E2778" s="0" t="s">
        <v>1488</v>
      </c>
      <c r="F2778" s="0" t="s">
        <v>48</v>
      </c>
      <c r="G2778" s="0" t="s">
        <v>13629</v>
      </c>
      <c r="H2778" s="0" t="s">
        <v>13630</v>
      </c>
      <c r="M2778" s="0" t="s">
        <v>13631</v>
      </c>
      <c r="N2778" s="0" t="s">
        <v>13632</v>
      </c>
      <c r="O2778" s="0" t="s">
        <v>13633</v>
      </c>
      <c r="P2778" s="0" t="s">
        <v>13634</v>
      </c>
      <c r="Q2778" s="2" t="n">
        <v>44441</v>
      </c>
      <c r="S2778" s="0" t="n">
        <f aca="false">YEAR(Q2778)</f>
        <v>2021</v>
      </c>
      <c r="T2778" s="0" t="n">
        <f aca="false">MONTH(Q2778)</f>
        <v>9</v>
      </c>
    </row>
    <row r="2779" customFormat="false" ht="14.25" hidden="true" customHeight="false" outlineLevel="0" collapsed="false">
      <c r="A2779" s="0" t="n">
        <v>2796</v>
      </c>
      <c r="B2779" s="1" t="s">
        <v>13635</v>
      </c>
      <c r="C2779" s="1" t="s">
        <v>1495</v>
      </c>
      <c r="D2779" s="1" t="s">
        <v>1487</v>
      </c>
      <c r="E2779" s="0" t="s">
        <v>40</v>
      </c>
      <c r="F2779" s="0" t="s">
        <v>48</v>
      </c>
      <c r="G2779" s="0" t="s">
        <v>13636</v>
      </c>
      <c r="H2779" s="0" t="s">
        <v>13637</v>
      </c>
      <c r="I2779" s="6" t="n">
        <v>0.4375</v>
      </c>
      <c r="J2779" s="6" t="n">
        <v>0.452777777777778</v>
      </c>
      <c r="K2779" s="0" t="n">
        <v>0</v>
      </c>
      <c r="L2779" s="0" t="n">
        <v>40</v>
      </c>
      <c r="M2779" s="0" t="s">
        <v>13638</v>
      </c>
      <c r="N2779" s="0" t="s">
        <v>13639</v>
      </c>
      <c r="O2779" s="0" t="s">
        <v>13640</v>
      </c>
      <c r="P2779" s="0" t="s">
        <v>13641</v>
      </c>
      <c r="Q2779" s="2" t="n">
        <v>44442</v>
      </c>
      <c r="S2779" s="0" t="n">
        <f aca="false">YEAR(Q2779)</f>
        <v>2021</v>
      </c>
      <c r="T2779" s="0" t="n">
        <f aca="false">MONTH(Q2779)</f>
        <v>9</v>
      </c>
    </row>
    <row r="2780" customFormat="false" ht="14.25" hidden="true" customHeight="false" outlineLevel="0" collapsed="false">
      <c r="A2780" s="0" t="n">
        <v>2797</v>
      </c>
      <c r="B2780" s="1" t="s">
        <v>13642</v>
      </c>
      <c r="C2780" s="1" t="s">
        <v>1479</v>
      </c>
      <c r="D2780" s="1" t="s">
        <v>1496</v>
      </c>
      <c r="E2780" s="0" t="s">
        <v>38</v>
      </c>
      <c r="F2780" s="0" t="s">
        <v>49</v>
      </c>
      <c r="G2780" s="0" t="s">
        <v>11605</v>
      </c>
      <c r="H2780" s="0" t="s">
        <v>13643</v>
      </c>
      <c r="I2780" s="6" t="n">
        <v>0.649305555555556</v>
      </c>
      <c r="L2780" s="0" t="n">
        <v>110</v>
      </c>
      <c r="M2780" s="0" t="s">
        <v>13644</v>
      </c>
      <c r="N2780" s="0" t="s">
        <v>13645</v>
      </c>
      <c r="O2780" s="0" t="s">
        <v>13646</v>
      </c>
      <c r="P2780" s="0" t="s">
        <v>13647</v>
      </c>
      <c r="Q2780" s="2" t="n">
        <v>44447</v>
      </c>
      <c r="R2780" s="0" t="n">
        <v>1016625</v>
      </c>
      <c r="S2780" s="0" t="n">
        <f aca="false">YEAR(Q2780)</f>
        <v>2021</v>
      </c>
      <c r="T2780" s="0" t="n">
        <f aca="false">MONTH(Q2780)</f>
        <v>9</v>
      </c>
    </row>
    <row r="2781" customFormat="false" ht="14.25" hidden="true" customHeight="false" outlineLevel="0" collapsed="false">
      <c r="A2781" s="0" t="n">
        <v>2798</v>
      </c>
      <c r="B2781" s="1" t="s">
        <v>13648</v>
      </c>
      <c r="C2781" s="1" t="s">
        <v>1479</v>
      </c>
      <c r="D2781" s="1" t="s">
        <v>1496</v>
      </c>
      <c r="E2781" s="0" t="s">
        <v>38</v>
      </c>
      <c r="F2781" s="0" t="s">
        <v>48</v>
      </c>
      <c r="G2781" s="0" t="s">
        <v>11605</v>
      </c>
      <c r="H2781" s="0" t="s">
        <v>13643</v>
      </c>
      <c r="I2781" s="6" t="n">
        <v>0.236111111111111</v>
      </c>
      <c r="M2781" s="0" t="s">
        <v>13649</v>
      </c>
      <c r="N2781" s="0" t="s">
        <v>13650</v>
      </c>
      <c r="P2781" s="0" t="s">
        <v>13651</v>
      </c>
      <c r="Q2781" s="2" t="n">
        <v>44448</v>
      </c>
      <c r="S2781" s="0" t="n">
        <f aca="false">YEAR(Q2781)</f>
        <v>2021</v>
      </c>
      <c r="T2781" s="0" t="n">
        <f aca="false">MONTH(Q2781)</f>
        <v>9</v>
      </c>
    </row>
    <row r="2782" customFormat="false" ht="14.25" hidden="true" customHeight="false" outlineLevel="0" collapsed="false">
      <c r="A2782" s="0" t="n">
        <v>2799</v>
      </c>
      <c r="B2782" s="1" t="s">
        <v>13648</v>
      </c>
      <c r="C2782" s="1" t="s">
        <v>1495</v>
      </c>
      <c r="D2782" s="1" t="s">
        <v>1487</v>
      </c>
      <c r="E2782" s="0" t="s">
        <v>40</v>
      </c>
      <c r="F2782" s="0" t="s">
        <v>49</v>
      </c>
      <c r="G2782" s="0" t="s">
        <v>13652</v>
      </c>
      <c r="H2782" s="0" t="s">
        <v>13653</v>
      </c>
      <c r="J2782" s="6" t="n">
        <v>0.625</v>
      </c>
      <c r="M2782" s="0" t="s">
        <v>13654</v>
      </c>
      <c r="N2782" s="0" t="s">
        <v>13655</v>
      </c>
      <c r="O2782" s="0" t="s">
        <v>13656</v>
      </c>
      <c r="P2782" s="0" t="s">
        <v>13657</v>
      </c>
      <c r="Q2782" s="2" t="n">
        <v>44448</v>
      </c>
      <c r="S2782" s="0" t="n">
        <f aca="false">YEAR(Q2782)</f>
        <v>2021</v>
      </c>
      <c r="T2782" s="0" t="n">
        <f aca="false">MONTH(Q2782)</f>
        <v>9</v>
      </c>
    </row>
    <row r="2783" customFormat="false" ht="14.25" hidden="true" customHeight="false" outlineLevel="0" collapsed="false">
      <c r="A2783" s="0" t="n">
        <v>2800</v>
      </c>
      <c r="B2783" s="1" t="s">
        <v>13648</v>
      </c>
      <c r="C2783" s="1" t="s">
        <v>1479</v>
      </c>
      <c r="D2783" s="1" t="s">
        <v>1487</v>
      </c>
      <c r="E2783" s="0" t="s">
        <v>1488</v>
      </c>
      <c r="F2783" s="0" t="s">
        <v>49</v>
      </c>
      <c r="G2783" s="0" t="s">
        <v>9272</v>
      </c>
      <c r="H2783" s="0" t="s">
        <v>13658</v>
      </c>
      <c r="I2783" s="6" t="n">
        <v>0.670138888888889</v>
      </c>
      <c r="J2783" s="6" t="n">
        <v>0.715277777777778</v>
      </c>
      <c r="L2783" s="0" t="n">
        <v>60</v>
      </c>
      <c r="M2783" s="0" t="s">
        <v>13659</v>
      </c>
      <c r="N2783" s="0" t="s">
        <v>13660</v>
      </c>
      <c r="O2783" s="0" t="s">
        <v>13661</v>
      </c>
      <c r="P2783" s="0" t="s">
        <v>13662</v>
      </c>
      <c r="Q2783" s="2" t="n">
        <v>44448</v>
      </c>
      <c r="S2783" s="0" t="n">
        <f aca="false">YEAR(Q2783)</f>
        <v>2021</v>
      </c>
      <c r="T2783" s="0" t="n">
        <f aca="false">MONTH(Q2783)</f>
        <v>9</v>
      </c>
    </row>
    <row r="2784" customFormat="false" ht="14.25" hidden="true" customHeight="false" outlineLevel="0" collapsed="false">
      <c r="A2784" s="0" t="n">
        <v>2801</v>
      </c>
      <c r="B2784" s="1" t="s">
        <v>13663</v>
      </c>
      <c r="C2784" s="1" t="s">
        <v>1479</v>
      </c>
      <c r="D2784" s="1" t="s">
        <v>1487</v>
      </c>
      <c r="E2784" s="0" t="s">
        <v>1488</v>
      </c>
      <c r="F2784" s="0" t="s">
        <v>49</v>
      </c>
      <c r="G2784" s="0" t="s">
        <v>13664</v>
      </c>
      <c r="H2784" s="0" t="s">
        <v>13665</v>
      </c>
      <c r="I2784" s="6" t="n">
        <v>0.670138888888889</v>
      </c>
      <c r="J2784" s="6" t="n">
        <v>0.68125</v>
      </c>
      <c r="L2784" s="0" t="n">
        <v>135</v>
      </c>
      <c r="M2784" s="0" t="s">
        <v>13666</v>
      </c>
      <c r="N2784" s="0" t="s">
        <v>13667</v>
      </c>
      <c r="O2784" s="0" t="s">
        <v>13668</v>
      </c>
      <c r="P2784" s="0" t="s">
        <v>13669</v>
      </c>
      <c r="Q2784" s="2" t="n">
        <v>44449</v>
      </c>
      <c r="R2784" s="0" t="n">
        <v>1016612</v>
      </c>
      <c r="S2784" s="0" t="n">
        <f aca="false">YEAR(Q2784)</f>
        <v>2021</v>
      </c>
      <c r="T2784" s="0" t="n">
        <f aca="false">MONTH(Q2784)</f>
        <v>9</v>
      </c>
    </row>
    <row r="2785" customFormat="false" ht="14.25" hidden="true" customHeight="false" outlineLevel="0" collapsed="false">
      <c r="A2785" s="0" t="n">
        <v>2802</v>
      </c>
      <c r="B2785" s="1" t="s">
        <v>13663</v>
      </c>
      <c r="C2785" s="1" t="s">
        <v>1479</v>
      </c>
      <c r="D2785" s="1" t="s">
        <v>1535</v>
      </c>
      <c r="E2785" s="0" t="s">
        <v>39</v>
      </c>
      <c r="F2785" s="0" t="s">
        <v>49</v>
      </c>
      <c r="G2785" s="0" t="s">
        <v>8813</v>
      </c>
      <c r="H2785" s="0" t="s">
        <v>13670</v>
      </c>
      <c r="J2785" s="6" t="n">
        <v>0.710416666666667</v>
      </c>
      <c r="L2785" s="0" t="n">
        <v>270</v>
      </c>
      <c r="M2785" s="0" t="s">
        <v>13671</v>
      </c>
      <c r="N2785" s="0" t="s">
        <v>13672</v>
      </c>
      <c r="O2785" s="0" t="s">
        <v>13673</v>
      </c>
      <c r="P2785" s="0" t="s">
        <v>13674</v>
      </c>
      <c r="Q2785" s="2" t="n">
        <v>44449</v>
      </c>
      <c r="R2785" s="0" t="n">
        <v>1016611</v>
      </c>
      <c r="S2785" s="0" t="n">
        <f aca="false">YEAR(Q2785)</f>
        <v>2021</v>
      </c>
      <c r="T2785" s="0" t="n">
        <f aca="false">MONTH(Q2785)</f>
        <v>9</v>
      </c>
    </row>
    <row r="2786" customFormat="false" ht="14.25" hidden="true" customHeight="false" outlineLevel="0" collapsed="false">
      <c r="A2786" s="0" t="n">
        <v>2803</v>
      </c>
      <c r="B2786" s="1" t="s">
        <v>13675</v>
      </c>
      <c r="C2786" s="1" t="s">
        <v>1479</v>
      </c>
      <c r="D2786" s="1" t="s">
        <v>1496</v>
      </c>
      <c r="E2786" s="0" t="s">
        <v>38</v>
      </c>
      <c r="F2786" s="0" t="s">
        <v>48</v>
      </c>
      <c r="G2786" s="0" t="s">
        <v>13676</v>
      </c>
      <c r="H2786" s="0" t="s">
        <v>13396</v>
      </c>
      <c r="I2786" s="6" t="n">
        <v>0.236111111111111</v>
      </c>
      <c r="J2786" s="6" t="n">
        <v>0.241666666666667</v>
      </c>
      <c r="K2786" s="0" t="n">
        <v>0</v>
      </c>
      <c r="M2786" s="0" t="s">
        <v>13677</v>
      </c>
      <c r="N2786" s="0" t="s">
        <v>13678</v>
      </c>
      <c r="O2786" s="0" t="s">
        <v>13679</v>
      </c>
      <c r="P2786" s="0" t="s">
        <v>13680</v>
      </c>
      <c r="Q2786" s="2" t="n">
        <v>44452</v>
      </c>
      <c r="S2786" s="0" t="n">
        <f aca="false">YEAR(Q2786)</f>
        <v>2021</v>
      </c>
      <c r="T2786" s="0" t="n">
        <f aca="false">MONTH(Q2786)</f>
        <v>9</v>
      </c>
    </row>
    <row r="2787" customFormat="false" ht="14.25" hidden="true" customHeight="false" outlineLevel="0" collapsed="false">
      <c r="A2787" s="0" t="n">
        <v>2804</v>
      </c>
      <c r="B2787" s="1" t="s">
        <v>13675</v>
      </c>
      <c r="C2787" s="1" t="s">
        <v>1479</v>
      </c>
      <c r="D2787" s="1" t="s">
        <v>1480</v>
      </c>
      <c r="E2787" s="0" t="s">
        <v>43</v>
      </c>
      <c r="F2787" s="0" t="s">
        <v>48</v>
      </c>
      <c r="G2787" s="0" t="s">
        <v>13681</v>
      </c>
      <c r="H2787" s="0" t="s">
        <v>10776</v>
      </c>
      <c r="I2787" s="6" t="n">
        <v>0.3125</v>
      </c>
      <c r="J2787" s="6" t="n">
        <v>0.425</v>
      </c>
      <c r="L2787" s="0" t="n">
        <v>140</v>
      </c>
      <c r="M2787" s="0" t="s">
        <v>13682</v>
      </c>
      <c r="N2787" s="0" t="s">
        <v>13683</v>
      </c>
      <c r="O2787" s="0" t="s">
        <v>13684</v>
      </c>
      <c r="P2787" s="0" t="s">
        <v>13685</v>
      </c>
      <c r="Q2787" s="2" t="n">
        <v>44452</v>
      </c>
      <c r="S2787" s="0" t="n">
        <f aca="false">YEAR(Q2787)</f>
        <v>2021</v>
      </c>
      <c r="T2787" s="0" t="n">
        <f aca="false">MONTH(Q2787)</f>
        <v>9</v>
      </c>
    </row>
    <row r="2788" customFormat="false" ht="14.25" hidden="true" customHeight="false" outlineLevel="0" collapsed="false">
      <c r="A2788" s="0" t="n">
        <v>2805</v>
      </c>
      <c r="B2788" s="1" t="s">
        <v>13686</v>
      </c>
      <c r="C2788" s="1" t="s">
        <v>1479</v>
      </c>
      <c r="D2788" s="1" t="s">
        <v>1535</v>
      </c>
      <c r="E2788" s="0" t="s">
        <v>39</v>
      </c>
      <c r="F2788" s="0" t="s">
        <v>48</v>
      </c>
      <c r="G2788" s="0" t="s">
        <v>13687</v>
      </c>
      <c r="I2788" s="6" t="n">
        <v>0.511805555555555</v>
      </c>
      <c r="J2788" s="6" t="n">
        <v>0.536111111111111</v>
      </c>
      <c r="M2788" s="0" t="s">
        <v>13688</v>
      </c>
      <c r="N2788" s="0" t="s">
        <v>13689</v>
      </c>
      <c r="O2788" s="0" t="s">
        <v>13690</v>
      </c>
      <c r="P2788" s="0" t="s">
        <v>13691</v>
      </c>
      <c r="Q2788" s="2" t="n">
        <v>44454</v>
      </c>
      <c r="S2788" s="0" t="n">
        <f aca="false">YEAR(Q2788)</f>
        <v>2021</v>
      </c>
      <c r="T2788" s="0" t="n">
        <f aca="false">MONTH(Q2788)</f>
        <v>9</v>
      </c>
    </row>
    <row r="2789" customFormat="false" ht="14.25" hidden="true" customHeight="false" outlineLevel="0" collapsed="false">
      <c r="A2789" s="0" t="n">
        <v>2806</v>
      </c>
      <c r="B2789" s="1" t="s">
        <v>13692</v>
      </c>
      <c r="C2789" s="1" t="s">
        <v>1503</v>
      </c>
      <c r="D2789" s="1" t="s">
        <v>1535</v>
      </c>
      <c r="E2789" s="0" t="s">
        <v>1503</v>
      </c>
      <c r="F2789" s="0" t="s">
        <v>48</v>
      </c>
      <c r="G2789" s="27" t="s">
        <v>13693</v>
      </c>
      <c r="H2789" s="4" t="s">
        <v>4303</v>
      </c>
      <c r="I2789" s="6" t="n">
        <v>0.243055555555556</v>
      </c>
      <c r="J2789" s="6" t="n">
        <v>0.4375</v>
      </c>
      <c r="M2789" s="4" t="s">
        <v>13694</v>
      </c>
      <c r="N2789" s="4" t="s">
        <v>13695</v>
      </c>
      <c r="O2789" s="21" t="s">
        <v>13696</v>
      </c>
      <c r="P2789" s="4" t="s">
        <v>13697</v>
      </c>
      <c r="Q2789" s="2" t="n">
        <v>44456</v>
      </c>
      <c r="S2789" s="0" t="n">
        <f aca="false">YEAR(Q2789)</f>
        <v>2021</v>
      </c>
      <c r="T2789" s="0" t="n">
        <f aca="false">MONTH(Q2789)</f>
        <v>9</v>
      </c>
    </row>
    <row r="2790" customFormat="false" ht="14.25" hidden="true" customHeight="false" outlineLevel="0" collapsed="false">
      <c r="A2790" s="0" t="n">
        <v>2807</v>
      </c>
      <c r="B2790" s="1" t="s">
        <v>13698</v>
      </c>
      <c r="C2790" s="1" t="s">
        <v>1495</v>
      </c>
      <c r="D2790" s="1" t="s">
        <v>1487</v>
      </c>
      <c r="E2790" s="0" t="s">
        <v>40</v>
      </c>
      <c r="F2790" s="0" t="s">
        <v>48</v>
      </c>
      <c r="G2790" s="0" t="s">
        <v>13699</v>
      </c>
      <c r="H2790" s="0" t="s">
        <v>13700</v>
      </c>
      <c r="I2790" s="6" t="n">
        <v>0.438888888888889</v>
      </c>
      <c r="J2790" s="6" t="n">
        <v>0.455555555555556</v>
      </c>
      <c r="L2790" s="0" t="n">
        <v>30</v>
      </c>
      <c r="M2790" s="21" t="s">
        <v>13701</v>
      </c>
      <c r="N2790" s="4" t="s">
        <v>13702</v>
      </c>
      <c r="O2790" s="21" t="s">
        <v>13703</v>
      </c>
      <c r="P2790" s="21" t="s">
        <v>13704</v>
      </c>
      <c r="Q2790" s="2" t="n">
        <v>44459</v>
      </c>
      <c r="S2790" s="0" t="n">
        <f aca="false">YEAR(Q2790)</f>
        <v>2021</v>
      </c>
      <c r="T2790" s="0" t="n">
        <f aca="false">MONTH(Q2790)</f>
        <v>9</v>
      </c>
    </row>
    <row r="2791" customFormat="false" ht="14.25" hidden="true" customHeight="false" outlineLevel="0" collapsed="false">
      <c r="A2791" s="0" t="n">
        <v>2808</v>
      </c>
      <c r="B2791" s="1" t="s">
        <v>13705</v>
      </c>
      <c r="C2791" s="1" t="s">
        <v>1479</v>
      </c>
      <c r="D2791" s="1" t="s">
        <v>1487</v>
      </c>
      <c r="E2791" s="0" t="s">
        <v>1488</v>
      </c>
      <c r="F2791" s="0" t="s">
        <v>48</v>
      </c>
      <c r="G2791" s="0" t="s">
        <v>13706</v>
      </c>
      <c r="H2791" s="0" t="s">
        <v>13707</v>
      </c>
      <c r="I2791" s="6" t="n">
        <v>0.313888888888889</v>
      </c>
      <c r="J2791" s="6" t="n">
        <v>0.325</v>
      </c>
      <c r="L2791" s="0" t="n">
        <v>30</v>
      </c>
      <c r="M2791" s="4" t="s">
        <v>13708</v>
      </c>
      <c r="N2791" s="4" t="s">
        <v>13709</v>
      </c>
      <c r="O2791" s="21" t="s">
        <v>13710</v>
      </c>
      <c r="P2791" s="21" t="s">
        <v>13711</v>
      </c>
      <c r="Q2791" s="2" t="n">
        <v>44461</v>
      </c>
      <c r="S2791" s="0" t="n">
        <f aca="false">YEAR(Q2791)</f>
        <v>2021</v>
      </c>
      <c r="T2791" s="0" t="n">
        <f aca="false">MONTH(Q2791)</f>
        <v>9</v>
      </c>
    </row>
    <row r="2792" customFormat="false" ht="14.25" hidden="true" customHeight="false" outlineLevel="0" collapsed="false">
      <c r="A2792" s="0" t="n">
        <v>2809</v>
      </c>
      <c r="B2792" s="1" t="s">
        <v>13705</v>
      </c>
      <c r="C2792" s="1" t="s">
        <v>1479</v>
      </c>
      <c r="D2792" s="1" t="s">
        <v>1480</v>
      </c>
      <c r="E2792" s="0" t="s">
        <v>43</v>
      </c>
      <c r="F2792" s="0" t="s">
        <v>48</v>
      </c>
      <c r="G2792" s="4" t="s">
        <v>13712</v>
      </c>
      <c r="H2792" s="0" t="s">
        <v>13713</v>
      </c>
      <c r="J2792" s="6" t="n">
        <v>0.379861111111111</v>
      </c>
      <c r="M2792" s="4" t="s">
        <v>13714</v>
      </c>
      <c r="N2792" s="21" t="s">
        <v>13715</v>
      </c>
      <c r="O2792" s="21" t="s">
        <v>13716</v>
      </c>
      <c r="P2792" s="0" t="s">
        <v>13717</v>
      </c>
      <c r="Q2792" s="2" t="n">
        <v>44461</v>
      </c>
      <c r="S2792" s="0" t="n">
        <f aca="false">YEAR(Q2792)</f>
        <v>2021</v>
      </c>
      <c r="T2792" s="0" t="n">
        <f aca="false">MONTH(Q2792)</f>
        <v>9</v>
      </c>
    </row>
    <row r="2793" customFormat="false" ht="14.25" hidden="true" customHeight="false" outlineLevel="0" collapsed="false">
      <c r="A2793" s="0" t="n">
        <v>2810</v>
      </c>
      <c r="B2793" s="1" t="s">
        <v>13705</v>
      </c>
      <c r="C2793" s="1" t="s">
        <v>1479</v>
      </c>
      <c r="D2793" s="1" t="s">
        <v>1480</v>
      </c>
      <c r="E2793" s="0" t="s">
        <v>43</v>
      </c>
      <c r="F2793" s="0" t="s">
        <v>48</v>
      </c>
      <c r="G2793" s="21" t="s">
        <v>13718</v>
      </c>
      <c r="H2793" s="0" t="s">
        <v>13713</v>
      </c>
      <c r="J2793" s="6" t="n">
        <v>0.605555555555555</v>
      </c>
      <c r="M2793" s="4" t="s">
        <v>13719</v>
      </c>
      <c r="N2793" s="21" t="s">
        <v>13720</v>
      </c>
      <c r="O2793" s="27" t="s">
        <v>13721</v>
      </c>
      <c r="P2793" s="21" t="s">
        <v>13722</v>
      </c>
      <c r="Q2793" s="2" t="n">
        <v>44461</v>
      </c>
      <c r="S2793" s="0" t="n">
        <f aca="false">YEAR(Q2793)</f>
        <v>2021</v>
      </c>
      <c r="T2793" s="0" t="n">
        <f aca="false">MONTH(Q2793)</f>
        <v>9</v>
      </c>
    </row>
    <row r="2794" customFormat="false" ht="14.25" hidden="true" customHeight="false" outlineLevel="0" collapsed="false">
      <c r="A2794" s="0" t="n">
        <v>2811</v>
      </c>
      <c r="B2794" s="1" t="s">
        <v>13723</v>
      </c>
      <c r="C2794" s="1" t="s">
        <v>1479</v>
      </c>
      <c r="D2794" s="1" t="s">
        <v>1480</v>
      </c>
      <c r="E2794" s="0" t="s">
        <v>43</v>
      </c>
      <c r="F2794" s="0" t="s">
        <v>48</v>
      </c>
      <c r="G2794" s="4" t="s">
        <v>13724</v>
      </c>
      <c r="H2794" s="0" t="s">
        <v>13725</v>
      </c>
      <c r="J2794" s="6" t="n">
        <v>0.472222222222222</v>
      </c>
      <c r="M2794" s="4" t="s">
        <v>13726</v>
      </c>
      <c r="N2794" s="21" t="s">
        <v>13727</v>
      </c>
      <c r="O2794" s="4" t="s">
        <v>13728</v>
      </c>
      <c r="Q2794" s="2" t="n">
        <v>44462</v>
      </c>
      <c r="S2794" s="0" t="n">
        <f aca="false">YEAR(Q2794)</f>
        <v>2021</v>
      </c>
      <c r="T2794" s="0" t="n">
        <f aca="false">MONTH(Q2794)</f>
        <v>9</v>
      </c>
    </row>
    <row r="2795" customFormat="false" ht="14.25" hidden="true" customHeight="false" outlineLevel="0" collapsed="false">
      <c r="A2795" s="0" t="n">
        <v>2812</v>
      </c>
      <c r="B2795" s="1" t="s">
        <v>13723</v>
      </c>
      <c r="C2795" s="1" t="s">
        <v>1479</v>
      </c>
      <c r="D2795" s="1" t="s">
        <v>1863</v>
      </c>
      <c r="E2795" s="0" t="s">
        <v>1863</v>
      </c>
      <c r="F2795" s="0" t="s">
        <v>48</v>
      </c>
      <c r="G2795" s="4" t="s">
        <v>13729</v>
      </c>
      <c r="H2795" s="4" t="s">
        <v>13730</v>
      </c>
      <c r="I2795" s="6" t="n">
        <v>0.519444444444444</v>
      </c>
      <c r="J2795" s="6" t="n">
        <v>0.583333333333333</v>
      </c>
      <c r="L2795" s="0" t="n">
        <v>90</v>
      </c>
      <c r="M2795" s="4" t="s">
        <v>13731</v>
      </c>
      <c r="N2795" s="21" t="s">
        <v>13732</v>
      </c>
      <c r="O2795" s="4" t="s">
        <v>13733</v>
      </c>
      <c r="P2795" s="21" t="s">
        <v>13734</v>
      </c>
      <c r="Q2795" s="2" t="n">
        <v>44462</v>
      </c>
      <c r="S2795" s="0" t="n">
        <f aca="false">YEAR(Q2795)</f>
        <v>2021</v>
      </c>
      <c r="T2795" s="0" t="n">
        <f aca="false">MONTH(Q2795)</f>
        <v>9</v>
      </c>
    </row>
    <row r="2796" customFormat="false" ht="14.25" hidden="true" customHeight="false" outlineLevel="0" collapsed="false">
      <c r="A2796" s="0" t="n">
        <v>2813</v>
      </c>
      <c r="B2796" s="1" t="s">
        <v>13723</v>
      </c>
      <c r="C2796" s="1" t="s">
        <v>1479</v>
      </c>
      <c r="D2796" s="1" t="s">
        <v>1487</v>
      </c>
      <c r="E2796" s="4" t="s">
        <v>1488</v>
      </c>
      <c r="F2796" s="0" t="s">
        <v>49</v>
      </c>
      <c r="G2796" s="4" t="s">
        <v>13735</v>
      </c>
      <c r="H2796" s="0" t="s">
        <v>3806</v>
      </c>
      <c r="I2796" s="6" t="n">
        <v>0.566666666666667</v>
      </c>
      <c r="J2796" s="6" t="n">
        <v>0.607638888888889</v>
      </c>
      <c r="K2796" s="0" t="n">
        <v>75</v>
      </c>
      <c r="L2796" s="0" t="n">
        <v>180</v>
      </c>
      <c r="M2796" s="4" t="s">
        <v>13736</v>
      </c>
      <c r="N2796" s="21" t="s">
        <v>13737</v>
      </c>
      <c r="O2796" s="4" t="s">
        <v>13738</v>
      </c>
      <c r="P2796" s="4" t="s">
        <v>13739</v>
      </c>
      <c r="Q2796" s="2" t="n">
        <v>44462</v>
      </c>
      <c r="R2796" s="0" t="n">
        <v>1016707</v>
      </c>
      <c r="S2796" s="0" t="n">
        <f aca="false">YEAR(Q2796)</f>
        <v>2021</v>
      </c>
      <c r="T2796" s="0" t="n">
        <f aca="false">MONTH(Q2796)</f>
        <v>9</v>
      </c>
    </row>
    <row r="2797" customFormat="false" ht="14.25" hidden="true" customHeight="false" outlineLevel="0" collapsed="false">
      <c r="A2797" s="0" t="n">
        <v>2814</v>
      </c>
      <c r="B2797" s="1" t="s">
        <v>13723</v>
      </c>
      <c r="C2797" s="1" t="s">
        <v>1479</v>
      </c>
      <c r="D2797" s="1" t="s">
        <v>1480</v>
      </c>
      <c r="E2797" s="0" t="s">
        <v>43</v>
      </c>
      <c r="F2797" s="0" t="s">
        <v>49</v>
      </c>
      <c r="G2797" s="4" t="s">
        <v>13724</v>
      </c>
      <c r="H2797" s="0" t="s">
        <v>13725</v>
      </c>
      <c r="I2797" s="6" t="n">
        <v>0.4375</v>
      </c>
      <c r="J2797" s="6" t="n">
        <v>0.472222222222222</v>
      </c>
      <c r="L2797" s="0" t="n">
        <v>360</v>
      </c>
      <c r="M2797" s="4" t="s">
        <v>13740</v>
      </c>
      <c r="N2797" s="21" t="s">
        <v>13741</v>
      </c>
      <c r="O2797" s="4" t="s">
        <v>13742</v>
      </c>
      <c r="P2797" s="21" t="s">
        <v>13743</v>
      </c>
      <c r="Q2797" s="2" t="n">
        <v>44462</v>
      </c>
      <c r="S2797" s="0" t="n">
        <f aca="false">YEAR(Q2797)</f>
        <v>2021</v>
      </c>
      <c r="T2797" s="0" t="n">
        <f aca="false">MONTH(Q2797)</f>
        <v>9</v>
      </c>
    </row>
    <row r="2798" customFormat="false" ht="14.25" hidden="true" customHeight="false" outlineLevel="0" collapsed="false">
      <c r="A2798" s="0" t="n">
        <v>2815</v>
      </c>
      <c r="B2798" s="1" t="s">
        <v>13744</v>
      </c>
      <c r="C2798" s="1" t="s">
        <v>1479</v>
      </c>
      <c r="D2798" s="1" t="s">
        <v>1535</v>
      </c>
      <c r="E2798" s="0" t="s">
        <v>39</v>
      </c>
      <c r="F2798" s="0" t="s">
        <v>48</v>
      </c>
      <c r="G2798" s="4" t="s">
        <v>13745</v>
      </c>
      <c r="H2798" s="4" t="s">
        <v>13746</v>
      </c>
      <c r="I2798" s="6" t="n">
        <v>0.239583333333333</v>
      </c>
      <c r="J2798" s="6" t="n">
        <v>0.247222222222222</v>
      </c>
      <c r="K2798" s="0" t="n">
        <v>4.6</v>
      </c>
      <c r="L2798" s="0" t="n">
        <v>30</v>
      </c>
      <c r="M2798" s="4" t="s">
        <v>13747</v>
      </c>
      <c r="N2798" s="21" t="s">
        <v>13748</v>
      </c>
      <c r="O2798" s="4" t="s">
        <v>13749</v>
      </c>
      <c r="P2798" s="4" t="s">
        <v>13750</v>
      </c>
      <c r="Q2798" s="2" t="n">
        <v>44466</v>
      </c>
      <c r="R2798" s="0" t="n">
        <v>1016714</v>
      </c>
      <c r="S2798" s="0" t="n">
        <f aca="false">YEAR(Q2798)</f>
        <v>2021</v>
      </c>
      <c r="T2798" s="0" t="n">
        <f aca="false">MONTH(Q2798)</f>
        <v>9</v>
      </c>
    </row>
    <row r="2799" customFormat="false" ht="14.25" hidden="true" customHeight="false" outlineLevel="0" collapsed="false">
      <c r="A2799" s="0" t="n">
        <v>2816</v>
      </c>
      <c r="B2799" s="1" t="s">
        <v>13744</v>
      </c>
      <c r="C2799" s="1" t="s">
        <v>1479</v>
      </c>
      <c r="D2799" s="1" t="s">
        <v>1496</v>
      </c>
      <c r="E2799" s="0" t="s">
        <v>38</v>
      </c>
      <c r="F2799" s="0" t="s">
        <v>48</v>
      </c>
      <c r="G2799" s="4" t="s">
        <v>13751</v>
      </c>
      <c r="H2799" s="4" t="s">
        <v>13752</v>
      </c>
      <c r="J2799" s="6" t="n">
        <v>0.375</v>
      </c>
      <c r="L2799" s="0" t="n">
        <v>6</v>
      </c>
      <c r="M2799" s="4" t="s">
        <v>13753</v>
      </c>
      <c r="N2799" s="4" t="s">
        <v>13754</v>
      </c>
      <c r="O2799" s="4" t="s">
        <v>13755</v>
      </c>
      <c r="P2799" s="4" t="s">
        <v>13756</v>
      </c>
      <c r="Q2799" s="2" t="n">
        <v>44466</v>
      </c>
      <c r="S2799" s="0" t="n">
        <f aca="false">YEAR(Q2799)</f>
        <v>2021</v>
      </c>
      <c r="T2799" s="0" t="n">
        <f aca="false">MONTH(Q2799)</f>
        <v>9</v>
      </c>
    </row>
    <row r="2800" customFormat="false" ht="14.25" hidden="true" customHeight="false" outlineLevel="0" collapsed="false">
      <c r="A2800" s="0" t="n">
        <v>2817</v>
      </c>
      <c r="B2800" s="1" t="s">
        <v>13744</v>
      </c>
      <c r="C2800" s="1" t="s">
        <v>1495</v>
      </c>
      <c r="D2800" s="1" t="s">
        <v>1535</v>
      </c>
      <c r="E2800" s="0" t="s">
        <v>42</v>
      </c>
      <c r="F2800" s="0" t="s">
        <v>48</v>
      </c>
      <c r="G2800" s="4" t="s">
        <v>13757</v>
      </c>
      <c r="H2800" s="4" t="s">
        <v>13758</v>
      </c>
      <c r="J2800" s="6" t="n">
        <v>0.569444444444444</v>
      </c>
      <c r="M2800" s="4" t="s">
        <v>13759</v>
      </c>
      <c r="N2800" s="4" t="s">
        <v>13760</v>
      </c>
      <c r="O2800" s="4" t="s">
        <v>13761</v>
      </c>
      <c r="Q2800" s="2" t="n">
        <v>44466</v>
      </c>
      <c r="S2800" s="0" t="n">
        <f aca="false">YEAR(Q2800)</f>
        <v>2021</v>
      </c>
      <c r="T2800" s="0" t="n">
        <f aca="false">MONTH(Q2800)</f>
        <v>9</v>
      </c>
    </row>
    <row r="2801" customFormat="false" ht="14.25" hidden="true" customHeight="false" outlineLevel="0" collapsed="false">
      <c r="A2801" s="0" t="n">
        <v>2818</v>
      </c>
      <c r="B2801" s="1" t="s">
        <v>13762</v>
      </c>
      <c r="C2801" s="1" t="s">
        <v>1479</v>
      </c>
      <c r="D2801" s="1" t="s">
        <v>1535</v>
      </c>
      <c r="E2801" s="0" t="s">
        <v>39</v>
      </c>
      <c r="F2801" s="0" t="s">
        <v>48</v>
      </c>
      <c r="G2801" s="0" t="s">
        <v>13763</v>
      </c>
      <c r="H2801" s="0" t="s">
        <v>13764</v>
      </c>
      <c r="M2801" s="0" t="s">
        <v>13765</v>
      </c>
      <c r="N2801" s="0" t="s">
        <v>13766</v>
      </c>
      <c r="O2801" s="0" t="s">
        <v>13767</v>
      </c>
      <c r="P2801" s="0" t="s">
        <v>13768</v>
      </c>
      <c r="Q2801" s="2" t="n">
        <v>44470</v>
      </c>
      <c r="R2801" s="0" t="n">
        <v>1016814</v>
      </c>
      <c r="S2801" s="0" t="n">
        <f aca="false">YEAR(Q2801)</f>
        <v>2021</v>
      </c>
      <c r="T2801" s="0" t="n">
        <f aca="false">MONTH(Q2801)</f>
        <v>10</v>
      </c>
    </row>
    <row r="2802" customFormat="false" ht="14.25" hidden="true" customHeight="false" outlineLevel="0" collapsed="false">
      <c r="A2802" s="0" t="n">
        <v>2819</v>
      </c>
      <c r="B2802" s="1" t="s">
        <v>13762</v>
      </c>
      <c r="C2802" s="1" t="s">
        <v>1495</v>
      </c>
      <c r="D2802" s="1" t="s">
        <v>1535</v>
      </c>
      <c r="E2802" s="0" t="s">
        <v>42</v>
      </c>
      <c r="F2802" s="0" t="s">
        <v>49</v>
      </c>
      <c r="G2802" s="0" t="s">
        <v>13769</v>
      </c>
      <c r="H2802" s="0" t="s">
        <v>13770</v>
      </c>
      <c r="K2802" s="0" t="n">
        <v>7</v>
      </c>
      <c r="M2802" s="0" t="s">
        <v>13771</v>
      </c>
      <c r="N2802" s="0" t="s">
        <v>13772</v>
      </c>
      <c r="O2802" s="0" t="s">
        <v>13773</v>
      </c>
      <c r="P2802" s="0" t="s">
        <v>13774</v>
      </c>
      <c r="Q2802" s="2" t="n">
        <v>44470</v>
      </c>
      <c r="S2802" s="0" t="n">
        <f aca="false">YEAR(Q2802)</f>
        <v>2021</v>
      </c>
      <c r="T2802" s="0" t="n">
        <f aca="false">MONTH(Q2802)</f>
        <v>10</v>
      </c>
    </row>
    <row r="2803" customFormat="false" ht="14.25" hidden="true" customHeight="false" outlineLevel="0" collapsed="false">
      <c r="A2803" s="0" t="n">
        <v>2820</v>
      </c>
      <c r="B2803" s="1" t="s">
        <v>13775</v>
      </c>
      <c r="C2803" s="1" t="s">
        <v>1479</v>
      </c>
      <c r="D2803" s="1" t="s">
        <v>1487</v>
      </c>
      <c r="E2803" s="0" t="s">
        <v>1488</v>
      </c>
      <c r="F2803" s="0" t="s">
        <v>48</v>
      </c>
      <c r="G2803" s="0" t="s">
        <v>13776</v>
      </c>
      <c r="H2803" s="0" t="s">
        <v>13777</v>
      </c>
      <c r="I2803" s="6" t="n">
        <v>0.243055555555556</v>
      </c>
      <c r="J2803" s="6" t="n">
        <v>0.290972222222222</v>
      </c>
      <c r="L2803" s="0" t="n">
        <v>70</v>
      </c>
      <c r="M2803" s="0" t="s">
        <v>13778</v>
      </c>
      <c r="N2803" s="0" t="s">
        <v>13779</v>
      </c>
      <c r="P2803" s="0" t="s">
        <v>13780</v>
      </c>
      <c r="Q2803" s="2" t="n">
        <v>44473</v>
      </c>
      <c r="S2803" s="0" t="n">
        <f aca="false">YEAR(Q2803)</f>
        <v>2021</v>
      </c>
      <c r="T2803" s="0" t="n">
        <f aca="false">MONTH(Q2803)</f>
        <v>10</v>
      </c>
    </row>
    <row r="2804" customFormat="false" ht="14.25" hidden="true" customHeight="false" outlineLevel="0" collapsed="false">
      <c r="A2804" s="0" t="n">
        <v>2821</v>
      </c>
      <c r="B2804" s="1" t="s">
        <v>13775</v>
      </c>
      <c r="C2804" s="1" t="s">
        <v>1495</v>
      </c>
      <c r="D2804" s="1" t="s">
        <v>1487</v>
      </c>
      <c r="E2804" s="0" t="s">
        <v>40</v>
      </c>
      <c r="F2804" s="0" t="s">
        <v>48</v>
      </c>
      <c r="G2804" s="0" t="s">
        <v>9698</v>
      </c>
      <c r="H2804" s="0" t="s">
        <v>13781</v>
      </c>
      <c r="I2804" s="6" t="n">
        <v>0.291666666666667</v>
      </c>
      <c r="J2804" s="6" t="n">
        <v>0.349305555555556</v>
      </c>
      <c r="L2804" s="0" t="n">
        <v>720</v>
      </c>
      <c r="M2804" s="0" t="s">
        <v>13782</v>
      </c>
      <c r="N2804" s="0" t="s">
        <v>13783</v>
      </c>
      <c r="Q2804" s="2" t="n">
        <v>44473</v>
      </c>
      <c r="S2804" s="0" t="n">
        <f aca="false">YEAR(Q2804)</f>
        <v>2021</v>
      </c>
      <c r="T2804" s="0" t="n">
        <f aca="false">MONTH(Q2804)</f>
        <v>10</v>
      </c>
    </row>
    <row r="2805" customFormat="false" ht="14.25" hidden="true" customHeight="false" outlineLevel="0" collapsed="false">
      <c r="A2805" s="0" t="n">
        <v>2822</v>
      </c>
      <c r="B2805" s="1" t="s">
        <v>13775</v>
      </c>
      <c r="C2805" s="1" t="s">
        <v>1495</v>
      </c>
      <c r="D2805" s="1" t="s">
        <v>1487</v>
      </c>
      <c r="E2805" s="0" t="s">
        <v>40</v>
      </c>
      <c r="F2805" s="0" t="s">
        <v>48</v>
      </c>
      <c r="G2805" s="0" t="s">
        <v>13784</v>
      </c>
      <c r="H2805" s="0" t="s">
        <v>13784</v>
      </c>
      <c r="I2805" s="6" t="n">
        <v>0.291666666666667</v>
      </c>
      <c r="M2805" s="0" t="s">
        <v>13785</v>
      </c>
      <c r="N2805" s="0" t="s">
        <v>13786</v>
      </c>
      <c r="O2805" s="0" t="s">
        <v>13787</v>
      </c>
      <c r="P2805" s="0" t="s">
        <v>13788</v>
      </c>
      <c r="Q2805" s="2" t="n">
        <v>44473</v>
      </c>
      <c r="S2805" s="0" t="n">
        <f aca="false">YEAR(Q2805)</f>
        <v>2021</v>
      </c>
      <c r="T2805" s="0" t="n">
        <f aca="false">MONTH(Q2805)</f>
        <v>10</v>
      </c>
    </row>
    <row r="2806" customFormat="false" ht="14.25" hidden="true" customHeight="false" outlineLevel="0" collapsed="false">
      <c r="A2806" s="0" t="n">
        <v>2823</v>
      </c>
      <c r="B2806" s="1" t="s">
        <v>13775</v>
      </c>
      <c r="C2806" s="1" t="s">
        <v>1495</v>
      </c>
      <c r="D2806" s="1" t="s">
        <v>1487</v>
      </c>
      <c r="E2806" s="0" t="s">
        <v>40</v>
      </c>
      <c r="F2806" s="0" t="s">
        <v>49</v>
      </c>
      <c r="G2806" s="0" t="s">
        <v>9698</v>
      </c>
      <c r="H2806" s="0" t="s">
        <v>13781</v>
      </c>
      <c r="I2806" s="6" t="n">
        <v>0.291666666666667</v>
      </c>
      <c r="J2806" s="6" t="n">
        <v>0.349305555555556</v>
      </c>
      <c r="L2806" s="0" t="n">
        <v>720</v>
      </c>
      <c r="M2806" s="0" t="s">
        <v>13789</v>
      </c>
      <c r="N2806" s="0" t="s">
        <v>13790</v>
      </c>
      <c r="O2806" s="0" t="s">
        <v>13791</v>
      </c>
      <c r="P2806" s="0" t="s">
        <v>13792</v>
      </c>
      <c r="Q2806" s="2" t="n">
        <v>44473</v>
      </c>
      <c r="S2806" s="0" t="n">
        <f aca="false">YEAR(Q2806)</f>
        <v>2021</v>
      </c>
      <c r="T2806" s="0" t="n">
        <f aca="false">MONTH(Q2806)</f>
        <v>10</v>
      </c>
    </row>
    <row r="2807" customFormat="false" ht="14.25" hidden="true" customHeight="false" outlineLevel="0" collapsed="false">
      <c r="A2807" s="0" t="n">
        <v>2824</v>
      </c>
      <c r="B2807" s="1" t="s">
        <v>13775</v>
      </c>
      <c r="C2807" s="1" t="s">
        <v>1479</v>
      </c>
      <c r="D2807" s="1" t="s">
        <v>1535</v>
      </c>
      <c r="E2807" s="0" t="s">
        <v>39</v>
      </c>
      <c r="F2807" s="0" t="s">
        <v>49</v>
      </c>
      <c r="G2807" s="0" t="s">
        <v>3547</v>
      </c>
      <c r="H2807" s="0" t="s">
        <v>13793</v>
      </c>
      <c r="I2807" s="6" t="n">
        <v>0.868055555555555</v>
      </c>
      <c r="J2807" s="6" t="n">
        <v>0.870833333333333</v>
      </c>
      <c r="L2807" s="0" t="n">
        <v>25</v>
      </c>
      <c r="M2807" s="0" t="s">
        <v>13794</v>
      </c>
      <c r="N2807" s="0" t="s">
        <v>13795</v>
      </c>
      <c r="O2807" s="0" t="s">
        <v>13796</v>
      </c>
      <c r="P2807" s="0" t="s">
        <v>13797</v>
      </c>
      <c r="Q2807" s="2" t="n">
        <v>44473</v>
      </c>
      <c r="S2807" s="0" t="n">
        <f aca="false">YEAR(Q2807)</f>
        <v>2021</v>
      </c>
      <c r="T2807" s="0" t="n">
        <f aca="false">MONTH(Q2807)</f>
        <v>10</v>
      </c>
    </row>
    <row r="2808" customFormat="false" ht="14.25" hidden="true" customHeight="false" outlineLevel="0" collapsed="false">
      <c r="A2808" s="0" t="n">
        <v>2825</v>
      </c>
      <c r="B2808" s="1" t="s">
        <v>13798</v>
      </c>
      <c r="C2808" s="1" t="s">
        <v>1479</v>
      </c>
      <c r="D2808" s="1" t="s">
        <v>1487</v>
      </c>
      <c r="E2808" s="0" t="s">
        <v>1488</v>
      </c>
      <c r="F2808" s="0" t="s">
        <v>48</v>
      </c>
      <c r="G2808" s="0" t="s">
        <v>13799</v>
      </c>
      <c r="H2808" s="0" t="s">
        <v>13800</v>
      </c>
      <c r="I2808" s="6" t="n">
        <v>0.239583333333333</v>
      </c>
      <c r="J2808" s="6" t="n">
        <v>0.253472222222222</v>
      </c>
      <c r="M2808" s="0" t="s">
        <v>13801</v>
      </c>
      <c r="N2808" s="0" t="s">
        <v>13802</v>
      </c>
      <c r="O2808" s="0" t="s">
        <v>13803</v>
      </c>
      <c r="P2808" s="0" t="s">
        <v>13804</v>
      </c>
      <c r="Q2808" s="2" t="n">
        <v>44474</v>
      </c>
      <c r="S2808" s="0" t="n">
        <f aca="false">YEAR(Q2808)</f>
        <v>2021</v>
      </c>
      <c r="T2808" s="0" t="n">
        <f aca="false">MONTH(Q2808)</f>
        <v>10</v>
      </c>
    </row>
    <row r="2809" customFormat="false" ht="28.5" hidden="true" customHeight="false" outlineLevel="0" collapsed="false">
      <c r="A2809" s="0" t="n">
        <v>2826</v>
      </c>
      <c r="B2809" s="1" t="s">
        <v>13798</v>
      </c>
      <c r="C2809" s="1" t="s">
        <v>1479</v>
      </c>
      <c r="D2809" s="1" t="s">
        <v>1487</v>
      </c>
      <c r="E2809" s="0" t="s">
        <v>1488</v>
      </c>
      <c r="F2809" s="0" t="s">
        <v>49</v>
      </c>
      <c r="G2809" s="0" t="s">
        <v>13805</v>
      </c>
      <c r="H2809" s="0" t="s">
        <v>13806</v>
      </c>
      <c r="I2809" s="6" t="n">
        <v>0.784722222222222</v>
      </c>
      <c r="J2809" s="6" t="n">
        <v>0.784722222222222</v>
      </c>
      <c r="K2809" s="0" t="n">
        <v>0</v>
      </c>
      <c r="M2809" s="0" t="s">
        <v>13807</v>
      </c>
      <c r="N2809" s="0" t="s">
        <v>4784</v>
      </c>
      <c r="O2809" s="0" t="s">
        <v>13808</v>
      </c>
      <c r="P2809" s="7" t="s">
        <v>13809</v>
      </c>
      <c r="Q2809" s="2" t="n">
        <v>44474</v>
      </c>
      <c r="S2809" s="0" t="n">
        <f aca="false">YEAR(Q2809)</f>
        <v>2021</v>
      </c>
      <c r="T2809" s="0" t="n">
        <f aca="false">MONTH(Q2809)</f>
        <v>10</v>
      </c>
    </row>
    <row r="2810" customFormat="false" ht="14.25" hidden="true" customHeight="false" outlineLevel="0" collapsed="false">
      <c r="A2810" s="0" t="n">
        <v>2827</v>
      </c>
      <c r="B2810" s="1" t="s">
        <v>13798</v>
      </c>
      <c r="C2810" s="1" t="s">
        <v>1479</v>
      </c>
      <c r="D2810" s="1" t="s">
        <v>1535</v>
      </c>
      <c r="E2810" s="0" t="s">
        <v>39</v>
      </c>
      <c r="F2810" s="0" t="s">
        <v>49</v>
      </c>
      <c r="G2810" s="0" t="s">
        <v>13810</v>
      </c>
      <c r="H2810" s="0" t="s">
        <v>1537</v>
      </c>
      <c r="I2810" s="6" t="n">
        <v>0.868055555555555</v>
      </c>
      <c r="J2810" s="6" t="n">
        <v>0.890277777777778</v>
      </c>
      <c r="M2810" s="0" t="s">
        <v>13811</v>
      </c>
      <c r="N2810" s="0" t="s">
        <v>13812</v>
      </c>
      <c r="O2810" s="0" t="s">
        <v>13813</v>
      </c>
      <c r="P2810" s="0" t="s">
        <v>13814</v>
      </c>
      <c r="Q2810" s="2" t="n">
        <v>44474</v>
      </c>
      <c r="S2810" s="0" t="n">
        <f aca="false">YEAR(Q2810)</f>
        <v>2021</v>
      </c>
      <c r="T2810" s="0" t="n">
        <f aca="false">MONTH(Q2810)</f>
        <v>10</v>
      </c>
    </row>
    <row r="2811" customFormat="false" ht="14.25" hidden="true" customHeight="false" outlineLevel="0" collapsed="false">
      <c r="A2811" s="0" t="n">
        <v>2828</v>
      </c>
      <c r="B2811" s="1" t="s">
        <v>13815</v>
      </c>
      <c r="C2811" s="1" t="s">
        <v>1479</v>
      </c>
      <c r="D2811" s="1" t="s">
        <v>1535</v>
      </c>
      <c r="E2811" s="0" t="s">
        <v>39</v>
      </c>
      <c r="F2811" s="0" t="s">
        <v>48</v>
      </c>
      <c r="G2811" s="0" t="s">
        <v>13816</v>
      </c>
      <c r="H2811" s="0" t="s">
        <v>1537</v>
      </c>
      <c r="M2811" s="0" t="s">
        <v>13817</v>
      </c>
      <c r="Q2811" s="2" t="n">
        <v>44475</v>
      </c>
      <c r="S2811" s="0" t="n">
        <f aca="false">YEAR(Q2811)</f>
        <v>2021</v>
      </c>
      <c r="T2811" s="0" t="n">
        <f aca="false">MONTH(Q2811)</f>
        <v>10</v>
      </c>
    </row>
    <row r="2812" customFormat="false" ht="14.25" hidden="true" customHeight="false" outlineLevel="0" collapsed="false">
      <c r="A2812" s="0" t="n">
        <v>2829</v>
      </c>
      <c r="B2812" s="1" t="s">
        <v>13815</v>
      </c>
      <c r="C2812" s="1" t="s">
        <v>1479</v>
      </c>
      <c r="D2812" s="1" t="s">
        <v>1487</v>
      </c>
      <c r="E2812" s="4" t="s">
        <v>1488</v>
      </c>
      <c r="F2812" s="0" t="s">
        <v>49</v>
      </c>
      <c r="G2812" s="0" t="s">
        <v>13818</v>
      </c>
      <c r="H2812" s="0" t="s">
        <v>13819</v>
      </c>
      <c r="I2812" s="6" t="n">
        <v>0.876388888888889</v>
      </c>
      <c r="J2812" s="6" t="n">
        <v>0.897916666666667</v>
      </c>
      <c r="K2812" s="0" t="n">
        <v>15</v>
      </c>
      <c r="L2812" s="0" t="n">
        <v>110</v>
      </c>
      <c r="M2812" s="0" t="s">
        <v>13820</v>
      </c>
      <c r="N2812" s="0" t="s">
        <v>13821</v>
      </c>
      <c r="O2812" s="0" t="s">
        <v>13822</v>
      </c>
      <c r="P2812" s="0" t="s">
        <v>13823</v>
      </c>
      <c r="Q2812" s="2" t="n">
        <v>44475</v>
      </c>
      <c r="S2812" s="0" t="n">
        <f aca="false">YEAR(Q2812)</f>
        <v>2021</v>
      </c>
      <c r="T2812" s="0" t="n">
        <f aca="false">MONTH(Q2812)</f>
        <v>10</v>
      </c>
    </row>
    <row r="2813" customFormat="false" ht="14.25" hidden="true" customHeight="false" outlineLevel="0" collapsed="false">
      <c r="A2813" s="0" t="n">
        <v>2830</v>
      </c>
      <c r="B2813" s="1" t="s">
        <v>13824</v>
      </c>
      <c r="C2813" s="1" t="s">
        <v>1479</v>
      </c>
      <c r="D2813" s="1" t="s">
        <v>1535</v>
      </c>
      <c r="E2813" s="0" t="s">
        <v>39</v>
      </c>
      <c r="F2813" s="0" t="s">
        <v>48</v>
      </c>
      <c r="G2813" s="0" t="s">
        <v>13825</v>
      </c>
      <c r="H2813" s="0" t="s">
        <v>13826</v>
      </c>
      <c r="M2813" s="0" t="s">
        <v>13827</v>
      </c>
      <c r="N2813" s="0" t="s">
        <v>13828</v>
      </c>
      <c r="O2813" s="0" t="s">
        <v>13829</v>
      </c>
      <c r="P2813" s="0" t="s">
        <v>13830</v>
      </c>
      <c r="Q2813" s="2" t="n">
        <v>44467</v>
      </c>
      <c r="S2813" s="0" t="n">
        <f aca="false">YEAR(Q2813)</f>
        <v>2021</v>
      </c>
      <c r="T2813" s="0" t="n">
        <f aca="false">MONTH(Q2813)</f>
        <v>9</v>
      </c>
    </row>
    <row r="2814" customFormat="false" ht="14.25" hidden="true" customHeight="false" outlineLevel="0" collapsed="false">
      <c r="A2814" s="0" t="n">
        <v>2831</v>
      </c>
      <c r="B2814" s="1" t="s">
        <v>13824</v>
      </c>
      <c r="C2814" s="1" t="s">
        <v>1495</v>
      </c>
      <c r="D2814" s="1" t="s">
        <v>1487</v>
      </c>
      <c r="E2814" s="0" t="s">
        <v>40</v>
      </c>
      <c r="F2814" s="0" t="s">
        <v>49</v>
      </c>
      <c r="G2814" s="0" t="s">
        <v>10175</v>
      </c>
      <c r="H2814" s="0" t="s">
        <v>13831</v>
      </c>
      <c r="J2814" s="6" t="n">
        <v>0.692361111111111</v>
      </c>
      <c r="L2814" s="0" t="n">
        <v>30</v>
      </c>
      <c r="M2814" s="0" t="s">
        <v>13832</v>
      </c>
      <c r="N2814" s="0" t="s">
        <v>13833</v>
      </c>
      <c r="O2814" s="0" t="s">
        <v>13834</v>
      </c>
      <c r="P2814" s="0" t="s">
        <v>13835</v>
      </c>
      <c r="Q2814" s="2" t="n">
        <v>44467</v>
      </c>
      <c r="S2814" s="0" t="n">
        <f aca="false">YEAR(Q2814)</f>
        <v>2021</v>
      </c>
      <c r="T2814" s="0" t="n">
        <f aca="false">MONTH(Q2814)</f>
        <v>9</v>
      </c>
    </row>
    <row r="2815" customFormat="false" ht="14.25" hidden="true" customHeight="false" outlineLevel="0" collapsed="false">
      <c r="A2815" s="0" t="n">
        <v>2832</v>
      </c>
      <c r="B2815" s="1" t="s">
        <v>13824</v>
      </c>
      <c r="C2815" s="1" t="s">
        <v>1479</v>
      </c>
      <c r="D2815" s="1" t="s">
        <v>1496</v>
      </c>
      <c r="E2815" s="0" t="s">
        <v>38</v>
      </c>
      <c r="F2815" s="0" t="s">
        <v>49</v>
      </c>
      <c r="G2815" s="0" t="s">
        <v>13836</v>
      </c>
      <c r="H2815" s="0" t="s">
        <v>2524</v>
      </c>
      <c r="J2815" s="6" t="n">
        <v>0.875694444444444</v>
      </c>
      <c r="L2815" s="0" t="n">
        <v>45</v>
      </c>
      <c r="M2815" s="0" t="s">
        <v>13837</v>
      </c>
      <c r="N2815" s="0" t="s">
        <v>13838</v>
      </c>
      <c r="O2815" s="0" t="s">
        <v>13839</v>
      </c>
      <c r="P2815" s="0" t="s">
        <v>13840</v>
      </c>
      <c r="Q2815" s="2" t="n">
        <v>44467</v>
      </c>
      <c r="R2815" s="0" t="n">
        <v>1016825</v>
      </c>
      <c r="S2815" s="0" t="n">
        <f aca="false">YEAR(Q2815)</f>
        <v>2021</v>
      </c>
      <c r="T2815" s="0" t="n">
        <f aca="false">MONTH(Q2815)</f>
        <v>9</v>
      </c>
    </row>
    <row r="2816" customFormat="false" ht="14.25" hidden="true" customHeight="false" outlineLevel="0" collapsed="false">
      <c r="A2816" s="0" t="n">
        <v>2833</v>
      </c>
      <c r="B2816" s="1" t="s">
        <v>13824</v>
      </c>
      <c r="C2816" s="1" t="s">
        <v>1495</v>
      </c>
      <c r="D2816" s="1" t="s">
        <v>1535</v>
      </c>
      <c r="E2816" s="0" t="s">
        <v>42</v>
      </c>
      <c r="F2816" s="0" t="s">
        <v>49</v>
      </c>
      <c r="G2816" s="0" t="s">
        <v>13841</v>
      </c>
      <c r="H2816" s="0" t="s">
        <v>13769</v>
      </c>
      <c r="J2816" s="6" t="n">
        <v>0.907638888888889</v>
      </c>
      <c r="L2816" s="0" t="n">
        <v>45</v>
      </c>
      <c r="M2816" s="0" t="s">
        <v>13842</v>
      </c>
      <c r="N2816" s="0" t="s">
        <v>13843</v>
      </c>
      <c r="O2816" s="0" t="s">
        <v>13844</v>
      </c>
      <c r="P2816" s="0" t="s">
        <v>13845</v>
      </c>
      <c r="Q2816" s="2" t="n">
        <v>44467</v>
      </c>
      <c r="R2816" s="0" t="n">
        <v>1016802</v>
      </c>
      <c r="S2816" s="0" t="n">
        <f aca="false">YEAR(Q2816)</f>
        <v>2021</v>
      </c>
      <c r="T2816" s="0" t="n">
        <f aca="false">MONTH(Q2816)</f>
        <v>9</v>
      </c>
    </row>
    <row r="2817" customFormat="false" ht="14.25" hidden="true" customHeight="false" outlineLevel="0" collapsed="false">
      <c r="A2817" s="0" t="n">
        <v>2834</v>
      </c>
      <c r="B2817" s="1" t="s">
        <v>13846</v>
      </c>
      <c r="C2817" s="1" t="s">
        <v>1479</v>
      </c>
      <c r="D2817" s="1" t="s">
        <v>1487</v>
      </c>
      <c r="E2817" s="0" t="s">
        <v>1488</v>
      </c>
      <c r="F2817" s="0" t="s">
        <v>49</v>
      </c>
      <c r="G2817" s="0" t="s">
        <v>12286</v>
      </c>
      <c r="H2817" s="0" t="s">
        <v>4063</v>
      </c>
      <c r="I2817" s="6" t="n">
        <v>0.675694444444444</v>
      </c>
      <c r="J2817" s="6" t="n">
        <v>0.717361111111111</v>
      </c>
      <c r="M2817" s="0" t="s">
        <v>13847</v>
      </c>
      <c r="N2817" s="0" t="s">
        <v>13848</v>
      </c>
      <c r="O2817" s="0" t="s">
        <v>13849</v>
      </c>
      <c r="P2817" s="0" t="s">
        <v>13850</v>
      </c>
      <c r="Q2817" s="2" t="n">
        <v>44468</v>
      </c>
      <c r="R2817" s="0" t="n">
        <v>1016749</v>
      </c>
      <c r="S2817" s="0" t="n">
        <f aca="false">YEAR(Q2817)</f>
        <v>2021</v>
      </c>
      <c r="T2817" s="0" t="n">
        <f aca="false">MONTH(Q2817)</f>
        <v>9</v>
      </c>
    </row>
    <row r="2818" customFormat="false" ht="14.25" hidden="true" customHeight="false" outlineLevel="0" collapsed="false">
      <c r="A2818" s="0" t="n">
        <v>2835</v>
      </c>
      <c r="B2818" s="1" t="s">
        <v>13846</v>
      </c>
      <c r="C2818" s="1" t="s">
        <v>1503</v>
      </c>
      <c r="D2818" s="1" t="s">
        <v>1648</v>
      </c>
      <c r="E2818" s="0" t="s">
        <v>1648</v>
      </c>
      <c r="F2818" s="0" t="s">
        <v>49</v>
      </c>
      <c r="G2818" s="0" t="s">
        <v>13851</v>
      </c>
      <c r="H2818" s="0" t="s">
        <v>13852</v>
      </c>
      <c r="I2818" s="6" t="n">
        <v>0.361111111111111</v>
      </c>
      <c r="J2818" s="6" t="n">
        <v>0.900694444444444</v>
      </c>
      <c r="M2818" s="0" t="s">
        <v>13853</v>
      </c>
      <c r="N2818" s="0" t="s">
        <v>13854</v>
      </c>
      <c r="O2818" s="0" t="s">
        <v>13855</v>
      </c>
      <c r="P2818" s="0" t="s">
        <v>13856</v>
      </c>
      <c r="Q2818" s="2" t="n">
        <v>44468</v>
      </c>
      <c r="S2818" s="0" t="n">
        <f aca="false">YEAR(Q2818)</f>
        <v>2021</v>
      </c>
      <c r="T2818" s="0" t="n">
        <f aca="false">MONTH(Q2818)</f>
        <v>9</v>
      </c>
    </row>
    <row r="2819" customFormat="false" ht="14.25" hidden="true" customHeight="false" outlineLevel="0" collapsed="false">
      <c r="A2819" s="0" t="n">
        <v>2836</v>
      </c>
      <c r="B2819" s="1" t="s">
        <v>13857</v>
      </c>
      <c r="C2819" s="1" t="s">
        <v>1495</v>
      </c>
      <c r="D2819" s="1" t="s">
        <v>1535</v>
      </c>
      <c r="E2819" s="0" t="s">
        <v>42</v>
      </c>
      <c r="F2819" s="0" t="s">
        <v>48</v>
      </c>
      <c r="G2819" s="0" t="s">
        <v>13858</v>
      </c>
      <c r="H2819" s="0" t="s">
        <v>13859</v>
      </c>
      <c r="I2819" s="6" t="n">
        <v>0.284722222222222</v>
      </c>
      <c r="J2819" s="6" t="n">
        <v>0.298611111111111</v>
      </c>
      <c r="L2819" s="0" t="n">
        <v>222</v>
      </c>
      <c r="M2819" s="0" t="s">
        <v>13860</v>
      </c>
      <c r="N2819" s="0" t="s">
        <v>13861</v>
      </c>
      <c r="P2819" s="0" t="s">
        <v>13862</v>
      </c>
      <c r="Q2819" s="2" t="n">
        <v>44476</v>
      </c>
      <c r="S2819" s="0" t="n">
        <f aca="false">YEAR(Q2819)</f>
        <v>2021</v>
      </c>
      <c r="T2819" s="0" t="n">
        <f aca="false">MONTH(Q2819)</f>
        <v>10</v>
      </c>
    </row>
    <row r="2820" customFormat="false" ht="14.25" hidden="true" customHeight="false" outlineLevel="0" collapsed="false">
      <c r="A2820" s="0" t="n">
        <v>2837</v>
      </c>
      <c r="B2820" s="1" t="s">
        <v>13863</v>
      </c>
      <c r="C2820" s="1" t="s">
        <v>1495</v>
      </c>
      <c r="D2820" s="1" t="s">
        <v>1487</v>
      </c>
      <c r="E2820" s="0" t="s">
        <v>40</v>
      </c>
      <c r="F2820" s="0" t="s">
        <v>48</v>
      </c>
      <c r="G2820" s="0" t="s">
        <v>13864</v>
      </c>
      <c r="H2820" s="0" t="s">
        <v>13865</v>
      </c>
      <c r="I2820" s="6" t="n">
        <v>0.368055555555556</v>
      </c>
      <c r="J2820" s="6" t="n">
        <v>0.386111111111111</v>
      </c>
      <c r="L2820" s="0" t="n">
        <v>60</v>
      </c>
      <c r="M2820" s="0" t="s">
        <v>13866</v>
      </c>
      <c r="N2820" s="0" t="s">
        <v>13867</v>
      </c>
      <c r="O2820" s="0" t="s">
        <v>13868</v>
      </c>
      <c r="P2820" s="0" t="s">
        <v>13869</v>
      </c>
      <c r="Q2820" s="2" t="n">
        <v>44477</v>
      </c>
      <c r="S2820" s="0" t="n">
        <f aca="false">YEAR(Q2820)</f>
        <v>2021</v>
      </c>
      <c r="T2820" s="0" t="n">
        <f aca="false">MONTH(Q2820)</f>
        <v>10</v>
      </c>
    </row>
    <row r="2821" customFormat="false" ht="14.25" hidden="true" customHeight="false" outlineLevel="0" collapsed="false">
      <c r="A2821" s="0" t="n">
        <v>2838</v>
      </c>
      <c r="B2821" s="1" t="s">
        <v>13870</v>
      </c>
      <c r="C2821" s="1" t="s">
        <v>1479</v>
      </c>
      <c r="D2821" s="1" t="s">
        <v>1487</v>
      </c>
      <c r="E2821" s="0" t="s">
        <v>1488</v>
      </c>
      <c r="F2821" s="0" t="s">
        <v>48</v>
      </c>
      <c r="G2821" s="0" t="s">
        <v>13871</v>
      </c>
      <c r="H2821" s="0" t="s">
        <v>13872</v>
      </c>
      <c r="I2821" s="6" t="n">
        <v>0.28125</v>
      </c>
      <c r="J2821" s="6" t="n">
        <v>0.304166666666667</v>
      </c>
      <c r="K2821" s="0" t="n">
        <v>26</v>
      </c>
      <c r="L2821" s="0" t="n">
        <v>138</v>
      </c>
      <c r="M2821" s="0" t="s">
        <v>13873</v>
      </c>
      <c r="N2821" s="0" t="s">
        <v>13874</v>
      </c>
      <c r="O2821" s="0" t="s">
        <v>13875</v>
      </c>
      <c r="P2821" s="0" t="s">
        <v>13876</v>
      </c>
      <c r="Q2821" s="2" t="n">
        <v>44482</v>
      </c>
      <c r="R2821" s="0" t="n">
        <v>1016846</v>
      </c>
      <c r="S2821" s="0" t="n">
        <f aca="false">YEAR(Q2821)</f>
        <v>2021</v>
      </c>
      <c r="T2821" s="0" t="n">
        <f aca="false">MONTH(Q2821)</f>
        <v>10</v>
      </c>
    </row>
    <row r="2822" customFormat="false" ht="14.25" hidden="true" customHeight="false" outlineLevel="0" collapsed="false">
      <c r="A2822" s="0" t="n">
        <v>2839</v>
      </c>
      <c r="B2822" s="1" t="s">
        <v>13870</v>
      </c>
      <c r="C2822" s="1" t="s">
        <v>1479</v>
      </c>
      <c r="D2822" s="1" t="s">
        <v>1535</v>
      </c>
      <c r="E2822" s="0" t="s">
        <v>39</v>
      </c>
      <c r="F2822" s="0" t="s">
        <v>48</v>
      </c>
      <c r="G2822" s="0" t="s">
        <v>13763</v>
      </c>
      <c r="H2822" s="0" t="s">
        <v>13877</v>
      </c>
      <c r="I2822" s="6" t="n">
        <v>0.240972222222222</v>
      </c>
      <c r="J2822" s="6" t="n">
        <v>0.25625</v>
      </c>
      <c r="L2822" s="0" t="n">
        <v>65</v>
      </c>
      <c r="M2822" s="0" t="s">
        <v>13878</v>
      </c>
      <c r="N2822" s="0" t="s">
        <v>13879</v>
      </c>
      <c r="O2822" s="0" t="s">
        <v>13880</v>
      </c>
      <c r="Q2822" s="2" t="n">
        <v>44482</v>
      </c>
      <c r="S2822" s="0" t="n">
        <f aca="false">YEAR(Q2822)</f>
        <v>2021</v>
      </c>
      <c r="T2822" s="0" t="n">
        <f aca="false">MONTH(Q2822)</f>
        <v>10</v>
      </c>
    </row>
    <row r="2823" customFormat="false" ht="14.25" hidden="true" customHeight="false" outlineLevel="0" collapsed="false">
      <c r="A2823" s="0" t="n">
        <v>2840</v>
      </c>
      <c r="B2823" s="1" t="s">
        <v>13881</v>
      </c>
      <c r="C2823" s="1" t="s">
        <v>1479</v>
      </c>
      <c r="D2823" s="1" t="s">
        <v>1487</v>
      </c>
      <c r="E2823" s="0" t="s">
        <v>1488</v>
      </c>
      <c r="F2823" s="0" t="s">
        <v>48</v>
      </c>
      <c r="G2823" s="0" t="s">
        <v>10952</v>
      </c>
      <c r="H2823" s="0" t="s">
        <v>13882</v>
      </c>
      <c r="I2823" s="6" t="n">
        <v>0.423611111111111</v>
      </c>
      <c r="J2823" s="6" t="n">
        <v>0.448611111111111</v>
      </c>
      <c r="L2823" s="0" t="n">
        <v>55</v>
      </c>
      <c r="M2823" s="0" t="s">
        <v>13883</v>
      </c>
      <c r="N2823" s="0" t="s">
        <v>13884</v>
      </c>
      <c r="O2823" s="0" t="s">
        <v>13885</v>
      </c>
      <c r="P2823" s="0" t="s">
        <v>13886</v>
      </c>
      <c r="Q2823" s="2" t="n">
        <v>44491</v>
      </c>
      <c r="S2823" s="0" t="n">
        <f aca="false">YEAR(Q2823)</f>
        <v>2021</v>
      </c>
      <c r="T2823" s="0" t="n">
        <f aca="false">MONTH(Q2823)</f>
        <v>10</v>
      </c>
    </row>
    <row r="2824" customFormat="false" ht="14.25" hidden="true" customHeight="false" outlineLevel="0" collapsed="false">
      <c r="A2824" s="0" t="n">
        <v>2841</v>
      </c>
      <c r="B2824" s="1" t="s">
        <v>13887</v>
      </c>
      <c r="C2824" s="1" t="s">
        <v>1479</v>
      </c>
      <c r="D2824" s="1" t="s">
        <v>1487</v>
      </c>
      <c r="E2824" s="0" t="s">
        <v>1488</v>
      </c>
      <c r="F2824" s="0" t="s">
        <v>48</v>
      </c>
      <c r="G2824" s="0" t="s">
        <v>13888</v>
      </c>
      <c r="H2824" s="0" t="s">
        <v>13889</v>
      </c>
      <c r="I2824" s="6" t="n">
        <v>0.263888888888889</v>
      </c>
      <c r="J2824" s="6" t="n">
        <v>0.309722222222222</v>
      </c>
      <c r="L2824" s="0" t="n">
        <v>120</v>
      </c>
      <c r="M2824" s="0" t="s">
        <v>13890</v>
      </c>
      <c r="N2824" s="0" t="s">
        <v>13891</v>
      </c>
      <c r="P2824" s="0" t="s">
        <v>13892</v>
      </c>
      <c r="Q2824" s="2" t="n">
        <v>44496</v>
      </c>
      <c r="S2824" s="0" t="n">
        <f aca="false">YEAR(Q2824)</f>
        <v>2021</v>
      </c>
      <c r="T2824" s="0" t="n">
        <f aca="false">MONTH(Q2824)</f>
        <v>10</v>
      </c>
    </row>
    <row r="2825" customFormat="false" ht="14.25" hidden="true" customHeight="false" outlineLevel="0" collapsed="false">
      <c r="A2825" s="0" t="n">
        <v>2842</v>
      </c>
      <c r="B2825" s="1" t="s">
        <v>13893</v>
      </c>
      <c r="C2825" s="1" t="s">
        <v>1479</v>
      </c>
      <c r="D2825" s="1" t="s">
        <v>1496</v>
      </c>
      <c r="E2825" s="0" t="s">
        <v>38</v>
      </c>
      <c r="F2825" s="0" t="s">
        <v>48</v>
      </c>
      <c r="G2825" s="0" t="s">
        <v>13894</v>
      </c>
      <c r="H2825" s="0" t="s">
        <v>2508</v>
      </c>
      <c r="J2825" s="6" t="n">
        <v>0.281944444444444</v>
      </c>
      <c r="M2825" s="0" t="s">
        <v>13895</v>
      </c>
      <c r="N2825" s="0" t="s">
        <v>13896</v>
      </c>
      <c r="O2825" s="0" t="s">
        <v>13897</v>
      </c>
      <c r="P2825" s="0" t="s">
        <v>13898</v>
      </c>
      <c r="Q2825" s="2" t="n">
        <v>44503</v>
      </c>
      <c r="S2825" s="0" t="n">
        <f aca="false">YEAR(Q2825)</f>
        <v>2021</v>
      </c>
      <c r="T2825" s="0" t="n">
        <f aca="false">MONTH(Q2825)</f>
        <v>11</v>
      </c>
    </row>
    <row r="2826" customFormat="false" ht="14.25" hidden="true" customHeight="false" outlineLevel="0" collapsed="false">
      <c r="A2826" s="0" t="n">
        <v>2843</v>
      </c>
      <c r="B2826" s="1" t="s">
        <v>13893</v>
      </c>
      <c r="C2826" s="1" t="s">
        <v>1479</v>
      </c>
      <c r="D2826" s="1" t="s">
        <v>1480</v>
      </c>
      <c r="E2826" s="0" t="s">
        <v>43</v>
      </c>
      <c r="F2826" s="0" t="s">
        <v>48</v>
      </c>
      <c r="G2826" s="0" t="s">
        <v>13899</v>
      </c>
      <c r="H2826" s="0" t="s">
        <v>13600</v>
      </c>
      <c r="I2826" s="6" t="n">
        <v>0.274305555555555</v>
      </c>
      <c r="J2826" s="6" t="n">
        <v>0.359722222222222</v>
      </c>
      <c r="M2826" s="0" t="s">
        <v>13900</v>
      </c>
      <c r="N2826" s="0" t="s">
        <v>13901</v>
      </c>
      <c r="P2826" s="0" t="s">
        <v>13902</v>
      </c>
      <c r="Q2826" s="2" t="n">
        <v>44503</v>
      </c>
      <c r="S2826" s="0" t="n">
        <f aca="false">YEAR(Q2826)</f>
        <v>2021</v>
      </c>
      <c r="T2826" s="0" t="n">
        <f aca="false">MONTH(Q2826)</f>
        <v>11</v>
      </c>
    </row>
    <row r="2827" customFormat="false" ht="14.25" hidden="true" customHeight="false" outlineLevel="0" collapsed="false">
      <c r="A2827" s="0" t="n">
        <v>2844</v>
      </c>
      <c r="B2827" s="1" t="s">
        <v>13893</v>
      </c>
      <c r="C2827" s="1" t="s">
        <v>1503</v>
      </c>
      <c r="D2827" s="1" t="s">
        <v>1535</v>
      </c>
      <c r="E2827" s="0" t="s">
        <v>1503</v>
      </c>
      <c r="F2827" s="0" t="s">
        <v>48</v>
      </c>
      <c r="G2827" s="0" t="s">
        <v>13903</v>
      </c>
      <c r="H2827" s="0" t="s">
        <v>13904</v>
      </c>
      <c r="I2827" s="6" t="n">
        <v>0.354166666666667</v>
      </c>
      <c r="J2827" s="6" t="n">
        <v>0.385416666666667</v>
      </c>
      <c r="L2827" s="0" t="n">
        <v>120</v>
      </c>
      <c r="M2827" s="0" t="s">
        <v>13905</v>
      </c>
      <c r="N2827" s="0" t="s">
        <v>13906</v>
      </c>
      <c r="O2827" s="0" t="s">
        <v>13907</v>
      </c>
      <c r="P2827" s="0" t="s">
        <v>13908</v>
      </c>
      <c r="Q2827" s="2" t="n">
        <v>44503</v>
      </c>
      <c r="S2827" s="0" t="n">
        <f aca="false">YEAR(Q2827)</f>
        <v>2021</v>
      </c>
      <c r="T2827" s="0" t="n">
        <f aca="false">MONTH(Q2827)</f>
        <v>11</v>
      </c>
    </row>
    <row r="2828" customFormat="false" ht="14.25" hidden="true" customHeight="false" outlineLevel="0" collapsed="false">
      <c r="A2828" s="0" t="n">
        <v>2845</v>
      </c>
      <c r="B2828" s="1" t="s">
        <v>13893</v>
      </c>
      <c r="C2828" s="1" t="s">
        <v>1495</v>
      </c>
      <c r="D2828" s="1" t="s">
        <v>1487</v>
      </c>
      <c r="E2828" s="0" t="s">
        <v>40</v>
      </c>
      <c r="F2828" s="0" t="s">
        <v>48</v>
      </c>
      <c r="G2828" s="0" t="s">
        <v>13909</v>
      </c>
      <c r="H2828" s="0" t="s">
        <v>13910</v>
      </c>
      <c r="I2828" s="6" t="n">
        <v>0.416666666666667</v>
      </c>
      <c r="J2828" s="6" t="n">
        <v>0.419444444444444</v>
      </c>
      <c r="L2828" s="0" t="n">
        <v>60</v>
      </c>
      <c r="M2828" s="0" t="s">
        <v>13911</v>
      </c>
      <c r="N2828" s="0" t="s">
        <v>13912</v>
      </c>
      <c r="P2828" s="0" t="s">
        <v>13913</v>
      </c>
      <c r="Q2828" s="2" t="n">
        <v>44503</v>
      </c>
      <c r="S2828" s="0" t="n">
        <f aca="false">YEAR(Q2828)</f>
        <v>2021</v>
      </c>
      <c r="T2828" s="0" t="n">
        <f aca="false">MONTH(Q2828)</f>
        <v>11</v>
      </c>
    </row>
    <row r="2829" customFormat="false" ht="14.25" hidden="true" customHeight="false" outlineLevel="0" collapsed="false">
      <c r="A2829" s="0" t="n">
        <v>2846</v>
      </c>
      <c r="B2829" s="1" t="s">
        <v>13893</v>
      </c>
      <c r="C2829" s="1" t="s">
        <v>1479</v>
      </c>
      <c r="D2829" s="1" t="s">
        <v>1535</v>
      </c>
      <c r="E2829" s="0" t="s">
        <v>39</v>
      </c>
      <c r="F2829" s="0" t="s">
        <v>48</v>
      </c>
      <c r="G2829" s="0" t="s">
        <v>13914</v>
      </c>
      <c r="H2829" s="0" t="s">
        <v>13915</v>
      </c>
      <c r="M2829" s="0" t="s">
        <v>13916</v>
      </c>
      <c r="N2829" s="0" t="s">
        <v>13917</v>
      </c>
      <c r="P2829" s="0" t="s">
        <v>13918</v>
      </c>
      <c r="Q2829" s="2" t="n">
        <v>44503</v>
      </c>
      <c r="S2829" s="0" t="n">
        <f aca="false">YEAR(Q2829)</f>
        <v>2021</v>
      </c>
      <c r="T2829" s="0" t="n">
        <f aca="false">MONTH(Q2829)</f>
        <v>11</v>
      </c>
    </row>
    <row r="2830" customFormat="false" ht="14.25" hidden="true" customHeight="false" outlineLevel="0" collapsed="false">
      <c r="A2830" s="0" t="n">
        <v>2847</v>
      </c>
      <c r="B2830" s="1" t="s">
        <v>13893</v>
      </c>
      <c r="C2830" s="1" t="s">
        <v>1479</v>
      </c>
      <c r="D2830" s="1" t="s">
        <v>1535</v>
      </c>
      <c r="E2830" s="0" t="s">
        <v>39</v>
      </c>
      <c r="F2830" s="0" t="s">
        <v>48</v>
      </c>
      <c r="G2830" s="0" t="s">
        <v>13919</v>
      </c>
      <c r="H2830" s="0" t="s">
        <v>13920</v>
      </c>
      <c r="J2830" s="6" t="n">
        <v>0.458333333333333</v>
      </c>
      <c r="M2830" s="0" t="s">
        <v>13921</v>
      </c>
      <c r="N2830" s="0" t="s">
        <v>13922</v>
      </c>
      <c r="O2830" s="0" t="s">
        <v>13923</v>
      </c>
      <c r="P2830" s="0" t="s">
        <v>13924</v>
      </c>
      <c r="Q2830" s="2" t="n">
        <v>44503</v>
      </c>
      <c r="S2830" s="0" t="n">
        <f aca="false">YEAR(Q2830)</f>
        <v>2021</v>
      </c>
      <c r="T2830" s="0" t="n">
        <f aca="false">MONTH(Q2830)</f>
        <v>11</v>
      </c>
    </row>
    <row r="2831" customFormat="false" ht="14.25" hidden="true" customHeight="false" outlineLevel="0" collapsed="false">
      <c r="A2831" s="0" t="n">
        <v>2848</v>
      </c>
      <c r="B2831" s="1" t="s">
        <v>13925</v>
      </c>
      <c r="C2831" s="1" t="s">
        <v>1479</v>
      </c>
      <c r="D2831" s="1" t="s">
        <v>1863</v>
      </c>
      <c r="E2831" s="0" t="s">
        <v>1863</v>
      </c>
      <c r="F2831" s="0" t="s">
        <v>48</v>
      </c>
      <c r="G2831" s="0" t="s">
        <v>13926</v>
      </c>
      <c r="H2831" s="0" t="s">
        <v>13927</v>
      </c>
      <c r="J2831" s="6" t="n">
        <v>0.333333333333333</v>
      </c>
      <c r="K2831" s="0" t="n">
        <v>0</v>
      </c>
      <c r="M2831" s="0" t="s">
        <v>13928</v>
      </c>
      <c r="N2831" s="0" t="s">
        <v>13929</v>
      </c>
      <c r="O2831" s="0" t="s">
        <v>13930</v>
      </c>
      <c r="P2831" s="0" t="s">
        <v>13931</v>
      </c>
      <c r="Q2831" s="2" t="n">
        <v>44504</v>
      </c>
      <c r="S2831" s="0" t="n">
        <f aca="false">YEAR(Q2831)</f>
        <v>2021</v>
      </c>
      <c r="T2831" s="0" t="n">
        <f aca="false">MONTH(Q2831)</f>
        <v>11</v>
      </c>
    </row>
    <row r="2832" customFormat="false" ht="14.25" hidden="true" customHeight="false" outlineLevel="0" collapsed="false">
      <c r="A2832" s="0" t="n">
        <v>2849</v>
      </c>
      <c r="B2832" s="1" t="s">
        <v>13932</v>
      </c>
      <c r="C2832" s="1" t="s">
        <v>1495</v>
      </c>
      <c r="D2832" s="1" t="s">
        <v>1496</v>
      </c>
      <c r="E2832" s="0" t="s">
        <v>41</v>
      </c>
      <c r="F2832" s="0" t="s">
        <v>48</v>
      </c>
      <c r="G2832" s="0" t="s">
        <v>13933</v>
      </c>
      <c r="H2832" s="0" t="s">
        <v>13752</v>
      </c>
      <c r="J2832" s="6" t="n">
        <v>0.447916666666667</v>
      </c>
      <c r="K2832" s="0" t="n">
        <v>0</v>
      </c>
      <c r="L2832" s="0" t="n">
        <v>0</v>
      </c>
      <c r="M2832" s="0" t="s">
        <v>13934</v>
      </c>
      <c r="N2832" s="0" t="s">
        <v>13935</v>
      </c>
      <c r="O2832" s="0" t="s">
        <v>13936</v>
      </c>
      <c r="P2832" s="0" t="s">
        <v>13937</v>
      </c>
      <c r="Q2832" s="2" t="n">
        <v>44505</v>
      </c>
      <c r="S2832" s="0" t="n">
        <f aca="false">YEAR(Q2832)</f>
        <v>2021</v>
      </c>
      <c r="T2832" s="0" t="n">
        <f aca="false">MONTH(Q2832)</f>
        <v>11</v>
      </c>
    </row>
    <row r="2833" customFormat="false" ht="14.25" hidden="true" customHeight="false" outlineLevel="0" collapsed="false">
      <c r="A2833" s="0" t="n">
        <v>2850</v>
      </c>
      <c r="B2833" s="1" t="s">
        <v>13932</v>
      </c>
      <c r="C2833" s="1" t="s">
        <v>1503</v>
      </c>
      <c r="D2833" s="1" t="s">
        <v>1535</v>
      </c>
      <c r="E2833" s="0" t="s">
        <v>1503</v>
      </c>
      <c r="F2833" s="0" t="s">
        <v>48</v>
      </c>
      <c r="G2833" s="0" t="s">
        <v>13938</v>
      </c>
      <c r="H2833" s="0" t="s">
        <v>13939</v>
      </c>
      <c r="J2833" s="6" t="n">
        <v>0.559722222222222</v>
      </c>
      <c r="M2833" s="0" t="s">
        <v>13940</v>
      </c>
      <c r="N2833" s="0" t="s">
        <v>13941</v>
      </c>
      <c r="O2833" s="0" t="s">
        <v>13942</v>
      </c>
      <c r="P2833" s="0" t="s">
        <v>13943</v>
      </c>
      <c r="Q2833" s="2" t="n">
        <v>44505</v>
      </c>
      <c r="S2833" s="0" t="n">
        <f aca="false">YEAR(Q2833)</f>
        <v>2021</v>
      </c>
      <c r="T2833" s="0" t="n">
        <f aca="false">MONTH(Q2833)</f>
        <v>11</v>
      </c>
    </row>
    <row r="2834" customFormat="false" ht="14.25" hidden="true" customHeight="false" outlineLevel="0" collapsed="false">
      <c r="A2834" s="0" t="n">
        <v>2851</v>
      </c>
      <c r="B2834" s="1" t="s">
        <v>13932</v>
      </c>
      <c r="C2834" s="1" t="s">
        <v>1503</v>
      </c>
      <c r="D2834" s="1" t="s">
        <v>1535</v>
      </c>
      <c r="E2834" s="0" t="s">
        <v>1503</v>
      </c>
      <c r="F2834" s="0" t="s">
        <v>48</v>
      </c>
      <c r="G2834" s="0" t="s">
        <v>13944</v>
      </c>
      <c r="H2834" s="0" t="s">
        <v>4303</v>
      </c>
      <c r="J2834" s="6" t="n">
        <v>0.503472222222222</v>
      </c>
      <c r="M2834" s="0" t="s">
        <v>13945</v>
      </c>
      <c r="N2834" s="0" t="s">
        <v>13946</v>
      </c>
      <c r="P2834" s="0" t="s">
        <v>13947</v>
      </c>
      <c r="Q2834" s="2" t="n">
        <v>44505</v>
      </c>
      <c r="S2834" s="0" t="n">
        <f aca="false">YEAR(Q2834)</f>
        <v>2021</v>
      </c>
      <c r="T2834" s="0" t="n">
        <f aca="false">MONTH(Q2834)</f>
        <v>11</v>
      </c>
    </row>
    <row r="2835" customFormat="false" ht="14.25" hidden="true" customHeight="false" outlineLevel="0" collapsed="false">
      <c r="A2835" s="0" t="n">
        <v>2852</v>
      </c>
      <c r="B2835" s="1" t="s">
        <v>13948</v>
      </c>
      <c r="C2835" s="1" t="s">
        <v>1495</v>
      </c>
      <c r="D2835" s="1" t="s">
        <v>1487</v>
      </c>
      <c r="E2835" s="0" t="s">
        <v>40</v>
      </c>
      <c r="F2835" s="0" t="s">
        <v>48</v>
      </c>
      <c r="G2835" s="0" t="s">
        <v>13699</v>
      </c>
      <c r="H2835" s="0" t="s">
        <v>13700</v>
      </c>
      <c r="M2835" s="0" t="s">
        <v>13949</v>
      </c>
      <c r="Q2835" s="2" t="n">
        <v>44506</v>
      </c>
      <c r="S2835" s="0" t="n">
        <f aca="false">YEAR(Q2835)</f>
        <v>2021</v>
      </c>
      <c r="T2835" s="0" t="n">
        <f aca="false">MONTH(Q2835)</f>
        <v>11</v>
      </c>
    </row>
    <row r="2836" customFormat="false" ht="14.25" hidden="true" customHeight="false" outlineLevel="0" collapsed="false">
      <c r="A2836" s="0" t="n">
        <v>2853</v>
      </c>
      <c r="B2836" s="1" t="s">
        <v>13950</v>
      </c>
      <c r="C2836" s="1" t="s">
        <v>1479</v>
      </c>
      <c r="D2836" s="1" t="s">
        <v>1487</v>
      </c>
      <c r="E2836" s="0" t="s">
        <v>1488</v>
      </c>
      <c r="F2836" s="0" t="s">
        <v>48</v>
      </c>
      <c r="G2836" s="0" t="s">
        <v>13951</v>
      </c>
      <c r="H2836" s="0" t="s">
        <v>13630</v>
      </c>
      <c r="M2836" s="0" t="s">
        <v>13952</v>
      </c>
      <c r="O2836" s="0" t="s">
        <v>13953</v>
      </c>
      <c r="P2836" s="0" t="s">
        <v>13954</v>
      </c>
      <c r="Q2836" s="2" t="n">
        <v>44508</v>
      </c>
      <c r="S2836" s="0" t="n">
        <f aca="false">YEAR(Q2836)</f>
        <v>2021</v>
      </c>
      <c r="T2836" s="0" t="n">
        <f aca="false">MONTH(Q2836)</f>
        <v>11</v>
      </c>
    </row>
    <row r="2837" customFormat="false" ht="14.25" hidden="true" customHeight="false" outlineLevel="0" collapsed="false">
      <c r="A2837" s="0" t="n">
        <v>2854</v>
      </c>
      <c r="B2837" s="1" t="s">
        <v>13950</v>
      </c>
      <c r="C2837" s="1" t="s">
        <v>1495</v>
      </c>
      <c r="D2837" s="1" t="s">
        <v>1535</v>
      </c>
      <c r="E2837" s="0" t="s">
        <v>42</v>
      </c>
      <c r="F2837" s="0" t="s">
        <v>49</v>
      </c>
      <c r="H2837" s="0" t="s">
        <v>13955</v>
      </c>
      <c r="I2837" s="6" t="n">
        <v>0.75</v>
      </c>
      <c r="J2837" s="6" t="n">
        <v>0.773611111111111</v>
      </c>
      <c r="L2837" s="0" t="n">
        <v>20</v>
      </c>
      <c r="M2837" s="0" t="s">
        <v>13956</v>
      </c>
      <c r="N2837" s="0" t="s">
        <v>13957</v>
      </c>
      <c r="P2837" s="0" t="s">
        <v>13958</v>
      </c>
      <c r="Q2837" s="2" t="n">
        <v>44508</v>
      </c>
      <c r="S2837" s="0" t="n">
        <f aca="false">YEAR(Q2837)</f>
        <v>2021</v>
      </c>
      <c r="T2837" s="0" t="n">
        <f aca="false">MONTH(Q2837)</f>
        <v>11</v>
      </c>
    </row>
    <row r="2838" customFormat="false" ht="14.25" hidden="true" customHeight="false" outlineLevel="0" collapsed="false">
      <c r="A2838" s="0" t="n">
        <v>2855</v>
      </c>
      <c r="B2838" s="1" t="s">
        <v>13959</v>
      </c>
      <c r="C2838" s="1" t="s">
        <v>1495</v>
      </c>
      <c r="D2838" s="1" t="s">
        <v>1535</v>
      </c>
      <c r="E2838" s="0" t="s">
        <v>42</v>
      </c>
      <c r="F2838" s="0" t="s">
        <v>49</v>
      </c>
      <c r="G2838" s="0" t="s">
        <v>13960</v>
      </c>
      <c r="H2838" s="0" t="s">
        <v>13961</v>
      </c>
      <c r="I2838" s="6" t="n">
        <v>0.628472222222222</v>
      </c>
      <c r="J2838" s="6" t="n">
        <v>0.645138888888889</v>
      </c>
      <c r="K2838" s="0" t="n">
        <v>3</v>
      </c>
      <c r="M2838" s="0" t="s">
        <v>13962</v>
      </c>
      <c r="N2838" s="0" t="s">
        <v>13963</v>
      </c>
      <c r="P2838" s="0" t="s">
        <v>13964</v>
      </c>
      <c r="Q2838" s="2" t="n">
        <v>44509</v>
      </c>
      <c r="S2838" s="0" t="n">
        <f aca="false">YEAR(Q2838)</f>
        <v>2021</v>
      </c>
      <c r="T2838" s="0" t="n">
        <f aca="false">MONTH(Q2838)</f>
        <v>11</v>
      </c>
    </row>
    <row r="2839" customFormat="false" ht="14.25" hidden="true" customHeight="false" outlineLevel="0" collapsed="false">
      <c r="A2839" s="0" t="n">
        <v>2856</v>
      </c>
      <c r="B2839" s="1" t="s">
        <v>13965</v>
      </c>
      <c r="C2839" s="1" t="s">
        <v>1495</v>
      </c>
      <c r="D2839" s="1" t="s">
        <v>1487</v>
      </c>
      <c r="E2839" s="0" t="s">
        <v>40</v>
      </c>
      <c r="F2839" s="0" t="s">
        <v>49</v>
      </c>
      <c r="G2839" s="0" t="s">
        <v>13966</v>
      </c>
      <c r="H2839" s="0" t="s">
        <v>5031</v>
      </c>
      <c r="M2839" s="0" t="s">
        <v>13967</v>
      </c>
      <c r="N2839" s="0" t="s">
        <v>13968</v>
      </c>
      <c r="O2839" s="0" t="s">
        <v>13969</v>
      </c>
      <c r="P2839" s="0" t="s">
        <v>13970</v>
      </c>
      <c r="Q2839" s="2" t="n">
        <v>44510</v>
      </c>
      <c r="S2839" s="0" t="n">
        <f aca="false">YEAR(Q2839)</f>
        <v>2021</v>
      </c>
      <c r="T2839" s="0" t="n">
        <f aca="false">MONTH(Q2839)</f>
        <v>11</v>
      </c>
    </row>
    <row r="2840" customFormat="false" ht="14.25" hidden="true" customHeight="false" outlineLevel="0" collapsed="false">
      <c r="A2840" s="0" t="n">
        <v>2857</v>
      </c>
      <c r="B2840" s="1" t="s">
        <v>13971</v>
      </c>
      <c r="C2840" s="1" t="s">
        <v>1495</v>
      </c>
      <c r="D2840" s="1" t="s">
        <v>1535</v>
      </c>
      <c r="E2840" s="0" t="s">
        <v>42</v>
      </c>
      <c r="F2840" s="0" t="s">
        <v>48</v>
      </c>
      <c r="G2840" s="0" t="s">
        <v>13972</v>
      </c>
      <c r="H2840" s="0" t="s">
        <v>13973</v>
      </c>
      <c r="J2840" s="6" t="n">
        <v>0.263888888888889</v>
      </c>
      <c r="K2840" s="0" t="n">
        <v>1</v>
      </c>
      <c r="L2840" s="0" t="n">
        <v>28</v>
      </c>
      <c r="M2840" s="0" t="s">
        <v>13974</v>
      </c>
      <c r="N2840" s="0" t="s">
        <v>13975</v>
      </c>
      <c r="O2840" s="0" t="s">
        <v>13976</v>
      </c>
      <c r="P2840" s="0" t="s">
        <v>13977</v>
      </c>
      <c r="Q2840" s="2" t="n">
        <v>44511</v>
      </c>
      <c r="S2840" s="0" t="n">
        <f aca="false">YEAR(Q2840)</f>
        <v>2021</v>
      </c>
      <c r="T2840" s="0" t="n">
        <f aca="false">MONTH(Q2840)</f>
        <v>11</v>
      </c>
    </row>
    <row r="2841" customFormat="false" ht="14.25" hidden="true" customHeight="false" outlineLevel="0" collapsed="false">
      <c r="A2841" s="0" t="n">
        <v>2858</v>
      </c>
      <c r="B2841" s="1" t="s">
        <v>13978</v>
      </c>
      <c r="C2841" s="1" t="s">
        <v>1479</v>
      </c>
      <c r="D2841" s="1" t="s">
        <v>1535</v>
      </c>
      <c r="E2841" s="0" t="s">
        <v>39</v>
      </c>
      <c r="F2841" s="0" t="s">
        <v>48</v>
      </c>
      <c r="G2841" s="0" t="s">
        <v>13979</v>
      </c>
      <c r="H2841" s="0" t="s">
        <v>3583</v>
      </c>
      <c r="J2841" s="6" t="n">
        <v>0.357638888888889</v>
      </c>
      <c r="M2841" s="0" t="s">
        <v>13980</v>
      </c>
      <c r="N2841" s="0" t="s">
        <v>13981</v>
      </c>
      <c r="O2841" s="0" t="s">
        <v>13982</v>
      </c>
      <c r="P2841" s="0" t="s">
        <v>13983</v>
      </c>
      <c r="Q2841" s="2" t="n">
        <v>44512</v>
      </c>
      <c r="S2841" s="0" t="n">
        <f aca="false">YEAR(Q2841)</f>
        <v>2021</v>
      </c>
      <c r="T2841" s="0" t="n">
        <f aca="false">MONTH(Q2841)</f>
        <v>11</v>
      </c>
    </row>
    <row r="2842" customFormat="false" ht="14.25" hidden="true" customHeight="false" outlineLevel="0" collapsed="false">
      <c r="A2842" s="0" t="n">
        <v>2859</v>
      </c>
      <c r="B2842" s="1" t="s">
        <v>13978</v>
      </c>
      <c r="C2842" s="1" t="s">
        <v>1479</v>
      </c>
      <c r="D2842" s="1" t="s">
        <v>1535</v>
      </c>
      <c r="E2842" s="0" t="s">
        <v>39</v>
      </c>
      <c r="F2842" s="0" t="s">
        <v>48</v>
      </c>
      <c r="G2842" s="0" t="s">
        <v>13984</v>
      </c>
      <c r="H2842" s="0" t="s">
        <v>13985</v>
      </c>
      <c r="M2842" s="0" t="s">
        <v>13986</v>
      </c>
      <c r="N2842" s="0" t="s">
        <v>13987</v>
      </c>
      <c r="O2842" s="0" t="s">
        <v>13988</v>
      </c>
      <c r="P2842" s="0" t="s">
        <v>13989</v>
      </c>
      <c r="Q2842" s="2" t="n">
        <v>44512</v>
      </c>
      <c r="S2842" s="0" t="n">
        <f aca="false">YEAR(Q2842)</f>
        <v>2021</v>
      </c>
      <c r="T2842" s="0" t="n">
        <f aca="false">MONTH(Q2842)</f>
        <v>11</v>
      </c>
    </row>
    <row r="2843" customFormat="false" ht="14.25" hidden="true" customHeight="false" outlineLevel="0" collapsed="false">
      <c r="A2843" s="0" t="n">
        <v>2860</v>
      </c>
      <c r="B2843" s="1" t="s">
        <v>13978</v>
      </c>
      <c r="C2843" s="1" t="s">
        <v>1479</v>
      </c>
      <c r="D2843" s="1" t="s">
        <v>1535</v>
      </c>
      <c r="E2843" s="0" t="s">
        <v>39</v>
      </c>
      <c r="F2843" s="0" t="s">
        <v>49</v>
      </c>
      <c r="G2843" s="0" t="s">
        <v>13990</v>
      </c>
      <c r="H2843" s="0" t="s">
        <v>13991</v>
      </c>
      <c r="J2843" s="6" t="n">
        <v>0.625</v>
      </c>
      <c r="K2843" s="0" t="n">
        <v>0</v>
      </c>
      <c r="M2843" s="0" t="s">
        <v>13992</v>
      </c>
      <c r="N2843" s="0" t="s">
        <v>13993</v>
      </c>
      <c r="O2843" s="0" t="s">
        <v>13994</v>
      </c>
      <c r="P2843" s="0" t="s">
        <v>13995</v>
      </c>
      <c r="Q2843" s="2" t="n">
        <v>44512</v>
      </c>
      <c r="S2843" s="0" t="n">
        <f aca="false">YEAR(Q2843)</f>
        <v>2021</v>
      </c>
      <c r="T2843" s="0" t="n">
        <f aca="false">MONTH(Q2843)</f>
        <v>11</v>
      </c>
    </row>
    <row r="2844" customFormat="false" ht="42.75" hidden="true" customHeight="false" outlineLevel="0" collapsed="false">
      <c r="A2844" s="0" t="n">
        <v>2861</v>
      </c>
      <c r="B2844" s="1" t="s">
        <v>13978</v>
      </c>
      <c r="C2844" s="1" t="s">
        <v>1479</v>
      </c>
      <c r="D2844" s="1" t="s">
        <v>1487</v>
      </c>
      <c r="E2844" s="0" t="s">
        <v>1488</v>
      </c>
      <c r="F2844" s="0" t="s">
        <v>49</v>
      </c>
      <c r="G2844" s="0" t="s">
        <v>13996</v>
      </c>
      <c r="H2844" s="0" t="s">
        <v>13997</v>
      </c>
      <c r="I2844" s="6" t="n">
        <v>0.791666666666667</v>
      </c>
      <c r="J2844" s="6" t="n">
        <v>0.814583333333333</v>
      </c>
      <c r="K2844" s="0" t="n">
        <v>0</v>
      </c>
      <c r="L2844" s="0" t="n">
        <v>200</v>
      </c>
      <c r="M2844" s="0" t="s">
        <v>13998</v>
      </c>
      <c r="N2844" s="0" t="s">
        <v>13999</v>
      </c>
      <c r="O2844" s="0" t="s">
        <v>14000</v>
      </c>
      <c r="P2844" s="7" t="s">
        <v>14001</v>
      </c>
      <c r="Q2844" s="2" t="n">
        <v>44512</v>
      </c>
      <c r="S2844" s="0" t="n">
        <f aca="false">YEAR(Q2844)</f>
        <v>2021</v>
      </c>
      <c r="T2844" s="0" t="n">
        <f aca="false">MONTH(Q2844)</f>
        <v>11</v>
      </c>
    </row>
    <row r="2845" customFormat="false" ht="14.25" hidden="true" customHeight="false" outlineLevel="0" collapsed="false">
      <c r="A2845" s="0" t="n">
        <v>2862</v>
      </c>
      <c r="B2845" s="1" t="s">
        <v>14002</v>
      </c>
      <c r="C2845" s="1" t="s">
        <v>1479</v>
      </c>
      <c r="D2845" s="1" t="s">
        <v>1535</v>
      </c>
      <c r="E2845" s="0" t="s">
        <v>39</v>
      </c>
      <c r="F2845" s="0" t="s">
        <v>48</v>
      </c>
      <c r="G2845" s="0" t="s">
        <v>14003</v>
      </c>
      <c r="H2845" s="0" t="s">
        <v>1537</v>
      </c>
      <c r="I2845" s="6" t="n">
        <v>0.236111111111111</v>
      </c>
      <c r="J2845" s="6" t="n">
        <v>0.2375</v>
      </c>
      <c r="K2845" s="0" t="s">
        <v>14004</v>
      </c>
      <c r="L2845" s="0" t="n">
        <v>22</v>
      </c>
      <c r="M2845" s="0" t="s">
        <v>14005</v>
      </c>
      <c r="N2845" s="0" t="s">
        <v>14006</v>
      </c>
      <c r="O2845" s="0" t="s">
        <v>14007</v>
      </c>
      <c r="P2845" s="0" t="s">
        <v>14008</v>
      </c>
      <c r="Q2845" s="2" t="n">
        <v>44515</v>
      </c>
      <c r="S2845" s="0" t="n">
        <f aca="false">YEAR(Q2845)</f>
        <v>2021</v>
      </c>
      <c r="T2845" s="0" t="n">
        <f aca="false">MONTH(Q2845)</f>
        <v>11</v>
      </c>
    </row>
    <row r="2846" customFormat="false" ht="14.25" hidden="true" customHeight="false" outlineLevel="0" collapsed="false">
      <c r="A2846" s="0" t="n">
        <v>2863</v>
      </c>
      <c r="B2846" s="1" t="s">
        <v>14009</v>
      </c>
      <c r="C2846" s="1" t="s">
        <v>1503</v>
      </c>
      <c r="D2846" s="1" t="s">
        <v>1504</v>
      </c>
      <c r="E2846" s="0" t="s">
        <v>1503</v>
      </c>
      <c r="F2846" s="0" t="s">
        <v>48</v>
      </c>
      <c r="G2846" s="0" t="s">
        <v>12687</v>
      </c>
      <c r="H2846" s="0" t="s">
        <v>14010</v>
      </c>
      <c r="M2846" s="0" t="s">
        <v>14011</v>
      </c>
      <c r="N2846" s="0" t="s">
        <v>14012</v>
      </c>
      <c r="P2846" s="0" t="s">
        <v>14013</v>
      </c>
      <c r="Q2846" s="2" t="n">
        <v>44516</v>
      </c>
      <c r="S2846" s="0" t="n">
        <f aca="false">YEAR(Q2846)</f>
        <v>2021</v>
      </c>
      <c r="T2846" s="0" t="n">
        <f aca="false">MONTH(Q2846)</f>
        <v>11</v>
      </c>
    </row>
    <row r="2847" customFormat="false" ht="14.25" hidden="true" customHeight="false" outlineLevel="0" collapsed="false">
      <c r="A2847" s="0" t="n">
        <v>2864</v>
      </c>
      <c r="B2847" s="1" t="s">
        <v>14009</v>
      </c>
      <c r="C2847" s="1" t="s">
        <v>1479</v>
      </c>
      <c r="D2847" s="1" t="s">
        <v>1535</v>
      </c>
      <c r="E2847" s="0" t="s">
        <v>39</v>
      </c>
      <c r="F2847" s="0" t="s">
        <v>49</v>
      </c>
      <c r="G2847" s="0" t="s">
        <v>6146</v>
      </c>
      <c r="H2847" s="0" t="s">
        <v>11586</v>
      </c>
      <c r="M2847" s="0" t="s">
        <v>14014</v>
      </c>
      <c r="N2847" s="0" t="s">
        <v>14015</v>
      </c>
      <c r="P2847" s="0" t="s">
        <v>14016</v>
      </c>
      <c r="Q2847" s="2" t="n">
        <v>44516</v>
      </c>
      <c r="S2847" s="0" t="n">
        <f aca="false">YEAR(Q2847)</f>
        <v>2021</v>
      </c>
      <c r="T2847" s="0" t="n">
        <f aca="false">MONTH(Q2847)</f>
        <v>11</v>
      </c>
    </row>
    <row r="2848" customFormat="false" ht="14.25" hidden="true" customHeight="false" outlineLevel="0" collapsed="false">
      <c r="A2848" s="0" t="n">
        <v>2865</v>
      </c>
      <c r="B2848" s="1" t="s">
        <v>14017</v>
      </c>
      <c r="C2848" s="1" t="s">
        <v>1479</v>
      </c>
      <c r="D2848" s="1" t="s">
        <v>1496</v>
      </c>
      <c r="E2848" s="0" t="s">
        <v>38</v>
      </c>
      <c r="F2848" s="0" t="s">
        <v>48</v>
      </c>
      <c r="G2848" s="0" t="s">
        <v>14018</v>
      </c>
      <c r="H2848" s="0" t="s">
        <v>14019</v>
      </c>
      <c r="M2848" s="0" t="s">
        <v>14020</v>
      </c>
      <c r="N2848" s="0" t="s">
        <v>14021</v>
      </c>
      <c r="O2848" s="0" t="s">
        <v>14022</v>
      </c>
      <c r="P2848" s="0" t="s">
        <v>14023</v>
      </c>
      <c r="Q2848" s="2" t="n">
        <v>44517</v>
      </c>
      <c r="S2848" s="0" t="n">
        <f aca="false">YEAR(Q2848)</f>
        <v>2021</v>
      </c>
      <c r="T2848" s="0" t="n">
        <f aca="false">MONTH(Q2848)</f>
        <v>11</v>
      </c>
    </row>
    <row r="2849" customFormat="false" ht="14.25" hidden="true" customHeight="false" outlineLevel="0" collapsed="false">
      <c r="A2849" s="0" t="n">
        <v>2866</v>
      </c>
      <c r="B2849" s="1" t="s">
        <v>14017</v>
      </c>
      <c r="C2849" s="1" t="s">
        <v>1495</v>
      </c>
      <c r="D2849" s="1" t="s">
        <v>1535</v>
      </c>
      <c r="E2849" s="0" t="s">
        <v>42</v>
      </c>
      <c r="F2849" s="0" t="s">
        <v>48</v>
      </c>
      <c r="G2849" s="0" t="s">
        <v>14024</v>
      </c>
      <c r="H2849" s="0" t="s">
        <v>14025</v>
      </c>
      <c r="I2849" s="6" t="n">
        <v>0.625</v>
      </c>
      <c r="M2849" s="0" t="s">
        <v>14026</v>
      </c>
      <c r="N2849" s="0" t="s">
        <v>14027</v>
      </c>
      <c r="O2849" s="0" t="s">
        <v>14028</v>
      </c>
      <c r="P2849" s="0" t="s">
        <v>14029</v>
      </c>
      <c r="Q2849" s="2" t="n">
        <v>44517</v>
      </c>
      <c r="S2849" s="0" t="n">
        <f aca="false">YEAR(Q2849)</f>
        <v>2021</v>
      </c>
      <c r="T2849" s="0" t="n">
        <f aca="false">MONTH(Q2849)</f>
        <v>11</v>
      </c>
    </row>
    <row r="2850" customFormat="false" ht="14.25" hidden="true" customHeight="false" outlineLevel="0" collapsed="false">
      <c r="A2850" s="0" t="n">
        <v>2867</v>
      </c>
      <c r="B2850" s="1" t="s">
        <v>14017</v>
      </c>
      <c r="C2850" s="1" t="s">
        <v>1479</v>
      </c>
      <c r="D2850" s="1" t="s">
        <v>1496</v>
      </c>
      <c r="E2850" s="0" t="s">
        <v>38</v>
      </c>
      <c r="F2850" s="0" t="s">
        <v>49</v>
      </c>
      <c r="G2850" s="0" t="s">
        <v>14030</v>
      </c>
      <c r="H2850" s="0" t="s">
        <v>10372</v>
      </c>
      <c r="I2850" s="6" t="n">
        <v>0.763888888888889</v>
      </c>
      <c r="J2850" s="6" t="n">
        <v>0.774305555555555</v>
      </c>
      <c r="L2850" s="0" t="n">
        <v>210</v>
      </c>
      <c r="M2850" s="0" t="s">
        <v>14031</v>
      </c>
      <c r="N2850" s="0" t="s">
        <v>14032</v>
      </c>
      <c r="O2850" s="0" t="s">
        <v>14033</v>
      </c>
      <c r="P2850" s="0" t="s">
        <v>14034</v>
      </c>
      <c r="Q2850" s="2" t="n">
        <v>44517</v>
      </c>
      <c r="S2850" s="0" t="n">
        <f aca="false">YEAR(Q2850)</f>
        <v>2021</v>
      </c>
      <c r="T2850" s="0" t="n">
        <f aca="false">MONTH(Q2850)</f>
        <v>11</v>
      </c>
    </row>
    <row r="2851" customFormat="false" ht="14.25" hidden="true" customHeight="false" outlineLevel="0" collapsed="false">
      <c r="A2851" s="0" t="n">
        <v>2868</v>
      </c>
      <c r="B2851" s="1" t="s">
        <v>14035</v>
      </c>
      <c r="C2851" s="1" t="s">
        <v>1479</v>
      </c>
      <c r="D2851" s="1" t="s">
        <v>1535</v>
      </c>
      <c r="E2851" s="0" t="s">
        <v>39</v>
      </c>
      <c r="F2851" s="0" t="s">
        <v>48</v>
      </c>
      <c r="G2851" s="0" t="s">
        <v>7872</v>
      </c>
      <c r="H2851" s="0" t="s">
        <v>11586</v>
      </c>
      <c r="J2851" s="6" t="n">
        <v>0.541666666666667</v>
      </c>
      <c r="M2851" s="0" t="s">
        <v>14036</v>
      </c>
      <c r="N2851" s="0" t="s">
        <v>14015</v>
      </c>
      <c r="O2851" s="0" t="s">
        <v>14037</v>
      </c>
      <c r="P2851" s="0" t="s">
        <v>14038</v>
      </c>
      <c r="Q2851" s="2" t="n">
        <v>44518</v>
      </c>
      <c r="S2851" s="0" t="n">
        <f aca="false">YEAR(Q2851)</f>
        <v>2021</v>
      </c>
      <c r="T2851" s="0" t="n">
        <f aca="false">MONTH(Q2851)</f>
        <v>11</v>
      </c>
    </row>
    <row r="2852" customFormat="false" ht="14.25" hidden="true" customHeight="false" outlineLevel="0" collapsed="false">
      <c r="A2852" s="0" t="n">
        <v>2869</v>
      </c>
      <c r="B2852" s="1" t="s">
        <v>14039</v>
      </c>
      <c r="C2852" s="1" t="s">
        <v>1495</v>
      </c>
      <c r="D2852" s="1" t="s">
        <v>1535</v>
      </c>
      <c r="E2852" s="0" t="s">
        <v>42</v>
      </c>
      <c r="F2852" s="0" t="s">
        <v>48</v>
      </c>
      <c r="G2852" s="0" t="s">
        <v>14040</v>
      </c>
      <c r="H2852" s="0" t="s">
        <v>14025</v>
      </c>
      <c r="I2852" s="6" t="n">
        <v>0.583333333333333</v>
      </c>
      <c r="M2852" s="0" t="s">
        <v>14026</v>
      </c>
      <c r="N2852" s="0" t="s">
        <v>14027</v>
      </c>
      <c r="O2852" s="0" t="s">
        <v>14041</v>
      </c>
      <c r="P2852" s="0" t="s">
        <v>14042</v>
      </c>
      <c r="Q2852" s="2" t="n">
        <v>44519</v>
      </c>
      <c r="S2852" s="0" t="n">
        <f aca="false">YEAR(Q2852)</f>
        <v>2021</v>
      </c>
      <c r="T2852" s="0" t="n">
        <f aca="false">MONTH(Q2852)</f>
        <v>11</v>
      </c>
    </row>
    <row r="2853" customFormat="false" ht="14.25" hidden="true" customHeight="false" outlineLevel="0" collapsed="false">
      <c r="A2853" s="0" t="n">
        <v>2870</v>
      </c>
      <c r="B2853" s="1" t="s">
        <v>14043</v>
      </c>
      <c r="C2853" s="1" t="s">
        <v>1495</v>
      </c>
      <c r="D2853" s="1" t="s">
        <v>1535</v>
      </c>
      <c r="E2853" s="0" t="s">
        <v>42</v>
      </c>
      <c r="F2853" s="0" t="s">
        <v>48</v>
      </c>
      <c r="G2853" s="0" t="s">
        <v>14044</v>
      </c>
      <c r="H2853" s="0" t="s">
        <v>1537</v>
      </c>
      <c r="J2853" s="6" t="n">
        <v>0.254861111111111</v>
      </c>
      <c r="M2853" s="0" t="s">
        <v>14045</v>
      </c>
      <c r="N2853" s="0" t="s">
        <v>14046</v>
      </c>
      <c r="P2853" s="0" t="s">
        <v>14047</v>
      </c>
      <c r="Q2853" s="2" t="n">
        <v>44522</v>
      </c>
      <c r="S2853" s="0" t="n">
        <f aca="false">YEAR(Q2853)</f>
        <v>2021</v>
      </c>
      <c r="T2853" s="0" t="n">
        <f aca="false">MONTH(Q2853)</f>
        <v>11</v>
      </c>
    </row>
    <row r="2854" customFormat="false" ht="14.25" hidden="true" customHeight="false" outlineLevel="0" collapsed="false">
      <c r="A2854" s="0" t="n">
        <v>2871</v>
      </c>
      <c r="B2854" s="1" t="s">
        <v>14043</v>
      </c>
      <c r="C2854" s="1" t="s">
        <v>1479</v>
      </c>
      <c r="D2854" s="1" t="s">
        <v>1480</v>
      </c>
      <c r="E2854" s="0" t="s">
        <v>43</v>
      </c>
      <c r="F2854" s="0" t="s">
        <v>49</v>
      </c>
      <c r="G2854" s="0" t="s">
        <v>3328</v>
      </c>
      <c r="H2854" s="0" t="s">
        <v>1524</v>
      </c>
      <c r="I2854" s="6" t="n">
        <v>0.583333333333333</v>
      </c>
      <c r="J2854" s="6" t="n">
        <v>0.654166666666667</v>
      </c>
      <c r="M2854" s="0" t="s">
        <v>14048</v>
      </c>
      <c r="N2854" s="0" t="s">
        <v>14049</v>
      </c>
      <c r="O2854" s="0" t="s">
        <v>12735</v>
      </c>
      <c r="P2854" s="0" t="s">
        <v>14050</v>
      </c>
      <c r="Q2854" s="2" t="n">
        <v>44522</v>
      </c>
      <c r="S2854" s="0" t="n">
        <f aca="false">YEAR(Q2854)</f>
        <v>2021</v>
      </c>
      <c r="T2854" s="0" t="n">
        <f aca="false">MONTH(Q2854)</f>
        <v>11</v>
      </c>
    </row>
    <row r="2855" customFormat="false" ht="42.75" hidden="true" customHeight="false" outlineLevel="0" collapsed="false">
      <c r="A2855" s="0" t="n">
        <v>2872</v>
      </c>
      <c r="B2855" s="1" t="s">
        <v>14043</v>
      </c>
      <c r="C2855" s="1" t="s">
        <v>1479</v>
      </c>
      <c r="D2855" s="1" t="s">
        <v>1535</v>
      </c>
      <c r="E2855" s="0" t="s">
        <v>39</v>
      </c>
      <c r="F2855" s="0" t="s">
        <v>49</v>
      </c>
      <c r="G2855" s="0" t="s">
        <v>14051</v>
      </c>
      <c r="H2855" s="0" t="s">
        <v>4643</v>
      </c>
      <c r="I2855" s="6" t="n">
        <v>0.701388888888889</v>
      </c>
      <c r="J2855" s="6" t="n">
        <v>0.719444444444444</v>
      </c>
      <c r="L2855" s="0" t="n">
        <v>180</v>
      </c>
      <c r="M2855" s="0" t="s">
        <v>14052</v>
      </c>
      <c r="N2855" s="0" t="s">
        <v>14053</v>
      </c>
      <c r="O2855" s="0" t="s">
        <v>14054</v>
      </c>
      <c r="P2855" s="7" t="s">
        <v>14055</v>
      </c>
      <c r="Q2855" s="2" t="n">
        <v>44522</v>
      </c>
      <c r="S2855" s="0" t="n">
        <f aca="false">YEAR(Q2855)</f>
        <v>2021</v>
      </c>
      <c r="T2855" s="0" t="n">
        <f aca="false">MONTH(Q2855)</f>
        <v>11</v>
      </c>
    </row>
    <row r="2856" customFormat="false" ht="14.25" hidden="true" customHeight="false" outlineLevel="0" collapsed="false">
      <c r="A2856" s="0" t="n">
        <v>2873</v>
      </c>
      <c r="B2856" s="1" t="s">
        <v>14056</v>
      </c>
      <c r="C2856" s="1" t="s">
        <v>1495</v>
      </c>
      <c r="D2856" s="1" t="s">
        <v>1496</v>
      </c>
      <c r="E2856" s="0" t="s">
        <v>41</v>
      </c>
      <c r="F2856" s="0" t="s">
        <v>49</v>
      </c>
      <c r="G2856" s="0" t="s">
        <v>14057</v>
      </c>
      <c r="H2856" s="0" t="s">
        <v>1498</v>
      </c>
      <c r="I2856" s="6" t="n">
        <v>0.833333333333333</v>
      </c>
      <c r="J2856" s="6" t="n">
        <v>0.885416666666667</v>
      </c>
      <c r="M2856" s="0" t="s">
        <v>14058</v>
      </c>
      <c r="N2856" s="0" t="s">
        <v>14059</v>
      </c>
      <c r="P2856" s="0" t="s">
        <v>14060</v>
      </c>
      <c r="Q2856" s="2" t="n">
        <v>44523</v>
      </c>
      <c r="S2856" s="0" t="n">
        <f aca="false">YEAR(Q2856)</f>
        <v>2021</v>
      </c>
      <c r="T2856" s="0" t="n">
        <f aca="false">MONTH(Q2856)</f>
        <v>11</v>
      </c>
    </row>
    <row r="2857" customFormat="false" ht="57" hidden="true" customHeight="false" outlineLevel="0" collapsed="false">
      <c r="A2857" s="0" t="n">
        <v>2874</v>
      </c>
      <c r="B2857" s="1" t="s">
        <v>14061</v>
      </c>
      <c r="C2857" s="1" t="s">
        <v>1495</v>
      </c>
      <c r="D2857" s="1" t="s">
        <v>1496</v>
      </c>
      <c r="E2857" s="0" t="s">
        <v>41</v>
      </c>
      <c r="F2857" s="0" t="s">
        <v>48</v>
      </c>
      <c r="G2857" s="0" t="s">
        <v>14062</v>
      </c>
      <c r="H2857" s="0" t="s">
        <v>1498</v>
      </c>
      <c r="M2857" s="0" t="s">
        <v>14063</v>
      </c>
      <c r="N2857" s="0" t="s">
        <v>4784</v>
      </c>
      <c r="P2857" s="7" t="s">
        <v>14064</v>
      </c>
      <c r="Q2857" s="2" t="n">
        <v>44524</v>
      </c>
      <c r="S2857" s="0" t="n">
        <f aca="false">YEAR(Q2857)</f>
        <v>2021</v>
      </c>
      <c r="T2857" s="0" t="n">
        <f aca="false">MONTH(Q2857)</f>
        <v>11</v>
      </c>
    </row>
    <row r="2858" customFormat="false" ht="14.25" hidden="true" customHeight="false" outlineLevel="0" collapsed="false">
      <c r="A2858" s="0" t="n">
        <v>2875</v>
      </c>
      <c r="B2858" s="1" t="s">
        <v>14061</v>
      </c>
      <c r="C2858" s="1" t="s">
        <v>1479</v>
      </c>
      <c r="D2858" s="1" t="s">
        <v>1535</v>
      </c>
      <c r="E2858" s="0" t="s">
        <v>39</v>
      </c>
      <c r="F2858" s="0" t="s">
        <v>48</v>
      </c>
      <c r="G2858" s="0" t="s">
        <v>7872</v>
      </c>
      <c r="H2858" s="0" t="s">
        <v>11586</v>
      </c>
      <c r="J2858" s="6" t="n">
        <v>0.541666666666667</v>
      </c>
      <c r="M2858" s="0" t="s">
        <v>14036</v>
      </c>
      <c r="N2858" s="0" t="s">
        <v>14065</v>
      </c>
      <c r="O2858" s="0" t="s">
        <v>14037</v>
      </c>
      <c r="P2858" s="0" t="s">
        <v>14066</v>
      </c>
      <c r="Q2858" s="2" t="n">
        <v>44524</v>
      </c>
      <c r="S2858" s="0" t="n">
        <f aca="false">YEAR(Q2858)</f>
        <v>2021</v>
      </c>
      <c r="T2858" s="0" t="n">
        <f aca="false">MONTH(Q2858)</f>
        <v>11</v>
      </c>
    </row>
    <row r="2859" customFormat="false" ht="28.5" hidden="true" customHeight="false" outlineLevel="0" collapsed="false">
      <c r="A2859" s="0" t="n">
        <v>2876</v>
      </c>
      <c r="B2859" s="1" t="s">
        <v>14061</v>
      </c>
      <c r="C2859" s="1" t="s">
        <v>1495</v>
      </c>
      <c r="D2859" s="1" t="s">
        <v>1487</v>
      </c>
      <c r="E2859" s="0" t="s">
        <v>40</v>
      </c>
      <c r="F2859" s="0" t="s">
        <v>49</v>
      </c>
      <c r="G2859" s="0" t="s">
        <v>11367</v>
      </c>
      <c r="H2859" s="0" t="s">
        <v>14067</v>
      </c>
      <c r="J2859" s="6" t="n">
        <v>0.694444444444444</v>
      </c>
      <c r="M2859" s="0" t="s">
        <v>14068</v>
      </c>
      <c r="N2859" s="0" t="s">
        <v>14069</v>
      </c>
      <c r="O2859" s="0" t="s">
        <v>14070</v>
      </c>
      <c r="P2859" s="7" t="s">
        <v>14071</v>
      </c>
      <c r="Q2859" s="2" t="n">
        <v>44524</v>
      </c>
      <c r="S2859" s="0" t="n">
        <f aca="false">YEAR(Q2859)</f>
        <v>2021</v>
      </c>
      <c r="T2859" s="0" t="n">
        <f aca="false">MONTH(Q2859)</f>
        <v>11</v>
      </c>
    </row>
    <row r="2860" customFormat="false" ht="14.25" hidden="true" customHeight="false" outlineLevel="0" collapsed="false">
      <c r="A2860" s="0" t="n">
        <v>2877</v>
      </c>
      <c r="B2860" s="1" t="s">
        <v>14072</v>
      </c>
      <c r="C2860" s="1" t="s">
        <v>1495</v>
      </c>
      <c r="D2860" s="1" t="s">
        <v>1496</v>
      </c>
      <c r="E2860" s="0" t="s">
        <v>41</v>
      </c>
      <c r="F2860" s="0" t="s">
        <v>49</v>
      </c>
      <c r="G2860" s="0" t="s">
        <v>1497</v>
      </c>
      <c r="H2860" s="0" t="s">
        <v>1498</v>
      </c>
      <c r="I2860" s="6" t="n">
        <v>0.649305555555556</v>
      </c>
      <c r="J2860" s="6" t="n">
        <v>0.651388888888889</v>
      </c>
      <c r="M2860" s="0" t="s">
        <v>14073</v>
      </c>
      <c r="N2860" s="0" t="s">
        <v>14074</v>
      </c>
      <c r="O2860" s="0" t="s">
        <v>14075</v>
      </c>
      <c r="P2860" s="0" t="s">
        <v>14076</v>
      </c>
      <c r="Q2860" s="2" t="n">
        <v>44525</v>
      </c>
      <c r="S2860" s="0" t="n">
        <f aca="false">YEAR(Q2860)</f>
        <v>2021</v>
      </c>
      <c r="T2860" s="0" t="n">
        <f aca="false">MONTH(Q2860)</f>
        <v>11</v>
      </c>
    </row>
    <row r="2861" customFormat="false" ht="14.25" hidden="true" customHeight="false" outlineLevel="0" collapsed="false">
      <c r="A2861" s="0" t="n">
        <v>2878</v>
      </c>
      <c r="B2861" s="1" t="s">
        <v>14072</v>
      </c>
      <c r="C2861" s="1" t="s">
        <v>1495</v>
      </c>
      <c r="D2861" s="1" t="s">
        <v>1487</v>
      </c>
      <c r="E2861" s="0" t="s">
        <v>1656</v>
      </c>
      <c r="F2861" s="0" t="s">
        <v>49</v>
      </c>
      <c r="G2861" s="0" t="s">
        <v>14077</v>
      </c>
      <c r="H2861" s="0" t="s">
        <v>14078</v>
      </c>
      <c r="I2861" s="6" t="n">
        <v>0.684027777777778</v>
      </c>
      <c r="J2861" s="6" t="n">
        <v>0.708333333333333</v>
      </c>
      <c r="K2861" s="0" t="n">
        <v>20</v>
      </c>
      <c r="L2861" s="0" t="n">
        <v>129</v>
      </c>
      <c r="M2861" s="0" t="s">
        <v>14079</v>
      </c>
      <c r="N2861" s="0" t="s">
        <v>14080</v>
      </c>
      <c r="O2861" s="0" t="s">
        <v>14081</v>
      </c>
      <c r="P2861" s="0" t="s">
        <v>14082</v>
      </c>
      <c r="Q2861" s="2" t="n">
        <v>44525</v>
      </c>
      <c r="S2861" s="0" t="n">
        <f aca="false">YEAR(Q2861)</f>
        <v>2021</v>
      </c>
      <c r="T2861" s="0" t="n">
        <f aca="false">MONTH(Q2861)</f>
        <v>11</v>
      </c>
    </row>
    <row r="2862" customFormat="false" ht="14.25" hidden="true" customHeight="false" outlineLevel="0" collapsed="false">
      <c r="A2862" s="0" t="n">
        <v>2879</v>
      </c>
      <c r="B2862" s="1" t="s">
        <v>14083</v>
      </c>
      <c r="C2862" s="1" t="s">
        <v>1495</v>
      </c>
      <c r="D2862" s="1" t="s">
        <v>1496</v>
      </c>
      <c r="E2862" s="0" t="s">
        <v>41</v>
      </c>
      <c r="F2862" s="0" t="s">
        <v>48</v>
      </c>
      <c r="G2862" s="0" t="s">
        <v>13582</v>
      </c>
      <c r="H2862" s="0" t="s">
        <v>1498</v>
      </c>
      <c r="J2862" s="6" t="n">
        <v>0.236111111111111</v>
      </c>
      <c r="M2862" s="0" t="s">
        <v>14073</v>
      </c>
      <c r="N2862" s="0" t="s">
        <v>14074</v>
      </c>
      <c r="O2862" s="0" t="s">
        <v>14084</v>
      </c>
      <c r="P2862" s="0" t="s">
        <v>14085</v>
      </c>
      <c r="Q2862" s="2" t="n">
        <v>44526</v>
      </c>
      <c r="S2862" s="0" t="n">
        <f aca="false">YEAR(Q2862)</f>
        <v>2021</v>
      </c>
      <c r="T2862" s="0" t="n">
        <f aca="false">MONTH(Q2862)</f>
        <v>11</v>
      </c>
    </row>
    <row r="2863" customFormat="false" ht="14.25" hidden="true" customHeight="false" outlineLevel="0" collapsed="false">
      <c r="A2863" s="0" t="n">
        <v>2880</v>
      </c>
      <c r="B2863" s="1" t="s">
        <v>14086</v>
      </c>
      <c r="C2863" s="1" t="s">
        <v>1495</v>
      </c>
      <c r="D2863" s="1" t="s">
        <v>1496</v>
      </c>
      <c r="E2863" s="0" t="s">
        <v>41</v>
      </c>
      <c r="F2863" s="0" t="s">
        <v>48</v>
      </c>
      <c r="G2863" s="0" t="s">
        <v>14087</v>
      </c>
      <c r="H2863" s="0" t="s">
        <v>1564</v>
      </c>
      <c r="I2863" s="6" t="n">
        <v>0.25</v>
      </c>
      <c r="J2863" s="6" t="n">
        <v>0.256944444444444</v>
      </c>
      <c r="L2863" s="0" t="n">
        <v>56</v>
      </c>
      <c r="M2863" s="0" t="s">
        <v>14088</v>
      </c>
      <c r="N2863" s="0" t="s">
        <v>14089</v>
      </c>
      <c r="O2863" s="0" t="s">
        <v>14090</v>
      </c>
      <c r="P2863" s="0" t="s">
        <v>14091</v>
      </c>
      <c r="Q2863" s="2" t="n">
        <v>44529</v>
      </c>
      <c r="S2863" s="0" t="n">
        <f aca="false">YEAR(Q2863)</f>
        <v>2021</v>
      </c>
      <c r="T2863" s="0" t="n">
        <f aca="false">MONTH(Q2863)</f>
        <v>11</v>
      </c>
    </row>
    <row r="2864" customFormat="false" ht="14.25" hidden="true" customHeight="false" outlineLevel="0" collapsed="false">
      <c r="A2864" s="0" t="n">
        <v>2881</v>
      </c>
      <c r="B2864" s="1" t="s">
        <v>14086</v>
      </c>
      <c r="C2864" s="1" t="s">
        <v>1495</v>
      </c>
      <c r="D2864" s="1" t="s">
        <v>1496</v>
      </c>
      <c r="E2864" s="0" t="s">
        <v>41</v>
      </c>
      <c r="F2864" s="0" t="s">
        <v>48</v>
      </c>
      <c r="G2864" s="0" t="s">
        <v>14092</v>
      </c>
      <c r="H2864" s="0" t="s">
        <v>1564</v>
      </c>
      <c r="I2864" s="6" t="n">
        <v>0.283333333333333</v>
      </c>
      <c r="J2864" s="6" t="n">
        <v>0.283333333333333</v>
      </c>
      <c r="L2864" s="0" t="n">
        <v>9</v>
      </c>
      <c r="M2864" s="0" t="s">
        <v>14093</v>
      </c>
      <c r="N2864" s="0" t="s">
        <v>14094</v>
      </c>
      <c r="O2864" s="0" t="s">
        <v>14095</v>
      </c>
      <c r="P2864" s="0" t="s">
        <v>14096</v>
      </c>
      <c r="Q2864" s="2" t="n">
        <v>44529</v>
      </c>
      <c r="S2864" s="0" t="n">
        <f aca="false">YEAR(Q2864)</f>
        <v>2021</v>
      </c>
      <c r="T2864" s="0" t="n">
        <f aca="false">MONTH(Q2864)</f>
        <v>11</v>
      </c>
    </row>
    <row r="2865" customFormat="false" ht="14.25" hidden="true" customHeight="false" outlineLevel="0" collapsed="false">
      <c r="A2865" s="0" t="n">
        <v>2882</v>
      </c>
      <c r="B2865" s="1" t="s">
        <v>14097</v>
      </c>
      <c r="C2865" s="1" t="s">
        <v>1479</v>
      </c>
      <c r="D2865" s="1" t="s">
        <v>1480</v>
      </c>
      <c r="E2865" s="0" t="s">
        <v>43</v>
      </c>
      <c r="F2865" s="0" t="s">
        <v>48</v>
      </c>
      <c r="G2865" s="0" t="s">
        <v>7858</v>
      </c>
      <c r="H2865" s="0" t="s">
        <v>1569</v>
      </c>
      <c r="I2865" s="6" t="n">
        <v>0.368055555555556</v>
      </c>
      <c r="J2865" s="6" t="n">
        <v>0.399305555555556</v>
      </c>
      <c r="M2865" s="0" t="s">
        <v>14098</v>
      </c>
      <c r="N2865" s="0" t="s">
        <v>14099</v>
      </c>
      <c r="O2865" s="0" t="s">
        <v>14100</v>
      </c>
      <c r="P2865" s="0" t="s">
        <v>14101</v>
      </c>
      <c r="Q2865" s="2" t="n">
        <v>44530</v>
      </c>
      <c r="S2865" s="0" t="n">
        <f aca="false">YEAR(Q2865)</f>
        <v>2021</v>
      </c>
      <c r="T2865" s="0" t="n">
        <f aca="false">MONTH(Q2865)</f>
        <v>11</v>
      </c>
    </row>
    <row r="2866" customFormat="false" ht="42.75" hidden="true" customHeight="false" outlineLevel="0" collapsed="false">
      <c r="A2866" s="0" t="n">
        <v>2883</v>
      </c>
      <c r="B2866" s="1" t="s">
        <v>14097</v>
      </c>
      <c r="C2866" s="1" t="s">
        <v>1479</v>
      </c>
      <c r="D2866" s="1" t="s">
        <v>1480</v>
      </c>
      <c r="E2866" s="0" t="s">
        <v>43</v>
      </c>
      <c r="F2866" s="0" t="s">
        <v>49</v>
      </c>
      <c r="G2866" s="0" t="s">
        <v>7858</v>
      </c>
      <c r="H2866" s="0" t="s">
        <v>13725</v>
      </c>
      <c r="I2866" s="6" t="n">
        <v>0.416666666666667</v>
      </c>
      <c r="J2866" s="6" t="n">
        <v>0.645833333333333</v>
      </c>
      <c r="M2866" s="0" t="s">
        <v>14098</v>
      </c>
      <c r="N2866" s="0" t="s">
        <v>14102</v>
      </c>
      <c r="O2866" s="0" t="s">
        <v>14103</v>
      </c>
      <c r="P2866" s="7" t="s">
        <v>14104</v>
      </c>
      <c r="Q2866" s="2" t="n">
        <v>44530</v>
      </c>
      <c r="S2866" s="0" t="n">
        <f aca="false">YEAR(Q2866)</f>
        <v>2021</v>
      </c>
      <c r="T2866" s="0" t="n">
        <f aca="false">MONTH(Q2866)</f>
        <v>11</v>
      </c>
    </row>
    <row r="2867" customFormat="false" ht="14.25" hidden="true" customHeight="false" outlineLevel="0" collapsed="false">
      <c r="A2867" s="0" t="n">
        <v>2884</v>
      </c>
      <c r="B2867" s="1" t="s">
        <v>14105</v>
      </c>
      <c r="C2867" s="1" t="s">
        <v>1495</v>
      </c>
      <c r="D2867" s="1" t="s">
        <v>1487</v>
      </c>
      <c r="E2867" s="0" t="s">
        <v>40</v>
      </c>
      <c r="F2867" s="0" t="s">
        <v>48</v>
      </c>
      <c r="G2867" s="0" t="s">
        <v>14106</v>
      </c>
      <c r="H2867" s="0" t="s">
        <v>14107</v>
      </c>
      <c r="I2867" s="6" t="n">
        <v>0.281944444444444</v>
      </c>
      <c r="J2867" s="6" t="n">
        <v>0.289583333333333</v>
      </c>
      <c r="L2867" s="0" t="n">
        <v>42</v>
      </c>
      <c r="M2867" s="0" t="s">
        <v>14108</v>
      </c>
      <c r="N2867" s="0" t="s">
        <v>14109</v>
      </c>
      <c r="O2867" s="0" t="s">
        <v>14110</v>
      </c>
      <c r="P2867" s="0" t="s">
        <v>14111</v>
      </c>
      <c r="Q2867" s="2" t="n">
        <v>44532</v>
      </c>
      <c r="S2867" s="0" t="n">
        <f aca="false">YEAR(Q2867)</f>
        <v>2021</v>
      </c>
      <c r="T2867" s="0" t="n">
        <f aca="false">MONTH(Q2867)</f>
        <v>12</v>
      </c>
    </row>
    <row r="2868" customFormat="false" ht="14.25" hidden="true" customHeight="false" outlineLevel="0" collapsed="false">
      <c r="A2868" s="0" t="n">
        <v>2885</v>
      </c>
      <c r="B2868" s="1" t="s">
        <v>14112</v>
      </c>
      <c r="C2868" s="1" t="s">
        <v>1479</v>
      </c>
      <c r="D2868" s="1" t="s">
        <v>1496</v>
      </c>
      <c r="E2868" s="0" t="s">
        <v>38</v>
      </c>
      <c r="F2868" s="0" t="s">
        <v>49</v>
      </c>
      <c r="G2868" s="0" t="s">
        <v>14113</v>
      </c>
      <c r="H2868" s="0" t="s">
        <v>14114</v>
      </c>
      <c r="I2868" s="6" t="n">
        <v>0.524305555555556</v>
      </c>
      <c r="J2868" s="6" t="n">
        <v>0.527777777777778</v>
      </c>
      <c r="K2868" s="0" t="n">
        <v>4</v>
      </c>
      <c r="L2868" s="0" t="n">
        <v>70</v>
      </c>
      <c r="M2868" s="0" t="s">
        <v>14115</v>
      </c>
      <c r="N2868" s="0" t="s">
        <v>14116</v>
      </c>
      <c r="O2868" s="0" t="s">
        <v>14117</v>
      </c>
      <c r="P2868" s="0" t="s">
        <v>14118</v>
      </c>
      <c r="Q2868" s="2" t="n">
        <v>44534</v>
      </c>
      <c r="S2868" s="0" t="n">
        <f aca="false">YEAR(Q2868)</f>
        <v>2021</v>
      </c>
      <c r="T2868" s="0" t="n">
        <f aca="false">MONTH(Q2868)</f>
        <v>12</v>
      </c>
    </row>
    <row r="2869" customFormat="false" ht="14.25" hidden="true" customHeight="false" outlineLevel="0" collapsed="false">
      <c r="A2869" s="0" t="n">
        <v>2886</v>
      </c>
      <c r="B2869" s="1" t="s">
        <v>14119</v>
      </c>
      <c r="C2869" s="1" t="s">
        <v>1479</v>
      </c>
      <c r="D2869" s="1" t="s">
        <v>1480</v>
      </c>
      <c r="E2869" s="0" t="s">
        <v>43</v>
      </c>
      <c r="F2869" s="0" t="s">
        <v>48</v>
      </c>
      <c r="G2869" s="0" t="s">
        <v>14120</v>
      </c>
      <c r="H2869" s="0" t="s">
        <v>13725</v>
      </c>
      <c r="I2869" s="6" t="n">
        <v>0.322916666666667</v>
      </c>
      <c r="J2869" s="6" t="n">
        <v>0.322916666666667</v>
      </c>
      <c r="M2869" s="0" t="s">
        <v>14121</v>
      </c>
      <c r="N2869" s="0" t="s">
        <v>4434</v>
      </c>
      <c r="O2869" s="0" t="s">
        <v>4434</v>
      </c>
      <c r="Q2869" s="2" t="n">
        <v>44536</v>
      </c>
      <c r="S2869" s="0" t="n">
        <f aca="false">YEAR(Q2869)</f>
        <v>2021</v>
      </c>
      <c r="T2869" s="0" t="n">
        <f aca="false">MONTH(Q2869)</f>
        <v>12</v>
      </c>
    </row>
    <row r="2870" customFormat="false" ht="14.25" hidden="true" customHeight="false" outlineLevel="0" collapsed="false">
      <c r="A2870" s="0" t="n">
        <v>2887</v>
      </c>
      <c r="B2870" s="1" t="s">
        <v>14119</v>
      </c>
      <c r="C2870" s="1" t="s">
        <v>1479</v>
      </c>
      <c r="D2870" s="1" t="s">
        <v>1480</v>
      </c>
      <c r="E2870" s="0" t="s">
        <v>43</v>
      </c>
      <c r="F2870" s="0" t="s">
        <v>48</v>
      </c>
      <c r="G2870" s="0" t="s">
        <v>14122</v>
      </c>
      <c r="H2870" s="0" t="s">
        <v>1524</v>
      </c>
      <c r="I2870" s="6" t="n">
        <v>0.300694444444444</v>
      </c>
      <c r="J2870" s="6" t="n">
        <v>0.451388888888889</v>
      </c>
      <c r="L2870" s="0" t="n">
        <v>190</v>
      </c>
      <c r="M2870" s="0" t="s">
        <v>14123</v>
      </c>
      <c r="N2870" s="0" t="s">
        <v>14124</v>
      </c>
      <c r="O2870" s="0" t="s">
        <v>14125</v>
      </c>
      <c r="P2870" s="0" t="s">
        <v>14126</v>
      </c>
      <c r="Q2870" s="2" t="n">
        <v>44536</v>
      </c>
      <c r="S2870" s="0" t="n">
        <f aca="false">YEAR(Q2870)</f>
        <v>2021</v>
      </c>
      <c r="T2870" s="0" t="n">
        <f aca="false">MONTH(Q2870)</f>
        <v>12</v>
      </c>
    </row>
    <row r="2871" customFormat="false" ht="14.25" hidden="true" customHeight="false" outlineLevel="0" collapsed="false">
      <c r="A2871" s="0" t="n">
        <v>2888</v>
      </c>
      <c r="B2871" s="1" t="s">
        <v>14127</v>
      </c>
      <c r="C2871" s="1" t="s">
        <v>1479</v>
      </c>
      <c r="D2871" s="1" t="s">
        <v>1487</v>
      </c>
      <c r="E2871" s="0" t="s">
        <v>1488</v>
      </c>
      <c r="F2871" s="0" t="s">
        <v>49</v>
      </c>
      <c r="G2871" s="0" t="s">
        <v>14128</v>
      </c>
      <c r="H2871" s="0" t="s">
        <v>14129</v>
      </c>
      <c r="I2871" s="6" t="n">
        <v>0.795138888888889</v>
      </c>
      <c r="J2871" s="6" t="n">
        <v>0.834722222222222</v>
      </c>
      <c r="L2871" s="0" t="n">
        <v>120</v>
      </c>
      <c r="M2871" s="0" t="s">
        <v>14130</v>
      </c>
      <c r="N2871" s="0" t="s">
        <v>14131</v>
      </c>
      <c r="O2871" s="0" t="s">
        <v>8797</v>
      </c>
      <c r="P2871" s="0" t="s">
        <v>14132</v>
      </c>
      <c r="Q2871" s="2" t="n">
        <v>44537</v>
      </c>
      <c r="S2871" s="0" t="n">
        <f aca="false">YEAR(Q2871)</f>
        <v>2021</v>
      </c>
      <c r="T2871" s="0" t="n">
        <f aca="false">MONTH(Q2871)</f>
        <v>12</v>
      </c>
    </row>
    <row r="2872" customFormat="false" ht="14.25" hidden="true" customHeight="false" outlineLevel="0" collapsed="false">
      <c r="A2872" s="0" t="n">
        <v>2889</v>
      </c>
      <c r="B2872" s="1" t="s">
        <v>14133</v>
      </c>
      <c r="C2872" s="1" t="s">
        <v>1503</v>
      </c>
      <c r="D2872" s="1" t="s">
        <v>1504</v>
      </c>
      <c r="E2872" s="0" t="s">
        <v>1503</v>
      </c>
      <c r="F2872" s="0" t="s">
        <v>48</v>
      </c>
      <c r="G2872" s="0" t="s">
        <v>14134</v>
      </c>
      <c r="H2872" s="0" t="s">
        <v>13904</v>
      </c>
      <c r="I2872" s="6" t="n">
        <v>0.236111111111111</v>
      </c>
      <c r="J2872" s="6" t="n">
        <v>0.274305555555555</v>
      </c>
      <c r="L2872" s="0" t="n">
        <v>100</v>
      </c>
      <c r="M2872" s="0" t="s">
        <v>14135</v>
      </c>
      <c r="N2872" s="0" t="s">
        <v>14136</v>
      </c>
      <c r="O2872" s="0" t="s">
        <v>14137</v>
      </c>
      <c r="P2872" s="0" t="s">
        <v>14138</v>
      </c>
      <c r="Q2872" s="2" t="n">
        <v>44538</v>
      </c>
      <c r="S2872" s="0" t="n">
        <f aca="false">YEAR(Q2872)</f>
        <v>2021</v>
      </c>
      <c r="T2872" s="0" t="n">
        <f aca="false">MONTH(Q2872)</f>
        <v>12</v>
      </c>
    </row>
    <row r="2873" customFormat="false" ht="14.25" hidden="true" customHeight="false" outlineLevel="0" collapsed="false">
      <c r="A2873" s="0" t="n">
        <v>2890</v>
      </c>
      <c r="B2873" s="1" t="s">
        <v>14133</v>
      </c>
      <c r="C2873" s="1" t="s">
        <v>1495</v>
      </c>
      <c r="D2873" s="1" t="s">
        <v>1487</v>
      </c>
      <c r="E2873" s="0" t="s">
        <v>40</v>
      </c>
      <c r="F2873" s="0" t="s">
        <v>48</v>
      </c>
      <c r="G2873" s="0" t="s">
        <v>1954</v>
      </c>
      <c r="H2873" s="0" t="s">
        <v>14139</v>
      </c>
      <c r="I2873" s="6" t="n">
        <v>0.597916666666667</v>
      </c>
      <c r="J2873" s="6" t="n">
        <v>0.597916666666667</v>
      </c>
      <c r="L2873" s="0" t="n">
        <v>18</v>
      </c>
      <c r="M2873" s="0" t="s">
        <v>14140</v>
      </c>
      <c r="N2873" s="0" t="s">
        <v>14141</v>
      </c>
      <c r="O2873" s="0" t="s">
        <v>14142</v>
      </c>
      <c r="P2873" s="0" t="s">
        <v>14143</v>
      </c>
      <c r="Q2873" s="2" t="n">
        <v>44538</v>
      </c>
      <c r="S2873" s="0" t="n">
        <f aca="false">YEAR(Q2873)</f>
        <v>2021</v>
      </c>
      <c r="T2873" s="0" t="n">
        <f aca="false">MONTH(Q2873)</f>
        <v>12</v>
      </c>
    </row>
    <row r="2874" customFormat="false" ht="14.25" hidden="true" customHeight="false" outlineLevel="0" collapsed="false">
      <c r="A2874" s="0" t="n">
        <v>2891</v>
      </c>
      <c r="B2874" s="1" t="s">
        <v>14144</v>
      </c>
      <c r="C2874" s="1" t="s">
        <v>1479</v>
      </c>
      <c r="D2874" s="1" t="s">
        <v>1480</v>
      </c>
      <c r="E2874" s="0" t="s">
        <v>43</v>
      </c>
      <c r="F2874" s="0" t="s">
        <v>48</v>
      </c>
      <c r="G2874" s="0" t="s">
        <v>14145</v>
      </c>
      <c r="H2874" s="0" t="s">
        <v>1569</v>
      </c>
      <c r="I2874" s="6" t="n">
        <v>0.395833333333333</v>
      </c>
      <c r="J2874" s="6" t="n">
        <v>0.4125</v>
      </c>
      <c r="L2874" s="0" t="n">
        <v>180</v>
      </c>
      <c r="M2874" s="0" t="s">
        <v>14146</v>
      </c>
      <c r="N2874" s="0" t="s">
        <v>14147</v>
      </c>
      <c r="O2874" s="0" t="s">
        <v>14148</v>
      </c>
      <c r="P2874" s="0" t="s">
        <v>14149</v>
      </c>
      <c r="Q2874" s="2" t="n">
        <v>44539</v>
      </c>
      <c r="S2874" s="0" t="n">
        <f aca="false">YEAR(Q2874)</f>
        <v>2021</v>
      </c>
      <c r="T2874" s="0" t="n">
        <f aca="false">MONTH(Q2874)</f>
        <v>12</v>
      </c>
    </row>
    <row r="2875" customFormat="false" ht="14.25" hidden="true" customHeight="false" outlineLevel="0" collapsed="false">
      <c r="A2875" s="0" t="n">
        <v>2892</v>
      </c>
      <c r="B2875" s="1" t="s">
        <v>14144</v>
      </c>
      <c r="C2875" s="1" t="s">
        <v>1479</v>
      </c>
      <c r="D2875" s="1" t="s">
        <v>1480</v>
      </c>
      <c r="E2875" s="0" t="s">
        <v>43</v>
      </c>
      <c r="F2875" s="0" t="s">
        <v>48</v>
      </c>
      <c r="G2875" s="0" t="s">
        <v>14145</v>
      </c>
      <c r="H2875" s="0" t="s">
        <v>3559</v>
      </c>
      <c r="I2875" s="6" t="n">
        <v>0.368055555555556</v>
      </c>
      <c r="J2875" s="6" t="n">
        <v>0.4125</v>
      </c>
      <c r="L2875" s="0" t="n">
        <v>130</v>
      </c>
      <c r="M2875" s="0" t="s">
        <v>14150</v>
      </c>
      <c r="N2875" s="0" t="s">
        <v>14151</v>
      </c>
      <c r="O2875" s="0" t="s">
        <v>14152</v>
      </c>
      <c r="P2875" s="0" t="s">
        <v>14153</v>
      </c>
      <c r="Q2875" s="2" t="n">
        <v>44539</v>
      </c>
      <c r="S2875" s="0" t="n">
        <f aca="false">YEAR(Q2875)</f>
        <v>2021</v>
      </c>
      <c r="T2875" s="0" t="n">
        <f aca="false">MONTH(Q2875)</f>
        <v>12</v>
      </c>
    </row>
    <row r="2876" customFormat="false" ht="14.25" hidden="true" customHeight="false" outlineLevel="0" collapsed="false">
      <c r="A2876" s="0" t="n">
        <v>2893</v>
      </c>
      <c r="B2876" s="1" t="s">
        <v>14144</v>
      </c>
      <c r="C2876" s="1" t="s">
        <v>1495</v>
      </c>
      <c r="D2876" s="1" t="s">
        <v>1487</v>
      </c>
      <c r="E2876" s="0" t="s">
        <v>40</v>
      </c>
      <c r="F2876" s="0" t="s">
        <v>49</v>
      </c>
      <c r="G2876" s="0" t="s">
        <v>14154</v>
      </c>
      <c r="H2876" s="0" t="s">
        <v>14155</v>
      </c>
      <c r="I2876" s="6" t="n">
        <v>0.685416666666667</v>
      </c>
      <c r="J2876" s="6" t="n">
        <v>0.708333333333333</v>
      </c>
      <c r="L2876" s="0" t="n">
        <v>40</v>
      </c>
      <c r="M2876" s="0" t="s">
        <v>14156</v>
      </c>
      <c r="N2876" s="0" t="s">
        <v>14157</v>
      </c>
      <c r="O2876" s="0" t="s">
        <v>14158</v>
      </c>
      <c r="P2876" s="0" t="s">
        <v>14159</v>
      </c>
      <c r="Q2876" s="2" t="n">
        <v>44539</v>
      </c>
      <c r="S2876" s="0" t="n">
        <f aca="false">YEAR(Q2876)</f>
        <v>2021</v>
      </c>
      <c r="T2876" s="0" t="n">
        <f aca="false">MONTH(Q2876)</f>
        <v>12</v>
      </c>
    </row>
    <row r="2877" customFormat="false" ht="14.25" hidden="true" customHeight="false" outlineLevel="0" collapsed="false">
      <c r="A2877" s="0" t="n">
        <v>2894</v>
      </c>
      <c r="B2877" s="1" t="s">
        <v>14160</v>
      </c>
      <c r="C2877" s="1" t="s">
        <v>1495</v>
      </c>
      <c r="D2877" s="1" t="s">
        <v>1487</v>
      </c>
      <c r="E2877" s="0" t="s">
        <v>40</v>
      </c>
      <c r="F2877" s="0" t="s">
        <v>48</v>
      </c>
      <c r="G2877" s="0" t="s">
        <v>14161</v>
      </c>
      <c r="H2877" s="0" t="s">
        <v>14162</v>
      </c>
      <c r="I2877" s="6" t="n">
        <v>0.305555555555555</v>
      </c>
      <c r="J2877" s="6" t="n">
        <v>0.326388888888889</v>
      </c>
      <c r="L2877" s="0" t="n">
        <v>60</v>
      </c>
      <c r="M2877" s="0" t="s">
        <v>14163</v>
      </c>
      <c r="N2877" s="0" t="s">
        <v>14164</v>
      </c>
      <c r="O2877" s="0" t="s">
        <v>14165</v>
      </c>
      <c r="P2877" s="0" t="s">
        <v>14166</v>
      </c>
      <c r="Q2877" s="2" t="n">
        <v>44540</v>
      </c>
      <c r="S2877" s="0" t="n">
        <f aca="false">YEAR(Q2877)</f>
        <v>2021</v>
      </c>
      <c r="T2877" s="0" t="n">
        <f aca="false">MONTH(Q2877)</f>
        <v>12</v>
      </c>
    </row>
    <row r="2878" customFormat="false" ht="14.25" hidden="true" customHeight="false" outlineLevel="0" collapsed="false">
      <c r="A2878" s="0" t="n">
        <v>2895</v>
      </c>
      <c r="B2878" s="1" t="s">
        <v>14160</v>
      </c>
      <c r="C2878" s="1" t="s">
        <v>1479</v>
      </c>
      <c r="D2878" s="1" t="s">
        <v>1496</v>
      </c>
      <c r="E2878" s="0" t="s">
        <v>38</v>
      </c>
      <c r="F2878" s="0" t="s">
        <v>48</v>
      </c>
      <c r="G2878" s="0" t="s">
        <v>14167</v>
      </c>
      <c r="H2878" s="0" t="s">
        <v>1864</v>
      </c>
      <c r="I2878" s="6" t="n">
        <v>0.409722222222222</v>
      </c>
      <c r="J2878" s="6" t="n">
        <v>0.421527777777778</v>
      </c>
      <c r="M2878" s="0" t="s">
        <v>14168</v>
      </c>
      <c r="N2878" s="0" t="s">
        <v>14169</v>
      </c>
      <c r="O2878" s="0" t="s">
        <v>14170</v>
      </c>
      <c r="P2878" s="0" t="s">
        <v>14171</v>
      </c>
      <c r="Q2878" s="2" t="n">
        <v>44540</v>
      </c>
      <c r="S2878" s="0" t="n">
        <f aca="false">YEAR(Q2878)</f>
        <v>2021</v>
      </c>
      <c r="T2878" s="0" t="n">
        <f aca="false">MONTH(Q2878)</f>
        <v>12</v>
      </c>
    </row>
    <row r="2879" customFormat="false" ht="14.25" hidden="true" customHeight="false" outlineLevel="0" collapsed="false">
      <c r="A2879" s="0" t="n">
        <v>2896</v>
      </c>
      <c r="B2879" s="1" t="s">
        <v>14160</v>
      </c>
      <c r="C2879" s="1" t="s">
        <v>1503</v>
      </c>
      <c r="D2879" s="1" t="s">
        <v>1504</v>
      </c>
      <c r="E2879" s="0" t="s">
        <v>1503</v>
      </c>
      <c r="F2879" s="0" t="s">
        <v>48</v>
      </c>
      <c r="G2879" s="0" t="s">
        <v>14172</v>
      </c>
      <c r="H2879" s="0" t="s">
        <v>13904</v>
      </c>
      <c r="I2879" s="6" t="n">
        <v>0.506944444444444</v>
      </c>
      <c r="J2879" s="6" t="n">
        <v>0.527777777777778</v>
      </c>
      <c r="L2879" s="0" t="n">
        <v>60</v>
      </c>
      <c r="M2879" s="0" t="s">
        <v>14173</v>
      </c>
      <c r="N2879" s="0" t="s">
        <v>14136</v>
      </c>
      <c r="O2879" s="0" t="s">
        <v>14174</v>
      </c>
      <c r="P2879" s="0" t="s">
        <v>14175</v>
      </c>
      <c r="Q2879" s="2" t="n">
        <v>44540</v>
      </c>
      <c r="S2879" s="0" t="n">
        <f aca="false">YEAR(Q2879)</f>
        <v>2021</v>
      </c>
      <c r="T2879" s="0" t="n">
        <f aca="false">MONTH(Q2879)</f>
        <v>12</v>
      </c>
    </row>
    <row r="2880" customFormat="false" ht="14.25" hidden="true" customHeight="false" outlineLevel="0" collapsed="false">
      <c r="A2880" s="0" t="n">
        <v>2897</v>
      </c>
      <c r="B2880" s="1" t="s">
        <v>14160</v>
      </c>
      <c r="C2880" s="1" t="s">
        <v>1479</v>
      </c>
      <c r="D2880" s="1" t="s">
        <v>1496</v>
      </c>
      <c r="E2880" s="0" t="s">
        <v>38</v>
      </c>
      <c r="F2880" s="0" t="s">
        <v>48</v>
      </c>
      <c r="G2880" s="0" t="s">
        <v>9059</v>
      </c>
      <c r="H2880" s="0" t="s">
        <v>14176</v>
      </c>
      <c r="I2880" s="6" t="n">
        <v>0.5</v>
      </c>
      <c r="J2880" s="6" t="n">
        <v>0.509027777777778</v>
      </c>
      <c r="L2880" s="0" t="n">
        <v>210</v>
      </c>
      <c r="M2880" s="0" t="s">
        <v>14177</v>
      </c>
      <c r="N2880" s="0" t="s">
        <v>14178</v>
      </c>
      <c r="O2880" s="0" t="s">
        <v>14179</v>
      </c>
      <c r="P2880" s="0" t="s">
        <v>14180</v>
      </c>
      <c r="Q2880" s="2" t="n">
        <v>44540</v>
      </c>
      <c r="S2880" s="0" t="n">
        <f aca="false">YEAR(Q2880)</f>
        <v>2021</v>
      </c>
      <c r="T2880" s="0" t="n">
        <f aca="false">MONTH(Q2880)</f>
        <v>12</v>
      </c>
    </row>
    <row r="2881" customFormat="false" ht="14.25" hidden="true" customHeight="false" outlineLevel="0" collapsed="false">
      <c r="A2881" s="0" t="n">
        <v>2898</v>
      </c>
      <c r="B2881" s="1" t="s">
        <v>14160</v>
      </c>
      <c r="C2881" s="1" t="s">
        <v>1479</v>
      </c>
      <c r="D2881" s="1" t="s">
        <v>1487</v>
      </c>
      <c r="E2881" s="4" t="s">
        <v>1488</v>
      </c>
      <c r="F2881" s="0" t="s">
        <v>49</v>
      </c>
      <c r="G2881" s="0" t="s">
        <v>14181</v>
      </c>
      <c r="H2881" s="0" t="s">
        <v>14182</v>
      </c>
      <c r="I2881" s="6" t="n">
        <v>0.600694444444444</v>
      </c>
      <c r="J2881" s="6" t="n">
        <v>0.625</v>
      </c>
      <c r="K2881" s="0" t="n">
        <v>10</v>
      </c>
      <c r="L2881" s="0" t="n">
        <v>60</v>
      </c>
      <c r="M2881" s="0" t="s">
        <v>14183</v>
      </c>
      <c r="N2881" s="0" t="s">
        <v>14184</v>
      </c>
      <c r="O2881" s="0" t="s">
        <v>14185</v>
      </c>
      <c r="P2881" s="0" t="s">
        <v>14186</v>
      </c>
      <c r="Q2881" s="2" t="n">
        <v>44540</v>
      </c>
      <c r="S2881" s="0" t="n">
        <f aca="false">YEAR(Q2881)</f>
        <v>2021</v>
      </c>
      <c r="T2881" s="0" t="n">
        <f aca="false">MONTH(Q2881)</f>
        <v>12</v>
      </c>
    </row>
    <row r="2882" customFormat="false" ht="14.25" hidden="true" customHeight="false" outlineLevel="0" collapsed="false">
      <c r="A2882" s="0" t="n">
        <v>2899</v>
      </c>
      <c r="B2882" s="1" t="s">
        <v>14160</v>
      </c>
      <c r="C2882" s="1" t="s">
        <v>1479</v>
      </c>
      <c r="D2882" s="1" t="s">
        <v>1487</v>
      </c>
      <c r="E2882" s="0" t="s">
        <v>1488</v>
      </c>
      <c r="F2882" s="0" t="s">
        <v>49</v>
      </c>
      <c r="G2882" s="0" t="s">
        <v>14187</v>
      </c>
      <c r="H2882" s="0" t="s">
        <v>14188</v>
      </c>
      <c r="I2882" s="6" t="n">
        <v>0.805555555555555</v>
      </c>
      <c r="J2882" s="6" t="n">
        <v>0.859027777777778</v>
      </c>
      <c r="L2882" s="0" t="n">
        <v>60</v>
      </c>
      <c r="M2882" s="0" t="s">
        <v>14189</v>
      </c>
      <c r="N2882" s="0" t="s">
        <v>14190</v>
      </c>
      <c r="O2882" s="0" t="s">
        <v>14191</v>
      </c>
      <c r="P2882" s="0" t="s">
        <v>14192</v>
      </c>
      <c r="Q2882" s="2" t="n">
        <v>44540</v>
      </c>
      <c r="S2882" s="0" t="n">
        <f aca="false">YEAR(Q2882)</f>
        <v>2021</v>
      </c>
      <c r="T2882" s="0" t="n">
        <f aca="false">MONTH(Q2882)</f>
        <v>12</v>
      </c>
    </row>
    <row r="2883" customFormat="false" ht="14.25" hidden="true" customHeight="false" outlineLevel="0" collapsed="false">
      <c r="A2883" s="0" t="n">
        <v>2900</v>
      </c>
      <c r="B2883" s="1" t="s">
        <v>14193</v>
      </c>
      <c r="C2883" s="1" t="s">
        <v>1479</v>
      </c>
      <c r="D2883" s="1" t="s">
        <v>1480</v>
      </c>
      <c r="E2883" s="0" t="s">
        <v>43</v>
      </c>
      <c r="F2883" s="0" t="s">
        <v>48</v>
      </c>
      <c r="G2883" s="0" t="s">
        <v>1568</v>
      </c>
      <c r="H2883" s="0" t="s">
        <v>1569</v>
      </c>
      <c r="I2883" s="6" t="n">
        <v>0.260416666666667</v>
      </c>
      <c r="J2883" s="6" t="n">
        <v>0.294444444444444</v>
      </c>
      <c r="L2883" s="0" t="n">
        <v>260</v>
      </c>
      <c r="M2883" s="0" t="s">
        <v>14194</v>
      </c>
      <c r="N2883" s="0" t="s">
        <v>14195</v>
      </c>
      <c r="O2883" s="0" t="s">
        <v>14196</v>
      </c>
      <c r="P2883" s="0" t="s">
        <v>14197</v>
      </c>
      <c r="Q2883" s="2" t="n">
        <v>44543</v>
      </c>
      <c r="S2883" s="0" t="n">
        <f aca="false">YEAR(Q2883)</f>
        <v>2021</v>
      </c>
      <c r="T2883" s="0" t="n">
        <f aca="false">MONTH(Q2883)</f>
        <v>12</v>
      </c>
    </row>
    <row r="2884" customFormat="false" ht="14.25" hidden="true" customHeight="false" outlineLevel="0" collapsed="false">
      <c r="A2884" s="0" t="n">
        <v>2901</v>
      </c>
      <c r="B2884" s="1" t="s">
        <v>14193</v>
      </c>
      <c r="C2884" s="1" t="s">
        <v>1479</v>
      </c>
      <c r="D2884" s="1" t="s">
        <v>1480</v>
      </c>
      <c r="E2884" s="0" t="s">
        <v>43</v>
      </c>
      <c r="F2884" s="0" t="s">
        <v>48</v>
      </c>
      <c r="G2884" s="0" t="s">
        <v>14122</v>
      </c>
      <c r="H2884" s="0" t="s">
        <v>1524</v>
      </c>
      <c r="I2884" s="6" t="n">
        <v>0.40625</v>
      </c>
      <c r="J2884" s="6" t="n">
        <v>0.413194444444444</v>
      </c>
      <c r="L2884" s="0" t="n">
        <v>30</v>
      </c>
      <c r="M2884" s="0" t="s">
        <v>14198</v>
      </c>
      <c r="N2884" s="0" t="s">
        <v>14199</v>
      </c>
      <c r="P2884" s="0" t="s">
        <v>14200</v>
      </c>
      <c r="Q2884" s="2" t="n">
        <v>44543</v>
      </c>
      <c r="S2884" s="0" t="n">
        <f aca="false">YEAR(Q2884)</f>
        <v>2021</v>
      </c>
      <c r="T2884" s="0" t="n">
        <f aca="false">MONTH(Q2884)</f>
        <v>12</v>
      </c>
    </row>
    <row r="2885" customFormat="false" ht="14.25" hidden="true" customHeight="false" outlineLevel="0" collapsed="false">
      <c r="A2885" s="0" t="n">
        <v>2902</v>
      </c>
      <c r="B2885" s="1" t="s">
        <v>14193</v>
      </c>
      <c r="C2885" s="1" t="s">
        <v>1479</v>
      </c>
      <c r="D2885" s="1" t="s">
        <v>1496</v>
      </c>
      <c r="E2885" s="0" t="s">
        <v>38</v>
      </c>
      <c r="F2885" s="0" t="s">
        <v>48</v>
      </c>
      <c r="G2885" s="0" t="s">
        <v>14201</v>
      </c>
      <c r="H2885" s="0" t="s">
        <v>14202</v>
      </c>
      <c r="I2885" s="6" t="n">
        <v>0.243055555555556</v>
      </c>
      <c r="J2885" s="6" t="n">
        <v>0.329861111111111</v>
      </c>
      <c r="M2885" s="0" t="s">
        <v>14203</v>
      </c>
      <c r="N2885" s="0" t="s">
        <v>14204</v>
      </c>
      <c r="P2885" s="0" t="s">
        <v>14205</v>
      </c>
      <c r="Q2885" s="2" t="n">
        <v>44543</v>
      </c>
      <c r="S2885" s="0" t="n">
        <f aca="false">YEAR(Q2885)</f>
        <v>2021</v>
      </c>
      <c r="T2885" s="0" t="n">
        <f aca="false">MONTH(Q2885)</f>
        <v>12</v>
      </c>
    </row>
    <row r="2886" customFormat="false" ht="14.25" hidden="true" customHeight="false" outlineLevel="0" collapsed="false">
      <c r="A2886" s="0" t="n">
        <v>2903</v>
      </c>
      <c r="B2886" s="1" t="s">
        <v>14193</v>
      </c>
      <c r="C2886" s="1" t="s">
        <v>1479</v>
      </c>
      <c r="D2886" s="1" t="s">
        <v>1487</v>
      </c>
      <c r="E2886" s="0" t="s">
        <v>1488</v>
      </c>
      <c r="F2886" s="0" t="s">
        <v>49</v>
      </c>
      <c r="G2886" s="0" t="s">
        <v>14206</v>
      </c>
      <c r="H2886" s="0" t="s">
        <v>14207</v>
      </c>
      <c r="I2886" s="6" t="n">
        <v>0.625</v>
      </c>
      <c r="J2886" s="6" t="n">
        <v>0.658333333333333</v>
      </c>
      <c r="L2886" s="0" t="n">
        <v>50</v>
      </c>
      <c r="M2886" s="0" t="s">
        <v>14208</v>
      </c>
      <c r="N2886" s="0" t="s">
        <v>14209</v>
      </c>
      <c r="O2886" s="0" t="s">
        <v>11642</v>
      </c>
      <c r="P2886" s="0" t="s">
        <v>14210</v>
      </c>
      <c r="Q2886" s="2" t="n">
        <v>44543</v>
      </c>
      <c r="S2886" s="0" t="n">
        <f aca="false">YEAR(Q2886)</f>
        <v>2021</v>
      </c>
      <c r="T2886" s="0" t="n">
        <f aca="false">MONTH(Q2886)</f>
        <v>12</v>
      </c>
    </row>
    <row r="2887" customFormat="false" ht="43.5" hidden="true" customHeight="true" outlineLevel="0" collapsed="false">
      <c r="A2887" s="0" t="n">
        <v>2904</v>
      </c>
      <c r="B2887" s="1" t="s">
        <v>14193</v>
      </c>
      <c r="C2887" s="1" t="s">
        <v>1479</v>
      </c>
      <c r="D2887" s="1" t="s">
        <v>1496</v>
      </c>
      <c r="E2887" s="0" t="s">
        <v>38</v>
      </c>
      <c r="F2887" s="0" t="s">
        <v>49</v>
      </c>
      <c r="G2887" s="0" t="s">
        <v>14211</v>
      </c>
      <c r="H2887" s="0" t="s">
        <v>14212</v>
      </c>
      <c r="I2887" s="6" t="n">
        <v>0.756944444444444</v>
      </c>
      <c r="J2887" s="6" t="n">
        <v>0.7625</v>
      </c>
      <c r="K2887" s="0" t="n">
        <v>4</v>
      </c>
      <c r="L2887" s="0" t="n">
        <v>8</v>
      </c>
      <c r="M2887" s="0" t="s">
        <v>14213</v>
      </c>
      <c r="N2887" s="0" t="s">
        <v>14214</v>
      </c>
      <c r="O2887" s="0" t="s">
        <v>14215</v>
      </c>
      <c r="P2887" s="7" t="s">
        <v>14216</v>
      </c>
      <c r="Q2887" s="2" t="n">
        <v>44543</v>
      </c>
      <c r="S2887" s="0" t="n">
        <f aca="false">YEAR(Q2887)</f>
        <v>2021</v>
      </c>
      <c r="T2887" s="0" t="n">
        <f aca="false">MONTH(Q2887)</f>
        <v>12</v>
      </c>
    </row>
    <row r="2888" customFormat="false" ht="14.25" hidden="true" customHeight="false" outlineLevel="0" collapsed="false">
      <c r="A2888" s="0" t="n">
        <v>2905</v>
      </c>
      <c r="B2888" s="1" t="s">
        <v>14217</v>
      </c>
      <c r="C2888" s="1" t="s">
        <v>1479</v>
      </c>
      <c r="D2888" s="1" t="s">
        <v>1496</v>
      </c>
      <c r="E2888" s="0" t="s">
        <v>38</v>
      </c>
      <c r="F2888" s="0" t="s">
        <v>48</v>
      </c>
      <c r="G2888" s="0" t="s">
        <v>14218</v>
      </c>
      <c r="H2888" s="0" t="s">
        <v>14218</v>
      </c>
      <c r="I2888" s="6" t="n">
        <v>0.243055555555556</v>
      </c>
      <c r="J2888" s="6" t="n">
        <v>0.354166666666667</v>
      </c>
      <c r="M2888" s="0" t="s">
        <v>14219</v>
      </c>
      <c r="N2888" s="0" t="s">
        <v>14220</v>
      </c>
      <c r="O2888" s="0" t="s">
        <v>14221</v>
      </c>
      <c r="P2888" s="0" t="s">
        <v>14222</v>
      </c>
      <c r="Q2888" s="2" t="n">
        <v>44544</v>
      </c>
      <c r="S2888" s="0" t="n">
        <f aca="false">YEAR(Q2888)</f>
        <v>2021</v>
      </c>
      <c r="T2888" s="0" t="n">
        <f aca="false">MONTH(Q2888)</f>
        <v>12</v>
      </c>
    </row>
    <row r="2889" customFormat="false" ht="14.25" hidden="true" customHeight="false" outlineLevel="0" collapsed="false">
      <c r="A2889" s="0" t="n">
        <v>2906</v>
      </c>
      <c r="B2889" s="1" t="s">
        <v>14217</v>
      </c>
      <c r="C2889" s="1" t="s">
        <v>1495</v>
      </c>
      <c r="D2889" s="1" t="s">
        <v>1496</v>
      </c>
      <c r="E2889" s="0" t="s">
        <v>41</v>
      </c>
      <c r="F2889" s="0" t="s">
        <v>49</v>
      </c>
      <c r="G2889" s="0" t="s">
        <v>14223</v>
      </c>
      <c r="H2889" s="0" t="s">
        <v>14224</v>
      </c>
      <c r="I2889" s="6" t="n">
        <v>0.668055555555556</v>
      </c>
      <c r="J2889" s="6" t="n">
        <v>0.675694444444444</v>
      </c>
      <c r="K2889" s="0" t="n">
        <v>3</v>
      </c>
      <c r="L2889" s="0" t="n">
        <v>40</v>
      </c>
      <c r="M2889" s="0" t="s">
        <v>14225</v>
      </c>
      <c r="N2889" s="0" t="s">
        <v>14226</v>
      </c>
      <c r="O2889" s="0" t="s">
        <v>14059</v>
      </c>
      <c r="P2889" s="0" t="s">
        <v>14227</v>
      </c>
      <c r="Q2889" s="2" t="n">
        <v>44544</v>
      </c>
      <c r="S2889" s="0" t="n">
        <f aca="false">YEAR(Q2889)</f>
        <v>2021</v>
      </c>
      <c r="T2889" s="0" t="n">
        <f aca="false">MONTH(Q2889)</f>
        <v>12</v>
      </c>
    </row>
    <row r="2890" customFormat="false" ht="14.25" hidden="true" customHeight="false" outlineLevel="0" collapsed="false">
      <c r="A2890" s="0" t="n">
        <v>2907</v>
      </c>
      <c r="B2890" s="1" t="s">
        <v>14228</v>
      </c>
      <c r="C2890" s="1" t="s">
        <v>1479</v>
      </c>
      <c r="D2890" s="1" t="s">
        <v>1496</v>
      </c>
      <c r="E2890" s="0" t="s">
        <v>38</v>
      </c>
      <c r="F2890" s="0" t="s">
        <v>48</v>
      </c>
      <c r="G2890" s="0" t="s">
        <v>14229</v>
      </c>
      <c r="H2890" s="0" t="s">
        <v>1564</v>
      </c>
      <c r="J2890" s="6" t="n">
        <v>0.204861111111111</v>
      </c>
      <c r="L2890" s="0" t="n">
        <v>150</v>
      </c>
      <c r="M2890" s="0" t="s">
        <v>14230</v>
      </c>
      <c r="N2890" s="0" t="s">
        <v>14231</v>
      </c>
      <c r="O2890" s="0" t="s">
        <v>14232</v>
      </c>
      <c r="P2890" s="0" t="s">
        <v>14233</v>
      </c>
      <c r="Q2890" s="2" t="n">
        <v>44546</v>
      </c>
      <c r="S2890" s="0" t="n">
        <f aca="false">YEAR(Q2890)</f>
        <v>2021</v>
      </c>
      <c r="T2890" s="0" t="n">
        <f aca="false">MONTH(Q2890)</f>
        <v>12</v>
      </c>
    </row>
    <row r="2891" customFormat="false" ht="14.25" hidden="true" customHeight="false" outlineLevel="0" collapsed="false">
      <c r="A2891" s="0" t="n">
        <v>2908</v>
      </c>
      <c r="B2891" s="1" t="s">
        <v>14228</v>
      </c>
      <c r="C2891" s="1" t="s">
        <v>1479</v>
      </c>
      <c r="D2891" s="1" t="s">
        <v>1480</v>
      </c>
      <c r="E2891" s="0" t="s">
        <v>43</v>
      </c>
      <c r="F2891" s="0" t="s">
        <v>48</v>
      </c>
      <c r="G2891" s="0" t="s">
        <v>14234</v>
      </c>
      <c r="H2891" s="0" t="s">
        <v>14235</v>
      </c>
      <c r="J2891" s="6" t="n">
        <v>0.40625</v>
      </c>
      <c r="M2891" s="0" t="s">
        <v>14236</v>
      </c>
      <c r="N2891" s="0" t="s">
        <v>14237</v>
      </c>
      <c r="O2891" s="0" t="s">
        <v>14238</v>
      </c>
      <c r="P2891" s="0" t="s">
        <v>14239</v>
      </c>
      <c r="Q2891" s="2" t="n">
        <v>44546</v>
      </c>
      <c r="S2891" s="0" t="n">
        <f aca="false">YEAR(Q2891)</f>
        <v>2021</v>
      </c>
      <c r="T2891" s="0" t="n">
        <f aca="false">MONTH(Q2891)</f>
        <v>12</v>
      </c>
    </row>
    <row r="2892" customFormat="false" ht="14.25" hidden="true" customHeight="false" outlineLevel="0" collapsed="false">
      <c r="A2892" s="0" t="n">
        <v>2909</v>
      </c>
      <c r="B2892" s="1" t="s">
        <v>14240</v>
      </c>
      <c r="C2892" s="1" t="s">
        <v>1479</v>
      </c>
      <c r="D2892" s="1" t="s">
        <v>1487</v>
      </c>
      <c r="E2892" s="0" t="s">
        <v>1488</v>
      </c>
      <c r="F2892" s="0" t="s">
        <v>49</v>
      </c>
      <c r="G2892" s="0" t="s">
        <v>14241</v>
      </c>
      <c r="H2892" s="0" t="s">
        <v>6447</v>
      </c>
      <c r="I2892" s="6" t="n">
        <v>0.395833333333333</v>
      </c>
      <c r="J2892" s="6" t="n">
        <v>0.673611111111111</v>
      </c>
      <c r="M2892" s="0" t="s">
        <v>14242</v>
      </c>
      <c r="N2892" s="0" t="s">
        <v>14243</v>
      </c>
      <c r="O2892" s="0" t="s">
        <v>14244</v>
      </c>
      <c r="P2892" s="0" t="s">
        <v>14245</v>
      </c>
      <c r="Q2892" s="2" t="n">
        <v>44550</v>
      </c>
      <c r="S2892" s="0" t="n">
        <f aca="false">YEAR(Q2892)</f>
        <v>2021</v>
      </c>
      <c r="T2892" s="0" t="n">
        <f aca="false">MONTH(Q2892)</f>
        <v>12</v>
      </c>
    </row>
    <row r="2893" customFormat="false" ht="14.25" hidden="true" customHeight="false" outlineLevel="0" collapsed="false">
      <c r="A2893" s="0" t="n">
        <v>2910</v>
      </c>
      <c r="B2893" s="1" t="s">
        <v>14246</v>
      </c>
      <c r="C2893" s="1" t="s">
        <v>1479</v>
      </c>
      <c r="D2893" s="1" t="s">
        <v>1480</v>
      </c>
      <c r="E2893" s="0" t="s">
        <v>43</v>
      </c>
      <c r="F2893" s="0" t="s">
        <v>48</v>
      </c>
      <c r="G2893" s="0" t="s">
        <v>1568</v>
      </c>
      <c r="H2893" s="0" t="s">
        <v>1524</v>
      </c>
      <c r="I2893" s="6" t="n">
        <v>0.260416666666667</v>
      </c>
      <c r="J2893" s="6" t="n">
        <v>0.482638888888889</v>
      </c>
      <c r="L2893" s="0" t="n">
        <v>260</v>
      </c>
      <c r="M2893" s="0" t="s">
        <v>14247</v>
      </c>
      <c r="N2893" s="0" t="s">
        <v>14248</v>
      </c>
      <c r="P2893" s="0" t="s">
        <v>14249</v>
      </c>
      <c r="Q2893" s="2" t="n">
        <v>44551</v>
      </c>
      <c r="S2893" s="0" t="n">
        <f aca="false">YEAR(Q2893)</f>
        <v>2021</v>
      </c>
      <c r="T2893" s="0" t="n">
        <f aca="false">MONTH(Q2893)</f>
        <v>12</v>
      </c>
    </row>
    <row r="2894" customFormat="false" ht="14.25" hidden="true" customHeight="false" outlineLevel="0" collapsed="false">
      <c r="A2894" s="0" t="n">
        <v>2911</v>
      </c>
      <c r="B2894" s="1" t="s">
        <v>14246</v>
      </c>
      <c r="C2894" s="1" t="s">
        <v>1495</v>
      </c>
      <c r="D2894" s="1" t="s">
        <v>1487</v>
      </c>
      <c r="E2894" s="0" t="s">
        <v>40</v>
      </c>
      <c r="F2894" s="0" t="s">
        <v>48</v>
      </c>
      <c r="G2894" s="0" t="s">
        <v>14250</v>
      </c>
      <c r="H2894" s="0" t="s">
        <v>14251</v>
      </c>
      <c r="I2894" s="6" t="n">
        <v>0.486111111111111</v>
      </c>
      <c r="J2894" s="6" t="n">
        <v>0.506944444444444</v>
      </c>
      <c r="M2894" s="0" t="s">
        <v>14252</v>
      </c>
      <c r="N2894" s="0" t="s">
        <v>14253</v>
      </c>
      <c r="O2894" s="0" t="s">
        <v>14254</v>
      </c>
      <c r="P2894" s="0" t="s">
        <v>14255</v>
      </c>
      <c r="Q2894" s="2" t="n">
        <v>44551</v>
      </c>
      <c r="S2894" s="0" t="n">
        <f aca="false">YEAR(Q2894)</f>
        <v>2021</v>
      </c>
      <c r="T2894" s="0" t="n">
        <f aca="false">MONTH(Q2894)</f>
        <v>12</v>
      </c>
    </row>
    <row r="2895" customFormat="false" ht="14.25" hidden="true" customHeight="false" outlineLevel="0" collapsed="false">
      <c r="A2895" s="0" t="n">
        <v>2912</v>
      </c>
      <c r="B2895" s="1" t="s">
        <v>14246</v>
      </c>
      <c r="C2895" s="1" t="s">
        <v>1479</v>
      </c>
      <c r="D2895" s="1" t="s">
        <v>1487</v>
      </c>
      <c r="E2895" s="0" t="s">
        <v>1488</v>
      </c>
      <c r="F2895" s="0" t="s">
        <v>49</v>
      </c>
      <c r="G2895" s="0" t="s">
        <v>14256</v>
      </c>
      <c r="H2895" s="0" t="s">
        <v>14257</v>
      </c>
      <c r="I2895" s="6" t="n">
        <v>0.609722222222222</v>
      </c>
      <c r="J2895" s="6" t="n">
        <v>0.645138888888889</v>
      </c>
      <c r="K2895" s="0" t="n">
        <v>0</v>
      </c>
      <c r="L2895" s="0" t="n">
        <v>108</v>
      </c>
      <c r="M2895" s="0" t="s">
        <v>14258</v>
      </c>
      <c r="N2895" s="0" t="s">
        <v>14259</v>
      </c>
      <c r="O2895" s="0" t="s">
        <v>14260</v>
      </c>
      <c r="P2895" s="0" t="s">
        <v>14261</v>
      </c>
      <c r="Q2895" s="2" t="n">
        <v>44551</v>
      </c>
      <c r="S2895" s="0" t="n">
        <f aca="false">YEAR(Q2895)</f>
        <v>2021</v>
      </c>
      <c r="T2895" s="0" t="n">
        <f aca="false">MONTH(Q2895)</f>
        <v>12</v>
      </c>
    </row>
    <row r="2896" customFormat="false" ht="14.25" hidden="true" customHeight="false" outlineLevel="0" collapsed="false">
      <c r="A2896" s="0" t="n">
        <v>2913</v>
      </c>
      <c r="B2896" s="1" t="s">
        <v>14262</v>
      </c>
      <c r="C2896" s="1" t="s">
        <v>1479</v>
      </c>
      <c r="D2896" s="1" t="s">
        <v>1487</v>
      </c>
      <c r="E2896" s="0" t="s">
        <v>1488</v>
      </c>
      <c r="F2896" s="0" t="s">
        <v>48</v>
      </c>
      <c r="G2896" s="0" t="s">
        <v>14263</v>
      </c>
      <c r="H2896" s="0" t="s">
        <v>14264</v>
      </c>
      <c r="J2896" s="6" t="n">
        <v>0.235416666666667</v>
      </c>
      <c r="L2896" s="0" t="n">
        <v>40</v>
      </c>
      <c r="M2896" s="0" t="s">
        <v>14265</v>
      </c>
      <c r="N2896" s="0" t="s">
        <v>14266</v>
      </c>
      <c r="O2896" s="0" t="s">
        <v>14267</v>
      </c>
      <c r="P2896" s="0" t="s">
        <v>14268</v>
      </c>
      <c r="Q2896" s="2" t="n">
        <v>44552</v>
      </c>
      <c r="S2896" s="0" t="n">
        <f aca="false">YEAR(Q2896)</f>
        <v>2021</v>
      </c>
      <c r="T2896" s="0" t="n">
        <f aca="false">MONTH(Q2896)</f>
        <v>12</v>
      </c>
    </row>
    <row r="2897" customFormat="false" ht="14.25" hidden="true" customHeight="false" outlineLevel="0" collapsed="false">
      <c r="A2897" s="0" t="n">
        <v>2914</v>
      </c>
      <c r="B2897" s="1" t="s">
        <v>14262</v>
      </c>
      <c r="C2897" s="1" t="s">
        <v>1479</v>
      </c>
      <c r="D2897" s="1" t="s">
        <v>1480</v>
      </c>
      <c r="E2897" s="0" t="s">
        <v>43</v>
      </c>
      <c r="F2897" s="0" t="s">
        <v>48</v>
      </c>
      <c r="G2897" s="0" t="s">
        <v>14269</v>
      </c>
      <c r="H2897" s="0" t="s">
        <v>1524</v>
      </c>
      <c r="I2897" s="6" t="n">
        <v>0.305555555555555</v>
      </c>
      <c r="J2897" s="6" t="n">
        <v>0.3375</v>
      </c>
      <c r="M2897" s="0" t="s">
        <v>14270</v>
      </c>
      <c r="N2897" s="0" t="s">
        <v>14271</v>
      </c>
      <c r="O2897" s="0" t="s">
        <v>14272</v>
      </c>
      <c r="P2897" s="0" t="s">
        <v>14273</v>
      </c>
      <c r="Q2897" s="2" t="n">
        <v>44552</v>
      </c>
      <c r="S2897" s="0" t="n">
        <f aca="false">YEAR(Q2897)</f>
        <v>2021</v>
      </c>
      <c r="T2897" s="0" t="n">
        <f aca="false">MONTH(Q2897)</f>
        <v>12</v>
      </c>
    </row>
    <row r="2898" customFormat="false" ht="14.25" hidden="true" customHeight="false" outlineLevel="0" collapsed="false">
      <c r="A2898" s="0" t="n">
        <v>2915</v>
      </c>
      <c r="B2898" s="1" t="s">
        <v>14262</v>
      </c>
      <c r="C2898" s="1" t="s">
        <v>1495</v>
      </c>
      <c r="D2898" s="1" t="s">
        <v>1487</v>
      </c>
      <c r="E2898" s="0" t="s">
        <v>40</v>
      </c>
      <c r="F2898" s="0" t="s">
        <v>48</v>
      </c>
      <c r="G2898" s="0" t="s">
        <v>14274</v>
      </c>
      <c r="H2898" s="0" t="s">
        <v>14275</v>
      </c>
      <c r="M2898" s="0" t="s">
        <v>14276</v>
      </c>
      <c r="N2898" s="0" t="s">
        <v>14277</v>
      </c>
      <c r="P2898" s="0" t="s">
        <v>14278</v>
      </c>
      <c r="Q2898" s="2" t="n">
        <v>44552</v>
      </c>
      <c r="S2898" s="0" t="n">
        <f aca="false">YEAR(Q2898)</f>
        <v>2021</v>
      </c>
      <c r="T2898" s="0" t="n">
        <f aca="false">MONTH(Q2898)</f>
        <v>12</v>
      </c>
    </row>
    <row r="2899" customFormat="false" ht="14.25" hidden="false" customHeight="false" outlineLevel="0" collapsed="false">
      <c r="A2899" s="0" t="n">
        <v>2916</v>
      </c>
      <c r="B2899" s="1" t="s">
        <v>14279</v>
      </c>
      <c r="C2899" s="1" t="s">
        <v>1479</v>
      </c>
      <c r="D2899" s="1" t="s">
        <v>1480</v>
      </c>
      <c r="E2899" s="0" t="s">
        <v>43</v>
      </c>
      <c r="F2899" s="0" t="s">
        <v>48</v>
      </c>
      <c r="G2899" s="0" t="s">
        <v>1481</v>
      </c>
      <c r="H2899" s="0" t="s">
        <v>1482</v>
      </c>
      <c r="J2899" s="6" t="n">
        <v>0.290277777777778</v>
      </c>
      <c r="M2899" s="0" t="s">
        <v>1483</v>
      </c>
      <c r="N2899" s="0" t="s">
        <v>1484</v>
      </c>
      <c r="O2899" s="0" t="s">
        <v>1485</v>
      </c>
      <c r="P2899" s="0" t="s">
        <v>1486</v>
      </c>
      <c r="Q2899" s="2" t="n">
        <v>44574</v>
      </c>
      <c r="S2899" s="0" t="n">
        <f aca="false">YEAR(Q2899)</f>
        <v>2022</v>
      </c>
      <c r="T2899" s="0" t="n">
        <f aca="false">MONTH(Q2899)</f>
        <v>1</v>
      </c>
    </row>
    <row r="2900" customFormat="false" ht="14.25" hidden="false" customHeight="false" outlineLevel="0" collapsed="false">
      <c r="A2900" s="0" t="n">
        <v>2917</v>
      </c>
      <c r="B2900" s="1" t="s">
        <v>14279</v>
      </c>
      <c r="C2900" s="1" t="s">
        <v>1479</v>
      </c>
      <c r="D2900" s="1" t="s">
        <v>1487</v>
      </c>
      <c r="E2900" s="0" t="s">
        <v>1488</v>
      </c>
      <c r="F2900" s="0" t="s">
        <v>49</v>
      </c>
      <c r="G2900" s="0" t="s">
        <v>1489</v>
      </c>
      <c r="H2900" s="0" t="s">
        <v>1490</v>
      </c>
      <c r="I2900" s="6" t="n">
        <v>0.736111111111111</v>
      </c>
      <c r="J2900" s="6" t="n">
        <v>0.758333333333333</v>
      </c>
      <c r="L2900" s="0" t="n">
        <v>55</v>
      </c>
      <c r="M2900" s="0" t="s">
        <v>1491</v>
      </c>
      <c r="N2900" s="0" t="s">
        <v>1492</v>
      </c>
      <c r="O2900" s="0" t="s">
        <v>1493</v>
      </c>
      <c r="P2900" s="0" t="s">
        <v>1494</v>
      </c>
      <c r="Q2900" s="2" t="n">
        <v>44574</v>
      </c>
      <c r="S2900" s="0" t="n">
        <f aca="false">YEAR(Q2900)</f>
        <v>2022</v>
      </c>
      <c r="T2900" s="0" t="n">
        <f aca="false">MONTH(Q2900)</f>
        <v>1</v>
      </c>
    </row>
    <row r="2901" customFormat="false" ht="14.25" hidden="false" customHeight="false" outlineLevel="0" collapsed="false">
      <c r="A2901" s="0" t="n">
        <v>2918</v>
      </c>
      <c r="B2901" s="1" t="s">
        <v>14279</v>
      </c>
      <c r="C2901" s="1" t="s">
        <v>1495</v>
      </c>
      <c r="D2901" s="1" t="s">
        <v>1496</v>
      </c>
      <c r="E2901" s="0" t="s">
        <v>41</v>
      </c>
      <c r="F2901" s="0" t="s">
        <v>49</v>
      </c>
      <c r="G2901" s="0" t="s">
        <v>1497</v>
      </c>
      <c r="H2901" s="0" t="s">
        <v>1498</v>
      </c>
      <c r="I2901" s="6" t="n">
        <v>0.772222222222222</v>
      </c>
      <c r="J2901" s="6" t="n">
        <v>0.778472222222222</v>
      </c>
      <c r="L2901" s="0" t="n">
        <v>33</v>
      </c>
      <c r="M2901" s="0" t="s">
        <v>1499</v>
      </c>
      <c r="N2901" s="0" t="s">
        <v>1500</v>
      </c>
      <c r="O2901" s="0" t="s">
        <v>1501</v>
      </c>
      <c r="P2901" s="0" t="s">
        <v>1502</v>
      </c>
      <c r="Q2901" s="2" t="n">
        <v>44574</v>
      </c>
      <c r="S2901" s="0" t="n">
        <f aca="false">YEAR(Q2901)</f>
        <v>2022</v>
      </c>
      <c r="T2901" s="0" t="n">
        <f aca="false">MONTH(Q2901)</f>
        <v>1</v>
      </c>
    </row>
    <row r="2902" customFormat="false" ht="13.5" hidden="false" customHeight="true" outlineLevel="0" collapsed="false">
      <c r="A2902" s="0" t="n">
        <v>2919</v>
      </c>
      <c r="B2902" s="1" t="s">
        <v>14280</v>
      </c>
      <c r="C2902" s="1" t="s">
        <v>1503</v>
      </c>
      <c r="D2902" s="1" t="s">
        <v>1504</v>
      </c>
      <c r="E2902" s="0" t="s">
        <v>45</v>
      </c>
      <c r="F2902" s="0" t="s">
        <v>48</v>
      </c>
      <c r="G2902" s="0" t="s">
        <v>1505</v>
      </c>
      <c r="H2902" s="0" t="s">
        <v>1506</v>
      </c>
      <c r="M2902" s="7" t="s">
        <v>1507</v>
      </c>
      <c r="N2902" s="0" t="s">
        <v>1508</v>
      </c>
      <c r="O2902" s="0" t="s">
        <v>1509</v>
      </c>
      <c r="P2902" s="0" t="s">
        <v>1510</v>
      </c>
      <c r="Q2902" s="2" t="n">
        <v>44578</v>
      </c>
      <c r="S2902" s="0" t="n">
        <f aca="false">YEAR(Q2902)</f>
        <v>2022</v>
      </c>
      <c r="T2902" s="0" t="n">
        <f aca="false">MONTH(Q2902)</f>
        <v>1</v>
      </c>
    </row>
    <row r="2903" customFormat="false" ht="14.25" hidden="false" customHeight="false" outlineLevel="0" collapsed="false">
      <c r="A2903" s="0" t="n">
        <v>2920</v>
      </c>
      <c r="B2903" s="1" t="s">
        <v>14280</v>
      </c>
      <c r="C2903" s="1" t="s">
        <v>1479</v>
      </c>
      <c r="D2903" s="1" t="s">
        <v>1496</v>
      </c>
      <c r="E2903" s="0" t="s">
        <v>38</v>
      </c>
      <c r="F2903" s="0" t="s">
        <v>48</v>
      </c>
      <c r="G2903" s="0" t="s">
        <v>1511</v>
      </c>
      <c r="H2903" s="0" t="s">
        <v>1512</v>
      </c>
      <c r="J2903" s="6" t="n">
        <v>0.326388888888889</v>
      </c>
      <c r="M2903" s="0" t="s">
        <v>1513</v>
      </c>
      <c r="N2903" s="0" t="s">
        <v>1514</v>
      </c>
      <c r="O2903" s="0" t="s">
        <v>1515</v>
      </c>
      <c r="P2903" s="0" t="s">
        <v>1516</v>
      </c>
      <c r="Q2903" s="2" t="n">
        <v>44578</v>
      </c>
      <c r="S2903" s="0" t="n">
        <f aca="false">YEAR(Q2903)</f>
        <v>2022</v>
      </c>
      <c r="T2903" s="0" t="n">
        <f aca="false">MONTH(Q2903)</f>
        <v>1</v>
      </c>
    </row>
    <row r="2904" customFormat="false" ht="14.25" hidden="false" customHeight="false" outlineLevel="0" collapsed="false">
      <c r="A2904" s="0" t="n">
        <v>2921</v>
      </c>
      <c r="B2904" s="1" t="s">
        <v>14280</v>
      </c>
      <c r="C2904" s="1" t="s">
        <v>1503</v>
      </c>
      <c r="D2904" s="1" t="s">
        <v>1504</v>
      </c>
      <c r="E2904" s="0" t="s">
        <v>45</v>
      </c>
      <c r="F2904" s="0" t="s">
        <v>48</v>
      </c>
      <c r="G2904" s="0" t="s">
        <v>1517</v>
      </c>
      <c r="H2904" s="0" t="s">
        <v>1518</v>
      </c>
      <c r="J2904" s="6" t="n">
        <v>0.451388888888889</v>
      </c>
      <c r="M2904" s="0" t="s">
        <v>1519</v>
      </c>
      <c r="N2904" s="0" t="s">
        <v>1520</v>
      </c>
      <c r="O2904" s="0" t="s">
        <v>1521</v>
      </c>
      <c r="P2904" s="0" t="s">
        <v>1522</v>
      </c>
      <c r="Q2904" s="2" t="n">
        <v>44578</v>
      </c>
      <c r="S2904" s="0" t="n">
        <f aca="false">YEAR(Q2904)</f>
        <v>2022</v>
      </c>
      <c r="T2904" s="0" t="n">
        <f aca="false">MONTH(Q2904)</f>
        <v>1</v>
      </c>
    </row>
    <row r="2905" customFormat="false" ht="14.25" hidden="false" customHeight="false" outlineLevel="0" collapsed="false">
      <c r="A2905" s="0" t="n">
        <v>2922</v>
      </c>
      <c r="B2905" s="1" t="s">
        <v>14281</v>
      </c>
      <c r="C2905" s="1" t="s">
        <v>1479</v>
      </c>
      <c r="D2905" s="1" t="s">
        <v>1480</v>
      </c>
      <c r="E2905" s="0" t="s">
        <v>43</v>
      </c>
      <c r="F2905" s="0" t="s">
        <v>48</v>
      </c>
      <c r="G2905" s="0" t="s">
        <v>1523</v>
      </c>
      <c r="H2905" s="0" t="s">
        <v>1524</v>
      </c>
      <c r="I2905" s="6" t="n">
        <v>0.774305555555555</v>
      </c>
      <c r="L2905" s="0" t="s">
        <v>1525</v>
      </c>
      <c r="M2905" s="0" t="s">
        <v>1526</v>
      </c>
      <c r="N2905" s="0" t="s">
        <v>1527</v>
      </c>
      <c r="O2905" s="0" t="s">
        <v>1528</v>
      </c>
      <c r="P2905" s="0" t="s">
        <v>1529</v>
      </c>
      <c r="Q2905" s="2" t="n">
        <v>44579</v>
      </c>
      <c r="S2905" s="0" t="n">
        <f aca="false">YEAR(Q2905)</f>
        <v>2022</v>
      </c>
      <c r="T2905" s="0" t="n">
        <f aca="false">MONTH(Q2905)</f>
        <v>1</v>
      </c>
    </row>
    <row r="2906" customFormat="false" ht="14.25" hidden="false" customHeight="false" outlineLevel="0" collapsed="false">
      <c r="A2906" s="0" t="n">
        <v>2923</v>
      </c>
      <c r="B2906" s="1" t="s">
        <v>14281</v>
      </c>
      <c r="C2906" s="1" t="s">
        <v>1479</v>
      </c>
      <c r="D2906" s="1" t="s">
        <v>1480</v>
      </c>
      <c r="E2906" s="0" t="s">
        <v>43</v>
      </c>
      <c r="F2906" s="0" t="s">
        <v>48</v>
      </c>
      <c r="G2906" s="0" t="s">
        <v>1530</v>
      </c>
      <c r="H2906" s="0" t="s">
        <v>1524</v>
      </c>
      <c r="L2906" s="0" t="s">
        <v>1525</v>
      </c>
      <c r="M2906" s="0" t="s">
        <v>1531</v>
      </c>
      <c r="N2906" s="0" t="s">
        <v>1532</v>
      </c>
      <c r="O2906" s="0" t="s">
        <v>1533</v>
      </c>
      <c r="P2906" s="0" t="s">
        <v>1534</v>
      </c>
      <c r="Q2906" s="2" t="n">
        <v>44579</v>
      </c>
      <c r="S2906" s="0" t="n">
        <f aca="false">YEAR(Q2906)</f>
        <v>2022</v>
      </c>
      <c r="T2906" s="0" t="n">
        <f aca="false">MONTH(Q2906)</f>
        <v>1</v>
      </c>
    </row>
    <row r="2907" customFormat="false" ht="14.25" hidden="false" customHeight="false" outlineLevel="0" collapsed="false">
      <c r="A2907" s="0" t="n">
        <v>2924</v>
      </c>
      <c r="B2907" s="1" t="s">
        <v>14281</v>
      </c>
      <c r="C2907" s="1" t="s">
        <v>1479</v>
      </c>
      <c r="D2907" s="1" t="s">
        <v>1535</v>
      </c>
      <c r="E2907" s="0" t="s">
        <v>39</v>
      </c>
      <c r="F2907" s="0" t="s">
        <v>49</v>
      </c>
      <c r="G2907" s="0" t="s">
        <v>1536</v>
      </c>
      <c r="H2907" s="0" t="s">
        <v>1537</v>
      </c>
      <c r="I2907" s="6" t="n">
        <v>0.774305555555555</v>
      </c>
      <c r="J2907" s="6" t="n">
        <v>0.776388888888889</v>
      </c>
      <c r="K2907" s="0" t="n">
        <v>5</v>
      </c>
      <c r="L2907" s="0" t="n">
        <v>15</v>
      </c>
      <c r="M2907" s="0" t="s">
        <v>1538</v>
      </c>
      <c r="N2907" s="0" t="s">
        <v>1539</v>
      </c>
      <c r="O2907" s="0" t="s">
        <v>1533</v>
      </c>
      <c r="P2907" s="0" t="s">
        <v>1534</v>
      </c>
      <c r="Q2907" s="2" t="n">
        <v>44579</v>
      </c>
      <c r="S2907" s="0" t="n">
        <f aca="false">YEAR(Q2907)</f>
        <v>2022</v>
      </c>
      <c r="T2907" s="0" t="n">
        <f aca="false">MONTH(Q2907)</f>
        <v>1</v>
      </c>
    </row>
    <row r="2908" customFormat="false" ht="14.25" hidden="false" customHeight="true" outlineLevel="0" collapsed="false">
      <c r="A2908" s="0" t="n">
        <v>2925</v>
      </c>
      <c r="B2908" s="1" t="s">
        <v>14281</v>
      </c>
      <c r="C2908" s="1" t="s">
        <v>1495</v>
      </c>
      <c r="D2908" s="1" t="s">
        <v>1487</v>
      </c>
      <c r="E2908" s="0" t="s">
        <v>40</v>
      </c>
      <c r="F2908" s="0" t="s">
        <v>49</v>
      </c>
      <c r="G2908" s="0" t="s">
        <v>1540</v>
      </c>
      <c r="H2908" s="0" t="s">
        <v>1541</v>
      </c>
      <c r="I2908" s="6" t="n">
        <v>0.885416666666667</v>
      </c>
      <c r="J2908" s="6" t="n">
        <v>0.899305555555555</v>
      </c>
      <c r="K2908" s="0" t="s">
        <v>1542</v>
      </c>
      <c r="L2908" s="0" t="s">
        <v>1543</v>
      </c>
      <c r="M2908" s="0" t="s">
        <v>1544</v>
      </c>
      <c r="N2908" s="0" t="s">
        <v>1545</v>
      </c>
      <c r="O2908" s="0" t="s">
        <v>1546</v>
      </c>
      <c r="P2908" s="7" t="s">
        <v>1547</v>
      </c>
      <c r="Q2908" s="2" t="n">
        <v>44579</v>
      </c>
      <c r="S2908" s="0" t="n">
        <f aca="false">YEAR(Q2908)</f>
        <v>2022</v>
      </c>
      <c r="T2908" s="0" t="n">
        <f aca="false">MONTH(Q2908)</f>
        <v>1</v>
      </c>
    </row>
    <row r="2909" customFormat="false" ht="14.25" hidden="false" customHeight="false" outlineLevel="0" collapsed="false">
      <c r="A2909" s="0" t="n">
        <v>2926</v>
      </c>
      <c r="B2909" s="1" t="s">
        <v>14282</v>
      </c>
      <c r="C2909" s="1" t="s">
        <v>1495</v>
      </c>
      <c r="D2909" s="1" t="s">
        <v>1496</v>
      </c>
      <c r="E2909" s="0" t="s">
        <v>41</v>
      </c>
      <c r="F2909" s="0" t="s">
        <v>48</v>
      </c>
      <c r="G2909" s="0" t="s">
        <v>1497</v>
      </c>
      <c r="H2909" s="0" t="s">
        <v>1498</v>
      </c>
      <c r="I2909" s="6" t="n">
        <v>0.772222222222222</v>
      </c>
      <c r="J2909" s="6" t="n">
        <v>0.778472222222222</v>
      </c>
      <c r="L2909" s="0" t="s">
        <v>1548</v>
      </c>
      <c r="M2909" s="0" t="s">
        <v>1549</v>
      </c>
      <c r="N2909" s="0" t="s">
        <v>1550</v>
      </c>
      <c r="O2909" s="0" t="s">
        <v>1551</v>
      </c>
      <c r="P2909" s="0" t="s">
        <v>1552</v>
      </c>
      <c r="Q2909" s="2" t="n">
        <v>44581</v>
      </c>
      <c r="S2909" s="0" t="n">
        <f aca="false">YEAR(Q2909)</f>
        <v>2022</v>
      </c>
      <c r="T2909" s="0" t="n">
        <f aca="false">MONTH(Q2909)</f>
        <v>1</v>
      </c>
    </row>
    <row r="2910" customFormat="false" ht="14.25" hidden="false" customHeight="false" outlineLevel="0" collapsed="false">
      <c r="A2910" s="0" t="n">
        <v>2927</v>
      </c>
      <c r="B2910" s="1" t="s">
        <v>14283</v>
      </c>
      <c r="C2910" s="1" t="s">
        <v>1479</v>
      </c>
      <c r="D2910" s="1" t="s">
        <v>1480</v>
      </c>
      <c r="E2910" s="0" t="s">
        <v>43</v>
      </c>
      <c r="F2910" s="0" t="s">
        <v>48</v>
      </c>
      <c r="G2910" s="0" t="s">
        <v>1553</v>
      </c>
      <c r="H2910" s="0" t="s">
        <v>1524</v>
      </c>
      <c r="I2910" s="6" t="n">
        <v>0.291666666666667</v>
      </c>
      <c r="J2910" s="6" t="n">
        <v>0.322916666666667</v>
      </c>
      <c r="M2910" s="0" t="s">
        <v>1555</v>
      </c>
      <c r="N2910" s="0" t="s">
        <v>1556</v>
      </c>
      <c r="Q2910" s="2" t="n">
        <v>44583</v>
      </c>
      <c r="S2910" s="0" t="n">
        <f aca="false">YEAR(Q2910)</f>
        <v>2022</v>
      </c>
      <c r="T2910" s="0" t="n">
        <f aca="false">MONTH(Q2910)</f>
        <v>1</v>
      </c>
    </row>
    <row r="2911" customFormat="false" ht="14.25" hidden="false" customHeight="false" outlineLevel="0" collapsed="false">
      <c r="A2911" s="0" t="n">
        <v>2928</v>
      </c>
      <c r="B2911" s="1" t="s">
        <v>14284</v>
      </c>
      <c r="C2911" s="1" t="s">
        <v>1479</v>
      </c>
      <c r="D2911" s="1" t="s">
        <v>1535</v>
      </c>
      <c r="E2911" s="0" t="s">
        <v>39</v>
      </c>
      <c r="F2911" s="0" t="s">
        <v>48</v>
      </c>
      <c r="G2911" s="0" t="s">
        <v>1557</v>
      </c>
      <c r="H2911" s="0" t="s">
        <v>1558</v>
      </c>
      <c r="I2911" s="6" t="n">
        <v>0.375</v>
      </c>
      <c r="J2911" s="6" t="n">
        <v>0.388888888888889</v>
      </c>
      <c r="K2911" s="0" t="s">
        <v>1559</v>
      </c>
      <c r="M2911" s="0" t="s">
        <v>1560</v>
      </c>
      <c r="N2911" s="0" t="s">
        <v>1561</v>
      </c>
      <c r="P2911" s="0" t="s">
        <v>1562</v>
      </c>
      <c r="Q2911" s="2" t="n">
        <v>44585</v>
      </c>
      <c r="S2911" s="0" t="n">
        <f aca="false">YEAR(Q2911)</f>
        <v>2022</v>
      </c>
      <c r="T2911" s="0" t="n">
        <f aca="false">MONTH(Q2911)</f>
        <v>1</v>
      </c>
    </row>
    <row r="2912" customFormat="false" ht="14.25" hidden="false" customHeight="false" outlineLevel="0" collapsed="false">
      <c r="A2912" s="0" t="n">
        <v>2929</v>
      </c>
      <c r="B2912" s="1" t="s">
        <v>14284</v>
      </c>
      <c r="C2912" s="1" t="s">
        <v>1495</v>
      </c>
      <c r="D2912" s="1" t="s">
        <v>1496</v>
      </c>
      <c r="E2912" s="0" t="s">
        <v>41</v>
      </c>
      <c r="F2912" s="0" t="s">
        <v>48</v>
      </c>
      <c r="G2912" s="0" t="s">
        <v>1563</v>
      </c>
      <c r="H2912" s="0" t="s">
        <v>1564</v>
      </c>
      <c r="J2912" s="6" t="n">
        <v>0.388888888888889</v>
      </c>
      <c r="K2912" s="0" t="s">
        <v>1559</v>
      </c>
      <c r="M2912" s="0" t="s">
        <v>1565</v>
      </c>
      <c r="N2912" s="0" t="s">
        <v>1566</v>
      </c>
      <c r="O2912" s="0" t="s">
        <v>1567</v>
      </c>
      <c r="P2912" s="0" t="s">
        <v>1562</v>
      </c>
      <c r="Q2912" s="2" t="n">
        <v>44585</v>
      </c>
      <c r="S2912" s="0" t="n">
        <f aca="false">YEAR(Q2912)</f>
        <v>2022</v>
      </c>
      <c r="T2912" s="0" t="n">
        <f aca="false">MONTH(Q2912)</f>
        <v>1</v>
      </c>
    </row>
    <row r="2913" customFormat="false" ht="14.25" hidden="false" customHeight="false" outlineLevel="0" collapsed="false">
      <c r="A2913" s="0" t="n">
        <v>2930</v>
      </c>
      <c r="B2913" s="1" t="s">
        <v>14284</v>
      </c>
      <c r="C2913" s="1" t="s">
        <v>1479</v>
      </c>
      <c r="D2913" s="1" t="s">
        <v>1480</v>
      </c>
      <c r="E2913" s="0" t="s">
        <v>43</v>
      </c>
      <c r="F2913" s="0" t="s">
        <v>48</v>
      </c>
      <c r="G2913" s="0" t="s">
        <v>1568</v>
      </c>
      <c r="H2913" s="0" t="s">
        <v>1569</v>
      </c>
      <c r="J2913" s="6" t="n">
        <v>0.552083333333333</v>
      </c>
      <c r="K2913" s="0" t="s">
        <v>1559</v>
      </c>
      <c r="M2913" s="0" t="s">
        <v>1570</v>
      </c>
      <c r="N2913" s="0" t="s">
        <v>1571</v>
      </c>
      <c r="O2913" s="0" t="s">
        <v>1572</v>
      </c>
      <c r="P2913" s="0" t="s">
        <v>1573</v>
      </c>
      <c r="Q2913" s="2" t="n">
        <v>44585</v>
      </c>
      <c r="S2913" s="0" t="n">
        <f aca="false">YEAR(Q2913)</f>
        <v>2022</v>
      </c>
      <c r="T2913" s="0" t="n">
        <f aca="false">MONTH(Q2913)</f>
        <v>1</v>
      </c>
    </row>
    <row r="2914" customFormat="false" ht="14.25" hidden="false" customHeight="false" outlineLevel="0" collapsed="false">
      <c r="A2914" s="0" t="n">
        <v>2931</v>
      </c>
      <c r="B2914" s="1" t="s">
        <v>14284</v>
      </c>
      <c r="C2914" s="1" t="s">
        <v>1479</v>
      </c>
      <c r="D2914" s="1" t="s">
        <v>1480</v>
      </c>
      <c r="E2914" s="0" t="s">
        <v>43</v>
      </c>
      <c r="F2914" s="0" t="s">
        <v>49</v>
      </c>
      <c r="G2914" s="0" t="s">
        <v>1568</v>
      </c>
      <c r="H2914" s="0" t="s">
        <v>1569</v>
      </c>
      <c r="K2914" s="0" t="s">
        <v>1559</v>
      </c>
      <c r="M2914" s="0" t="s">
        <v>1574</v>
      </c>
      <c r="N2914" s="0" t="s">
        <v>1571</v>
      </c>
      <c r="O2914" s="0" t="s">
        <v>1572</v>
      </c>
      <c r="P2914" s="0" t="s">
        <v>1575</v>
      </c>
      <c r="Q2914" s="2" t="n">
        <v>44585</v>
      </c>
      <c r="S2914" s="0" t="n">
        <f aca="false">YEAR(Q2914)</f>
        <v>2022</v>
      </c>
      <c r="T2914" s="0" t="n">
        <f aca="false">MONTH(Q2914)</f>
        <v>1</v>
      </c>
    </row>
    <row r="2915" customFormat="false" ht="14.25" hidden="false" customHeight="false" outlineLevel="0" collapsed="false">
      <c r="A2915" s="0" t="n">
        <v>2932</v>
      </c>
      <c r="B2915" s="1" t="s">
        <v>14284</v>
      </c>
      <c r="C2915" s="1" t="s">
        <v>1479</v>
      </c>
      <c r="D2915" s="1" t="s">
        <v>1487</v>
      </c>
      <c r="E2915" s="0" t="s">
        <v>1488</v>
      </c>
      <c r="F2915" s="0" t="s">
        <v>49</v>
      </c>
      <c r="G2915" s="0" t="s">
        <v>1576</v>
      </c>
      <c r="H2915" s="0" t="s">
        <v>1577</v>
      </c>
      <c r="I2915" s="6" t="n">
        <v>0.756944444444444</v>
      </c>
      <c r="J2915" s="6" t="n">
        <v>0.791666666666667</v>
      </c>
      <c r="K2915" s="0" t="n">
        <v>0</v>
      </c>
      <c r="L2915" s="0" t="s">
        <v>1578</v>
      </c>
      <c r="M2915" s="0" t="s">
        <v>1579</v>
      </c>
      <c r="N2915" s="0" t="s">
        <v>1580</v>
      </c>
      <c r="O2915" s="0" t="s">
        <v>1581</v>
      </c>
      <c r="P2915" s="0" t="s">
        <v>1582</v>
      </c>
      <c r="Q2915" s="2" t="n">
        <v>44585</v>
      </c>
      <c r="S2915" s="0" t="n">
        <f aca="false">YEAR(Q2915)</f>
        <v>2022</v>
      </c>
      <c r="T2915" s="0" t="n">
        <f aca="false">MONTH(Q2915)</f>
        <v>1</v>
      </c>
    </row>
    <row r="2916" customFormat="false" ht="14.25" hidden="false" customHeight="false" outlineLevel="0" collapsed="false">
      <c r="A2916" s="0" t="n">
        <v>2933</v>
      </c>
      <c r="B2916" s="1" t="s">
        <v>14285</v>
      </c>
      <c r="C2916" s="1" t="s">
        <v>1479</v>
      </c>
      <c r="D2916" s="1" t="s">
        <v>1535</v>
      </c>
      <c r="E2916" s="0" t="s">
        <v>39</v>
      </c>
      <c r="F2916" s="0" t="s">
        <v>48</v>
      </c>
      <c r="G2916" s="0" t="s">
        <v>1583</v>
      </c>
      <c r="H2916" s="0" t="s">
        <v>1584</v>
      </c>
      <c r="I2916" s="6" t="n">
        <v>0.263888888888889</v>
      </c>
      <c r="J2916" s="6" t="n">
        <v>0.277777777777778</v>
      </c>
      <c r="M2916" s="0" t="s">
        <v>1585</v>
      </c>
      <c r="N2916" s="0" t="s">
        <v>1586</v>
      </c>
      <c r="O2916" s="0" t="s">
        <v>1587</v>
      </c>
      <c r="P2916" s="0" t="s">
        <v>1588</v>
      </c>
      <c r="Q2916" s="2" t="n">
        <v>44586</v>
      </c>
      <c r="S2916" s="0" t="n">
        <f aca="false">YEAR(Q2916)</f>
        <v>2022</v>
      </c>
      <c r="T2916" s="0" t="n">
        <f aca="false">MONTH(Q2916)</f>
        <v>1</v>
      </c>
    </row>
    <row r="2917" customFormat="false" ht="14.25" hidden="false" customHeight="false" outlineLevel="0" collapsed="false">
      <c r="A2917" s="0" t="n">
        <v>2934</v>
      </c>
      <c r="B2917" s="1" t="s">
        <v>14285</v>
      </c>
      <c r="C2917" s="1" t="s">
        <v>1479</v>
      </c>
      <c r="D2917" s="1" t="s">
        <v>1535</v>
      </c>
      <c r="E2917" s="0" t="s">
        <v>39</v>
      </c>
      <c r="F2917" s="0" t="s">
        <v>48</v>
      </c>
      <c r="G2917" s="0" t="s">
        <v>1589</v>
      </c>
      <c r="H2917" s="0" t="s">
        <v>1590</v>
      </c>
      <c r="I2917" s="6" t="n">
        <v>0.263888888888889</v>
      </c>
      <c r="J2917" s="6" t="n">
        <v>0.333333333333333</v>
      </c>
      <c r="M2917" s="0" t="s">
        <v>1591</v>
      </c>
      <c r="N2917" s="0" t="s">
        <v>1592</v>
      </c>
      <c r="Q2917" s="2" t="n">
        <v>44586</v>
      </c>
      <c r="S2917" s="0" t="n">
        <f aca="false">YEAR(Q2917)</f>
        <v>2022</v>
      </c>
      <c r="T2917" s="0" t="n">
        <f aca="false">MONTH(Q2917)</f>
        <v>1</v>
      </c>
    </row>
    <row r="2918" customFormat="false" ht="14.25" hidden="false" customHeight="false" outlineLevel="0" collapsed="false">
      <c r="A2918" s="0" t="n">
        <v>2935</v>
      </c>
      <c r="B2918" s="1" t="s">
        <v>14285</v>
      </c>
      <c r="C2918" s="1" t="s">
        <v>1503</v>
      </c>
      <c r="D2918" s="1" t="s">
        <v>1535</v>
      </c>
      <c r="E2918" s="0" t="s">
        <v>1503</v>
      </c>
      <c r="F2918" s="0" t="s">
        <v>48</v>
      </c>
      <c r="G2918" s="0" t="s">
        <v>1593</v>
      </c>
      <c r="H2918" s="0" t="s">
        <v>1594</v>
      </c>
      <c r="I2918" s="6" t="n">
        <v>0.277777777777778</v>
      </c>
      <c r="J2918" s="6" t="n">
        <v>0.324305555555556</v>
      </c>
      <c r="L2918" s="0" t="s">
        <v>1595</v>
      </c>
      <c r="M2918" s="0" t="s">
        <v>1596</v>
      </c>
      <c r="N2918" s="0" t="s">
        <v>1597</v>
      </c>
      <c r="O2918" s="0" t="s">
        <v>1598</v>
      </c>
      <c r="P2918" s="0" t="s">
        <v>1599</v>
      </c>
      <c r="Q2918" s="2" t="n">
        <v>44586</v>
      </c>
      <c r="S2918" s="0" t="n">
        <f aca="false">YEAR(Q2918)</f>
        <v>2022</v>
      </c>
      <c r="T2918" s="0" t="n">
        <f aca="false">MONTH(Q2918)</f>
        <v>1</v>
      </c>
    </row>
    <row r="2919" customFormat="false" ht="19.5" hidden="false" customHeight="true" outlineLevel="0" collapsed="false">
      <c r="A2919" s="4" t="n">
        <v>2935</v>
      </c>
      <c r="B2919" s="4" t="n">
        <v>25012022</v>
      </c>
      <c r="C2919" s="1" t="s">
        <v>1503</v>
      </c>
      <c r="D2919" s="1" t="s">
        <v>1535</v>
      </c>
      <c r="E2919" s="4" t="s">
        <v>1503</v>
      </c>
      <c r="F2919" s="4" t="s">
        <v>48</v>
      </c>
      <c r="G2919" s="4" t="s">
        <v>1593</v>
      </c>
      <c r="H2919" s="4" t="s">
        <v>1594</v>
      </c>
      <c r="I2919" s="8" t="n">
        <v>0.277777777777778</v>
      </c>
      <c r="J2919" s="8" t="n">
        <v>0.324305555555556</v>
      </c>
      <c r="K2919" s="4"/>
      <c r="L2919" s="4" t="s">
        <v>1595</v>
      </c>
      <c r="M2919" s="4" t="s">
        <v>1596</v>
      </c>
      <c r="N2919" s="4" t="s">
        <v>1597</v>
      </c>
      <c r="O2919" s="4" t="s">
        <v>1598</v>
      </c>
      <c r="P2919" s="4" t="s">
        <v>1599</v>
      </c>
      <c r="Q2919" s="2" t="n">
        <v>44586</v>
      </c>
      <c r="S2919" s="0" t="n">
        <f aca="false">YEAR(Q2919)</f>
        <v>2022</v>
      </c>
      <c r="T2919" s="0" t="n">
        <f aca="false">MONTH(Q2919)</f>
        <v>1</v>
      </c>
    </row>
    <row r="2920" customFormat="false" ht="14.25" hidden="false" customHeight="false" outlineLevel="0" collapsed="false">
      <c r="A2920" s="4" t="n">
        <v>2936</v>
      </c>
      <c r="B2920" s="4" t="n">
        <v>24012022</v>
      </c>
      <c r="C2920" s="1" t="s">
        <v>1479</v>
      </c>
      <c r="D2920" s="1" t="s">
        <v>1480</v>
      </c>
      <c r="E2920" s="4" t="s">
        <v>1600</v>
      </c>
      <c r="F2920" s="4" t="s">
        <v>1601</v>
      </c>
      <c r="G2920" s="4" t="s">
        <v>1602</v>
      </c>
      <c r="H2920" s="4" t="s">
        <v>1603</v>
      </c>
      <c r="I2920" s="4" t="s">
        <v>1604</v>
      </c>
      <c r="J2920" s="4" t="s">
        <v>1605</v>
      </c>
      <c r="K2920" s="4" t="s">
        <v>1606</v>
      </c>
      <c r="L2920" s="4" t="s">
        <v>1607</v>
      </c>
      <c r="M2920" s="4" t="s">
        <v>1608</v>
      </c>
      <c r="N2920" s="4" t="s">
        <v>1609</v>
      </c>
      <c r="O2920" s="4" t="s">
        <v>1610</v>
      </c>
      <c r="P2920" s="4" t="s">
        <v>1611</v>
      </c>
      <c r="Q2920" s="2" t="n">
        <v>44588</v>
      </c>
      <c r="S2920" s="0" t="n">
        <f aca="false">YEAR(Q2920)</f>
        <v>2022</v>
      </c>
      <c r="T2920" s="0" t="n">
        <f aca="false">MONTH(Q2920)</f>
        <v>1</v>
      </c>
    </row>
    <row r="2921" customFormat="false" ht="14.25" hidden="false" customHeight="false" outlineLevel="0" collapsed="false">
      <c r="A2921" s="4" t="n">
        <v>2937</v>
      </c>
      <c r="B2921" s="4" t="n">
        <v>25012022</v>
      </c>
      <c r="C2921" s="1" t="s">
        <v>1479</v>
      </c>
      <c r="D2921" s="1" t="s">
        <v>1480</v>
      </c>
      <c r="E2921" s="4" t="s">
        <v>1600</v>
      </c>
      <c r="F2921" s="4" t="s">
        <v>1612</v>
      </c>
      <c r="G2921" s="4" t="s">
        <v>1602</v>
      </c>
      <c r="H2921" s="4" t="s">
        <v>1603</v>
      </c>
      <c r="I2921" s="4" t="s">
        <v>1613</v>
      </c>
      <c r="J2921" s="4" t="s">
        <v>1614</v>
      </c>
      <c r="K2921" s="4" t="s">
        <v>1606</v>
      </c>
      <c r="L2921" s="4" t="s">
        <v>1615</v>
      </c>
      <c r="M2921" s="4" t="s">
        <v>1616</v>
      </c>
      <c r="N2921" s="4" t="s">
        <v>1617</v>
      </c>
      <c r="O2921" s="4" t="s">
        <v>1610</v>
      </c>
      <c r="P2921" s="4" t="s">
        <v>1618</v>
      </c>
      <c r="Q2921" s="2" t="n">
        <v>44588</v>
      </c>
      <c r="S2921" s="0" t="n">
        <f aca="false">YEAR(Q2921)</f>
        <v>2022</v>
      </c>
      <c r="T2921" s="0" t="n">
        <f aca="false">MONTH(Q2921)</f>
        <v>1</v>
      </c>
    </row>
    <row r="2922" customFormat="false" ht="14.25" hidden="true" customHeight="false" outlineLevel="0" collapsed="false">
      <c r="A2922" s="4" t="n">
        <v>2938</v>
      </c>
      <c r="B2922" s="4" t="n">
        <v>25012022</v>
      </c>
      <c r="C2922" s="4" t="s">
        <v>1479</v>
      </c>
      <c r="D2922" s="4" t="s">
        <v>1535</v>
      </c>
      <c r="E2922" s="4" t="s">
        <v>1639</v>
      </c>
      <c r="F2922" s="4" t="s">
        <v>1601</v>
      </c>
      <c r="G2922" s="4" t="s">
        <v>14286</v>
      </c>
      <c r="H2922" s="4" t="s">
        <v>1724</v>
      </c>
      <c r="I2922" s="4" t="s">
        <v>1606</v>
      </c>
      <c r="J2922" s="4" t="s">
        <v>1606</v>
      </c>
      <c r="K2922" s="4" t="s">
        <v>1606</v>
      </c>
      <c r="L2922" s="4" t="s">
        <v>1606</v>
      </c>
      <c r="M2922" s="4" t="s">
        <v>14287</v>
      </c>
      <c r="N2922" s="4" t="s">
        <v>14288</v>
      </c>
      <c r="O2922" s="4" t="s">
        <v>14289</v>
      </c>
      <c r="P2922" s="4" t="s">
        <v>14290</v>
      </c>
      <c r="Q2922" s="2" t="n">
        <v>44015</v>
      </c>
      <c r="S2922" s="0" t="n">
        <f aca="false">YEAR(Q2922)</f>
        <v>2020</v>
      </c>
      <c r="T2922" s="0" t="n">
        <f aca="false">MONTH(Q2922)</f>
        <v>7</v>
      </c>
    </row>
    <row r="2923" customFormat="false" ht="14.25" hidden="true" customHeight="false" outlineLevel="0" collapsed="false">
      <c r="A2923" s="4" t="n">
        <v>2939</v>
      </c>
      <c r="B2923" s="4" t="n">
        <v>25012022</v>
      </c>
      <c r="C2923" s="4" t="s">
        <v>1479</v>
      </c>
      <c r="D2923" s="4" t="s">
        <v>1535</v>
      </c>
      <c r="E2923" s="4" t="s">
        <v>1639</v>
      </c>
      <c r="F2923" s="4" t="s">
        <v>1612</v>
      </c>
      <c r="G2923" s="4" t="s">
        <v>14286</v>
      </c>
      <c r="H2923" s="4" t="s">
        <v>1724</v>
      </c>
      <c r="I2923" s="4" t="s">
        <v>1606</v>
      </c>
      <c r="J2923" s="4" t="s">
        <v>1606</v>
      </c>
      <c r="K2923" s="4" t="s">
        <v>1606</v>
      </c>
      <c r="L2923" s="4" t="s">
        <v>1606</v>
      </c>
      <c r="M2923" s="4" t="s">
        <v>14287</v>
      </c>
      <c r="N2923" s="4" t="s">
        <v>14288</v>
      </c>
      <c r="O2923" s="4" t="s">
        <v>14289</v>
      </c>
      <c r="P2923" s="4" t="s">
        <v>14291</v>
      </c>
      <c r="Q2923" s="2" t="n">
        <v>44015</v>
      </c>
      <c r="S2923" s="0" t="n">
        <f aca="false">YEAR(Q2923)</f>
        <v>2020</v>
      </c>
      <c r="T2923" s="0" t="n">
        <f aca="false">MONTH(Q2923)</f>
        <v>7</v>
      </c>
    </row>
    <row r="2924" customFormat="false" ht="14.25" hidden="false" customHeight="false" outlineLevel="0" collapsed="false">
      <c r="A2924" s="4" t="n">
        <v>2940</v>
      </c>
      <c r="B2924" s="4" t="n">
        <v>24012022</v>
      </c>
      <c r="C2924" s="1" t="s">
        <v>1495</v>
      </c>
      <c r="D2924" s="1" t="s">
        <v>1496</v>
      </c>
      <c r="E2924" s="4" t="s">
        <v>1619</v>
      </c>
      <c r="F2924" s="4" t="s">
        <v>1601</v>
      </c>
      <c r="G2924" s="4" t="s">
        <v>1620</v>
      </c>
      <c r="H2924" s="4" t="s">
        <v>1621</v>
      </c>
      <c r="I2924" s="4" t="s">
        <v>1622</v>
      </c>
      <c r="J2924" s="4" t="s">
        <v>1623</v>
      </c>
      <c r="K2924" s="4" t="s">
        <v>1624</v>
      </c>
      <c r="L2924" s="4" t="s">
        <v>1625</v>
      </c>
      <c r="M2924" s="4" t="s">
        <v>1626</v>
      </c>
      <c r="N2924" s="4" t="s">
        <v>1627</v>
      </c>
      <c r="O2924" s="4" t="s">
        <v>1606</v>
      </c>
      <c r="P2924" s="4" t="s">
        <v>1628</v>
      </c>
      <c r="Q2924" s="2" t="n">
        <v>44592</v>
      </c>
      <c r="S2924" s="0" t="n">
        <f aca="false">YEAR(Q2924)</f>
        <v>2022</v>
      </c>
      <c r="T2924" s="0" t="n">
        <f aca="false">MONTH(Q2924)</f>
        <v>1</v>
      </c>
    </row>
    <row r="2925" customFormat="false" ht="14.25" hidden="false" customHeight="false" outlineLevel="0" collapsed="false">
      <c r="A2925" s="4" t="n">
        <v>2941</v>
      </c>
      <c r="B2925" s="4" t="n">
        <v>25012022</v>
      </c>
      <c r="C2925" s="1" t="s">
        <v>1479</v>
      </c>
      <c r="D2925" s="1" t="s">
        <v>1487</v>
      </c>
      <c r="E2925" s="4" t="s">
        <v>1488</v>
      </c>
      <c r="F2925" s="4" t="s">
        <v>1601</v>
      </c>
      <c r="G2925" s="4" t="s">
        <v>1629</v>
      </c>
      <c r="H2925" s="4" t="s">
        <v>1630</v>
      </c>
      <c r="I2925" s="4" t="s">
        <v>1631</v>
      </c>
      <c r="J2925" s="4" t="s">
        <v>1632</v>
      </c>
      <c r="K2925" s="4" t="s">
        <v>1633</v>
      </c>
      <c r="L2925" s="4" t="s">
        <v>1634</v>
      </c>
      <c r="M2925" s="4" t="s">
        <v>1635</v>
      </c>
      <c r="N2925" s="4" t="s">
        <v>1636</v>
      </c>
      <c r="O2925" s="4" t="s">
        <v>1637</v>
      </c>
      <c r="P2925" s="4" t="s">
        <v>1638</v>
      </c>
      <c r="Q2925" s="2" t="n">
        <v>44563</v>
      </c>
      <c r="S2925" s="0" t="n">
        <f aca="false">YEAR(Q2925)</f>
        <v>2022</v>
      </c>
      <c r="T2925" s="0" t="n">
        <f aca="false">MONTH(Q2925)</f>
        <v>1</v>
      </c>
    </row>
    <row r="2926" customFormat="false" ht="14.25" hidden="false" customHeight="false" outlineLevel="0" collapsed="false">
      <c r="A2926" s="4" t="n">
        <v>2942</v>
      </c>
      <c r="B2926" s="4" t="n">
        <v>25012022</v>
      </c>
      <c r="C2926" s="4" t="s">
        <v>1479</v>
      </c>
      <c r="D2926" s="4" t="s">
        <v>1535</v>
      </c>
      <c r="E2926" s="4" t="s">
        <v>1639</v>
      </c>
      <c r="F2926" s="4" t="s">
        <v>1601</v>
      </c>
      <c r="G2926" s="4" t="s">
        <v>1640</v>
      </c>
      <c r="H2926" s="4" t="s">
        <v>1641</v>
      </c>
      <c r="I2926" s="4" t="s">
        <v>1606</v>
      </c>
      <c r="J2926" s="4" t="s">
        <v>1606</v>
      </c>
      <c r="K2926" s="4" t="s">
        <v>1606</v>
      </c>
      <c r="L2926" s="4" t="s">
        <v>1606</v>
      </c>
      <c r="M2926" s="4" t="s">
        <v>1642</v>
      </c>
      <c r="N2926" s="4" t="s">
        <v>1643</v>
      </c>
      <c r="O2926" s="4" t="s">
        <v>1644</v>
      </c>
      <c r="P2926" s="4" t="s">
        <v>1645</v>
      </c>
      <c r="Q2926" s="2" t="n">
        <v>44594</v>
      </c>
      <c r="S2926" s="0" t="n">
        <f aca="false">YEAR(Q2926)</f>
        <v>2022</v>
      </c>
      <c r="T2926" s="0" t="n">
        <f aca="false">MONTH(Q2926)</f>
        <v>2</v>
      </c>
    </row>
    <row r="2927" customFormat="false" ht="14.25" hidden="false" customHeight="false" outlineLevel="0" collapsed="false">
      <c r="A2927" s="4" t="n">
        <v>2943</v>
      </c>
      <c r="B2927" s="4" t="n">
        <v>25012022</v>
      </c>
      <c r="C2927" s="4" t="s">
        <v>1479</v>
      </c>
      <c r="D2927" s="4" t="s">
        <v>1535</v>
      </c>
      <c r="E2927" s="4" t="s">
        <v>1639</v>
      </c>
      <c r="F2927" s="4" t="s">
        <v>1601</v>
      </c>
      <c r="G2927" s="4" t="s">
        <v>1640</v>
      </c>
      <c r="H2927" s="4" t="s">
        <v>1641</v>
      </c>
      <c r="I2927" s="4" t="s">
        <v>1606</v>
      </c>
      <c r="J2927" s="4" t="s">
        <v>1606</v>
      </c>
      <c r="K2927" s="4" t="s">
        <v>1606</v>
      </c>
      <c r="L2927" s="4" t="s">
        <v>1606</v>
      </c>
      <c r="M2927" s="4" t="s">
        <v>1642</v>
      </c>
      <c r="N2927" s="4" t="s">
        <v>1643</v>
      </c>
      <c r="O2927" s="4" t="s">
        <v>1646</v>
      </c>
      <c r="P2927" s="4" t="s">
        <v>1647</v>
      </c>
      <c r="Q2927" s="2" t="n">
        <v>44622</v>
      </c>
      <c r="S2927" s="0" t="n">
        <f aca="false">YEAR(Q2927)</f>
        <v>2022</v>
      </c>
      <c r="T2927" s="0" t="n">
        <f aca="false">MONTH(Q2927)</f>
        <v>3</v>
      </c>
    </row>
    <row r="2928" customFormat="false" ht="14.25" hidden="false" customHeight="false" outlineLevel="0" collapsed="false">
      <c r="A2928" s="4" t="n">
        <v>2944</v>
      </c>
      <c r="B2928" s="4" t="n">
        <v>24012022</v>
      </c>
      <c r="C2928" s="1" t="s">
        <v>1503</v>
      </c>
      <c r="D2928" s="1" t="s">
        <v>1648</v>
      </c>
      <c r="E2928" s="4" t="s">
        <v>1648</v>
      </c>
      <c r="F2928" s="4" t="s">
        <v>1612</v>
      </c>
      <c r="G2928" s="4" t="s">
        <v>1649</v>
      </c>
      <c r="H2928" s="4" t="s">
        <v>1650</v>
      </c>
      <c r="I2928" s="4" t="s">
        <v>1651</v>
      </c>
      <c r="J2928" s="4" t="s">
        <v>1651</v>
      </c>
      <c r="K2928" s="4" t="s">
        <v>1606</v>
      </c>
      <c r="L2928" s="4" t="s">
        <v>1606</v>
      </c>
      <c r="M2928" s="4" t="s">
        <v>1652</v>
      </c>
      <c r="N2928" s="4" t="s">
        <v>1653</v>
      </c>
      <c r="O2928" s="4" t="s">
        <v>1654</v>
      </c>
      <c r="P2928" s="4" t="s">
        <v>1655</v>
      </c>
      <c r="Q2928" s="2" t="n">
        <v>44622</v>
      </c>
      <c r="S2928" s="0" t="n">
        <f aca="false">YEAR(Q2928)</f>
        <v>2022</v>
      </c>
      <c r="T2928" s="0" t="n">
        <f aca="false">MONTH(Q2928)</f>
        <v>3</v>
      </c>
    </row>
    <row r="2929" customFormat="false" ht="14.25" hidden="false" customHeight="false" outlineLevel="0" collapsed="false">
      <c r="A2929" s="4" t="n">
        <v>2945</v>
      </c>
      <c r="B2929" s="4" t="n">
        <v>25012022</v>
      </c>
      <c r="C2929" s="1" t="s">
        <v>1495</v>
      </c>
      <c r="D2929" s="1" t="s">
        <v>1487</v>
      </c>
      <c r="E2929" s="4" t="s">
        <v>1656</v>
      </c>
      <c r="F2929" s="4" t="s">
        <v>1612</v>
      </c>
      <c r="G2929" s="4" t="s">
        <v>1657</v>
      </c>
      <c r="H2929" s="4" t="s">
        <v>1658</v>
      </c>
      <c r="I2929" s="4" t="s">
        <v>1651</v>
      </c>
      <c r="J2929" s="4" t="s">
        <v>1659</v>
      </c>
      <c r="K2929" s="4" t="s">
        <v>1606</v>
      </c>
      <c r="L2929" s="4" t="s">
        <v>1651</v>
      </c>
      <c r="M2929" s="4" t="s">
        <v>1660</v>
      </c>
      <c r="N2929" s="4" t="s">
        <v>1661</v>
      </c>
      <c r="O2929" s="4" t="s">
        <v>1662</v>
      </c>
      <c r="P2929" s="4" t="s">
        <v>1663</v>
      </c>
      <c r="Q2929" s="2" t="n">
        <v>44622</v>
      </c>
      <c r="S2929" s="0" t="n">
        <f aca="false">YEAR(Q2929)</f>
        <v>2022</v>
      </c>
      <c r="T2929" s="0" t="n">
        <f aca="false">MONTH(Q2929)</f>
        <v>3</v>
      </c>
    </row>
    <row r="2930" customFormat="false" ht="14.25" hidden="false" customHeight="false" outlineLevel="0" collapsed="false">
      <c r="A2930" s="4" t="n">
        <v>2946</v>
      </c>
      <c r="B2930" s="4" t="n">
        <v>25012022</v>
      </c>
      <c r="C2930" s="1" t="s">
        <v>1503</v>
      </c>
      <c r="D2930" s="1" t="s">
        <v>1504</v>
      </c>
      <c r="E2930" s="4" t="s">
        <v>1664</v>
      </c>
      <c r="F2930" s="4" t="s">
        <v>1601</v>
      </c>
      <c r="G2930" s="4" t="s">
        <v>1665</v>
      </c>
      <c r="H2930" s="4" t="s">
        <v>1666</v>
      </c>
      <c r="I2930" s="4" t="s">
        <v>1667</v>
      </c>
      <c r="J2930" s="4" t="s">
        <v>1668</v>
      </c>
      <c r="K2930" s="4" t="s">
        <v>1606</v>
      </c>
      <c r="L2930" s="4" t="s">
        <v>1606</v>
      </c>
      <c r="M2930" s="4" t="s">
        <v>1669</v>
      </c>
      <c r="N2930" s="4" t="s">
        <v>1670</v>
      </c>
      <c r="O2930" s="4" t="s">
        <v>1606</v>
      </c>
      <c r="P2930" s="4" t="s">
        <v>1671</v>
      </c>
      <c r="Q2930" s="2" t="n">
        <v>44653</v>
      </c>
      <c r="S2930" s="0" t="n">
        <f aca="false">YEAR(Q2930)</f>
        <v>2022</v>
      </c>
      <c r="T2930" s="0" t="n">
        <f aca="false">MONTH(Q2930)</f>
        <v>4</v>
      </c>
    </row>
    <row r="2931" customFormat="false" ht="14.25" hidden="false" customHeight="false" outlineLevel="0" collapsed="false">
      <c r="A2931" s="4" t="n">
        <v>2947</v>
      </c>
      <c r="B2931" s="4" t="n">
        <v>25012022</v>
      </c>
      <c r="C2931" s="4" t="s">
        <v>1495</v>
      </c>
      <c r="D2931" s="4" t="s">
        <v>1535</v>
      </c>
      <c r="E2931" s="4" t="s">
        <v>1672</v>
      </c>
      <c r="F2931" s="4" t="s">
        <v>1601</v>
      </c>
      <c r="G2931" s="4" t="s">
        <v>1673</v>
      </c>
      <c r="H2931" s="4" t="s">
        <v>1674</v>
      </c>
      <c r="I2931" s="4" t="s">
        <v>1675</v>
      </c>
      <c r="J2931" s="4" t="s">
        <v>1676</v>
      </c>
      <c r="K2931" s="4" t="s">
        <v>1677</v>
      </c>
      <c r="L2931" s="4"/>
      <c r="M2931" s="4" t="s">
        <v>1678</v>
      </c>
      <c r="N2931" s="4" t="s">
        <v>1670</v>
      </c>
      <c r="O2931" s="4" t="s">
        <v>1606</v>
      </c>
      <c r="P2931" s="4" t="s">
        <v>1679</v>
      </c>
      <c r="Q2931" s="2" t="n">
        <v>44653</v>
      </c>
      <c r="S2931" s="0" t="n">
        <f aca="false">YEAR(Q2931)</f>
        <v>2022</v>
      </c>
      <c r="T2931" s="0" t="n">
        <f aca="false">MONTH(Q2931)</f>
        <v>4</v>
      </c>
    </row>
    <row r="2932" customFormat="false" ht="14.25" hidden="false" customHeight="false" outlineLevel="0" collapsed="false">
      <c r="A2932" s="4" t="n">
        <v>2948</v>
      </c>
      <c r="B2932" s="4" t="n">
        <v>24012022</v>
      </c>
      <c r="C2932" s="1" t="s">
        <v>1479</v>
      </c>
      <c r="D2932" s="1" t="s">
        <v>1496</v>
      </c>
      <c r="E2932" s="4" t="s">
        <v>1680</v>
      </c>
      <c r="F2932" s="4" t="s">
        <v>1601</v>
      </c>
      <c r="G2932" s="4" t="s">
        <v>1681</v>
      </c>
      <c r="H2932" s="4" t="s">
        <v>1682</v>
      </c>
      <c r="I2932" s="4" t="s">
        <v>1675</v>
      </c>
      <c r="J2932" s="4" t="s">
        <v>1676</v>
      </c>
      <c r="K2932" s="4" t="s">
        <v>1677</v>
      </c>
      <c r="L2932" s="4"/>
      <c r="M2932" s="4" t="s">
        <v>1683</v>
      </c>
      <c r="N2932" s="4" t="s">
        <v>1684</v>
      </c>
      <c r="O2932" s="4" t="s">
        <v>1685</v>
      </c>
      <c r="P2932" s="4" t="s">
        <v>1686</v>
      </c>
      <c r="Q2932" s="2" t="n">
        <v>44653</v>
      </c>
      <c r="S2932" s="0" t="n">
        <f aca="false">YEAR(Q2932)</f>
        <v>2022</v>
      </c>
      <c r="T2932" s="0" t="n">
        <f aca="false">MONTH(Q2932)</f>
        <v>4</v>
      </c>
    </row>
    <row r="2933" customFormat="false" ht="14.25" hidden="false" customHeight="false" outlineLevel="0" collapsed="false">
      <c r="A2933" s="4" t="n">
        <v>2949</v>
      </c>
      <c r="B2933" s="4" t="n">
        <v>25012022</v>
      </c>
      <c r="C2933" s="4" t="s">
        <v>1479</v>
      </c>
      <c r="D2933" s="4" t="s">
        <v>1535</v>
      </c>
      <c r="E2933" s="4" t="s">
        <v>1639</v>
      </c>
      <c r="F2933" s="4" t="s">
        <v>1601</v>
      </c>
      <c r="G2933" s="4" t="s">
        <v>1687</v>
      </c>
      <c r="H2933" s="4" t="s">
        <v>1688</v>
      </c>
      <c r="I2933" s="4" t="s">
        <v>1689</v>
      </c>
      <c r="J2933" s="4" t="s">
        <v>1690</v>
      </c>
      <c r="K2933" s="4" t="s">
        <v>1691</v>
      </c>
      <c r="L2933" s="4" t="s">
        <v>1692</v>
      </c>
      <c r="M2933" s="4" t="s">
        <v>1693</v>
      </c>
      <c r="N2933" s="4" t="s">
        <v>1694</v>
      </c>
      <c r="O2933" s="4" t="s">
        <v>1695</v>
      </c>
      <c r="P2933" s="4" t="s">
        <v>1696</v>
      </c>
      <c r="Q2933" s="2" t="n">
        <v>44744</v>
      </c>
      <c r="S2933" s="0" t="n">
        <f aca="false">YEAR(Q2933)</f>
        <v>2022</v>
      </c>
      <c r="T2933" s="0" t="n">
        <f aca="false">MONTH(Q2933)</f>
        <v>7</v>
      </c>
    </row>
    <row r="2934" customFormat="false" ht="14.25" hidden="false" customHeight="false" outlineLevel="0" collapsed="false">
      <c r="A2934" s="4" t="n">
        <v>2950</v>
      </c>
      <c r="B2934" s="4" t="n">
        <v>25012022</v>
      </c>
      <c r="C2934" s="1" t="s">
        <v>1503</v>
      </c>
      <c r="D2934" s="1" t="s">
        <v>1504</v>
      </c>
      <c r="E2934" s="4" t="s">
        <v>1503</v>
      </c>
      <c r="F2934" s="4" t="s">
        <v>1601</v>
      </c>
      <c r="G2934" s="4" t="s">
        <v>1697</v>
      </c>
      <c r="H2934" s="4" t="s">
        <v>1698</v>
      </c>
      <c r="I2934" s="4" t="s">
        <v>1667</v>
      </c>
      <c r="J2934" s="4" t="s">
        <v>1699</v>
      </c>
      <c r="K2934" s="4" t="s">
        <v>1606</v>
      </c>
      <c r="L2934" s="4" t="s">
        <v>1700</v>
      </c>
      <c r="M2934" s="4" t="s">
        <v>1701</v>
      </c>
      <c r="N2934" s="4" t="s">
        <v>1702</v>
      </c>
      <c r="O2934" s="4" t="s">
        <v>1703</v>
      </c>
      <c r="P2934" s="4" t="s">
        <v>1704</v>
      </c>
      <c r="Q2934" s="2" t="n">
        <v>44744</v>
      </c>
      <c r="S2934" s="0" t="n">
        <f aca="false">YEAR(Q2934)</f>
        <v>2022</v>
      </c>
      <c r="T2934" s="0" t="n">
        <f aca="false">MONTH(Q2934)</f>
        <v>7</v>
      </c>
    </row>
    <row r="2935" customFormat="false" ht="14.25" hidden="false" customHeight="false" outlineLevel="0" collapsed="false">
      <c r="A2935" s="4" t="n">
        <v>2951</v>
      </c>
      <c r="B2935" s="4" t="n">
        <v>25012022</v>
      </c>
      <c r="C2935" s="1" t="s">
        <v>1503</v>
      </c>
      <c r="D2935" s="1" t="s">
        <v>1648</v>
      </c>
      <c r="E2935" s="4" t="s">
        <v>1648</v>
      </c>
      <c r="F2935" s="4" t="s">
        <v>1601</v>
      </c>
      <c r="G2935" s="4" t="s">
        <v>1705</v>
      </c>
      <c r="H2935" s="4" t="s">
        <v>1650</v>
      </c>
      <c r="I2935" s="4" t="s">
        <v>1651</v>
      </c>
      <c r="J2935" s="4" t="s">
        <v>1706</v>
      </c>
      <c r="K2935" s="4" t="s">
        <v>1606</v>
      </c>
      <c r="L2935" s="4" t="s">
        <v>1606</v>
      </c>
      <c r="M2935" s="4" t="s">
        <v>1652</v>
      </c>
      <c r="N2935" s="4" t="s">
        <v>1653</v>
      </c>
      <c r="O2935" s="4" t="s">
        <v>1654</v>
      </c>
      <c r="P2935" s="4" t="s">
        <v>1655</v>
      </c>
      <c r="Q2935" s="2" t="n">
        <v>44744</v>
      </c>
      <c r="S2935" s="0" t="n">
        <f aca="false">YEAR(Q2935)</f>
        <v>2022</v>
      </c>
      <c r="T2935" s="0" t="n">
        <f aca="false">MONTH(Q2935)</f>
        <v>7</v>
      </c>
    </row>
    <row r="2936" customFormat="false" ht="14.25" hidden="false" customHeight="false" outlineLevel="0" collapsed="false">
      <c r="A2936" s="4" t="n">
        <v>2952</v>
      </c>
      <c r="B2936" s="4" t="n">
        <v>24012022</v>
      </c>
      <c r="C2936" s="1" t="s">
        <v>1479</v>
      </c>
      <c r="D2936" s="1" t="s">
        <v>1480</v>
      </c>
      <c r="E2936" s="4" t="s">
        <v>1600</v>
      </c>
      <c r="F2936" s="4" t="s">
        <v>1601</v>
      </c>
      <c r="G2936" s="4" t="s">
        <v>1707</v>
      </c>
      <c r="H2936" s="4" t="s">
        <v>1708</v>
      </c>
      <c r="I2936" s="4" t="s">
        <v>1606</v>
      </c>
      <c r="J2936" s="4" t="s">
        <v>1709</v>
      </c>
      <c r="K2936" s="4" t="s">
        <v>1710</v>
      </c>
      <c r="L2936" s="4"/>
      <c r="M2936" s="4" t="s">
        <v>1683</v>
      </c>
      <c r="N2936" s="4" t="s">
        <v>1684</v>
      </c>
      <c r="O2936" s="4" t="s">
        <v>1606</v>
      </c>
      <c r="P2936" s="4" t="s">
        <v>1711</v>
      </c>
      <c r="Q2936" s="2" t="n">
        <v>44744</v>
      </c>
      <c r="S2936" s="0" t="n">
        <f aca="false">YEAR(Q2936)</f>
        <v>2022</v>
      </c>
      <c r="T2936" s="0" t="n">
        <f aca="false">MONTH(Q2936)</f>
        <v>7</v>
      </c>
    </row>
    <row r="2937" customFormat="false" ht="14.25" hidden="false" customHeight="false" outlineLevel="0" collapsed="false">
      <c r="A2937" s="4" t="n">
        <v>2953</v>
      </c>
      <c r="B2937" s="4" t="n">
        <v>25012022</v>
      </c>
      <c r="C2937" s="4" t="s">
        <v>1495</v>
      </c>
      <c r="D2937" s="4" t="s">
        <v>1487</v>
      </c>
      <c r="E2937" s="4" t="s">
        <v>1712</v>
      </c>
      <c r="F2937" s="4" t="s">
        <v>1612</v>
      </c>
      <c r="G2937" s="4" t="s">
        <v>1713</v>
      </c>
      <c r="H2937" s="4" t="s">
        <v>1714</v>
      </c>
      <c r="I2937" s="4" t="s">
        <v>1715</v>
      </c>
      <c r="J2937" s="4" t="s">
        <v>1716</v>
      </c>
      <c r="K2937" s="4" t="n">
        <v>0</v>
      </c>
      <c r="L2937" s="4" t="s">
        <v>1717</v>
      </c>
      <c r="M2937" s="4" t="s">
        <v>1718</v>
      </c>
      <c r="N2937" s="4" t="s">
        <v>1719</v>
      </c>
      <c r="O2937" s="4" t="s">
        <v>1720</v>
      </c>
      <c r="P2937" s="4" t="s">
        <v>1721</v>
      </c>
      <c r="Q2937" s="2" t="n">
        <v>44744</v>
      </c>
      <c r="S2937" s="0" t="n">
        <f aca="false">YEAR(Q2937)</f>
        <v>2022</v>
      </c>
      <c r="T2937" s="0" t="n">
        <f aca="false">MONTH(Q2937)</f>
        <v>7</v>
      </c>
    </row>
    <row r="2938" customFormat="false" ht="14.25" hidden="false" customHeight="false" outlineLevel="0" collapsed="false">
      <c r="A2938" s="4" t="n">
        <v>2954</v>
      </c>
      <c r="B2938" s="4" t="n">
        <v>25012022</v>
      </c>
      <c r="C2938" s="1" t="s">
        <v>1479</v>
      </c>
      <c r="D2938" s="1" t="s">
        <v>1535</v>
      </c>
      <c r="E2938" s="4" t="s">
        <v>1722</v>
      </c>
      <c r="F2938" s="4" t="s">
        <v>1612</v>
      </c>
      <c r="G2938" s="4" t="s">
        <v>1723</v>
      </c>
      <c r="H2938" s="4" t="s">
        <v>1724</v>
      </c>
      <c r="I2938" s="4" t="s">
        <v>1725</v>
      </c>
      <c r="J2938" s="4" t="s">
        <v>1726</v>
      </c>
      <c r="K2938" s="4" t="n">
        <v>10</v>
      </c>
      <c r="L2938" s="4" t="s">
        <v>1727</v>
      </c>
      <c r="M2938" s="4" t="s">
        <v>1728</v>
      </c>
      <c r="N2938" s="4" t="s">
        <v>1729</v>
      </c>
      <c r="O2938" s="4" t="s">
        <v>1730</v>
      </c>
      <c r="P2938" s="4" t="s">
        <v>1731</v>
      </c>
      <c r="Q2938" s="2" t="n">
        <v>44744</v>
      </c>
      <c r="S2938" s="0" t="n">
        <f aca="false">YEAR(Q2938)</f>
        <v>2022</v>
      </c>
      <c r="T2938" s="0" t="n">
        <f aca="false">MONTH(Q2938)</f>
        <v>7</v>
      </c>
    </row>
    <row r="2939" customFormat="false" ht="14.25" hidden="false" customHeight="false" outlineLevel="0" collapsed="false">
      <c r="A2939" s="4" t="n">
        <v>2955</v>
      </c>
      <c r="B2939" s="4" t="n">
        <v>25012022</v>
      </c>
      <c r="C2939" s="4" t="s">
        <v>1495</v>
      </c>
      <c r="D2939" s="4" t="s">
        <v>1535</v>
      </c>
      <c r="E2939" s="4" t="s">
        <v>1732</v>
      </c>
      <c r="F2939" s="4" t="s">
        <v>1612</v>
      </c>
      <c r="G2939" s="4" t="s">
        <v>1733</v>
      </c>
      <c r="H2939" s="4" t="s">
        <v>1734</v>
      </c>
      <c r="I2939" s="4" t="s">
        <v>1735</v>
      </c>
      <c r="J2939" s="4" t="s">
        <v>1736</v>
      </c>
      <c r="K2939" s="4" t="n">
        <v>7</v>
      </c>
      <c r="L2939" s="4" t="s">
        <v>1737</v>
      </c>
      <c r="M2939" s="4" t="s">
        <v>1738</v>
      </c>
      <c r="N2939" s="4" t="s">
        <v>1739</v>
      </c>
      <c r="O2939" s="4" t="s">
        <v>1740</v>
      </c>
      <c r="P2939" s="4" t="s">
        <v>1741</v>
      </c>
      <c r="Q2939" s="2" t="n">
        <v>44744</v>
      </c>
      <c r="S2939" s="0" t="n">
        <f aca="false">YEAR(Q2939)</f>
        <v>2022</v>
      </c>
      <c r="T2939" s="0" t="n">
        <f aca="false">MONTH(Q2939)</f>
        <v>7</v>
      </c>
    </row>
    <row r="2940" customFormat="false" ht="14.25" hidden="false" customHeight="false" outlineLevel="0" collapsed="false">
      <c r="A2940" s="4" t="n">
        <v>2956</v>
      </c>
      <c r="B2940" s="4" t="n">
        <v>24012022</v>
      </c>
      <c r="C2940" s="1" t="s">
        <v>1503</v>
      </c>
      <c r="D2940" s="1" t="s">
        <v>1504</v>
      </c>
      <c r="E2940" s="4" t="s">
        <v>1503</v>
      </c>
      <c r="F2940" s="4" t="s">
        <v>1601</v>
      </c>
      <c r="G2940" s="4" t="s">
        <v>1697</v>
      </c>
      <c r="H2940" s="4" t="s">
        <v>1698</v>
      </c>
      <c r="I2940" s="4" t="s">
        <v>1667</v>
      </c>
      <c r="J2940" s="4" t="s">
        <v>1699</v>
      </c>
      <c r="K2940" s="4" t="s">
        <v>1606</v>
      </c>
      <c r="L2940" s="4" t="s">
        <v>1700</v>
      </c>
      <c r="M2940" s="4" t="s">
        <v>1701</v>
      </c>
      <c r="N2940" s="4" t="s">
        <v>1702</v>
      </c>
      <c r="O2940" s="4" t="s">
        <v>1742</v>
      </c>
      <c r="P2940" s="4" t="s">
        <v>1743</v>
      </c>
      <c r="Q2940" s="2" t="n">
        <v>44600</v>
      </c>
      <c r="S2940" s="0" t="n">
        <f aca="false">YEAR(Q2940)</f>
        <v>2022</v>
      </c>
      <c r="T2940" s="0" t="n">
        <f aca="false">MONTH(Q2940)</f>
        <v>2</v>
      </c>
    </row>
    <row r="2941" customFormat="false" ht="14.25" hidden="false" customHeight="false" outlineLevel="0" collapsed="false">
      <c r="A2941" s="4" t="n">
        <v>2957</v>
      </c>
      <c r="B2941" s="4" t="n">
        <v>25012022</v>
      </c>
      <c r="C2941" s="1" t="s">
        <v>1479</v>
      </c>
      <c r="D2941" s="1" t="s">
        <v>1480</v>
      </c>
      <c r="E2941" s="4" t="s">
        <v>1600</v>
      </c>
      <c r="F2941" s="4" t="s">
        <v>1612</v>
      </c>
      <c r="G2941" s="4" t="s">
        <v>1744</v>
      </c>
      <c r="H2941" s="4" t="s">
        <v>1745</v>
      </c>
      <c r="I2941" s="4" t="s">
        <v>1746</v>
      </c>
      <c r="J2941" s="4" t="s">
        <v>1747</v>
      </c>
      <c r="K2941" s="4" t="s">
        <v>1606</v>
      </c>
      <c r="L2941" s="4" t="s">
        <v>1748</v>
      </c>
      <c r="M2941" s="4" t="s">
        <v>1749</v>
      </c>
      <c r="N2941" s="4" t="s">
        <v>1750</v>
      </c>
      <c r="O2941" s="4" t="s">
        <v>1751</v>
      </c>
      <c r="P2941" s="4" t="s">
        <v>1752</v>
      </c>
      <c r="Q2941" s="2" t="n">
        <v>44600</v>
      </c>
      <c r="S2941" s="0" t="n">
        <f aca="false">YEAR(Q2941)</f>
        <v>2022</v>
      </c>
      <c r="T2941" s="0" t="n">
        <f aca="false">MONTH(Q2941)</f>
        <v>2</v>
      </c>
    </row>
    <row r="2942" customFormat="false" ht="14.25" hidden="false" customHeight="false" outlineLevel="0" collapsed="false">
      <c r="A2942" s="4" t="n">
        <v>2958</v>
      </c>
      <c r="B2942" s="4" t="n">
        <v>25012022</v>
      </c>
      <c r="C2942" s="1" t="s">
        <v>1479</v>
      </c>
      <c r="D2942" s="1" t="s">
        <v>1535</v>
      </c>
      <c r="E2942" s="4" t="s">
        <v>1722</v>
      </c>
      <c r="F2942" s="4" t="s">
        <v>1612</v>
      </c>
      <c r="G2942" s="4" t="s">
        <v>1753</v>
      </c>
      <c r="H2942" s="4" t="s">
        <v>1641</v>
      </c>
      <c r="I2942" s="4" t="s">
        <v>1754</v>
      </c>
      <c r="J2942" s="4" t="s">
        <v>1755</v>
      </c>
      <c r="K2942" s="4" t="n">
        <v>1</v>
      </c>
      <c r="L2942" s="4" t="s">
        <v>1756</v>
      </c>
      <c r="M2942" s="4" t="s">
        <v>1757</v>
      </c>
      <c r="N2942" s="4" t="s">
        <v>1758</v>
      </c>
      <c r="O2942" s="4" t="s">
        <v>1759</v>
      </c>
      <c r="P2942" s="4" t="s">
        <v>1760</v>
      </c>
      <c r="Q2942" s="2" t="n">
        <v>44600</v>
      </c>
      <c r="S2942" s="0" t="n">
        <f aca="false">YEAR(Q2942)</f>
        <v>2022</v>
      </c>
      <c r="T2942" s="0" t="n">
        <f aca="false">MONTH(Q2942)</f>
        <v>2</v>
      </c>
    </row>
    <row r="2943" customFormat="false" ht="14.25" hidden="false" customHeight="false" outlineLevel="0" collapsed="false">
      <c r="A2943" s="4" t="n">
        <v>2959</v>
      </c>
      <c r="B2943" s="4" t="n">
        <v>25012022</v>
      </c>
      <c r="C2943" s="1" t="s">
        <v>1495</v>
      </c>
      <c r="D2943" s="1" t="s">
        <v>1487</v>
      </c>
      <c r="E2943" s="4" t="s">
        <v>1656</v>
      </c>
      <c r="F2943" s="4" t="s">
        <v>1601</v>
      </c>
      <c r="G2943" s="4" t="s">
        <v>1761</v>
      </c>
      <c r="H2943" s="4" t="s">
        <v>1762</v>
      </c>
      <c r="I2943" s="4" t="s">
        <v>1763</v>
      </c>
      <c r="J2943" s="4" t="s">
        <v>1606</v>
      </c>
      <c r="K2943" s="4" t="s">
        <v>1606</v>
      </c>
      <c r="L2943" s="4" t="s">
        <v>1606</v>
      </c>
      <c r="M2943" s="4" t="s">
        <v>1764</v>
      </c>
      <c r="N2943" s="4" t="s">
        <v>1765</v>
      </c>
      <c r="O2943" s="4" t="s">
        <v>1766</v>
      </c>
      <c r="P2943" s="4" t="s">
        <v>1767</v>
      </c>
      <c r="Q2943" s="2" t="n">
        <v>44601</v>
      </c>
      <c r="S2943" s="0" t="n">
        <f aca="false">YEAR(Q2943)</f>
        <v>2022</v>
      </c>
      <c r="T2943" s="0" t="n">
        <f aca="false">MONTH(Q2943)</f>
        <v>2</v>
      </c>
    </row>
    <row r="2944" customFormat="false" ht="14.25" hidden="false" customHeight="false" outlineLevel="0" collapsed="false">
      <c r="A2944" s="4" t="n">
        <v>2960</v>
      </c>
      <c r="B2944" s="4" t="n">
        <v>24012022</v>
      </c>
      <c r="C2944" s="1" t="s">
        <v>1479</v>
      </c>
      <c r="D2944" s="1" t="s">
        <v>1480</v>
      </c>
      <c r="E2944" s="4" t="s">
        <v>1600</v>
      </c>
      <c r="F2944" s="4" t="s">
        <v>1601</v>
      </c>
      <c r="G2944" s="4" t="s">
        <v>1744</v>
      </c>
      <c r="H2944" s="4" t="s">
        <v>1745</v>
      </c>
      <c r="I2944" s="4" t="s">
        <v>1768</v>
      </c>
      <c r="J2944" s="4" t="s">
        <v>1769</v>
      </c>
      <c r="K2944" s="4" t="s">
        <v>1606</v>
      </c>
      <c r="L2944" s="4"/>
      <c r="M2944" s="4" t="s">
        <v>1770</v>
      </c>
      <c r="N2944" s="4" t="s">
        <v>1771</v>
      </c>
      <c r="O2944" s="4"/>
      <c r="P2944" s="4" t="s">
        <v>1772</v>
      </c>
      <c r="Q2944" s="2" t="n">
        <v>44601</v>
      </c>
      <c r="S2944" s="0" t="n">
        <f aca="false">YEAR(Q2944)</f>
        <v>2022</v>
      </c>
      <c r="T2944" s="0" t="n">
        <f aca="false">MONTH(Q2944)</f>
        <v>2</v>
      </c>
    </row>
    <row r="2945" customFormat="false" ht="14.25" hidden="false" customHeight="false" outlineLevel="0" collapsed="false">
      <c r="A2945" s="4" t="n">
        <v>2961</v>
      </c>
      <c r="B2945" s="4" t="n">
        <v>25012022</v>
      </c>
      <c r="C2945" s="1" t="s">
        <v>1495</v>
      </c>
      <c r="D2945" s="1" t="s">
        <v>1487</v>
      </c>
      <c r="E2945" s="4" t="s">
        <v>1656</v>
      </c>
      <c r="F2945" s="4" t="s">
        <v>1601</v>
      </c>
      <c r="G2945" s="4" t="s">
        <v>1773</v>
      </c>
      <c r="H2945" s="4" t="s">
        <v>1774</v>
      </c>
      <c r="I2945" s="4" t="s">
        <v>1775</v>
      </c>
      <c r="J2945" s="4" t="s">
        <v>1776</v>
      </c>
      <c r="K2945" s="4" t="s">
        <v>1777</v>
      </c>
      <c r="L2945" s="4" t="s">
        <v>1778</v>
      </c>
      <c r="M2945" s="4" t="s">
        <v>1779</v>
      </c>
      <c r="N2945" s="4" t="s">
        <v>1780</v>
      </c>
      <c r="O2945" s="4" t="s">
        <v>1781</v>
      </c>
      <c r="P2945" s="4" t="s">
        <v>1782</v>
      </c>
      <c r="Q2945" s="2" t="n">
        <v>44602</v>
      </c>
      <c r="S2945" s="0" t="n">
        <f aca="false">YEAR(Q2945)</f>
        <v>2022</v>
      </c>
      <c r="T2945" s="0" t="n">
        <f aca="false">MONTH(Q2945)</f>
        <v>2</v>
      </c>
    </row>
    <row r="2946" customFormat="false" ht="14.25" hidden="false" customHeight="false" outlineLevel="0" collapsed="false">
      <c r="A2946" s="4" t="n">
        <v>2962</v>
      </c>
      <c r="B2946" s="4" t="n">
        <v>25012022</v>
      </c>
      <c r="C2946" s="1" t="s">
        <v>1479</v>
      </c>
      <c r="D2946" s="1" t="s">
        <v>1487</v>
      </c>
      <c r="E2946" s="0" t="s">
        <v>1488</v>
      </c>
      <c r="F2946" s="4" t="s">
        <v>1612</v>
      </c>
      <c r="G2946" s="4" t="s">
        <v>1783</v>
      </c>
      <c r="H2946" s="4" t="s">
        <v>1784</v>
      </c>
      <c r="I2946" s="8" t="n">
        <v>0.833333333333333</v>
      </c>
      <c r="J2946" s="4" t="s">
        <v>1785</v>
      </c>
      <c r="K2946" s="4" t="s">
        <v>1606</v>
      </c>
      <c r="L2946" s="4" t="s">
        <v>1786</v>
      </c>
      <c r="M2946" s="4" t="s">
        <v>1787</v>
      </c>
      <c r="N2946" s="4" t="s">
        <v>1788</v>
      </c>
      <c r="O2946" s="4" t="s">
        <v>1789</v>
      </c>
      <c r="P2946" s="4" t="s">
        <v>1790</v>
      </c>
      <c r="Q2946" s="2" t="n">
        <v>44602</v>
      </c>
      <c r="S2946" s="0" t="n">
        <f aca="false">YEAR(Q2946)</f>
        <v>2022</v>
      </c>
      <c r="T2946" s="0" t="n">
        <f aca="false">MONTH(Q2946)</f>
        <v>2</v>
      </c>
    </row>
    <row r="2947" customFormat="false" ht="14.25" hidden="false" customHeight="false" outlineLevel="0" collapsed="false">
      <c r="A2947" s="4" t="n">
        <v>2963</v>
      </c>
      <c r="B2947" s="4" t="n">
        <v>25012022</v>
      </c>
      <c r="C2947" s="1" t="s">
        <v>1479</v>
      </c>
      <c r="D2947" s="1" t="s">
        <v>1496</v>
      </c>
      <c r="E2947" s="4" t="s">
        <v>1680</v>
      </c>
      <c r="F2947" s="4" t="s">
        <v>1601</v>
      </c>
      <c r="G2947" s="4" t="s">
        <v>1791</v>
      </c>
      <c r="H2947" s="4" t="s">
        <v>1621</v>
      </c>
      <c r="I2947" s="4" t="s">
        <v>1792</v>
      </c>
      <c r="J2947" s="4" t="s">
        <v>1793</v>
      </c>
      <c r="K2947" s="4" t="s">
        <v>1633</v>
      </c>
      <c r="L2947" s="4" t="s">
        <v>1794</v>
      </c>
      <c r="M2947" s="4" t="s">
        <v>1795</v>
      </c>
      <c r="N2947" s="4" t="s">
        <v>1796</v>
      </c>
      <c r="O2947" s="4"/>
      <c r="P2947" s="4" t="s">
        <v>1797</v>
      </c>
      <c r="Q2947" s="2" t="n">
        <v>44606</v>
      </c>
      <c r="S2947" s="0" t="n">
        <f aca="false">YEAR(Q2947)</f>
        <v>2022</v>
      </c>
      <c r="T2947" s="0" t="n">
        <f aca="false">MONTH(Q2947)</f>
        <v>2</v>
      </c>
    </row>
    <row r="2948" customFormat="false" ht="14.25" hidden="false" customHeight="false" outlineLevel="0" collapsed="false">
      <c r="A2948" s="4" t="n">
        <v>2964</v>
      </c>
      <c r="B2948" s="4" t="n">
        <v>24012022</v>
      </c>
      <c r="C2948" s="4" t="s">
        <v>1479</v>
      </c>
      <c r="D2948" s="4" t="s">
        <v>1535</v>
      </c>
      <c r="E2948" s="4" t="s">
        <v>1639</v>
      </c>
      <c r="F2948" s="4" t="s">
        <v>1601</v>
      </c>
      <c r="G2948" s="4" t="s">
        <v>1798</v>
      </c>
      <c r="H2948" s="4" t="s">
        <v>1799</v>
      </c>
      <c r="I2948" s="4" t="s">
        <v>1800</v>
      </c>
      <c r="J2948" s="4" t="s">
        <v>1801</v>
      </c>
      <c r="K2948" s="4" t="s">
        <v>1802</v>
      </c>
      <c r="L2948" s="4" t="s">
        <v>1803</v>
      </c>
      <c r="M2948" s="4" t="s">
        <v>1804</v>
      </c>
      <c r="N2948" s="4" t="s">
        <v>1805</v>
      </c>
      <c r="O2948" s="4" t="s">
        <v>1806</v>
      </c>
      <c r="P2948" s="4" t="s">
        <v>1807</v>
      </c>
      <c r="Q2948" s="2" t="n">
        <v>44606</v>
      </c>
      <c r="S2948" s="0" t="n">
        <f aca="false">YEAR(Q2948)</f>
        <v>2022</v>
      </c>
      <c r="T2948" s="0" t="n">
        <f aca="false">MONTH(Q2948)</f>
        <v>2</v>
      </c>
    </row>
    <row r="2949" customFormat="false" ht="14.25" hidden="false" customHeight="false" outlineLevel="0" collapsed="false">
      <c r="A2949" s="4" t="n">
        <v>2965</v>
      </c>
      <c r="B2949" s="4" t="n">
        <v>25012022</v>
      </c>
      <c r="C2949" s="1" t="s">
        <v>1495</v>
      </c>
      <c r="D2949" s="1" t="s">
        <v>1496</v>
      </c>
      <c r="E2949" s="4" t="s">
        <v>1619</v>
      </c>
      <c r="F2949" s="4" t="s">
        <v>1601</v>
      </c>
      <c r="G2949" s="4"/>
      <c r="H2949" s="4" t="s">
        <v>1808</v>
      </c>
      <c r="I2949" s="4" t="s">
        <v>1606</v>
      </c>
      <c r="J2949" s="4" t="s">
        <v>1809</v>
      </c>
      <c r="K2949" s="4" t="s">
        <v>1606</v>
      </c>
      <c r="L2949" s="4" t="s">
        <v>1810</v>
      </c>
      <c r="M2949" s="4" t="s">
        <v>1811</v>
      </c>
      <c r="N2949" s="4" t="s">
        <v>1812</v>
      </c>
      <c r="O2949" s="4" t="s">
        <v>1813</v>
      </c>
      <c r="P2949" s="4" t="s">
        <v>1814</v>
      </c>
      <c r="Q2949" s="2" t="n">
        <v>44606</v>
      </c>
      <c r="S2949" s="0" t="n">
        <f aca="false">YEAR(Q2949)</f>
        <v>2022</v>
      </c>
      <c r="T2949" s="0" t="n">
        <f aca="false">MONTH(Q2949)</f>
        <v>2</v>
      </c>
    </row>
    <row r="2950" customFormat="false" ht="14.25" hidden="false" customHeight="false" outlineLevel="0" collapsed="false">
      <c r="A2950" s="4" t="n">
        <v>2966</v>
      </c>
      <c r="B2950" s="4" t="n">
        <v>25012022</v>
      </c>
      <c r="C2950" s="1" t="s">
        <v>1495</v>
      </c>
      <c r="D2950" s="1" t="s">
        <v>1496</v>
      </c>
      <c r="E2950" s="4" t="s">
        <v>1619</v>
      </c>
      <c r="F2950" s="4" t="s">
        <v>1601</v>
      </c>
      <c r="G2950" s="4" t="s">
        <v>1815</v>
      </c>
      <c r="H2950" s="4" t="s">
        <v>1816</v>
      </c>
      <c r="I2950" s="4" t="s">
        <v>1817</v>
      </c>
      <c r="J2950" s="4" t="s">
        <v>1818</v>
      </c>
      <c r="K2950" s="4" t="s">
        <v>1606</v>
      </c>
      <c r="L2950" s="4" t="s">
        <v>1692</v>
      </c>
      <c r="M2950" s="4" t="s">
        <v>1819</v>
      </c>
      <c r="N2950" s="4" t="s">
        <v>1820</v>
      </c>
      <c r="O2950" s="4" t="s">
        <v>1821</v>
      </c>
      <c r="P2950" s="4" t="s">
        <v>1822</v>
      </c>
      <c r="Q2950" s="2" t="n">
        <v>44606</v>
      </c>
      <c r="S2950" s="0" t="n">
        <f aca="false">YEAR(Q2950)</f>
        <v>2022</v>
      </c>
      <c r="T2950" s="0" t="n">
        <f aca="false">MONTH(Q2950)</f>
        <v>2</v>
      </c>
    </row>
    <row r="2951" customFormat="false" ht="14.25" hidden="false" customHeight="false" outlineLevel="0" collapsed="false">
      <c r="A2951" s="4" t="n">
        <v>2967</v>
      </c>
      <c r="B2951" s="4" t="n">
        <v>25012022</v>
      </c>
      <c r="C2951" s="1" t="s">
        <v>1479</v>
      </c>
      <c r="D2951" s="1" t="s">
        <v>1480</v>
      </c>
      <c r="E2951" s="4" t="s">
        <v>1600</v>
      </c>
      <c r="F2951" s="4" t="s">
        <v>1612</v>
      </c>
      <c r="G2951" s="4" t="s">
        <v>1823</v>
      </c>
      <c r="H2951" s="4" t="s">
        <v>1824</v>
      </c>
      <c r="I2951" s="4" t="s">
        <v>1651</v>
      </c>
      <c r="J2951" s="4" t="s">
        <v>1825</v>
      </c>
      <c r="K2951" s="4" t="n">
        <v>0</v>
      </c>
      <c r="L2951" s="4" t="s">
        <v>1651</v>
      </c>
      <c r="M2951" s="4" t="s">
        <v>1826</v>
      </c>
      <c r="N2951" s="4" t="s">
        <v>1827</v>
      </c>
      <c r="O2951" s="4" t="s">
        <v>1828</v>
      </c>
      <c r="P2951" s="4" t="s">
        <v>1829</v>
      </c>
      <c r="Q2951" s="2" t="n">
        <v>44606</v>
      </c>
      <c r="S2951" s="0" t="n">
        <f aca="false">YEAR(Q2951)</f>
        <v>2022</v>
      </c>
      <c r="T2951" s="0" t="n">
        <f aca="false">MONTH(Q2951)</f>
        <v>2</v>
      </c>
    </row>
    <row r="2952" customFormat="false" ht="14.25" hidden="false" customHeight="false" outlineLevel="0" collapsed="false">
      <c r="A2952" s="4" t="n">
        <v>2968</v>
      </c>
      <c r="B2952" s="4" t="n">
        <v>24012022</v>
      </c>
      <c r="C2952" s="1" t="s">
        <v>1503</v>
      </c>
      <c r="D2952" s="1" t="s">
        <v>1535</v>
      </c>
      <c r="E2952" s="4" t="s">
        <v>1503</v>
      </c>
      <c r="F2952" s="4" t="s">
        <v>1612</v>
      </c>
      <c r="G2952" s="4" t="s">
        <v>1830</v>
      </c>
      <c r="H2952" s="4" t="s">
        <v>1831</v>
      </c>
      <c r="I2952" s="4" t="s">
        <v>1716</v>
      </c>
      <c r="J2952" s="4" t="s">
        <v>1832</v>
      </c>
      <c r="K2952" s="4" t="n">
        <v>0</v>
      </c>
      <c r="L2952" s="4" t="s">
        <v>1833</v>
      </c>
      <c r="M2952" s="4" t="s">
        <v>1834</v>
      </c>
      <c r="N2952" s="4" t="s">
        <v>1835</v>
      </c>
      <c r="O2952" s="4" t="s">
        <v>1836</v>
      </c>
      <c r="P2952" s="4" t="s">
        <v>1837</v>
      </c>
      <c r="Q2952" s="2" t="n">
        <v>44608</v>
      </c>
      <c r="S2952" s="0" t="n">
        <f aca="false">YEAR(Q2952)</f>
        <v>2022</v>
      </c>
      <c r="T2952" s="0" t="n">
        <f aca="false">MONTH(Q2952)</f>
        <v>2</v>
      </c>
    </row>
    <row r="2953" customFormat="false" ht="14.25" hidden="false" customHeight="false" outlineLevel="0" collapsed="false">
      <c r="A2953" s="4" t="n">
        <v>2969</v>
      </c>
      <c r="B2953" s="4" t="n">
        <v>25012022</v>
      </c>
      <c r="C2953" s="1" t="s">
        <v>1479</v>
      </c>
      <c r="D2953" s="1" t="s">
        <v>1480</v>
      </c>
      <c r="E2953" s="4" t="s">
        <v>1600</v>
      </c>
      <c r="F2953" s="4" t="s">
        <v>1601</v>
      </c>
      <c r="G2953" s="4" t="s">
        <v>1838</v>
      </c>
      <c r="H2953" s="4" t="s">
        <v>1839</v>
      </c>
      <c r="I2953" s="4" t="s">
        <v>1840</v>
      </c>
      <c r="J2953" s="4" t="s">
        <v>1841</v>
      </c>
      <c r="K2953" s="4" t="s">
        <v>1842</v>
      </c>
      <c r="L2953" s="4" t="s">
        <v>1843</v>
      </c>
      <c r="M2953" s="4" t="s">
        <v>1844</v>
      </c>
      <c r="N2953" s="4" t="s">
        <v>1845</v>
      </c>
      <c r="O2953" s="4" t="s">
        <v>1606</v>
      </c>
      <c r="P2953" s="4" t="s">
        <v>1846</v>
      </c>
      <c r="Q2953" s="2" t="n">
        <v>44609</v>
      </c>
      <c r="S2953" s="0" t="n">
        <f aca="false">YEAR(Q2953)</f>
        <v>2022</v>
      </c>
      <c r="T2953" s="0" t="n">
        <f aca="false">MONTH(Q2953)</f>
        <v>2</v>
      </c>
    </row>
    <row r="2954" customFormat="false" ht="14.25" hidden="false" customHeight="false" outlineLevel="0" collapsed="false">
      <c r="A2954" s="4" t="n">
        <v>2970</v>
      </c>
      <c r="B2954" s="4" t="n">
        <v>25012022</v>
      </c>
      <c r="C2954" s="1" t="s">
        <v>1479</v>
      </c>
      <c r="D2954" s="1" t="s">
        <v>1496</v>
      </c>
      <c r="E2954" s="4" t="s">
        <v>1680</v>
      </c>
      <c r="F2954" s="4" t="s">
        <v>1601</v>
      </c>
      <c r="G2954" s="4" t="s">
        <v>1847</v>
      </c>
      <c r="H2954" s="4" t="s">
        <v>1848</v>
      </c>
      <c r="I2954" s="4" t="s">
        <v>1849</v>
      </c>
      <c r="J2954" s="4" t="s">
        <v>1850</v>
      </c>
      <c r="K2954" s="4" t="s">
        <v>1606</v>
      </c>
      <c r="L2954" s="4" t="s">
        <v>1851</v>
      </c>
      <c r="M2954" s="4" t="s">
        <v>1852</v>
      </c>
      <c r="N2954" s="4" t="s">
        <v>1853</v>
      </c>
      <c r="O2954" s="4" t="s">
        <v>1854</v>
      </c>
      <c r="P2954" s="4" t="s">
        <v>1855</v>
      </c>
      <c r="Q2954" s="2" t="n">
        <v>44610</v>
      </c>
      <c r="S2954" s="0" t="n">
        <f aca="false">YEAR(Q2954)</f>
        <v>2022</v>
      </c>
      <c r="T2954" s="0" t="n">
        <f aca="false">MONTH(Q2954)</f>
        <v>2</v>
      </c>
    </row>
    <row r="2955" customFormat="false" ht="14.25" hidden="false" customHeight="false" outlineLevel="0" collapsed="false">
      <c r="A2955" s="4" t="n">
        <v>2971</v>
      </c>
      <c r="B2955" s="4" t="n">
        <v>25012022</v>
      </c>
      <c r="C2955" s="4" t="s">
        <v>1479</v>
      </c>
      <c r="D2955" s="4" t="s">
        <v>1535</v>
      </c>
      <c r="E2955" s="4" t="s">
        <v>1639</v>
      </c>
      <c r="F2955" s="4" t="s">
        <v>1601</v>
      </c>
      <c r="G2955" s="4" t="s">
        <v>1856</v>
      </c>
      <c r="H2955" s="4" t="s">
        <v>1724</v>
      </c>
      <c r="I2955" s="4" t="s">
        <v>1857</v>
      </c>
      <c r="J2955" s="4"/>
      <c r="K2955" s="4" t="s">
        <v>1858</v>
      </c>
      <c r="L2955" s="4"/>
      <c r="M2955" s="4" t="s">
        <v>1859</v>
      </c>
      <c r="N2955" s="4" t="s">
        <v>1860</v>
      </c>
      <c r="O2955" s="4" t="s">
        <v>1861</v>
      </c>
      <c r="P2955" s="4" t="s">
        <v>1862</v>
      </c>
      <c r="Q2955" s="2" t="n">
        <v>44613</v>
      </c>
      <c r="S2955" s="0" t="n">
        <f aca="false">YEAR(Q2955)</f>
        <v>2022</v>
      </c>
      <c r="T2955" s="0" t="n">
        <f aca="false">MONTH(Q2955)</f>
        <v>2</v>
      </c>
    </row>
    <row r="2956" customFormat="false" ht="14.25" hidden="false" customHeight="false" outlineLevel="0" collapsed="false">
      <c r="A2956" s="4" t="n">
        <v>2972</v>
      </c>
      <c r="B2956" s="4" t="n">
        <v>24012022</v>
      </c>
      <c r="C2956" s="1" t="s">
        <v>1479</v>
      </c>
      <c r="D2956" s="1" t="s">
        <v>1863</v>
      </c>
      <c r="E2956" s="4" t="s">
        <v>1864</v>
      </c>
      <c r="F2956" s="4" t="s">
        <v>1601</v>
      </c>
      <c r="G2956" s="4" t="s">
        <v>1865</v>
      </c>
      <c r="H2956" s="4" t="s">
        <v>1866</v>
      </c>
      <c r="I2956" s="4" t="s">
        <v>1867</v>
      </c>
      <c r="J2956" s="4" t="s">
        <v>1868</v>
      </c>
      <c r="K2956" s="4" t="s">
        <v>1606</v>
      </c>
      <c r="L2956" s="4" t="s">
        <v>1869</v>
      </c>
      <c r="M2956" s="4" t="s">
        <v>1870</v>
      </c>
      <c r="N2956" s="4" t="s">
        <v>1871</v>
      </c>
      <c r="O2956" s="4" t="s">
        <v>1606</v>
      </c>
      <c r="P2956" s="4" t="s">
        <v>1872</v>
      </c>
      <c r="Q2956" s="2" t="n">
        <v>44613</v>
      </c>
      <c r="S2956" s="0" t="n">
        <f aca="false">YEAR(Q2956)</f>
        <v>2022</v>
      </c>
      <c r="T2956" s="0" t="n">
        <f aca="false">MONTH(Q2956)</f>
        <v>2</v>
      </c>
    </row>
    <row r="2957" customFormat="false" ht="14.25" hidden="false" customHeight="false" outlineLevel="0" collapsed="false">
      <c r="A2957" s="4" t="n">
        <v>2973</v>
      </c>
      <c r="B2957" s="4" t="n">
        <v>25012022</v>
      </c>
      <c r="C2957" s="1" t="s">
        <v>1479</v>
      </c>
      <c r="D2957" s="1" t="s">
        <v>1496</v>
      </c>
      <c r="E2957" s="4" t="s">
        <v>1873</v>
      </c>
      <c r="F2957" s="4" t="s">
        <v>1612</v>
      </c>
      <c r="G2957" s="4" t="s">
        <v>1874</v>
      </c>
      <c r="H2957" s="4" t="s">
        <v>1875</v>
      </c>
      <c r="I2957" s="4" t="s">
        <v>1876</v>
      </c>
      <c r="J2957" s="4" t="s">
        <v>1877</v>
      </c>
      <c r="K2957" s="4" t="n">
        <v>3</v>
      </c>
      <c r="L2957" s="4" t="s">
        <v>1878</v>
      </c>
      <c r="M2957" s="4" t="s">
        <v>1879</v>
      </c>
      <c r="N2957" s="4" t="s">
        <v>1880</v>
      </c>
      <c r="O2957" s="4" t="s">
        <v>1881</v>
      </c>
      <c r="P2957" s="4" t="s">
        <v>1882</v>
      </c>
      <c r="Q2957" s="2" t="n">
        <v>44613</v>
      </c>
      <c r="S2957" s="0" t="n">
        <f aca="false">YEAR(Q2957)</f>
        <v>2022</v>
      </c>
      <c r="T2957" s="0" t="n">
        <f aca="false">MONTH(Q2957)</f>
        <v>2</v>
      </c>
    </row>
    <row r="2958" customFormat="false" ht="14.25" hidden="false" customHeight="false" outlineLevel="0" collapsed="false">
      <c r="A2958" s="4" t="n">
        <v>2974</v>
      </c>
      <c r="B2958" s="4" t="n">
        <v>25012022</v>
      </c>
      <c r="C2958" s="4" t="s">
        <v>1495</v>
      </c>
      <c r="D2958" s="4" t="s">
        <v>1535</v>
      </c>
      <c r="E2958" s="4" t="s">
        <v>1732</v>
      </c>
      <c r="F2958" s="4" t="s">
        <v>1612</v>
      </c>
      <c r="G2958" s="4" t="s">
        <v>1883</v>
      </c>
      <c r="H2958" s="4" t="s">
        <v>1884</v>
      </c>
      <c r="I2958" s="4" t="s">
        <v>1885</v>
      </c>
      <c r="J2958" s="4" t="s">
        <v>1886</v>
      </c>
      <c r="K2958" s="4" t="s">
        <v>1887</v>
      </c>
      <c r="L2958" s="4" t="s">
        <v>1692</v>
      </c>
      <c r="M2958" s="4" t="s">
        <v>1554</v>
      </c>
      <c r="N2958" s="4" t="s">
        <v>1888</v>
      </c>
      <c r="O2958" s="4" t="s">
        <v>1889</v>
      </c>
      <c r="P2958" s="4" t="s">
        <v>1890</v>
      </c>
      <c r="Q2958" s="2" t="n">
        <v>44613</v>
      </c>
      <c r="S2958" s="0" t="n">
        <f aca="false">YEAR(Q2958)</f>
        <v>2022</v>
      </c>
      <c r="T2958" s="0" t="n">
        <f aca="false">MONTH(Q2958)</f>
        <v>2</v>
      </c>
    </row>
    <row r="2959" customFormat="false" ht="14.25" hidden="false" customHeight="false" outlineLevel="0" collapsed="false">
      <c r="A2959" s="4" t="n">
        <v>2975</v>
      </c>
      <c r="B2959" s="4" t="n">
        <v>25012022</v>
      </c>
      <c r="C2959" s="4" t="s">
        <v>1495</v>
      </c>
      <c r="D2959" s="4" t="s">
        <v>1487</v>
      </c>
      <c r="E2959" s="4" t="s">
        <v>1712</v>
      </c>
      <c r="F2959" s="4" t="s">
        <v>1612</v>
      </c>
      <c r="G2959" s="4" t="s">
        <v>1891</v>
      </c>
      <c r="H2959" s="4" t="s">
        <v>1892</v>
      </c>
      <c r="I2959" s="4" t="s">
        <v>1893</v>
      </c>
      <c r="J2959" s="4" t="s">
        <v>1894</v>
      </c>
      <c r="K2959" s="4" t="s">
        <v>1606</v>
      </c>
      <c r="L2959" s="4" t="s">
        <v>1895</v>
      </c>
      <c r="M2959" s="4" t="s">
        <v>1896</v>
      </c>
      <c r="N2959" s="4" t="s">
        <v>1897</v>
      </c>
      <c r="O2959" s="4" t="s">
        <v>1898</v>
      </c>
      <c r="P2959" s="4" t="s">
        <v>1899</v>
      </c>
      <c r="Q2959" s="2" t="n">
        <v>44613</v>
      </c>
      <c r="S2959" s="0" t="n">
        <f aca="false">YEAR(Q2959)</f>
        <v>2022</v>
      </c>
      <c r="T2959" s="0" t="n">
        <f aca="false">MONTH(Q2959)</f>
        <v>2</v>
      </c>
    </row>
    <row r="2960" customFormat="false" ht="14.25" hidden="false" customHeight="false" outlineLevel="0" collapsed="false">
      <c r="A2960" s="4" t="n">
        <v>2976</v>
      </c>
      <c r="B2960" s="4" t="n">
        <v>24012022</v>
      </c>
      <c r="C2960" s="1" t="s">
        <v>1503</v>
      </c>
      <c r="D2960" s="1" t="s">
        <v>1504</v>
      </c>
      <c r="E2960" s="4" t="s">
        <v>1664</v>
      </c>
      <c r="F2960" s="4" t="s">
        <v>1601</v>
      </c>
      <c r="G2960" s="4" t="s">
        <v>1900</v>
      </c>
      <c r="H2960" s="4" t="s">
        <v>1901</v>
      </c>
      <c r="I2960" s="4" t="s">
        <v>1867</v>
      </c>
      <c r="J2960" s="4" t="s">
        <v>1902</v>
      </c>
      <c r="K2960" s="4" t="s">
        <v>1606</v>
      </c>
      <c r="L2960" s="4" t="s">
        <v>1903</v>
      </c>
      <c r="M2960" s="4" t="s">
        <v>1904</v>
      </c>
      <c r="N2960" s="4" t="s">
        <v>1905</v>
      </c>
      <c r="O2960" s="4" t="s">
        <v>1906</v>
      </c>
      <c r="P2960" s="4" t="s">
        <v>1907</v>
      </c>
      <c r="Q2960" s="2" t="n">
        <v>44614</v>
      </c>
      <c r="S2960" s="0" t="n">
        <f aca="false">YEAR(Q2960)</f>
        <v>2022</v>
      </c>
      <c r="T2960" s="0" t="n">
        <f aca="false">MONTH(Q2960)</f>
        <v>2</v>
      </c>
    </row>
    <row r="2961" customFormat="false" ht="14.25" hidden="false" customHeight="false" outlineLevel="0" collapsed="false">
      <c r="A2961" s="4" t="n">
        <v>2977</v>
      </c>
      <c r="B2961" s="4" t="n">
        <v>25012022</v>
      </c>
      <c r="C2961" s="1" t="s">
        <v>1479</v>
      </c>
      <c r="D2961" s="1" t="s">
        <v>1487</v>
      </c>
      <c r="E2961" s="0" t="s">
        <v>1488</v>
      </c>
      <c r="F2961" s="4" t="s">
        <v>1601</v>
      </c>
      <c r="G2961" s="4" t="s">
        <v>1908</v>
      </c>
      <c r="H2961" s="4" t="s">
        <v>1909</v>
      </c>
      <c r="I2961" s="4" t="s">
        <v>1910</v>
      </c>
      <c r="J2961" s="4" t="s">
        <v>1911</v>
      </c>
      <c r="K2961" s="4" t="s">
        <v>1606</v>
      </c>
      <c r="L2961" s="4" t="n">
        <v>20</v>
      </c>
      <c r="M2961" s="4" t="s">
        <v>1912</v>
      </c>
      <c r="N2961" s="4" t="s">
        <v>1913</v>
      </c>
      <c r="O2961" s="4" t="s">
        <v>1606</v>
      </c>
      <c r="P2961" s="4" t="s">
        <v>1914</v>
      </c>
      <c r="Q2961" s="2" t="n">
        <v>44614</v>
      </c>
      <c r="S2961" s="0" t="n">
        <f aca="false">YEAR(Q2961)</f>
        <v>2022</v>
      </c>
      <c r="T2961" s="0" t="n">
        <f aca="false">MONTH(Q2961)</f>
        <v>2</v>
      </c>
    </row>
    <row r="2962" customFormat="false" ht="14.25" hidden="false" customHeight="false" outlineLevel="0" collapsed="false">
      <c r="A2962" s="4" t="n">
        <v>2978</v>
      </c>
      <c r="B2962" s="4" t="n">
        <v>25012022</v>
      </c>
      <c r="C2962" s="1" t="s">
        <v>1479</v>
      </c>
      <c r="D2962" s="1" t="s">
        <v>1487</v>
      </c>
      <c r="E2962" s="0" t="s">
        <v>1488</v>
      </c>
      <c r="F2962" s="4" t="s">
        <v>1612</v>
      </c>
      <c r="G2962" s="4" t="s">
        <v>1915</v>
      </c>
      <c r="H2962" s="4" t="s">
        <v>1916</v>
      </c>
      <c r="I2962" s="4" t="s">
        <v>1910</v>
      </c>
      <c r="J2962" s="4" t="s">
        <v>1911</v>
      </c>
      <c r="K2962" s="4" t="s">
        <v>1606</v>
      </c>
      <c r="L2962" s="4" t="n">
        <v>20</v>
      </c>
      <c r="M2962" s="4" t="s">
        <v>1917</v>
      </c>
      <c r="N2962" s="4" t="s">
        <v>1918</v>
      </c>
      <c r="O2962" s="4" t="s">
        <v>1919</v>
      </c>
      <c r="P2962" s="4" t="s">
        <v>1920</v>
      </c>
      <c r="Q2962" s="2" t="n">
        <v>44614</v>
      </c>
      <c r="S2962" s="0" t="n">
        <f aca="false">YEAR(Q2962)</f>
        <v>2022</v>
      </c>
      <c r="T2962" s="0" t="n">
        <f aca="false">MONTH(Q2962)</f>
        <v>2</v>
      </c>
    </row>
    <row r="2963" customFormat="false" ht="14.25" hidden="false" customHeight="false" outlineLevel="0" collapsed="false">
      <c r="A2963" s="4" t="n">
        <v>2979</v>
      </c>
      <c r="B2963" s="4" t="n">
        <v>25012022</v>
      </c>
      <c r="C2963" s="1" t="s">
        <v>1479</v>
      </c>
      <c r="D2963" s="1" t="s">
        <v>1535</v>
      </c>
      <c r="E2963" s="4" t="s">
        <v>1722</v>
      </c>
      <c r="F2963" s="4" t="s">
        <v>1612</v>
      </c>
      <c r="G2963" s="4" t="s">
        <v>1921</v>
      </c>
      <c r="H2963" s="4" t="s">
        <v>1922</v>
      </c>
      <c r="I2963" s="4" t="s">
        <v>1716</v>
      </c>
      <c r="J2963" s="4" t="s">
        <v>1923</v>
      </c>
      <c r="K2963" s="4" t="n">
        <v>0</v>
      </c>
      <c r="L2963" s="4" t="s">
        <v>1869</v>
      </c>
      <c r="M2963" s="4" t="s">
        <v>1924</v>
      </c>
      <c r="N2963" s="4" t="s">
        <v>1925</v>
      </c>
      <c r="O2963" s="4" t="s">
        <v>1926</v>
      </c>
      <c r="P2963" s="4" t="s">
        <v>1927</v>
      </c>
      <c r="Q2963" s="2" t="n">
        <v>44614</v>
      </c>
      <c r="S2963" s="0" t="n">
        <f aca="false">YEAR(Q2963)</f>
        <v>2022</v>
      </c>
      <c r="T2963" s="0" t="n">
        <f aca="false">MONTH(Q2963)</f>
        <v>2</v>
      </c>
    </row>
    <row r="2964" customFormat="false" ht="14.25" hidden="false" customHeight="false" outlineLevel="0" collapsed="false">
      <c r="A2964" s="4" t="n">
        <v>2980</v>
      </c>
      <c r="B2964" s="4" t="n">
        <v>24012022</v>
      </c>
      <c r="C2964" s="1" t="s">
        <v>1479</v>
      </c>
      <c r="D2964" s="1" t="s">
        <v>1487</v>
      </c>
      <c r="E2964" s="0" t="s">
        <v>1488</v>
      </c>
      <c r="F2964" s="4" t="s">
        <v>1612</v>
      </c>
      <c r="G2964" s="4" t="s">
        <v>1928</v>
      </c>
      <c r="H2964" s="4" t="s">
        <v>1929</v>
      </c>
      <c r="I2964" s="4" t="s">
        <v>1930</v>
      </c>
      <c r="J2964" s="4" t="s">
        <v>1931</v>
      </c>
      <c r="K2964" s="4" t="s">
        <v>1606</v>
      </c>
      <c r="L2964" s="4" t="s">
        <v>1932</v>
      </c>
      <c r="M2964" s="4" t="s">
        <v>1933</v>
      </c>
      <c r="N2964" s="4" t="s">
        <v>1934</v>
      </c>
      <c r="O2964" s="4" t="s">
        <v>1935</v>
      </c>
      <c r="P2964" s="4" t="s">
        <v>1936</v>
      </c>
      <c r="Q2964" s="2" t="n">
        <v>44614</v>
      </c>
      <c r="S2964" s="0" t="n">
        <f aca="false">YEAR(Q2964)</f>
        <v>2022</v>
      </c>
      <c r="T2964" s="0" t="n">
        <f aca="false">MONTH(Q2964)</f>
        <v>2</v>
      </c>
    </row>
    <row r="2965" customFormat="false" ht="14.25" hidden="false" customHeight="false" outlineLevel="0" collapsed="false">
      <c r="A2965" s="4" t="n">
        <v>2981</v>
      </c>
      <c r="B2965" s="4" t="n">
        <v>25012022</v>
      </c>
      <c r="C2965" s="4" t="s">
        <v>1495</v>
      </c>
      <c r="D2965" s="4" t="s">
        <v>1535</v>
      </c>
      <c r="E2965" s="4" t="s">
        <v>1732</v>
      </c>
      <c r="F2965" s="4" t="s">
        <v>1612</v>
      </c>
      <c r="G2965" s="4" t="s">
        <v>1937</v>
      </c>
      <c r="H2965" s="4" t="s">
        <v>1938</v>
      </c>
      <c r="I2965" s="4" t="s">
        <v>1659</v>
      </c>
      <c r="J2965" s="4" t="s">
        <v>1939</v>
      </c>
      <c r="K2965" s="4" t="s">
        <v>1606</v>
      </c>
      <c r="L2965" s="4" t="s">
        <v>1940</v>
      </c>
      <c r="M2965" s="4" t="s">
        <v>1941</v>
      </c>
      <c r="N2965" s="4" t="s">
        <v>1942</v>
      </c>
      <c r="O2965" s="4" t="s">
        <v>1943</v>
      </c>
      <c r="P2965" s="4" t="s">
        <v>1944</v>
      </c>
      <c r="Q2965" s="2" t="n">
        <v>44615</v>
      </c>
      <c r="S2965" s="0" t="n">
        <f aca="false">YEAR(Q2965)</f>
        <v>2022</v>
      </c>
      <c r="T2965" s="0" t="n">
        <f aca="false">MONTH(Q2965)</f>
        <v>2</v>
      </c>
    </row>
    <row r="2966" customFormat="false" ht="14.25" hidden="false" customHeight="false" outlineLevel="0" collapsed="false">
      <c r="A2966" s="4" t="n">
        <v>2982</v>
      </c>
      <c r="B2966" s="4" t="n">
        <v>25012022</v>
      </c>
      <c r="C2966" s="1" t="s">
        <v>1503</v>
      </c>
      <c r="D2966" s="1" t="s">
        <v>1648</v>
      </c>
      <c r="E2966" s="4" t="s">
        <v>1648</v>
      </c>
      <c r="F2966" s="4" t="s">
        <v>1612</v>
      </c>
      <c r="G2966" s="4" t="s">
        <v>1945</v>
      </c>
      <c r="H2966" s="4" t="s">
        <v>1946</v>
      </c>
      <c r="I2966" s="4" t="s">
        <v>1651</v>
      </c>
      <c r="J2966" s="4" t="s">
        <v>1947</v>
      </c>
      <c r="K2966" s="4" t="s">
        <v>1606</v>
      </c>
      <c r="L2966" s="4" t="s">
        <v>1948</v>
      </c>
      <c r="M2966" s="4" t="s">
        <v>1949</v>
      </c>
      <c r="N2966" s="4" t="s">
        <v>1950</v>
      </c>
      <c r="O2966" s="4" t="s">
        <v>1951</v>
      </c>
      <c r="P2966" s="4" t="s">
        <v>1952</v>
      </c>
      <c r="Q2966" s="2" t="n">
        <v>44615</v>
      </c>
      <c r="S2966" s="0" t="n">
        <f aca="false">YEAR(Q2966)</f>
        <v>2022</v>
      </c>
      <c r="T2966" s="0" t="n">
        <f aca="false">MONTH(Q2966)</f>
        <v>2</v>
      </c>
    </row>
    <row r="2967" customFormat="false" ht="14.25" hidden="false" customHeight="false" outlineLevel="0" collapsed="false">
      <c r="A2967" s="4" t="n">
        <v>2983</v>
      </c>
      <c r="B2967" s="4" t="n">
        <v>25012022</v>
      </c>
      <c r="C2967" s="4" t="s">
        <v>1495</v>
      </c>
      <c r="D2967" s="4" t="s">
        <v>1487</v>
      </c>
      <c r="E2967" s="4" t="s">
        <v>1712</v>
      </c>
      <c r="F2967" s="4" t="s">
        <v>1612</v>
      </c>
      <c r="G2967" s="4" t="s">
        <v>1953</v>
      </c>
      <c r="H2967" s="4" t="s">
        <v>1954</v>
      </c>
      <c r="I2967" s="4" t="s">
        <v>1955</v>
      </c>
      <c r="J2967" s="4" t="s">
        <v>1956</v>
      </c>
      <c r="K2967" s="4" t="s">
        <v>1606</v>
      </c>
      <c r="L2967" s="4" t="s">
        <v>1957</v>
      </c>
      <c r="M2967" s="4" t="s">
        <v>1958</v>
      </c>
      <c r="N2967" s="4" t="s">
        <v>1959</v>
      </c>
      <c r="O2967" s="4" t="s">
        <v>1960</v>
      </c>
      <c r="P2967" s="4" t="s">
        <v>1961</v>
      </c>
      <c r="Q2967" s="2" t="n">
        <v>44616</v>
      </c>
      <c r="S2967" s="0" t="n">
        <f aca="false">YEAR(Q2967)</f>
        <v>2022</v>
      </c>
      <c r="T2967" s="0" t="n">
        <f aca="false">MONTH(Q2967)</f>
        <v>2</v>
      </c>
    </row>
    <row r="2968" customFormat="false" ht="14.25" hidden="false" customHeight="false" outlineLevel="0" collapsed="false">
      <c r="A2968" s="4" t="n">
        <v>2984</v>
      </c>
      <c r="B2968" s="4" t="n">
        <v>24012022</v>
      </c>
      <c r="C2968" s="4" t="s">
        <v>1495</v>
      </c>
      <c r="D2968" s="4" t="s">
        <v>1487</v>
      </c>
      <c r="E2968" s="4" t="s">
        <v>1712</v>
      </c>
      <c r="F2968" s="4" t="s">
        <v>1612</v>
      </c>
      <c r="G2968" s="4" t="s">
        <v>1953</v>
      </c>
      <c r="H2968" s="4" t="s">
        <v>1954</v>
      </c>
      <c r="I2968" s="4" t="s">
        <v>1962</v>
      </c>
      <c r="J2968" s="4" t="s">
        <v>1963</v>
      </c>
      <c r="K2968" s="4" t="s">
        <v>1606</v>
      </c>
      <c r="L2968" s="4" t="s">
        <v>1964</v>
      </c>
      <c r="M2968" s="4" t="s">
        <v>1958</v>
      </c>
      <c r="N2968" s="4" t="s">
        <v>1965</v>
      </c>
      <c r="O2968" s="4" t="s">
        <v>1966</v>
      </c>
      <c r="P2968" s="4" t="s">
        <v>1967</v>
      </c>
      <c r="Q2968" s="2" t="n">
        <v>44617</v>
      </c>
      <c r="S2968" s="0" t="n">
        <f aca="false">YEAR(Q2968)</f>
        <v>2022</v>
      </c>
      <c r="T2968" s="0" t="n">
        <f aca="false">MONTH(Q2968)</f>
        <v>2</v>
      </c>
    </row>
    <row r="2969" customFormat="false" ht="14.25" hidden="false" customHeight="false" outlineLevel="0" collapsed="false">
      <c r="A2969" s="4" t="n">
        <v>2985</v>
      </c>
      <c r="B2969" s="4" t="n">
        <v>25012022</v>
      </c>
      <c r="C2969" s="1" t="s">
        <v>1479</v>
      </c>
      <c r="D2969" s="1" t="s">
        <v>1487</v>
      </c>
      <c r="E2969" s="4" t="s">
        <v>1488</v>
      </c>
      <c r="F2969" s="4" t="s">
        <v>1601</v>
      </c>
      <c r="G2969" s="4" t="s">
        <v>1968</v>
      </c>
      <c r="H2969" s="4" t="s">
        <v>1969</v>
      </c>
      <c r="I2969" s="4"/>
      <c r="J2969" s="4" t="s">
        <v>1970</v>
      </c>
      <c r="K2969" s="4"/>
      <c r="L2969" s="4"/>
      <c r="M2969" s="4" t="s">
        <v>1971</v>
      </c>
      <c r="N2969" s="4" t="s">
        <v>1972</v>
      </c>
      <c r="O2969" s="4"/>
      <c r="P2969" s="4" t="s">
        <v>1973</v>
      </c>
      <c r="Q2969" s="2" t="n">
        <v>44595</v>
      </c>
      <c r="S2969" s="0" t="n">
        <f aca="false">YEAR(Q2969)</f>
        <v>2022</v>
      </c>
      <c r="T2969" s="0" t="n">
        <f aca="false">MONTH(Q2969)</f>
        <v>2</v>
      </c>
    </row>
    <row r="2970" customFormat="false" ht="14.25" hidden="false" customHeight="false" outlineLevel="0" collapsed="false">
      <c r="A2970" s="4" t="n">
        <v>2986</v>
      </c>
      <c r="B2970" s="4" t="n">
        <v>25012022</v>
      </c>
      <c r="C2970" s="1" t="s">
        <v>1479</v>
      </c>
      <c r="D2970" s="1" t="s">
        <v>1487</v>
      </c>
      <c r="E2970" s="4" t="s">
        <v>1488</v>
      </c>
      <c r="F2970" s="4" t="s">
        <v>1601</v>
      </c>
      <c r="G2970" s="4" t="s">
        <v>1974</v>
      </c>
      <c r="H2970" s="4" t="s">
        <v>1784</v>
      </c>
      <c r="I2970" s="4"/>
      <c r="J2970" s="4" t="s">
        <v>1970</v>
      </c>
      <c r="K2970" s="4"/>
      <c r="L2970" s="4" t="s">
        <v>1975</v>
      </c>
      <c r="M2970" s="4" t="s">
        <v>1976</v>
      </c>
      <c r="N2970" s="4" t="s">
        <v>1977</v>
      </c>
      <c r="O2970" s="4"/>
      <c r="P2970" s="4" t="s">
        <v>1978</v>
      </c>
      <c r="Q2970" s="2" t="n">
        <v>44595</v>
      </c>
      <c r="S2970" s="0" t="n">
        <f aca="false">YEAR(Q2970)</f>
        <v>2022</v>
      </c>
      <c r="T2970" s="0" t="n">
        <f aca="false">MONTH(Q2970)</f>
        <v>2</v>
      </c>
    </row>
    <row r="2971" customFormat="false" ht="14.25" hidden="false" customHeight="false" outlineLevel="0" collapsed="false">
      <c r="A2971" s="4" t="n">
        <v>2987</v>
      </c>
      <c r="B2971" s="4" t="n">
        <v>25012022</v>
      </c>
      <c r="C2971" s="1" t="s">
        <v>1503</v>
      </c>
      <c r="D2971" s="1" t="s">
        <v>1504</v>
      </c>
      <c r="E2971" s="4" t="s">
        <v>1979</v>
      </c>
      <c r="F2971" s="4" t="s">
        <v>1601</v>
      </c>
      <c r="G2971" s="4" t="s">
        <v>1980</v>
      </c>
      <c r="H2971" s="4" t="s">
        <v>1666</v>
      </c>
      <c r="I2971" s="4" t="s">
        <v>1981</v>
      </c>
      <c r="J2971" s="4" t="s">
        <v>1982</v>
      </c>
      <c r="K2971" s="4"/>
      <c r="L2971" s="4" t="s">
        <v>1975</v>
      </c>
      <c r="M2971" s="4" t="s">
        <v>1983</v>
      </c>
      <c r="N2971" s="4" t="s">
        <v>1984</v>
      </c>
      <c r="O2971" s="4" t="s">
        <v>1985</v>
      </c>
      <c r="P2971" s="4" t="s">
        <v>1986</v>
      </c>
      <c r="Q2971" s="2" t="n">
        <v>44595</v>
      </c>
      <c r="S2971" s="0" t="n">
        <f aca="false">YEAR(Q2971)</f>
        <v>2022</v>
      </c>
      <c r="T2971" s="0" t="n">
        <f aca="false">MONTH(Q2971)</f>
        <v>2</v>
      </c>
    </row>
    <row r="2972" customFormat="false" ht="14.25" hidden="false" customHeight="false" outlineLevel="0" collapsed="false">
      <c r="A2972" s="4" t="n">
        <v>2988</v>
      </c>
      <c r="B2972" s="4" t="n">
        <v>24012022</v>
      </c>
      <c r="C2972" s="1" t="s">
        <v>1503</v>
      </c>
      <c r="D2972" s="1" t="s">
        <v>1504</v>
      </c>
      <c r="E2972" s="4" t="s">
        <v>1979</v>
      </c>
      <c r="F2972" s="4" t="s">
        <v>1601</v>
      </c>
      <c r="G2972" s="4" t="s">
        <v>1987</v>
      </c>
      <c r="H2972" s="4" t="s">
        <v>1988</v>
      </c>
      <c r="I2972" s="4" t="s">
        <v>1989</v>
      </c>
      <c r="J2972" s="4" t="s">
        <v>1990</v>
      </c>
      <c r="K2972" s="4"/>
      <c r="L2972" s="4"/>
      <c r="M2972" s="4" t="s">
        <v>1991</v>
      </c>
      <c r="N2972" s="4" t="s">
        <v>1992</v>
      </c>
      <c r="O2972" s="4" t="s">
        <v>1993</v>
      </c>
      <c r="P2972" s="4" t="s">
        <v>1994</v>
      </c>
      <c r="Q2972" s="2" t="n">
        <v>44623</v>
      </c>
      <c r="S2972" s="0" t="n">
        <f aca="false">YEAR(Q2972)</f>
        <v>2022</v>
      </c>
      <c r="T2972" s="0" t="n">
        <f aca="false">MONTH(Q2972)</f>
        <v>3</v>
      </c>
    </row>
    <row r="2973" customFormat="false" ht="14.25" hidden="false" customHeight="false" outlineLevel="0" collapsed="false">
      <c r="A2973" s="4" t="n">
        <v>2989</v>
      </c>
      <c r="B2973" s="4" t="n">
        <v>25012022</v>
      </c>
      <c r="C2973" s="1" t="s">
        <v>1503</v>
      </c>
      <c r="D2973" s="1" t="s">
        <v>1504</v>
      </c>
      <c r="E2973" s="4" t="s">
        <v>1979</v>
      </c>
      <c r="F2973" s="4" t="s">
        <v>1601</v>
      </c>
      <c r="G2973" s="4" t="s">
        <v>1995</v>
      </c>
      <c r="H2973" s="4" t="s">
        <v>1901</v>
      </c>
      <c r="I2973" s="4" t="s">
        <v>1996</v>
      </c>
      <c r="J2973" s="4" t="s">
        <v>1990</v>
      </c>
      <c r="K2973" s="4"/>
      <c r="L2973" s="4" t="s">
        <v>1997</v>
      </c>
      <c r="M2973" s="4" t="s">
        <v>1998</v>
      </c>
      <c r="N2973" s="4" t="s">
        <v>1992</v>
      </c>
      <c r="O2973" s="4" t="s">
        <v>1993</v>
      </c>
      <c r="P2973" s="4" t="s">
        <v>1999</v>
      </c>
      <c r="Q2973" s="2" t="n">
        <v>44623</v>
      </c>
      <c r="S2973" s="0" t="n">
        <f aca="false">YEAR(Q2973)</f>
        <v>2022</v>
      </c>
      <c r="T2973" s="0" t="n">
        <f aca="false">MONTH(Q2973)</f>
        <v>3</v>
      </c>
    </row>
    <row r="2974" customFormat="false" ht="14.25" hidden="false" customHeight="false" outlineLevel="0" collapsed="false">
      <c r="A2974" s="4" t="n">
        <v>2990</v>
      </c>
      <c r="B2974" s="4" t="n">
        <v>25012022</v>
      </c>
      <c r="C2974" s="1" t="s">
        <v>1503</v>
      </c>
      <c r="D2974" s="1" t="s">
        <v>1648</v>
      </c>
      <c r="E2974" s="4" t="s">
        <v>1648</v>
      </c>
      <c r="F2974" s="4" t="s">
        <v>1601</v>
      </c>
      <c r="G2974" s="4" t="s">
        <v>2000</v>
      </c>
      <c r="H2974" s="4" t="s">
        <v>2001</v>
      </c>
      <c r="I2974" s="4" t="s">
        <v>2002</v>
      </c>
      <c r="J2974" s="4" t="s">
        <v>2003</v>
      </c>
      <c r="K2974" s="4" t="s">
        <v>2004</v>
      </c>
      <c r="L2974" s="4" t="s">
        <v>2004</v>
      </c>
      <c r="M2974" s="4" t="s">
        <v>2005</v>
      </c>
      <c r="N2974" s="4" t="s">
        <v>2006</v>
      </c>
      <c r="O2974" s="4"/>
      <c r="P2974" s="4" t="s">
        <v>2007</v>
      </c>
      <c r="Q2974" s="2" t="n">
        <v>44654</v>
      </c>
      <c r="S2974" s="0" t="n">
        <f aca="false">YEAR(Q2974)</f>
        <v>2022</v>
      </c>
      <c r="T2974" s="0" t="n">
        <f aca="false">MONTH(Q2974)</f>
        <v>4</v>
      </c>
    </row>
    <row r="2975" customFormat="false" ht="14.25" hidden="false" customHeight="false" outlineLevel="0" collapsed="false">
      <c r="A2975" s="4" t="n">
        <v>2991</v>
      </c>
      <c r="B2975" s="4" t="n">
        <v>25012022</v>
      </c>
      <c r="C2975" s="1" t="s">
        <v>1479</v>
      </c>
      <c r="D2975" s="1" t="s">
        <v>1496</v>
      </c>
      <c r="E2975" s="4" t="s">
        <v>1680</v>
      </c>
      <c r="F2975" s="4" t="s">
        <v>1601</v>
      </c>
      <c r="G2975" s="4" t="s">
        <v>2008</v>
      </c>
      <c r="H2975" s="4" t="s">
        <v>2009</v>
      </c>
      <c r="I2975" s="4"/>
      <c r="J2975" s="4"/>
      <c r="K2975" s="4"/>
      <c r="L2975" s="4"/>
      <c r="M2975" s="4" t="s">
        <v>2010</v>
      </c>
      <c r="N2975" s="4" t="s">
        <v>2011</v>
      </c>
      <c r="O2975" s="4"/>
      <c r="P2975" s="4" t="s">
        <v>2012</v>
      </c>
      <c r="Q2975" s="2" t="n">
        <v>44745</v>
      </c>
      <c r="S2975" s="0" t="n">
        <f aca="false">YEAR(Q2975)</f>
        <v>2022</v>
      </c>
      <c r="T2975" s="0" t="n">
        <f aca="false">MONTH(Q2975)</f>
        <v>7</v>
      </c>
    </row>
    <row r="2976" customFormat="false" ht="14.25" hidden="false" customHeight="false" outlineLevel="0" collapsed="false">
      <c r="A2976" s="4" t="n">
        <v>2992</v>
      </c>
      <c r="B2976" s="4" t="n">
        <v>24012022</v>
      </c>
      <c r="C2976" s="1" t="s">
        <v>1495</v>
      </c>
      <c r="D2976" s="1" t="s">
        <v>1496</v>
      </c>
      <c r="E2976" s="4" t="s">
        <v>1619</v>
      </c>
      <c r="F2976" s="4" t="s">
        <v>1601</v>
      </c>
      <c r="G2976" s="4" t="s">
        <v>2013</v>
      </c>
      <c r="H2976" s="4" t="s">
        <v>2014</v>
      </c>
      <c r="I2976" s="4" t="s">
        <v>2015</v>
      </c>
      <c r="J2976" s="4" t="s">
        <v>1867</v>
      </c>
      <c r="K2976" s="4"/>
      <c r="L2976" s="4" t="s">
        <v>2016</v>
      </c>
      <c r="M2976" s="4" t="s">
        <v>2017</v>
      </c>
      <c r="N2976" s="4" t="s">
        <v>2018</v>
      </c>
      <c r="O2976" s="4" t="s">
        <v>2019</v>
      </c>
      <c r="P2976" s="4" t="s">
        <v>2020</v>
      </c>
      <c r="Q2976" s="2" t="n">
        <v>44628</v>
      </c>
      <c r="S2976" s="0" t="n">
        <f aca="false">YEAR(Q2976)</f>
        <v>2022</v>
      </c>
      <c r="T2976" s="0" t="n">
        <f aca="false">MONTH(Q2976)</f>
        <v>3</v>
      </c>
    </row>
    <row r="2977" customFormat="false" ht="14.25" hidden="false" customHeight="false" outlineLevel="0" collapsed="false">
      <c r="A2977" s="4" t="n">
        <v>2993</v>
      </c>
      <c r="B2977" s="4" t="n">
        <v>25012022</v>
      </c>
      <c r="C2977" s="4" t="s">
        <v>1479</v>
      </c>
      <c r="D2977" s="4" t="s">
        <v>1535</v>
      </c>
      <c r="E2977" s="4" t="s">
        <v>1639</v>
      </c>
      <c r="F2977" s="4" t="s">
        <v>1601</v>
      </c>
      <c r="G2977" s="4" t="s">
        <v>2021</v>
      </c>
      <c r="H2977" s="4" t="s">
        <v>2022</v>
      </c>
      <c r="I2977" s="4" t="s">
        <v>2015</v>
      </c>
      <c r="J2977" s="4" t="s">
        <v>2023</v>
      </c>
      <c r="K2977" s="4"/>
      <c r="L2977" s="4"/>
      <c r="M2977" s="4" t="s">
        <v>2024</v>
      </c>
      <c r="N2977" s="4" t="s">
        <v>2025</v>
      </c>
      <c r="O2977" s="4" t="s">
        <v>2026</v>
      </c>
      <c r="P2977" s="4" t="s">
        <v>2027</v>
      </c>
      <c r="Q2977" s="2" t="n">
        <v>44628</v>
      </c>
      <c r="S2977" s="0" t="n">
        <f aca="false">YEAR(Q2977)</f>
        <v>2022</v>
      </c>
      <c r="T2977" s="0" t="n">
        <f aca="false">MONTH(Q2977)</f>
        <v>3</v>
      </c>
    </row>
    <row r="2978" customFormat="false" ht="14.25" hidden="false" customHeight="false" outlineLevel="0" collapsed="false">
      <c r="A2978" s="4" t="n">
        <v>2994</v>
      </c>
      <c r="B2978" s="4" t="n">
        <v>25012022</v>
      </c>
      <c r="C2978" s="1" t="s">
        <v>1503</v>
      </c>
      <c r="D2978" s="1" t="s">
        <v>1504</v>
      </c>
      <c r="E2978" s="4" t="s">
        <v>1664</v>
      </c>
      <c r="F2978" s="4" t="s">
        <v>1601</v>
      </c>
      <c r="G2978" s="4" t="s">
        <v>2028</v>
      </c>
      <c r="H2978" s="4" t="s">
        <v>1988</v>
      </c>
      <c r="I2978" s="4" t="s">
        <v>1709</v>
      </c>
      <c r="J2978" s="4" t="s">
        <v>2029</v>
      </c>
      <c r="K2978" s="4"/>
      <c r="L2978" s="4" t="s">
        <v>2030</v>
      </c>
      <c r="M2978" s="4" t="s">
        <v>2031</v>
      </c>
      <c r="N2978" s="4" t="s">
        <v>2032</v>
      </c>
      <c r="O2978" s="4" t="s">
        <v>2033</v>
      </c>
      <c r="P2978" s="4" t="s">
        <v>2034</v>
      </c>
      <c r="Q2978" s="2" t="n">
        <v>44629</v>
      </c>
      <c r="S2978" s="0" t="n">
        <f aca="false">YEAR(Q2978)</f>
        <v>2022</v>
      </c>
      <c r="T2978" s="0" t="n">
        <f aca="false">MONTH(Q2978)</f>
        <v>3</v>
      </c>
    </row>
    <row r="2979" customFormat="false" ht="14.25" hidden="false" customHeight="false" outlineLevel="0" collapsed="false">
      <c r="A2979" s="4" t="n">
        <v>2995</v>
      </c>
      <c r="B2979" s="4" t="n">
        <v>25012022</v>
      </c>
      <c r="C2979" s="4" t="s">
        <v>1479</v>
      </c>
      <c r="D2979" s="4" t="s">
        <v>1535</v>
      </c>
      <c r="E2979" s="4" t="s">
        <v>1639</v>
      </c>
      <c r="F2979" s="4" t="s">
        <v>1601</v>
      </c>
      <c r="G2979" s="4" t="s">
        <v>2035</v>
      </c>
      <c r="H2979" s="4" t="s">
        <v>1688</v>
      </c>
      <c r="I2979" s="4" t="s">
        <v>2036</v>
      </c>
      <c r="J2979" s="4" t="s">
        <v>1818</v>
      </c>
      <c r="K2979" s="4" t="s">
        <v>2037</v>
      </c>
      <c r="L2979" s="4"/>
      <c r="M2979" s="4" t="s">
        <v>2038</v>
      </c>
      <c r="N2979" s="4" t="s">
        <v>2039</v>
      </c>
      <c r="O2979" s="4" t="s">
        <v>2040</v>
      </c>
      <c r="P2979" s="4" t="s">
        <v>2041</v>
      </c>
      <c r="Q2979" s="2" t="n">
        <v>44630</v>
      </c>
      <c r="S2979" s="0" t="n">
        <f aca="false">YEAR(Q2979)</f>
        <v>2022</v>
      </c>
      <c r="T2979" s="0" t="n">
        <f aca="false">MONTH(Q2979)</f>
        <v>3</v>
      </c>
    </row>
    <row r="2980" customFormat="false" ht="14.25" hidden="false" customHeight="false" outlineLevel="0" collapsed="false">
      <c r="A2980" s="4" t="n">
        <v>2996</v>
      </c>
      <c r="B2980" s="4" t="n">
        <v>24012022</v>
      </c>
      <c r="C2980" s="1" t="s">
        <v>1479</v>
      </c>
      <c r="D2980" s="1" t="s">
        <v>1496</v>
      </c>
      <c r="E2980" s="4" t="s">
        <v>38</v>
      </c>
      <c r="F2980" s="4" t="s">
        <v>1612</v>
      </c>
      <c r="G2980" s="4" t="s">
        <v>2042</v>
      </c>
      <c r="H2980" s="4" t="s">
        <v>2043</v>
      </c>
      <c r="I2980" s="4" t="s">
        <v>1716</v>
      </c>
      <c r="J2980" s="4" t="s">
        <v>2044</v>
      </c>
      <c r="K2980" s="4"/>
      <c r="L2980" s="4" t="s">
        <v>1895</v>
      </c>
      <c r="M2980" s="4" t="s">
        <v>2045</v>
      </c>
      <c r="N2980" s="4" t="s">
        <v>2046</v>
      </c>
      <c r="O2980" s="4"/>
      <c r="P2980" s="4" t="s">
        <v>2047</v>
      </c>
      <c r="Q2980" s="2" t="n">
        <v>44630</v>
      </c>
      <c r="S2980" s="0" t="n">
        <f aca="false">YEAR(Q2980)</f>
        <v>2022</v>
      </c>
      <c r="T2980" s="0" t="n">
        <f aca="false">MONTH(Q2980)</f>
        <v>3</v>
      </c>
    </row>
    <row r="2981" customFormat="false" ht="14.25" hidden="false" customHeight="false" outlineLevel="0" collapsed="false">
      <c r="A2981" s="4" t="n">
        <v>2997</v>
      </c>
      <c r="B2981" s="4" t="n">
        <v>25012022</v>
      </c>
      <c r="C2981" s="1" t="s">
        <v>1479</v>
      </c>
      <c r="D2981" s="1" t="s">
        <v>1487</v>
      </c>
      <c r="E2981" s="4" t="s">
        <v>1488</v>
      </c>
      <c r="F2981" s="4" t="s">
        <v>1601</v>
      </c>
      <c r="G2981" s="4" t="s">
        <v>2048</v>
      </c>
      <c r="H2981" s="4" t="s">
        <v>2049</v>
      </c>
      <c r="I2981" s="4" t="s">
        <v>2050</v>
      </c>
      <c r="J2981" s="4" t="s">
        <v>1970</v>
      </c>
      <c r="K2981" s="4"/>
      <c r="L2981" s="4" t="s">
        <v>2051</v>
      </c>
      <c r="M2981" s="4" t="s">
        <v>2052</v>
      </c>
      <c r="N2981" s="4" t="s">
        <v>2053</v>
      </c>
      <c r="O2981" s="4" t="s">
        <v>2054</v>
      </c>
      <c r="P2981" s="4" t="s">
        <v>2055</v>
      </c>
      <c r="Q2981" s="2" t="n">
        <v>44631</v>
      </c>
      <c r="S2981" s="0" t="n">
        <f aca="false">YEAR(Q2981)</f>
        <v>2022</v>
      </c>
      <c r="T2981" s="0" t="n">
        <f aca="false">MONTH(Q2981)</f>
        <v>3</v>
      </c>
    </row>
    <row r="2982" customFormat="false" ht="14.25" hidden="false" customHeight="false" outlineLevel="0" collapsed="false">
      <c r="A2982" s="4" t="n">
        <v>2998</v>
      </c>
      <c r="B2982" s="4" t="n">
        <v>25012022</v>
      </c>
      <c r="C2982" s="4" t="s">
        <v>1479</v>
      </c>
      <c r="D2982" s="4" t="s">
        <v>1535</v>
      </c>
      <c r="E2982" s="4" t="s">
        <v>1639</v>
      </c>
      <c r="F2982" s="4" t="s">
        <v>1601</v>
      </c>
      <c r="G2982" s="4" t="s">
        <v>2056</v>
      </c>
      <c r="H2982" s="4" t="s">
        <v>1688</v>
      </c>
      <c r="I2982" s="4" t="s">
        <v>2057</v>
      </c>
      <c r="J2982" s="4" t="s">
        <v>2058</v>
      </c>
      <c r="K2982" s="4" t="s">
        <v>2037</v>
      </c>
      <c r="L2982" s="4"/>
      <c r="M2982" s="4" t="s">
        <v>2059</v>
      </c>
      <c r="N2982" s="4" t="s">
        <v>2060</v>
      </c>
      <c r="O2982" s="4" t="s">
        <v>2061</v>
      </c>
      <c r="P2982" s="4" t="s">
        <v>2041</v>
      </c>
      <c r="Q2982" s="2" t="n">
        <v>44631</v>
      </c>
      <c r="S2982" s="0" t="n">
        <f aca="false">YEAR(Q2982)</f>
        <v>2022</v>
      </c>
      <c r="T2982" s="0" t="n">
        <f aca="false">MONTH(Q2982)</f>
        <v>3</v>
      </c>
    </row>
    <row r="2983" customFormat="false" ht="14.25" hidden="false" customHeight="false" outlineLevel="0" collapsed="false">
      <c r="A2983" s="4" t="n">
        <v>2999</v>
      </c>
      <c r="B2983" s="4" t="n">
        <v>25012022</v>
      </c>
      <c r="C2983" s="1" t="s">
        <v>1479</v>
      </c>
      <c r="D2983" s="1" t="s">
        <v>1487</v>
      </c>
      <c r="E2983" s="4" t="s">
        <v>1488</v>
      </c>
      <c r="F2983" s="4" t="s">
        <v>1612</v>
      </c>
      <c r="G2983" s="4" t="s">
        <v>2062</v>
      </c>
      <c r="H2983" s="4" t="s">
        <v>2063</v>
      </c>
      <c r="I2983" s="4" t="s">
        <v>2064</v>
      </c>
      <c r="J2983" s="4" t="s">
        <v>2065</v>
      </c>
      <c r="K2983" s="4"/>
      <c r="L2983" s="4" t="s">
        <v>2066</v>
      </c>
      <c r="M2983" s="4" t="s">
        <v>2067</v>
      </c>
      <c r="N2983" s="4" t="s">
        <v>2068</v>
      </c>
      <c r="O2983" s="4" t="s">
        <v>2069</v>
      </c>
      <c r="P2983" s="4" t="s">
        <v>2070</v>
      </c>
      <c r="Q2983" s="2" t="n">
        <v>44631</v>
      </c>
      <c r="S2983" s="0" t="n">
        <f aca="false">YEAR(Q2983)</f>
        <v>2022</v>
      </c>
      <c r="T2983" s="0" t="n">
        <f aca="false">MONTH(Q2983)</f>
        <v>3</v>
      </c>
    </row>
    <row r="2984" customFormat="false" ht="14.25" hidden="false" customHeight="false" outlineLevel="0" collapsed="false">
      <c r="A2984" s="4" t="n">
        <v>3000</v>
      </c>
      <c r="B2984" s="4" t="n">
        <v>24012022</v>
      </c>
      <c r="C2984" s="1" t="s">
        <v>1495</v>
      </c>
      <c r="D2984" s="1" t="s">
        <v>1487</v>
      </c>
      <c r="E2984" s="4" t="s">
        <v>1656</v>
      </c>
      <c r="F2984" s="4" t="s">
        <v>1601</v>
      </c>
      <c r="G2984" s="4" t="s">
        <v>2071</v>
      </c>
      <c r="H2984" s="4" t="s">
        <v>2072</v>
      </c>
      <c r="I2984" s="4" t="s">
        <v>2073</v>
      </c>
      <c r="J2984" s="4" t="s">
        <v>2074</v>
      </c>
      <c r="K2984" s="4"/>
      <c r="L2984" s="4" t="s">
        <v>2075</v>
      </c>
      <c r="M2984" s="4" t="s">
        <v>2076</v>
      </c>
      <c r="N2984" s="4" t="s">
        <v>2077</v>
      </c>
      <c r="O2984" s="4" t="s">
        <v>2078</v>
      </c>
      <c r="P2984" s="4" t="s">
        <v>2079</v>
      </c>
      <c r="Q2984" s="2" t="n">
        <v>44632</v>
      </c>
      <c r="S2984" s="0" t="n">
        <f aca="false">YEAR(Q2984)</f>
        <v>2022</v>
      </c>
      <c r="T2984" s="0" t="n">
        <f aca="false">MONTH(Q2984)</f>
        <v>3</v>
      </c>
    </row>
    <row r="2985" customFormat="false" ht="14.25" hidden="false" customHeight="false" outlineLevel="0" collapsed="false">
      <c r="A2985" s="4" t="n">
        <v>3001</v>
      </c>
      <c r="B2985" s="4" t="n">
        <v>25012022</v>
      </c>
      <c r="C2985" s="1" t="s">
        <v>1495</v>
      </c>
      <c r="D2985" s="1" t="s">
        <v>1487</v>
      </c>
      <c r="E2985" s="4" t="s">
        <v>1656</v>
      </c>
      <c r="F2985" s="4" t="s">
        <v>1612</v>
      </c>
      <c r="G2985" s="4" t="s">
        <v>2071</v>
      </c>
      <c r="H2985" s="4" t="s">
        <v>2072</v>
      </c>
      <c r="I2985" s="4" t="s">
        <v>2073</v>
      </c>
      <c r="J2985" s="4" t="s">
        <v>2074</v>
      </c>
      <c r="K2985" s="4"/>
      <c r="L2985" s="4" t="s">
        <v>2075</v>
      </c>
      <c r="M2985" s="4" t="s">
        <v>2076</v>
      </c>
      <c r="N2985" s="4" t="s">
        <v>2077</v>
      </c>
      <c r="O2985" s="4" t="s">
        <v>2080</v>
      </c>
      <c r="P2985" s="4" t="s">
        <v>2081</v>
      </c>
      <c r="Q2985" s="2" t="n">
        <v>44632</v>
      </c>
      <c r="S2985" s="0" t="n">
        <f aca="false">YEAR(Q2985)</f>
        <v>2022</v>
      </c>
      <c r="T2985" s="0" t="n">
        <f aca="false">MONTH(Q2985)</f>
        <v>3</v>
      </c>
    </row>
    <row r="2986" customFormat="false" ht="14.25" hidden="false" customHeight="false" outlineLevel="0" collapsed="false">
      <c r="A2986" s="4" t="n">
        <v>3002</v>
      </c>
      <c r="B2986" s="4" t="n">
        <v>25012022</v>
      </c>
      <c r="C2986" s="4" t="s">
        <v>1479</v>
      </c>
      <c r="D2986" s="4" t="s">
        <v>1535</v>
      </c>
      <c r="E2986" s="4" t="s">
        <v>1639</v>
      </c>
      <c r="F2986" s="4" t="s">
        <v>1601</v>
      </c>
      <c r="G2986" s="4" t="s">
        <v>2082</v>
      </c>
      <c r="H2986" s="4" t="s">
        <v>2083</v>
      </c>
      <c r="I2986" s="4" t="s">
        <v>2015</v>
      </c>
      <c r="J2986" s="4" t="s">
        <v>2084</v>
      </c>
      <c r="K2986" s="4" t="s">
        <v>2085</v>
      </c>
      <c r="L2986" s="4" t="n">
        <v>0</v>
      </c>
      <c r="M2986" s="4" t="s">
        <v>2086</v>
      </c>
      <c r="N2986" s="4" t="s">
        <v>2087</v>
      </c>
      <c r="O2986" s="4" t="s">
        <v>2088</v>
      </c>
      <c r="P2986" s="4" t="s">
        <v>2089</v>
      </c>
      <c r="Q2986" s="2" t="n">
        <v>44634</v>
      </c>
      <c r="S2986" s="0" t="n">
        <f aca="false">YEAR(Q2986)</f>
        <v>2022</v>
      </c>
      <c r="T2986" s="0" t="n">
        <f aca="false">MONTH(Q2986)</f>
        <v>3</v>
      </c>
    </row>
    <row r="2987" customFormat="false" ht="14.25" hidden="false" customHeight="false" outlineLevel="0" collapsed="false">
      <c r="A2987" s="4" t="n">
        <v>3003</v>
      </c>
      <c r="B2987" s="4" t="n">
        <v>25012022</v>
      </c>
      <c r="C2987" s="4" t="s">
        <v>1479</v>
      </c>
      <c r="D2987" s="4" t="s">
        <v>1535</v>
      </c>
      <c r="E2987" s="4" t="s">
        <v>1639</v>
      </c>
      <c r="F2987" s="4" t="s">
        <v>1601</v>
      </c>
      <c r="G2987" s="4" t="s">
        <v>2090</v>
      </c>
      <c r="H2987" s="4" t="s">
        <v>2083</v>
      </c>
      <c r="I2987" s="4" t="s">
        <v>2015</v>
      </c>
      <c r="J2987" s="4" t="s">
        <v>2084</v>
      </c>
      <c r="K2987" s="4"/>
      <c r="L2987" s="4" t="n">
        <v>0</v>
      </c>
      <c r="M2987" s="4" t="s">
        <v>2091</v>
      </c>
      <c r="N2987" s="4" t="s">
        <v>2092</v>
      </c>
      <c r="O2987" s="4" t="s">
        <v>2093</v>
      </c>
      <c r="P2987" s="4" t="s">
        <v>2094</v>
      </c>
      <c r="Q2987" s="2" t="n">
        <v>44634</v>
      </c>
      <c r="S2987" s="0" t="n">
        <f aca="false">YEAR(Q2987)</f>
        <v>2022</v>
      </c>
      <c r="T2987" s="0" t="n">
        <f aca="false">MONTH(Q2987)</f>
        <v>3</v>
      </c>
    </row>
    <row r="2988" customFormat="false" ht="14.25" hidden="false" customHeight="false" outlineLevel="0" collapsed="false">
      <c r="A2988" s="4" t="n">
        <v>3004</v>
      </c>
      <c r="B2988" s="4" t="n">
        <v>24012022</v>
      </c>
      <c r="C2988" s="1" t="s">
        <v>1479</v>
      </c>
      <c r="D2988" s="1" t="s">
        <v>1535</v>
      </c>
      <c r="E2988" s="4" t="s">
        <v>1722</v>
      </c>
      <c r="F2988" s="4" t="s">
        <v>1601</v>
      </c>
      <c r="G2988" s="4" t="s">
        <v>2095</v>
      </c>
      <c r="H2988" s="4" t="s">
        <v>1688</v>
      </c>
      <c r="I2988" s="4" t="s">
        <v>2096</v>
      </c>
      <c r="J2988" s="4" t="s">
        <v>2097</v>
      </c>
      <c r="K2988" s="4" t="s">
        <v>2098</v>
      </c>
      <c r="L2988" s="4" t="s">
        <v>2099</v>
      </c>
      <c r="M2988" s="4" t="s">
        <v>2100</v>
      </c>
      <c r="N2988" s="4" t="s">
        <v>2101</v>
      </c>
      <c r="O2988" s="4" t="s">
        <v>2102</v>
      </c>
      <c r="P2988" s="4" t="s">
        <v>2103</v>
      </c>
      <c r="Q2988" s="2" t="n">
        <v>44636</v>
      </c>
      <c r="S2988" s="0" t="n">
        <f aca="false">YEAR(Q2988)</f>
        <v>2022</v>
      </c>
      <c r="T2988" s="0" t="n">
        <f aca="false">MONTH(Q2988)</f>
        <v>3</v>
      </c>
    </row>
    <row r="2989" customFormat="false" ht="14.25" hidden="false" customHeight="false" outlineLevel="0" collapsed="false">
      <c r="A2989" s="4" t="n">
        <v>3005</v>
      </c>
      <c r="B2989" s="4" t="n">
        <v>25012022</v>
      </c>
      <c r="C2989" s="1" t="s">
        <v>1479</v>
      </c>
      <c r="D2989" s="1" t="s">
        <v>1487</v>
      </c>
      <c r="E2989" s="0" t="s">
        <v>1488</v>
      </c>
      <c r="F2989" s="4" t="s">
        <v>1612</v>
      </c>
      <c r="G2989" s="4" t="s">
        <v>2104</v>
      </c>
      <c r="H2989" s="4" t="s">
        <v>2105</v>
      </c>
      <c r="I2989" s="4" t="s">
        <v>2106</v>
      </c>
      <c r="J2989" s="4" t="s">
        <v>2107</v>
      </c>
      <c r="K2989" s="4" t="n">
        <v>0</v>
      </c>
      <c r="L2989" s="4" t="s">
        <v>2108</v>
      </c>
      <c r="M2989" s="4" t="s">
        <v>2109</v>
      </c>
      <c r="N2989" s="4" t="s">
        <v>2110</v>
      </c>
      <c r="O2989" s="4" t="s">
        <v>2111</v>
      </c>
      <c r="P2989" s="4" t="s">
        <v>2112</v>
      </c>
      <c r="Q2989" s="2" t="n">
        <v>44636</v>
      </c>
      <c r="S2989" s="0" t="n">
        <f aca="false">YEAR(Q2989)</f>
        <v>2022</v>
      </c>
      <c r="T2989" s="0" t="n">
        <f aca="false">MONTH(Q2989)</f>
        <v>3</v>
      </c>
    </row>
    <row r="2990" customFormat="false" ht="14.25" hidden="false" customHeight="false" outlineLevel="0" collapsed="false">
      <c r="A2990" s="4" t="n">
        <v>3006</v>
      </c>
      <c r="B2990" s="4" t="n">
        <v>25012022</v>
      </c>
      <c r="C2990" s="1" t="s">
        <v>1479</v>
      </c>
      <c r="D2990" s="1" t="s">
        <v>1535</v>
      </c>
      <c r="E2990" s="4" t="s">
        <v>1722</v>
      </c>
      <c r="F2990" s="4" t="s">
        <v>1612</v>
      </c>
      <c r="G2990" s="4" t="s">
        <v>2113</v>
      </c>
      <c r="H2990" s="4" t="s">
        <v>1641</v>
      </c>
      <c r="I2990" s="4" t="s">
        <v>2114</v>
      </c>
      <c r="J2990" s="4" t="s">
        <v>2115</v>
      </c>
      <c r="K2990" s="4" t="s">
        <v>2116</v>
      </c>
      <c r="L2990" s="4" t="n">
        <v>0</v>
      </c>
      <c r="M2990" s="4" t="s">
        <v>2117</v>
      </c>
      <c r="N2990" s="4" t="s">
        <v>2118</v>
      </c>
      <c r="O2990" s="4" t="s">
        <v>2119</v>
      </c>
      <c r="P2990" s="4" t="s">
        <v>2120</v>
      </c>
      <c r="Q2990" s="2" t="n">
        <v>44636</v>
      </c>
      <c r="S2990" s="0" t="n">
        <f aca="false">YEAR(Q2990)</f>
        <v>2022</v>
      </c>
      <c r="T2990" s="0" t="n">
        <f aca="false">MONTH(Q2990)</f>
        <v>3</v>
      </c>
    </row>
    <row r="2991" customFormat="false" ht="14.25" hidden="false" customHeight="false" outlineLevel="0" collapsed="false">
      <c r="A2991" s="4" t="n">
        <v>3007</v>
      </c>
      <c r="B2991" s="4" t="n">
        <v>25012022</v>
      </c>
      <c r="C2991" s="4" t="s">
        <v>1495</v>
      </c>
      <c r="D2991" s="4" t="s">
        <v>1487</v>
      </c>
      <c r="E2991" s="4" t="s">
        <v>1712</v>
      </c>
      <c r="F2991" s="4" t="s">
        <v>1601</v>
      </c>
      <c r="G2991" s="4" t="s">
        <v>2121</v>
      </c>
      <c r="H2991" s="4" t="s">
        <v>2122</v>
      </c>
      <c r="I2991" s="4" t="s">
        <v>2123</v>
      </c>
      <c r="J2991" s="4"/>
      <c r="K2991" s="4"/>
      <c r="L2991" s="4" t="s">
        <v>2124</v>
      </c>
      <c r="M2991" s="4" t="s">
        <v>2125</v>
      </c>
      <c r="N2991" s="4" t="s">
        <v>2126</v>
      </c>
      <c r="O2991" s="4" t="s">
        <v>2127</v>
      </c>
      <c r="P2991" s="4" t="s">
        <v>2128</v>
      </c>
      <c r="Q2991" s="2" t="n">
        <v>44637</v>
      </c>
      <c r="S2991" s="0" t="n">
        <f aca="false">YEAR(Q2991)</f>
        <v>2022</v>
      </c>
      <c r="T2991" s="0" t="n">
        <f aca="false">MONTH(Q2991)</f>
        <v>3</v>
      </c>
    </row>
    <row r="2992" customFormat="false" ht="14.25" hidden="false" customHeight="false" outlineLevel="0" collapsed="false">
      <c r="A2992" s="4" t="n">
        <v>3008</v>
      </c>
      <c r="B2992" s="4" t="n">
        <v>24012022</v>
      </c>
      <c r="C2992" s="1" t="s">
        <v>1479</v>
      </c>
      <c r="D2992" s="1" t="s">
        <v>1487</v>
      </c>
      <c r="E2992" s="0" t="s">
        <v>1488</v>
      </c>
      <c r="F2992" s="4" t="s">
        <v>1612</v>
      </c>
      <c r="G2992" s="4" t="s">
        <v>2129</v>
      </c>
      <c r="H2992" s="4" t="s">
        <v>1630</v>
      </c>
      <c r="I2992" s="4" t="s">
        <v>2130</v>
      </c>
      <c r="J2992" s="4" t="s">
        <v>2131</v>
      </c>
      <c r="K2992" s="4"/>
      <c r="L2992" s="4" t="s">
        <v>1786</v>
      </c>
      <c r="M2992" s="4" t="s">
        <v>2132</v>
      </c>
      <c r="N2992" s="4" t="s">
        <v>2133</v>
      </c>
      <c r="O2992" s="4" t="s">
        <v>2134</v>
      </c>
      <c r="P2992" s="4" t="s">
        <v>2135</v>
      </c>
      <c r="Q2992" s="2" t="n">
        <v>44637</v>
      </c>
      <c r="S2992" s="0" t="n">
        <f aca="false">YEAR(Q2992)</f>
        <v>2022</v>
      </c>
      <c r="T2992" s="0" t="n">
        <f aca="false">MONTH(Q2992)</f>
        <v>3</v>
      </c>
    </row>
    <row r="2993" customFormat="false" ht="14.25" hidden="false" customHeight="false" outlineLevel="0" collapsed="false">
      <c r="A2993" s="4" t="n">
        <v>3009</v>
      </c>
      <c r="B2993" s="4" t="n">
        <v>25012022</v>
      </c>
      <c r="C2993" s="1" t="s">
        <v>1503</v>
      </c>
      <c r="D2993" s="1" t="s">
        <v>1648</v>
      </c>
      <c r="E2993" s="4" t="s">
        <v>1648</v>
      </c>
      <c r="F2993" s="4" t="s">
        <v>1612</v>
      </c>
      <c r="G2993" s="4" t="s">
        <v>2136</v>
      </c>
      <c r="H2993" s="4" t="s">
        <v>2137</v>
      </c>
      <c r="I2993" s="4" t="s">
        <v>2138</v>
      </c>
      <c r="J2993" s="4" t="s">
        <v>1716</v>
      </c>
      <c r="K2993" s="4"/>
      <c r="L2993" s="4" t="s">
        <v>2139</v>
      </c>
      <c r="M2993" s="4" t="s">
        <v>2140</v>
      </c>
      <c r="N2993" s="4" t="s">
        <v>2141</v>
      </c>
      <c r="O2993" s="4" t="s">
        <v>2142</v>
      </c>
      <c r="P2993" s="4" t="s">
        <v>2143</v>
      </c>
      <c r="Q2993" s="2" t="n">
        <v>44637</v>
      </c>
      <c r="S2993" s="0" t="n">
        <f aca="false">YEAR(Q2993)</f>
        <v>2022</v>
      </c>
      <c r="T2993" s="0" t="n">
        <f aca="false">MONTH(Q2993)</f>
        <v>3</v>
      </c>
    </row>
    <row r="2994" customFormat="false" ht="14.25" hidden="false" customHeight="false" outlineLevel="0" collapsed="false">
      <c r="A2994" s="4" t="n">
        <v>3010</v>
      </c>
      <c r="B2994" s="4" t="n">
        <v>25012022</v>
      </c>
      <c r="C2994" s="1" t="s">
        <v>1503</v>
      </c>
      <c r="D2994" s="1" t="s">
        <v>1648</v>
      </c>
      <c r="E2994" s="4" t="s">
        <v>1648</v>
      </c>
      <c r="F2994" s="4" t="s">
        <v>1601</v>
      </c>
      <c r="G2994" s="4" t="s">
        <v>2136</v>
      </c>
      <c r="H2994" s="4" t="s">
        <v>2137</v>
      </c>
      <c r="I2994" s="4" t="s">
        <v>2144</v>
      </c>
      <c r="J2994" s="4" t="s">
        <v>2145</v>
      </c>
      <c r="K2994" s="4"/>
      <c r="L2994" s="4" t="s">
        <v>2146</v>
      </c>
      <c r="M2994" s="4" t="s">
        <v>2140</v>
      </c>
      <c r="N2994" s="4" t="s">
        <v>2141</v>
      </c>
      <c r="O2994" s="4" t="s">
        <v>2142</v>
      </c>
      <c r="P2994" s="4" t="s">
        <v>2147</v>
      </c>
      <c r="Q2994" s="2" t="n">
        <v>44638</v>
      </c>
      <c r="S2994" s="0" t="n">
        <f aca="false">YEAR(Q2994)</f>
        <v>2022</v>
      </c>
      <c r="T2994" s="0" t="n">
        <f aca="false">MONTH(Q2994)</f>
        <v>3</v>
      </c>
    </row>
    <row r="2995" customFormat="false" ht="14.25" hidden="false" customHeight="false" outlineLevel="0" collapsed="false">
      <c r="A2995" s="4" t="n">
        <v>3011</v>
      </c>
      <c r="B2995" s="4" t="n">
        <v>25012022</v>
      </c>
      <c r="C2995" s="1" t="s">
        <v>1495</v>
      </c>
      <c r="D2995" s="1" t="s">
        <v>1496</v>
      </c>
      <c r="E2995" s="4" t="s">
        <v>1619</v>
      </c>
      <c r="F2995" s="4" t="s">
        <v>1601</v>
      </c>
      <c r="G2995" s="4" t="s">
        <v>2148</v>
      </c>
      <c r="H2995" s="4" t="s">
        <v>2149</v>
      </c>
      <c r="I2995" s="4" t="s">
        <v>2150</v>
      </c>
      <c r="J2995" s="4" t="s">
        <v>2151</v>
      </c>
      <c r="K2995" s="4"/>
      <c r="L2995" s="4" t="s">
        <v>2152</v>
      </c>
      <c r="M2995" s="4" t="s">
        <v>2153</v>
      </c>
      <c r="N2995" s="4" t="s">
        <v>2154</v>
      </c>
      <c r="O2995" s="4" t="s">
        <v>2155</v>
      </c>
      <c r="P2995" s="4" t="s">
        <v>2156</v>
      </c>
      <c r="Q2995" s="2" t="n">
        <v>44641</v>
      </c>
      <c r="S2995" s="0" t="n">
        <f aca="false">YEAR(Q2995)</f>
        <v>2022</v>
      </c>
      <c r="T2995" s="0" t="n">
        <f aca="false">MONTH(Q2995)</f>
        <v>3</v>
      </c>
    </row>
    <row r="2996" customFormat="false" ht="14.25" hidden="false" customHeight="false" outlineLevel="0" collapsed="false">
      <c r="A2996" s="4" t="n">
        <v>3012</v>
      </c>
      <c r="B2996" s="4" t="n">
        <v>24012022</v>
      </c>
      <c r="C2996" s="1" t="s">
        <v>1495</v>
      </c>
      <c r="D2996" s="1" t="s">
        <v>1496</v>
      </c>
      <c r="E2996" s="4" t="s">
        <v>1619</v>
      </c>
      <c r="F2996" s="4" t="s">
        <v>1601</v>
      </c>
      <c r="G2996" s="4" t="s">
        <v>2157</v>
      </c>
      <c r="H2996" s="4" t="s">
        <v>1621</v>
      </c>
      <c r="I2996" s="4" t="s">
        <v>1996</v>
      </c>
      <c r="J2996" s="4" t="s">
        <v>2158</v>
      </c>
      <c r="K2996" s="4"/>
      <c r="L2996" s="4"/>
      <c r="M2996" s="4" t="s">
        <v>2159</v>
      </c>
      <c r="N2996" s="4" t="s">
        <v>2160</v>
      </c>
      <c r="O2996" s="4" t="s">
        <v>2161</v>
      </c>
      <c r="P2996" s="4" t="s">
        <v>2162</v>
      </c>
      <c r="Q2996" s="2" t="n">
        <v>44641</v>
      </c>
      <c r="S2996" s="0" t="n">
        <f aca="false">YEAR(Q2996)</f>
        <v>2022</v>
      </c>
      <c r="T2996" s="0" t="n">
        <f aca="false">MONTH(Q2996)</f>
        <v>3</v>
      </c>
    </row>
    <row r="2997" customFormat="false" ht="14.25" hidden="false" customHeight="false" outlineLevel="0" collapsed="false">
      <c r="A2997" s="4" t="n">
        <v>3013</v>
      </c>
      <c r="B2997" s="4" t="n">
        <v>25012022</v>
      </c>
      <c r="C2997" s="4" t="s">
        <v>2163</v>
      </c>
      <c r="D2997" s="4" t="s">
        <v>2164</v>
      </c>
      <c r="E2997" s="4"/>
      <c r="F2997" s="4" t="s">
        <v>1612</v>
      </c>
      <c r="G2997" s="4"/>
      <c r="H2997" s="4"/>
      <c r="I2997" s="4" t="s">
        <v>1614</v>
      </c>
      <c r="J2997" s="4" t="s">
        <v>2138</v>
      </c>
      <c r="K2997" s="4"/>
      <c r="L2997" s="4"/>
      <c r="M2997" s="4" t="s">
        <v>2165</v>
      </c>
      <c r="N2997" s="4" t="s">
        <v>2166</v>
      </c>
      <c r="O2997" s="4"/>
      <c r="P2997" s="4" t="s">
        <v>2167</v>
      </c>
      <c r="Q2997" s="2" t="n">
        <v>44641</v>
      </c>
      <c r="S2997" s="0" t="n">
        <f aca="false">YEAR(Q2997)</f>
        <v>2022</v>
      </c>
      <c r="T2997" s="0" t="n">
        <f aca="false">MONTH(Q2997)</f>
        <v>3</v>
      </c>
    </row>
    <row r="2998" customFormat="false" ht="14.25" hidden="false" customHeight="false" outlineLevel="0" collapsed="false">
      <c r="A2998" s="4" t="n">
        <v>3014</v>
      </c>
      <c r="B2998" s="4" t="n">
        <v>25012022</v>
      </c>
      <c r="C2998" s="1" t="s">
        <v>1503</v>
      </c>
      <c r="D2998" s="1" t="s">
        <v>1648</v>
      </c>
      <c r="E2998" s="4" t="s">
        <v>1648</v>
      </c>
      <c r="F2998" s="4" t="s">
        <v>1612</v>
      </c>
      <c r="G2998" s="4" t="s">
        <v>2168</v>
      </c>
      <c r="H2998" s="4" t="s">
        <v>2169</v>
      </c>
      <c r="I2998" s="4" t="s">
        <v>1614</v>
      </c>
      <c r="J2998" s="4" t="s">
        <v>2170</v>
      </c>
      <c r="K2998" s="4" t="s">
        <v>2171</v>
      </c>
      <c r="L2998" s="4"/>
      <c r="M2998" s="4" t="s">
        <v>2172</v>
      </c>
      <c r="N2998" s="4" t="s">
        <v>2173</v>
      </c>
      <c r="O2998" s="4" t="s">
        <v>2174</v>
      </c>
      <c r="P2998" s="4" t="s">
        <v>2175</v>
      </c>
      <c r="Q2998" s="2" t="n">
        <v>44641</v>
      </c>
      <c r="S2998" s="0" t="n">
        <f aca="false">YEAR(Q2998)</f>
        <v>2022</v>
      </c>
      <c r="T2998" s="0" t="n">
        <f aca="false">MONTH(Q2998)</f>
        <v>3</v>
      </c>
    </row>
    <row r="2999" customFormat="false" ht="14.25" hidden="false" customHeight="false" outlineLevel="0" collapsed="false">
      <c r="A2999" s="4" t="n">
        <v>3015</v>
      </c>
      <c r="B2999" s="4" t="n">
        <v>25012022</v>
      </c>
      <c r="C2999" s="1" t="s">
        <v>1503</v>
      </c>
      <c r="D2999" s="1" t="s">
        <v>1648</v>
      </c>
      <c r="E2999" s="4" t="s">
        <v>1648</v>
      </c>
      <c r="F2999" s="4" t="s">
        <v>1612</v>
      </c>
      <c r="G2999" s="4" t="s">
        <v>2176</v>
      </c>
      <c r="H2999" s="4" t="s">
        <v>2177</v>
      </c>
      <c r="I2999" s="4" t="s">
        <v>2178</v>
      </c>
      <c r="J2999" s="4" t="s">
        <v>2179</v>
      </c>
      <c r="K2999" s="4"/>
      <c r="L2999" s="4"/>
      <c r="M2999" s="4" t="s">
        <v>2180</v>
      </c>
      <c r="N2999" s="4" t="s">
        <v>2181</v>
      </c>
      <c r="O2999" s="4" t="s">
        <v>2182</v>
      </c>
      <c r="P2999" s="4" t="s">
        <v>2183</v>
      </c>
      <c r="Q2999" s="2" t="n">
        <v>44641</v>
      </c>
      <c r="S2999" s="0" t="n">
        <f aca="false">YEAR(Q2999)</f>
        <v>2022</v>
      </c>
      <c r="T2999" s="0" t="n">
        <f aca="false">MONTH(Q2999)</f>
        <v>3</v>
      </c>
    </row>
    <row r="3000" customFormat="false" ht="14.25" hidden="false" customHeight="false" outlineLevel="0" collapsed="false">
      <c r="A3000" s="4" t="n">
        <v>3016</v>
      </c>
      <c r="B3000" s="4" t="n">
        <v>24012022</v>
      </c>
      <c r="C3000" s="4" t="s">
        <v>1495</v>
      </c>
      <c r="D3000" s="4" t="s">
        <v>1535</v>
      </c>
      <c r="E3000" s="4" t="s">
        <v>1732</v>
      </c>
      <c r="F3000" s="4" t="s">
        <v>1612</v>
      </c>
      <c r="G3000" s="4" t="s">
        <v>2184</v>
      </c>
      <c r="H3000" s="4" t="s">
        <v>2185</v>
      </c>
      <c r="I3000" s="4" t="s">
        <v>2186</v>
      </c>
      <c r="J3000" s="4" t="s">
        <v>2187</v>
      </c>
      <c r="K3000" s="4" t="n">
        <v>2</v>
      </c>
      <c r="L3000" s="4" t="s">
        <v>1878</v>
      </c>
      <c r="M3000" s="4" t="s">
        <v>2188</v>
      </c>
      <c r="N3000" s="4" t="s">
        <v>2189</v>
      </c>
      <c r="O3000" s="4" t="s">
        <v>2190</v>
      </c>
      <c r="P3000" s="4" t="s">
        <v>2191</v>
      </c>
      <c r="Q3000" s="2" t="n">
        <v>44641</v>
      </c>
      <c r="S3000" s="0" t="n">
        <f aca="false">YEAR(Q3000)</f>
        <v>2022</v>
      </c>
      <c r="T3000" s="0" t="n">
        <f aca="false">MONTH(Q3000)</f>
        <v>3</v>
      </c>
    </row>
    <row r="3001" customFormat="false" ht="14.25" hidden="false" customHeight="false" outlineLevel="0" collapsed="false">
      <c r="A3001" s="4" t="n">
        <v>3017</v>
      </c>
      <c r="B3001" s="4" t="n">
        <v>25012022</v>
      </c>
      <c r="C3001" s="1" t="s">
        <v>1479</v>
      </c>
      <c r="D3001" s="1" t="s">
        <v>1480</v>
      </c>
      <c r="E3001" s="4" t="s">
        <v>1600</v>
      </c>
      <c r="F3001" s="4" t="s">
        <v>1601</v>
      </c>
      <c r="G3001" s="4" t="s">
        <v>2192</v>
      </c>
      <c r="H3001" s="4" t="s">
        <v>2193</v>
      </c>
      <c r="I3001" s="4" t="s">
        <v>2194</v>
      </c>
      <c r="J3001" s="4" t="s">
        <v>2195</v>
      </c>
      <c r="K3001" s="4" t="s">
        <v>2196</v>
      </c>
      <c r="L3001" s="4"/>
      <c r="M3001" s="4" t="s">
        <v>2197</v>
      </c>
      <c r="N3001" s="4" t="s">
        <v>2198</v>
      </c>
      <c r="O3001" s="4" t="s">
        <v>2199</v>
      </c>
      <c r="P3001" s="4" t="s">
        <v>2200</v>
      </c>
      <c r="Q3001" s="2" t="n">
        <v>44642</v>
      </c>
      <c r="S3001" s="0" t="n">
        <f aca="false">YEAR(Q3001)</f>
        <v>2022</v>
      </c>
      <c r="T3001" s="0" t="n">
        <f aca="false">MONTH(Q3001)</f>
        <v>3</v>
      </c>
    </row>
    <row r="3002" customFormat="false" ht="14.25" hidden="false" customHeight="false" outlineLevel="0" collapsed="false">
      <c r="A3002" s="4" t="n">
        <v>3018</v>
      </c>
      <c r="B3002" s="4" t="n">
        <v>25012022</v>
      </c>
      <c r="C3002" s="1" t="s">
        <v>1495</v>
      </c>
      <c r="D3002" s="1" t="s">
        <v>1496</v>
      </c>
      <c r="E3002" s="4" t="s">
        <v>1619</v>
      </c>
      <c r="F3002" s="4" t="s">
        <v>1601</v>
      </c>
      <c r="G3002" s="4" t="s">
        <v>1815</v>
      </c>
      <c r="H3002" s="4" t="s">
        <v>1816</v>
      </c>
      <c r="I3002" s="4" t="s">
        <v>2201</v>
      </c>
      <c r="J3002" s="4" t="s">
        <v>2202</v>
      </c>
      <c r="K3002" s="4" t="s">
        <v>2203</v>
      </c>
      <c r="L3002" s="4"/>
      <c r="M3002" s="4" t="s">
        <v>2204</v>
      </c>
      <c r="N3002" s="4" t="s">
        <v>2205</v>
      </c>
      <c r="O3002" s="4" t="s">
        <v>2206</v>
      </c>
      <c r="P3002" s="4" t="s">
        <v>2207</v>
      </c>
      <c r="Q3002" s="2" t="n">
        <v>44642</v>
      </c>
      <c r="S3002" s="0" t="n">
        <f aca="false">YEAR(Q3002)</f>
        <v>2022</v>
      </c>
      <c r="T3002" s="0" t="n">
        <f aca="false">MONTH(Q3002)</f>
        <v>3</v>
      </c>
    </row>
    <row r="3003" customFormat="false" ht="14.25" hidden="false" customHeight="false" outlineLevel="0" collapsed="false">
      <c r="A3003" s="4" t="n">
        <v>3019</v>
      </c>
      <c r="B3003" s="4" t="n">
        <v>25012022</v>
      </c>
      <c r="C3003" s="1" t="s">
        <v>1479</v>
      </c>
      <c r="D3003" s="1" t="s">
        <v>1496</v>
      </c>
      <c r="E3003" s="4" t="s">
        <v>1680</v>
      </c>
      <c r="F3003" s="4" t="s">
        <v>1601</v>
      </c>
      <c r="G3003" s="4" t="s">
        <v>2208</v>
      </c>
      <c r="H3003" s="4" t="s">
        <v>2209</v>
      </c>
      <c r="I3003" s="4" t="s">
        <v>1800</v>
      </c>
      <c r="J3003" s="4" t="s">
        <v>2210</v>
      </c>
      <c r="K3003" s="4" t="s">
        <v>2211</v>
      </c>
      <c r="L3003" s="4" t="s">
        <v>2212</v>
      </c>
      <c r="M3003" s="4" t="s">
        <v>2213</v>
      </c>
      <c r="N3003" s="4" t="s">
        <v>2214</v>
      </c>
      <c r="O3003" s="4" t="s">
        <v>2215</v>
      </c>
      <c r="P3003" s="4" t="s">
        <v>2216</v>
      </c>
      <c r="Q3003" s="2" t="n">
        <v>44643</v>
      </c>
      <c r="S3003" s="0" t="n">
        <f aca="false">YEAR(Q3003)</f>
        <v>2022</v>
      </c>
      <c r="T3003" s="0" t="n">
        <f aca="false">MONTH(Q3003)</f>
        <v>3</v>
      </c>
    </row>
    <row r="3004" customFormat="false" ht="14.25" hidden="false" customHeight="false" outlineLevel="0" collapsed="false">
      <c r="A3004" s="4" t="n">
        <v>3020</v>
      </c>
      <c r="B3004" s="4" t="n">
        <v>24012022</v>
      </c>
      <c r="C3004" s="1" t="s">
        <v>1479</v>
      </c>
      <c r="D3004" s="1" t="s">
        <v>1535</v>
      </c>
      <c r="E3004" s="4" t="s">
        <v>1722</v>
      </c>
      <c r="F3004" s="4" t="s">
        <v>1612</v>
      </c>
      <c r="G3004" s="4" t="s">
        <v>1945</v>
      </c>
      <c r="H3004" s="4" t="s">
        <v>2217</v>
      </c>
      <c r="I3004" s="4" t="s">
        <v>1726</v>
      </c>
      <c r="J3004" s="4" t="s">
        <v>1963</v>
      </c>
      <c r="K3004" s="4" t="s">
        <v>2218</v>
      </c>
      <c r="L3004" s="4" t="n">
        <v>35</v>
      </c>
      <c r="M3004" s="4" t="s">
        <v>2219</v>
      </c>
      <c r="N3004" s="4" t="s">
        <v>2220</v>
      </c>
      <c r="O3004" s="4" t="s">
        <v>2221</v>
      </c>
      <c r="P3004" s="4" t="s">
        <v>2222</v>
      </c>
      <c r="Q3004" s="2" t="n">
        <v>44644</v>
      </c>
      <c r="S3004" s="0" t="n">
        <f aca="false">YEAR(Q3004)</f>
        <v>2022</v>
      </c>
      <c r="T3004" s="0" t="n">
        <f aca="false">MONTH(Q3004)</f>
        <v>3</v>
      </c>
    </row>
    <row r="3005" customFormat="false" ht="14.25" hidden="false" customHeight="false" outlineLevel="0" collapsed="false">
      <c r="A3005" s="4" t="n">
        <v>3021</v>
      </c>
      <c r="B3005" s="4" t="n">
        <v>25012022</v>
      </c>
      <c r="C3005" s="4" t="s">
        <v>1479</v>
      </c>
      <c r="D3005" s="4" t="s">
        <v>1535</v>
      </c>
      <c r="E3005" s="4" t="s">
        <v>1639</v>
      </c>
      <c r="F3005" s="4" t="s">
        <v>1601</v>
      </c>
      <c r="G3005" s="4" t="s">
        <v>2223</v>
      </c>
      <c r="H3005" s="4" t="s">
        <v>2022</v>
      </c>
      <c r="I3005" s="4" t="s">
        <v>2224</v>
      </c>
      <c r="J3005" s="4" t="s">
        <v>2225</v>
      </c>
      <c r="K3005" s="4"/>
      <c r="L3005" s="4" t="s">
        <v>2226</v>
      </c>
      <c r="M3005" s="4" t="s">
        <v>2227</v>
      </c>
      <c r="N3005" s="4" t="s">
        <v>2228</v>
      </c>
      <c r="O3005" s="4" t="s">
        <v>2229</v>
      </c>
      <c r="P3005" s="4" t="s">
        <v>2230</v>
      </c>
      <c r="Q3005" s="2" t="n">
        <v>44645</v>
      </c>
      <c r="S3005" s="0" t="n">
        <f aca="false">YEAR(Q3005)</f>
        <v>2022</v>
      </c>
      <c r="T3005" s="0" t="n">
        <f aca="false">MONTH(Q3005)</f>
        <v>3</v>
      </c>
    </row>
    <row r="3006" customFormat="false" ht="14.25" hidden="false" customHeight="false" outlineLevel="0" collapsed="false">
      <c r="A3006" s="4" t="n">
        <v>3022</v>
      </c>
      <c r="B3006" s="4" t="n">
        <v>25012022</v>
      </c>
      <c r="C3006" s="4" t="s">
        <v>1495</v>
      </c>
      <c r="D3006" s="4" t="s">
        <v>1535</v>
      </c>
      <c r="E3006" s="4" t="s">
        <v>1732</v>
      </c>
      <c r="F3006" s="4" t="s">
        <v>1601</v>
      </c>
      <c r="G3006" s="4" t="s">
        <v>2231</v>
      </c>
      <c r="H3006" s="4" t="s">
        <v>2232</v>
      </c>
      <c r="I3006" s="4" t="s">
        <v>2233</v>
      </c>
      <c r="J3006" s="4" t="s">
        <v>2234</v>
      </c>
      <c r="K3006" s="4" t="n">
        <v>7</v>
      </c>
      <c r="L3006" s="4" t="s">
        <v>2235</v>
      </c>
      <c r="M3006" s="4" t="s">
        <v>2236</v>
      </c>
      <c r="N3006" s="4" t="s">
        <v>2237</v>
      </c>
      <c r="O3006" s="4" t="s">
        <v>2238</v>
      </c>
      <c r="P3006" s="4" t="s">
        <v>2239</v>
      </c>
      <c r="Q3006" s="2" t="n">
        <v>44645</v>
      </c>
      <c r="S3006" s="0" t="n">
        <f aca="false">YEAR(Q3006)</f>
        <v>2022</v>
      </c>
      <c r="T3006" s="0" t="n">
        <f aca="false">MONTH(Q3006)</f>
        <v>3</v>
      </c>
    </row>
    <row r="3007" customFormat="false" ht="14.25" hidden="false" customHeight="false" outlineLevel="0" collapsed="false">
      <c r="A3007" s="4" t="n">
        <v>3023</v>
      </c>
      <c r="B3007" s="4" t="n">
        <v>25012022</v>
      </c>
      <c r="C3007" s="4" t="s">
        <v>1495</v>
      </c>
      <c r="D3007" s="4" t="s">
        <v>1535</v>
      </c>
      <c r="E3007" s="4" t="s">
        <v>1732</v>
      </c>
      <c r="F3007" s="4" t="s">
        <v>1612</v>
      </c>
      <c r="G3007" s="4" t="s">
        <v>2240</v>
      </c>
      <c r="H3007" s="4" t="s">
        <v>2241</v>
      </c>
      <c r="I3007" s="4" t="s">
        <v>2242</v>
      </c>
      <c r="J3007" s="4" t="s">
        <v>2243</v>
      </c>
      <c r="K3007" s="4" t="n">
        <v>1</v>
      </c>
      <c r="L3007" s="4" t="s">
        <v>2244</v>
      </c>
      <c r="M3007" s="4" t="s">
        <v>2245</v>
      </c>
      <c r="N3007" s="4" t="s">
        <v>2246</v>
      </c>
      <c r="O3007" s="4" t="s">
        <v>2247</v>
      </c>
      <c r="P3007" s="4" t="s">
        <v>2248</v>
      </c>
      <c r="Q3007" s="2" t="n">
        <v>44645</v>
      </c>
      <c r="S3007" s="0" t="n">
        <f aca="false">YEAR(Q3007)</f>
        <v>2022</v>
      </c>
      <c r="T3007" s="0" t="n">
        <f aca="false">MONTH(Q3007)</f>
        <v>3</v>
      </c>
    </row>
    <row r="3008" customFormat="false" ht="14.25" hidden="false" customHeight="false" outlineLevel="0" collapsed="false">
      <c r="A3008" s="4" t="n">
        <v>3024</v>
      </c>
      <c r="B3008" s="4" t="n">
        <v>24012022</v>
      </c>
      <c r="C3008" s="1" t="s">
        <v>1503</v>
      </c>
      <c r="D3008" s="1" t="s">
        <v>1535</v>
      </c>
      <c r="E3008" s="4" t="s">
        <v>1503</v>
      </c>
      <c r="F3008" s="4" t="s">
        <v>1612</v>
      </c>
      <c r="G3008" s="4" t="s">
        <v>2249</v>
      </c>
      <c r="H3008" s="4" t="s">
        <v>2250</v>
      </c>
      <c r="I3008" s="4" t="s">
        <v>2251</v>
      </c>
      <c r="J3008" s="4" t="s">
        <v>2252</v>
      </c>
      <c r="K3008" s="4"/>
      <c r="L3008" s="4"/>
      <c r="M3008" s="4" t="s">
        <v>2253</v>
      </c>
      <c r="N3008" s="4" t="s">
        <v>2254</v>
      </c>
      <c r="O3008" s="4" t="s">
        <v>2255</v>
      </c>
      <c r="P3008" s="4" t="s">
        <v>2256</v>
      </c>
      <c r="Q3008" s="2" t="n">
        <v>44645</v>
      </c>
      <c r="S3008" s="0" t="n">
        <f aca="false">YEAR(Q3008)</f>
        <v>2022</v>
      </c>
      <c r="T3008" s="0" t="n">
        <f aca="false">MONTH(Q3008)</f>
        <v>3</v>
      </c>
    </row>
    <row r="3009" customFormat="false" ht="14.25" hidden="false" customHeight="false" outlineLevel="0" collapsed="false">
      <c r="A3009" s="4" t="n">
        <v>3025</v>
      </c>
      <c r="B3009" s="4" t="n">
        <v>25012022</v>
      </c>
      <c r="C3009" s="4" t="s">
        <v>1495</v>
      </c>
      <c r="D3009" s="4" t="s">
        <v>1535</v>
      </c>
      <c r="E3009" s="4" t="s">
        <v>1732</v>
      </c>
      <c r="F3009" s="4" t="s">
        <v>1612</v>
      </c>
      <c r="G3009" s="4" t="s">
        <v>2257</v>
      </c>
      <c r="H3009" s="4" t="s">
        <v>2258</v>
      </c>
      <c r="I3009" s="4" t="s">
        <v>2259</v>
      </c>
      <c r="J3009" s="4" t="s">
        <v>2260</v>
      </c>
      <c r="K3009" s="4" t="n">
        <v>0</v>
      </c>
      <c r="L3009" s="4" t="n">
        <v>40</v>
      </c>
      <c r="M3009" s="4" t="s">
        <v>2261</v>
      </c>
      <c r="N3009" s="4" t="s">
        <v>2262</v>
      </c>
      <c r="O3009" s="4" t="s">
        <v>2263</v>
      </c>
      <c r="P3009" s="4" t="s">
        <v>2264</v>
      </c>
      <c r="Q3009" s="2" t="n">
        <v>44645</v>
      </c>
      <c r="S3009" s="0" t="n">
        <f aca="false">YEAR(Q3009)</f>
        <v>2022</v>
      </c>
      <c r="T3009" s="0" t="n">
        <f aca="false">MONTH(Q3009)</f>
        <v>3</v>
      </c>
    </row>
    <row r="3010" customFormat="false" ht="14.25" hidden="false" customHeight="false" outlineLevel="0" collapsed="false">
      <c r="A3010" s="4" t="n">
        <v>3026</v>
      </c>
      <c r="B3010" s="4" t="n">
        <v>25012022</v>
      </c>
      <c r="C3010" s="1" t="s">
        <v>1479</v>
      </c>
      <c r="D3010" s="1" t="s">
        <v>1487</v>
      </c>
      <c r="E3010" s="0" t="s">
        <v>1488</v>
      </c>
      <c r="F3010" s="4" t="s">
        <v>1612</v>
      </c>
      <c r="G3010" s="4" t="s">
        <v>2265</v>
      </c>
      <c r="H3010" s="4" t="s">
        <v>1784</v>
      </c>
      <c r="I3010" s="4" t="s">
        <v>2266</v>
      </c>
      <c r="J3010" s="4" t="s">
        <v>2267</v>
      </c>
      <c r="K3010" s="4" t="n">
        <v>0</v>
      </c>
      <c r="L3010" s="4" t="s">
        <v>1625</v>
      </c>
      <c r="M3010" s="4" t="s">
        <v>2268</v>
      </c>
      <c r="N3010" s="4" t="s">
        <v>2269</v>
      </c>
      <c r="O3010" s="4" t="s">
        <v>2270</v>
      </c>
      <c r="P3010" s="4" t="s">
        <v>2271</v>
      </c>
      <c r="Q3010" s="2" t="n">
        <v>44645</v>
      </c>
      <c r="S3010" s="0" t="n">
        <f aca="false">YEAR(Q3010)</f>
        <v>2022</v>
      </c>
      <c r="T3010" s="0" t="n">
        <f aca="false">MONTH(Q3010)</f>
        <v>3</v>
      </c>
    </row>
    <row r="3011" customFormat="false" ht="14.25" hidden="false" customHeight="false" outlineLevel="0" collapsed="false">
      <c r="A3011" s="4" t="n">
        <v>3027</v>
      </c>
      <c r="B3011" s="4" t="n">
        <v>25012022</v>
      </c>
      <c r="C3011" s="1" t="s">
        <v>1479</v>
      </c>
      <c r="D3011" s="1" t="s">
        <v>1480</v>
      </c>
      <c r="E3011" s="4" t="s">
        <v>1600</v>
      </c>
      <c r="F3011" s="4" t="s">
        <v>1601</v>
      </c>
      <c r="G3011" s="4" t="s">
        <v>2272</v>
      </c>
      <c r="H3011" s="4" t="s">
        <v>2273</v>
      </c>
      <c r="I3011" s="4" t="s">
        <v>2274</v>
      </c>
      <c r="J3011" s="4" t="s">
        <v>2074</v>
      </c>
      <c r="K3011" s="4"/>
      <c r="L3011" s="4"/>
      <c r="M3011" s="4" t="s">
        <v>2275</v>
      </c>
      <c r="N3011" s="4" t="s">
        <v>2276</v>
      </c>
      <c r="O3011" s="4" t="s">
        <v>2277</v>
      </c>
      <c r="P3011" s="4" t="s">
        <v>2278</v>
      </c>
      <c r="Q3011" s="2" t="n">
        <v>44646</v>
      </c>
      <c r="S3011" s="0" t="n">
        <f aca="false">YEAR(Q3011)</f>
        <v>2022</v>
      </c>
      <c r="T3011" s="0" t="n">
        <f aca="false">MONTH(Q3011)</f>
        <v>3</v>
      </c>
    </row>
    <row r="3012" customFormat="false" ht="14.25" hidden="false" customHeight="false" outlineLevel="0" collapsed="false">
      <c r="A3012" s="4" t="n">
        <v>3028</v>
      </c>
      <c r="B3012" s="4" t="n">
        <v>24012022</v>
      </c>
      <c r="C3012" s="1" t="s">
        <v>1503</v>
      </c>
      <c r="D3012" s="1" t="s">
        <v>1648</v>
      </c>
      <c r="E3012" s="4" t="s">
        <v>1648</v>
      </c>
      <c r="F3012" s="4" t="s">
        <v>1601</v>
      </c>
      <c r="G3012" s="4" t="s">
        <v>1761</v>
      </c>
      <c r="H3012" s="4" t="s">
        <v>2279</v>
      </c>
      <c r="I3012" s="4" t="s">
        <v>2280</v>
      </c>
      <c r="J3012" s="4" t="s">
        <v>2281</v>
      </c>
      <c r="K3012" s="4"/>
      <c r="L3012" s="4" t="s">
        <v>2235</v>
      </c>
      <c r="M3012" s="4" t="s">
        <v>2282</v>
      </c>
      <c r="N3012" s="4" t="s">
        <v>2283</v>
      </c>
      <c r="O3012" s="4"/>
      <c r="P3012" s="4" t="s">
        <v>2284</v>
      </c>
      <c r="Q3012" s="2" t="n">
        <v>44646</v>
      </c>
      <c r="S3012" s="0" t="n">
        <f aca="false">YEAR(Q3012)</f>
        <v>2022</v>
      </c>
      <c r="T3012" s="0" t="n">
        <f aca="false">MONTH(Q3012)</f>
        <v>3</v>
      </c>
    </row>
    <row r="3013" customFormat="false" ht="14.25" hidden="false" customHeight="false" outlineLevel="0" collapsed="false">
      <c r="A3013" s="4" t="n">
        <v>3029</v>
      </c>
      <c r="B3013" s="4" t="n">
        <v>25012022</v>
      </c>
      <c r="C3013" s="1" t="s">
        <v>1479</v>
      </c>
      <c r="D3013" s="1" t="s">
        <v>1480</v>
      </c>
      <c r="E3013" s="4" t="s">
        <v>1600</v>
      </c>
      <c r="F3013" s="4" t="s">
        <v>1612</v>
      </c>
      <c r="G3013" s="4" t="s">
        <v>2272</v>
      </c>
      <c r="H3013" s="4" t="s">
        <v>2273</v>
      </c>
      <c r="I3013" s="4" t="s">
        <v>2274</v>
      </c>
      <c r="J3013" s="4" t="s">
        <v>2274</v>
      </c>
      <c r="K3013" s="4"/>
      <c r="L3013" s="4"/>
      <c r="M3013" s="4" t="s">
        <v>2276</v>
      </c>
      <c r="N3013" s="4" t="s">
        <v>2285</v>
      </c>
      <c r="O3013" s="4" t="s">
        <v>2286</v>
      </c>
      <c r="P3013" s="4" t="s">
        <v>2287</v>
      </c>
      <c r="Q3013" s="2" t="n">
        <v>44646</v>
      </c>
      <c r="S3013" s="0" t="n">
        <f aca="false">YEAR(Q3013)</f>
        <v>2022</v>
      </c>
      <c r="T3013" s="0" t="n">
        <f aca="false">MONTH(Q3013)</f>
        <v>3</v>
      </c>
    </row>
    <row r="3014" customFormat="false" ht="14.25" hidden="false" customHeight="false" outlineLevel="0" collapsed="false">
      <c r="A3014" s="4" t="n">
        <v>3030</v>
      </c>
      <c r="B3014" s="4" t="n">
        <v>25012022</v>
      </c>
      <c r="C3014" s="1" t="s">
        <v>1479</v>
      </c>
      <c r="D3014" s="1" t="s">
        <v>1535</v>
      </c>
      <c r="E3014" s="4" t="s">
        <v>1722</v>
      </c>
      <c r="F3014" s="4" t="s">
        <v>1612</v>
      </c>
      <c r="G3014" s="4" t="s">
        <v>2288</v>
      </c>
      <c r="H3014" s="4" t="s">
        <v>1688</v>
      </c>
      <c r="I3014" s="4" t="s">
        <v>2289</v>
      </c>
      <c r="J3014" s="4" t="s">
        <v>2290</v>
      </c>
      <c r="K3014" s="4"/>
      <c r="L3014" s="4" t="s">
        <v>2291</v>
      </c>
      <c r="M3014" s="4" t="s">
        <v>2292</v>
      </c>
      <c r="N3014" s="4" t="s">
        <v>2293</v>
      </c>
      <c r="O3014" s="4" t="s">
        <v>2118</v>
      </c>
      <c r="P3014" s="4" t="s">
        <v>2294</v>
      </c>
      <c r="Q3014" s="2" t="n">
        <v>44646</v>
      </c>
      <c r="S3014" s="0" t="n">
        <f aca="false">YEAR(Q3014)</f>
        <v>2022</v>
      </c>
      <c r="T3014" s="0" t="n">
        <f aca="false">MONTH(Q3014)</f>
        <v>3</v>
      </c>
    </row>
    <row r="3015" customFormat="false" ht="14.25" hidden="false" customHeight="false" outlineLevel="0" collapsed="false">
      <c r="A3015" s="4" t="n">
        <v>3031</v>
      </c>
      <c r="B3015" s="4" t="n">
        <v>25012022</v>
      </c>
      <c r="C3015" s="4" t="s">
        <v>1495</v>
      </c>
      <c r="D3015" s="4" t="s">
        <v>1487</v>
      </c>
      <c r="E3015" s="4" t="s">
        <v>1712</v>
      </c>
      <c r="F3015" s="4" t="s">
        <v>1601</v>
      </c>
      <c r="G3015" s="4" t="s">
        <v>2295</v>
      </c>
      <c r="H3015" s="4" t="s">
        <v>2296</v>
      </c>
      <c r="I3015" s="4" t="s">
        <v>2297</v>
      </c>
      <c r="J3015" s="4" t="s">
        <v>2298</v>
      </c>
      <c r="K3015" s="4" t="s">
        <v>2299</v>
      </c>
      <c r="L3015" s="4" t="s">
        <v>2300</v>
      </c>
      <c r="M3015" s="4" t="s">
        <v>2301</v>
      </c>
      <c r="N3015" s="4" t="s">
        <v>2302</v>
      </c>
      <c r="O3015" s="4" t="s">
        <v>2303</v>
      </c>
      <c r="P3015" s="4" t="s">
        <v>2304</v>
      </c>
      <c r="Q3015" s="2" t="n">
        <v>44648</v>
      </c>
      <c r="S3015" s="0" t="n">
        <f aca="false">YEAR(Q3015)</f>
        <v>2022</v>
      </c>
      <c r="T3015" s="0" t="n">
        <f aca="false">MONTH(Q3015)</f>
        <v>3</v>
      </c>
    </row>
    <row r="3016" customFormat="false" ht="14.25" hidden="false" customHeight="false" outlineLevel="0" collapsed="false">
      <c r="A3016" s="4" t="n">
        <v>3032</v>
      </c>
      <c r="B3016" s="4" t="n">
        <v>24012022</v>
      </c>
      <c r="C3016" s="4" t="s">
        <v>1495</v>
      </c>
      <c r="D3016" s="4" t="s">
        <v>1487</v>
      </c>
      <c r="E3016" s="4" t="s">
        <v>1712</v>
      </c>
      <c r="F3016" s="4" t="s">
        <v>1601</v>
      </c>
      <c r="G3016" s="4" t="s">
        <v>2305</v>
      </c>
      <c r="H3016" s="4" t="s">
        <v>2296</v>
      </c>
      <c r="I3016" s="4" t="s">
        <v>2306</v>
      </c>
      <c r="J3016" s="4" t="s">
        <v>2298</v>
      </c>
      <c r="K3016" s="4"/>
      <c r="L3016" s="4" t="s">
        <v>2307</v>
      </c>
      <c r="M3016" s="4" t="s">
        <v>2308</v>
      </c>
      <c r="N3016" s="4" t="s">
        <v>2309</v>
      </c>
      <c r="O3016" s="4" t="s">
        <v>2310</v>
      </c>
      <c r="P3016" s="4" t="s">
        <v>2311</v>
      </c>
      <c r="Q3016" s="2" t="n">
        <v>44648</v>
      </c>
      <c r="S3016" s="0" t="n">
        <f aca="false">YEAR(Q3016)</f>
        <v>2022</v>
      </c>
      <c r="T3016" s="0" t="n">
        <f aca="false">MONTH(Q3016)</f>
        <v>3</v>
      </c>
    </row>
    <row r="3017" customFormat="false" ht="14.25" hidden="false" customHeight="false" outlineLevel="0" collapsed="false">
      <c r="A3017" s="4" t="n">
        <v>3033</v>
      </c>
      <c r="B3017" s="4" t="n">
        <v>25012022</v>
      </c>
      <c r="C3017" s="1" t="s">
        <v>1479</v>
      </c>
      <c r="D3017" s="1" t="s">
        <v>1487</v>
      </c>
      <c r="E3017" s="0" t="s">
        <v>1488</v>
      </c>
      <c r="F3017" s="4" t="s">
        <v>1612</v>
      </c>
      <c r="G3017" s="4" t="s">
        <v>2312</v>
      </c>
      <c r="H3017" s="4" t="s">
        <v>2313</v>
      </c>
      <c r="I3017" s="4" t="s">
        <v>2314</v>
      </c>
      <c r="J3017" s="4" t="s">
        <v>2315</v>
      </c>
      <c r="K3017" s="4" t="s">
        <v>2316</v>
      </c>
      <c r="L3017" s="4" t="s">
        <v>2244</v>
      </c>
      <c r="M3017" s="4" t="s">
        <v>2317</v>
      </c>
      <c r="N3017" s="4" t="s">
        <v>2318</v>
      </c>
      <c r="O3017" s="4" t="s">
        <v>2319</v>
      </c>
      <c r="P3017" s="4" t="s">
        <v>2320</v>
      </c>
      <c r="Q3017" s="2" t="n">
        <v>44648</v>
      </c>
      <c r="S3017" s="0" t="n">
        <f aca="false">YEAR(Q3017)</f>
        <v>2022</v>
      </c>
      <c r="T3017" s="0" t="n">
        <f aca="false">MONTH(Q3017)</f>
        <v>3</v>
      </c>
    </row>
    <row r="3018" customFormat="false" ht="14.25" hidden="false" customHeight="false" outlineLevel="0" collapsed="false">
      <c r="A3018" s="4" t="n">
        <v>3034</v>
      </c>
      <c r="B3018" s="4" t="n">
        <v>25012022</v>
      </c>
      <c r="C3018" s="4" t="s">
        <v>1479</v>
      </c>
      <c r="D3018" s="4" t="s">
        <v>1535</v>
      </c>
      <c r="E3018" s="4" t="s">
        <v>1639</v>
      </c>
      <c r="F3018" s="4" t="s">
        <v>1601</v>
      </c>
      <c r="G3018" s="4" t="s">
        <v>2321</v>
      </c>
      <c r="H3018" s="4" t="s">
        <v>2322</v>
      </c>
      <c r="I3018" s="4" t="s">
        <v>2323</v>
      </c>
      <c r="J3018" s="4"/>
      <c r="K3018" s="4"/>
      <c r="L3018" s="4"/>
      <c r="M3018" s="4" t="s">
        <v>2324</v>
      </c>
      <c r="N3018" s="4" t="s">
        <v>2325</v>
      </c>
      <c r="O3018" s="4"/>
      <c r="P3018" s="4" t="s">
        <v>2326</v>
      </c>
      <c r="Q3018" s="2" t="n">
        <v>44649</v>
      </c>
      <c r="S3018" s="0" t="n">
        <f aca="false">YEAR(Q3018)</f>
        <v>2022</v>
      </c>
      <c r="T3018" s="0" t="n">
        <f aca="false">MONTH(Q3018)</f>
        <v>3</v>
      </c>
    </row>
    <row r="3019" customFormat="false" ht="14.25" hidden="false" customHeight="false" outlineLevel="0" collapsed="false">
      <c r="A3019" s="4" t="n">
        <v>3035</v>
      </c>
      <c r="B3019" s="4" t="n">
        <v>25012022</v>
      </c>
      <c r="C3019" s="1" t="s">
        <v>1479</v>
      </c>
      <c r="D3019" s="1" t="s">
        <v>1496</v>
      </c>
      <c r="E3019" s="4" t="s">
        <v>1680</v>
      </c>
      <c r="F3019" s="4" t="s">
        <v>1601</v>
      </c>
      <c r="G3019" s="4" t="s">
        <v>2327</v>
      </c>
      <c r="H3019" s="4" t="s">
        <v>2328</v>
      </c>
      <c r="I3019" s="4"/>
      <c r="J3019" s="4"/>
      <c r="K3019" s="4"/>
      <c r="L3019" s="4"/>
      <c r="M3019" s="4" t="s">
        <v>2329</v>
      </c>
      <c r="N3019" s="4" t="s">
        <v>2330</v>
      </c>
      <c r="O3019" s="4" t="s">
        <v>2331</v>
      </c>
      <c r="P3019" s="4" t="s">
        <v>2332</v>
      </c>
      <c r="Q3019" s="2" t="n">
        <v>44649</v>
      </c>
      <c r="S3019" s="0" t="n">
        <f aca="false">YEAR(Q3019)</f>
        <v>2022</v>
      </c>
      <c r="T3019" s="0" t="n">
        <f aca="false">MONTH(Q3019)</f>
        <v>3</v>
      </c>
    </row>
    <row r="3020" customFormat="false" ht="14.25" hidden="false" customHeight="false" outlineLevel="0" collapsed="false">
      <c r="A3020" s="4" t="n">
        <v>3036</v>
      </c>
      <c r="B3020" s="4" t="n">
        <v>24012022</v>
      </c>
      <c r="C3020" s="1" t="s">
        <v>1479</v>
      </c>
      <c r="D3020" s="1" t="s">
        <v>1480</v>
      </c>
      <c r="E3020" s="4" t="s">
        <v>1600</v>
      </c>
      <c r="F3020" s="4" t="s">
        <v>1612</v>
      </c>
      <c r="G3020" s="4" t="s">
        <v>2333</v>
      </c>
      <c r="H3020" s="4" t="s">
        <v>2334</v>
      </c>
      <c r="I3020" s="4" t="s">
        <v>2335</v>
      </c>
      <c r="J3020" s="4" t="s">
        <v>2336</v>
      </c>
      <c r="K3020" s="4" t="n">
        <v>0</v>
      </c>
      <c r="L3020" s="4" t="s">
        <v>2337</v>
      </c>
      <c r="M3020" s="4" t="s">
        <v>2338</v>
      </c>
      <c r="N3020" s="4" t="s">
        <v>2339</v>
      </c>
      <c r="O3020" s="4" t="s">
        <v>2340</v>
      </c>
      <c r="P3020" s="4" t="s">
        <v>2341</v>
      </c>
      <c r="Q3020" s="2" t="n">
        <v>44649</v>
      </c>
      <c r="S3020" s="0" t="n">
        <f aca="false">YEAR(Q3020)</f>
        <v>2022</v>
      </c>
      <c r="T3020" s="0" t="n">
        <f aca="false">MONTH(Q3020)</f>
        <v>3</v>
      </c>
    </row>
    <row r="3021" customFormat="false" ht="14.25" hidden="false" customHeight="false" outlineLevel="0" collapsed="false">
      <c r="A3021" s="4" t="n">
        <v>3037</v>
      </c>
      <c r="B3021" s="4" t="n">
        <v>25012022</v>
      </c>
      <c r="C3021" s="1" t="s">
        <v>1479</v>
      </c>
      <c r="D3021" s="1" t="s">
        <v>1487</v>
      </c>
      <c r="E3021" s="4" t="s">
        <v>1488</v>
      </c>
      <c r="F3021" s="4" t="s">
        <v>1601</v>
      </c>
      <c r="G3021" s="4" t="s">
        <v>2342</v>
      </c>
      <c r="H3021" s="4" t="s">
        <v>2343</v>
      </c>
      <c r="I3021" s="4"/>
      <c r="J3021" s="4" t="s">
        <v>2344</v>
      </c>
      <c r="K3021" s="4" t="n">
        <v>61</v>
      </c>
      <c r="L3021" s="4" t="s">
        <v>2345</v>
      </c>
      <c r="M3021" s="4" t="s">
        <v>2346</v>
      </c>
      <c r="N3021" s="4" t="s">
        <v>2347</v>
      </c>
      <c r="O3021" s="4" t="s">
        <v>2348</v>
      </c>
      <c r="P3021" s="4" t="s">
        <v>2349</v>
      </c>
      <c r="Q3021" s="2" t="n">
        <v>44650</v>
      </c>
      <c r="S3021" s="0" t="n">
        <f aca="false">YEAR(Q3021)</f>
        <v>2022</v>
      </c>
      <c r="T3021" s="0" t="n">
        <f aca="false">MONTH(Q3021)</f>
        <v>3</v>
      </c>
    </row>
    <row r="3022" customFormat="false" ht="14.25" hidden="false" customHeight="false" outlineLevel="0" collapsed="false">
      <c r="A3022" s="4" t="n">
        <v>3038</v>
      </c>
      <c r="B3022" s="4" t="n">
        <v>25012022</v>
      </c>
      <c r="C3022" s="1" t="s">
        <v>1495</v>
      </c>
      <c r="D3022" s="1" t="s">
        <v>1487</v>
      </c>
      <c r="E3022" s="0" t="s">
        <v>1656</v>
      </c>
      <c r="F3022" s="4" t="s">
        <v>1612</v>
      </c>
      <c r="G3022" s="4" t="s">
        <v>2350</v>
      </c>
      <c r="H3022" s="4" t="s">
        <v>2351</v>
      </c>
      <c r="I3022" s="4" t="s">
        <v>2352</v>
      </c>
      <c r="J3022" s="4" t="s">
        <v>1716</v>
      </c>
      <c r="K3022" s="4" t="n">
        <v>13</v>
      </c>
      <c r="L3022" s="4" t="s">
        <v>1794</v>
      </c>
      <c r="M3022" s="4" t="s">
        <v>2353</v>
      </c>
      <c r="N3022" s="4" t="s">
        <v>2354</v>
      </c>
      <c r="O3022" s="4" t="s">
        <v>2355</v>
      </c>
      <c r="P3022" s="4" t="s">
        <v>2356</v>
      </c>
      <c r="Q3022" s="2" t="n">
        <v>44651</v>
      </c>
      <c r="S3022" s="0" t="n">
        <f aca="false">YEAR(Q3022)</f>
        <v>2022</v>
      </c>
      <c r="T3022" s="0" t="n">
        <f aca="false">MONTH(Q3022)</f>
        <v>3</v>
      </c>
    </row>
    <row r="3023" customFormat="false" ht="14.25" hidden="false" customHeight="false" outlineLevel="0" collapsed="false">
      <c r="A3023" s="4" t="n">
        <v>3039</v>
      </c>
      <c r="B3023" s="4" t="n">
        <v>25012022</v>
      </c>
      <c r="C3023" s="1" t="s">
        <v>1479</v>
      </c>
      <c r="D3023" s="1" t="s">
        <v>1487</v>
      </c>
      <c r="E3023" s="4" t="s">
        <v>1488</v>
      </c>
      <c r="F3023" s="4" t="s">
        <v>1601</v>
      </c>
      <c r="G3023" s="4" t="s">
        <v>2357</v>
      </c>
      <c r="H3023" s="4" t="s">
        <v>2358</v>
      </c>
      <c r="I3023" s="4" t="s">
        <v>2359</v>
      </c>
      <c r="J3023" s="8" t="n">
        <v>0.386805555555556</v>
      </c>
      <c r="K3023" s="4"/>
      <c r="L3023" s="4"/>
      <c r="M3023" s="4" t="s">
        <v>2360</v>
      </c>
      <c r="N3023" s="4" t="s">
        <v>2361</v>
      </c>
      <c r="O3023" s="4" t="s">
        <v>2362</v>
      </c>
      <c r="P3023" s="4" t="s">
        <v>2363</v>
      </c>
      <c r="Q3023" s="2" t="n">
        <v>44565</v>
      </c>
      <c r="S3023" s="0" t="n">
        <f aca="false">YEAR(Q3023)</f>
        <v>2022</v>
      </c>
      <c r="T3023" s="0" t="n">
        <f aca="false">MONTH(Q3023)</f>
        <v>1</v>
      </c>
    </row>
    <row r="3024" customFormat="false" ht="14.25" hidden="false" customHeight="false" outlineLevel="0" collapsed="false">
      <c r="A3024" s="4" t="n">
        <v>3040</v>
      </c>
      <c r="B3024" s="4" t="n">
        <v>24012022</v>
      </c>
      <c r="C3024" s="4" t="s">
        <v>1495</v>
      </c>
      <c r="D3024" s="4" t="s">
        <v>1535</v>
      </c>
      <c r="E3024" s="4" t="s">
        <v>1732</v>
      </c>
      <c r="F3024" s="4" t="s">
        <v>1612</v>
      </c>
      <c r="G3024" s="4" t="s">
        <v>2364</v>
      </c>
      <c r="H3024" s="4" t="s">
        <v>1734</v>
      </c>
      <c r="I3024" s="4" t="s">
        <v>2365</v>
      </c>
      <c r="J3024" s="8" t="n">
        <v>0.921527777777778</v>
      </c>
      <c r="K3024" s="4"/>
      <c r="L3024" s="4" t="s">
        <v>2366</v>
      </c>
      <c r="M3024" s="4" t="s">
        <v>2367</v>
      </c>
      <c r="N3024" s="4" t="s">
        <v>2368</v>
      </c>
      <c r="O3024" s="4" t="s">
        <v>1654</v>
      </c>
      <c r="P3024" s="4"/>
      <c r="Q3024" s="2" t="n">
        <v>44565</v>
      </c>
      <c r="S3024" s="0" t="n">
        <f aca="false">YEAR(Q3024)</f>
        <v>2022</v>
      </c>
      <c r="T3024" s="0" t="n">
        <f aca="false">MONTH(Q3024)</f>
        <v>1</v>
      </c>
    </row>
    <row r="3025" customFormat="false" ht="14.25" hidden="false" customHeight="false" outlineLevel="0" collapsed="false">
      <c r="A3025" s="4" t="n">
        <v>3041</v>
      </c>
      <c r="B3025" s="4" t="n">
        <v>25012022</v>
      </c>
      <c r="C3025" s="4" t="s">
        <v>1495</v>
      </c>
      <c r="D3025" s="4" t="s">
        <v>1535</v>
      </c>
      <c r="E3025" s="4" t="s">
        <v>1672</v>
      </c>
      <c r="F3025" s="4" t="s">
        <v>1601</v>
      </c>
      <c r="G3025" s="4" t="s">
        <v>1734</v>
      </c>
      <c r="H3025" s="4" t="s">
        <v>1734</v>
      </c>
      <c r="I3025" s="4" t="s">
        <v>1709</v>
      </c>
      <c r="J3025" s="8" t="n">
        <v>0.285416666666667</v>
      </c>
      <c r="K3025" s="4"/>
      <c r="L3025" s="4" t="s">
        <v>2369</v>
      </c>
      <c r="M3025" s="4" t="s">
        <v>2370</v>
      </c>
      <c r="N3025" s="4" t="s">
        <v>2371</v>
      </c>
      <c r="O3025" s="4"/>
      <c r="P3025" s="4" t="s">
        <v>2372</v>
      </c>
      <c r="Q3025" s="2" t="n">
        <v>44662</v>
      </c>
      <c r="S3025" s="0" t="n">
        <f aca="false">YEAR(Q3025)</f>
        <v>2022</v>
      </c>
      <c r="T3025" s="0" t="n">
        <f aca="false">MONTH(Q3025)</f>
        <v>4</v>
      </c>
    </row>
    <row r="3026" customFormat="false" ht="14.25" hidden="false" customHeight="false" outlineLevel="0" collapsed="false">
      <c r="A3026" s="4" t="n">
        <v>3042</v>
      </c>
      <c r="B3026" s="4" t="n">
        <v>25012022</v>
      </c>
      <c r="C3026" s="4" t="s">
        <v>1495</v>
      </c>
      <c r="D3026" s="4" t="s">
        <v>1535</v>
      </c>
      <c r="E3026" s="4" t="s">
        <v>1672</v>
      </c>
      <c r="F3026" s="4" t="s">
        <v>1601</v>
      </c>
      <c r="G3026" s="4" t="s">
        <v>1734</v>
      </c>
      <c r="H3026" s="4" t="s">
        <v>1734</v>
      </c>
      <c r="I3026" s="4" t="s">
        <v>2373</v>
      </c>
      <c r="J3026" s="8" t="n">
        <v>0.285416666666667</v>
      </c>
      <c r="K3026" s="4"/>
      <c r="L3026" s="4"/>
      <c r="M3026" s="4" t="s">
        <v>2374</v>
      </c>
      <c r="N3026" s="4" t="s">
        <v>2375</v>
      </c>
      <c r="O3026" s="4"/>
      <c r="P3026" s="4" t="s">
        <v>2376</v>
      </c>
      <c r="Q3026" s="2" t="n">
        <v>44662</v>
      </c>
      <c r="S3026" s="0" t="n">
        <f aca="false">YEAR(Q3026)</f>
        <v>2022</v>
      </c>
      <c r="T3026" s="0" t="n">
        <f aca="false">MONTH(Q3026)</f>
        <v>4</v>
      </c>
    </row>
    <row r="3027" customFormat="false" ht="14.25" hidden="false" customHeight="false" outlineLevel="0" collapsed="false">
      <c r="A3027" s="4" t="n">
        <v>3043</v>
      </c>
      <c r="B3027" s="4" t="n">
        <v>25012022</v>
      </c>
      <c r="C3027" s="1" t="s">
        <v>1503</v>
      </c>
      <c r="D3027" s="1" t="s">
        <v>1504</v>
      </c>
      <c r="E3027" s="4" t="s">
        <v>1664</v>
      </c>
      <c r="F3027" s="4" t="s">
        <v>1612</v>
      </c>
      <c r="G3027" s="4" t="s">
        <v>2377</v>
      </c>
      <c r="H3027" s="4" t="s">
        <v>2378</v>
      </c>
      <c r="I3027" s="4" t="s">
        <v>2379</v>
      </c>
      <c r="J3027" s="8" t="n">
        <v>0.805555555555555</v>
      </c>
      <c r="K3027" s="4"/>
      <c r="L3027" s="4" t="s">
        <v>2380</v>
      </c>
      <c r="M3027" s="4" t="s">
        <v>2381</v>
      </c>
      <c r="N3027" s="4" t="s">
        <v>2382</v>
      </c>
      <c r="O3027" s="4" t="s">
        <v>2383</v>
      </c>
      <c r="P3027" s="4" t="s">
        <v>2384</v>
      </c>
      <c r="Q3027" s="2" t="n">
        <v>44663</v>
      </c>
      <c r="S3027" s="0" t="n">
        <f aca="false">YEAR(Q3027)</f>
        <v>2022</v>
      </c>
      <c r="T3027" s="0" t="n">
        <f aca="false">MONTH(Q3027)</f>
        <v>4</v>
      </c>
    </row>
    <row r="3028" customFormat="false" ht="14.25" hidden="false" customHeight="false" outlineLevel="0" collapsed="false">
      <c r="A3028" s="4" t="n">
        <v>3044</v>
      </c>
      <c r="B3028" s="4" t="n">
        <v>24012022</v>
      </c>
      <c r="C3028" s="4" t="s">
        <v>1479</v>
      </c>
      <c r="D3028" s="4" t="s">
        <v>1535</v>
      </c>
      <c r="E3028" s="4" t="s">
        <v>1639</v>
      </c>
      <c r="F3028" s="4" t="s">
        <v>1601</v>
      </c>
      <c r="G3028" s="4" t="s">
        <v>2385</v>
      </c>
      <c r="H3028" s="4" t="s">
        <v>1641</v>
      </c>
      <c r="I3028" s="4" t="s">
        <v>2386</v>
      </c>
      <c r="J3028" s="8" t="n">
        <v>0.270138888888889</v>
      </c>
      <c r="K3028" s="4"/>
      <c r="L3028" s="4" t="s">
        <v>2387</v>
      </c>
      <c r="M3028" s="4" t="s">
        <v>2388</v>
      </c>
      <c r="N3028" s="4" t="s">
        <v>2389</v>
      </c>
      <c r="O3028" s="4"/>
      <c r="P3028" s="4" t="s">
        <v>2390</v>
      </c>
      <c r="Q3028" s="2" t="n">
        <v>44664</v>
      </c>
      <c r="S3028" s="0" t="n">
        <f aca="false">YEAR(Q3028)</f>
        <v>2022</v>
      </c>
      <c r="T3028" s="0" t="n">
        <f aca="false">MONTH(Q3028)</f>
        <v>4</v>
      </c>
    </row>
    <row r="3029" customFormat="false" ht="14.25" hidden="false" customHeight="false" outlineLevel="0" collapsed="false">
      <c r="A3029" s="4" t="n">
        <v>3045</v>
      </c>
      <c r="B3029" s="4" t="n">
        <v>25012022</v>
      </c>
      <c r="C3029" s="4" t="s">
        <v>1495</v>
      </c>
      <c r="D3029" s="4" t="s">
        <v>1535</v>
      </c>
      <c r="E3029" s="4" t="s">
        <v>1672</v>
      </c>
      <c r="F3029" s="4" t="s">
        <v>1601</v>
      </c>
      <c r="G3029" s="4" t="s">
        <v>2391</v>
      </c>
      <c r="H3029" s="4" t="s">
        <v>1724</v>
      </c>
      <c r="I3029" s="4" t="s">
        <v>2386</v>
      </c>
      <c r="J3029" s="8" t="n">
        <v>0.261805555555556</v>
      </c>
      <c r="K3029" s="4" t="s">
        <v>2392</v>
      </c>
      <c r="L3029" s="4" t="s">
        <v>2393</v>
      </c>
      <c r="M3029" s="4" t="s">
        <v>2394</v>
      </c>
      <c r="N3029" s="4" t="s">
        <v>2395</v>
      </c>
      <c r="O3029" s="4" t="s">
        <v>2396</v>
      </c>
      <c r="P3029" s="4" t="s">
        <v>2397</v>
      </c>
      <c r="Q3029" s="2" t="n">
        <v>44665</v>
      </c>
      <c r="S3029" s="0" t="n">
        <f aca="false">YEAR(Q3029)</f>
        <v>2022</v>
      </c>
      <c r="T3029" s="0" t="n">
        <f aca="false">MONTH(Q3029)</f>
        <v>4</v>
      </c>
    </row>
    <row r="3030" customFormat="false" ht="14.25" hidden="false" customHeight="false" outlineLevel="0" collapsed="false">
      <c r="A3030" s="4" t="n">
        <v>3046</v>
      </c>
      <c r="B3030" s="4" t="n">
        <v>25012022</v>
      </c>
      <c r="C3030" s="1" t="s">
        <v>1479</v>
      </c>
      <c r="D3030" s="1" t="s">
        <v>1863</v>
      </c>
      <c r="E3030" s="4" t="s">
        <v>1864</v>
      </c>
      <c r="F3030" s="4" t="s">
        <v>1601</v>
      </c>
      <c r="G3030" s="4" t="s">
        <v>2398</v>
      </c>
      <c r="H3030" s="4" t="s">
        <v>2399</v>
      </c>
      <c r="I3030" s="4"/>
      <c r="J3030" s="8" t="n">
        <v>0.265972222222222</v>
      </c>
      <c r="K3030" s="4"/>
      <c r="L3030" s="4"/>
      <c r="M3030" s="4" t="s">
        <v>2400</v>
      </c>
      <c r="N3030" s="4" t="s">
        <v>2401</v>
      </c>
      <c r="O3030" s="4" t="s">
        <v>2402</v>
      </c>
      <c r="P3030" s="4" t="s">
        <v>2403</v>
      </c>
      <c r="Q3030" s="2" t="n">
        <v>44669</v>
      </c>
      <c r="S3030" s="0" t="n">
        <f aca="false">YEAR(Q3030)</f>
        <v>2022</v>
      </c>
      <c r="T3030" s="0" t="n">
        <f aca="false">MONTH(Q3030)</f>
        <v>4</v>
      </c>
    </row>
    <row r="3031" customFormat="false" ht="14.25" hidden="false" customHeight="false" outlineLevel="0" collapsed="false">
      <c r="A3031" s="4" t="n">
        <v>3047</v>
      </c>
      <c r="B3031" s="4" t="n">
        <v>25012022</v>
      </c>
      <c r="C3031" s="1" t="s">
        <v>1479</v>
      </c>
      <c r="D3031" s="1" t="s">
        <v>1487</v>
      </c>
      <c r="E3031" s="4" t="s">
        <v>1488</v>
      </c>
      <c r="F3031" s="4" t="s">
        <v>1601</v>
      </c>
      <c r="G3031" s="4" t="s">
        <v>2404</v>
      </c>
      <c r="H3031" s="4" t="s">
        <v>2405</v>
      </c>
      <c r="I3031" s="4"/>
      <c r="J3031" s="8" t="n">
        <v>0.265972222222222</v>
      </c>
      <c r="K3031" s="4" t="s">
        <v>2406</v>
      </c>
      <c r="L3031" s="4" t="s">
        <v>2407</v>
      </c>
      <c r="M3031" s="4" t="s">
        <v>2408</v>
      </c>
      <c r="N3031" s="4" t="s">
        <v>2401</v>
      </c>
      <c r="O3031" s="4" t="s">
        <v>2402</v>
      </c>
      <c r="P3031" s="4" t="s">
        <v>2409</v>
      </c>
      <c r="Q3031" s="2" t="n">
        <v>44669</v>
      </c>
      <c r="S3031" s="0" t="n">
        <f aca="false">YEAR(Q3031)</f>
        <v>2022</v>
      </c>
      <c r="T3031" s="0" t="n">
        <f aca="false">MONTH(Q3031)</f>
        <v>4</v>
      </c>
    </row>
    <row r="3032" customFormat="false" ht="14.25" hidden="false" customHeight="false" outlineLevel="0" collapsed="false">
      <c r="A3032" s="4" t="n">
        <v>3048</v>
      </c>
      <c r="B3032" s="4" t="n">
        <v>24012022</v>
      </c>
      <c r="C3032" s="4" t="s">
        <v>1479</v>
      </c>
      <c r="D3032" s="4" t="s">
        <v>1535</v>
      </c>
      <c r="E3032" s="4" t="s">
        <v>1639</v>
      </c>
      <c r="F3032" s="4" t="s">
        <v>1601</v>
      </c>
      <c r="G3032" s="4" t="s">
        <v>2404</v>
      </c>
      <c r="H3032" s="4" t="s">
        <v>2410</v>
      </c>
      <c r="I3032" s="4"/>
      <c r="J3032" s="8" t="n">
        <v>0.272222222222222</v>
      </c>
      <c r="K3032" s="4" t="s">
        <v>2411</v>
      </c>
      <c r="L3032" s="4" t="s">
        <v>2412</v>
      </c>
      <c r="M3032" s="4" t="s">
        <v>2400</v>
      </c>
      <c r="N3032" s="4" t="s">
        <v>2401</v>
      </c>
      <c r="O3032" s="4" t="s">
        <v>2402</v>
      </c>
      <c r="P3032" s="4" t="s">
        <v>2403</v>
      </c>
      <c r="Q3032" s="2" t="n">
        <v>44669</v>
      </c>
      <c r="S3032" s="0" t="n">
        <f aca="false">YEAR(Q3032)</f>
        <v>2022</v>
      </c>
      <c r="T3032" s="0" t="n">
        <f aca="false">MONTH(Q3032)</f>
        <v>4</v>
      </c>
    </row>
    <row r="3033" customFormat="false" ht="14.25" hidden="false" customHeight="false" outlineLevel="0" collapsed="false">
      <c r="A3033" s="4" t="n">
        <v>3049</v>
      </c>
      <c r="B3033" s="4" t="n">
        <v>25012022</v>
      </c>
      <c r="C3033" s="1" t="s">
        <v>1479</v>
      </c>
      <c r="D3033" s="1" t="s">
        <v>1487</v>
      </c>
      <c r="E3033" s="0" t="s">
        <v>1488</v>
      </c>
      <c r="F3033" s="4" t="s">
        <v>1612</v>
      </c>
      <c r="G3033" s="4" t="s">
        <v>2413</v>
      </c>
      <c r="H3033" s="4" t="s">
        <v>2414</v>
      </c>
      <c r="I3033" s="4" t="s">
        <v>2415</v>
      </c>
      <c r="J3033" s="8" t="n">
        <v>0.625</v>
      </c>
      <c r="K3033" s="4" t="n">
        <v>0</v>
      </c>
      <c r="L3033" s="4" t="s">
        <v>1651</v>
      </c>
      <c r="M3033" s="4" t="s">
        <v>2416</v>
      </c>
      <c r="N3033" s="4" t="s">
        <v>2417</v>
      </c>
      <c r="O3033" s="4" t="s">
        <v>2418</v>
      </c>
      <c r="P3033" s="4" t="s">
        <v>2419</v>
      </c>
      <c r="Q3033" s="2" t="n">
        <v>44669</v>
      </c>
      <c r="S3033" s="0" t="n">
        <f aca="false">YEAR(Q3033)</f>
        <v>2022</v>
      </c>
      <c r="T3033" s="0" t="n">
        <f aca="false">MONTH(Q3033)</f>
        <v>4</v>
      </c>
    </row>
    <row r="3034" customFormat="false" ht="14.25" hidden="false" customHeight="false" outlineLevel="0" collapsed="false">
      <c r="A3034" s="4" t="n">
        <v>3050</v>
      </c>
      <c r="B3034" s="4" t="n">
        <v>25012022</v>
      </c>
      <c r="C3034" s="1" t="s">
        <v>1503</v>
      </c>
      <c r="D3034" s="4" t="s">
        <v>1535</v>
      </c>
      <c r="E3034" s="4" t="s">
        <v>2420</v>
      </c>
      <c r="F3034" s="4" t="s">
        <v>1601</v>
      </c>
      <c r="G3034" s="4" t="s">
        <v>2421</v>
      </c>
      <c r="H3034" s="4" t="s">
        <v>2422</v>
      </c>
      <c r="I3034" s="4" t="s">
        <v>2423</v>
      </c>
      <c r="J3034" s="8" t="n">
        <v>0.520833333333333</v>
      </c>
      <c r="K3034" s="4"/>
      <c r="L3034" s="4" t="s">
        <v>2424</v>
      </c>
      <c r="M3034" s="4" t="s">
        <v>2425</v>
      </c>
      <c r="N3034" s="4" t="s">
        <v>2426</v>
      </c>
      <c r="O3034" s="4"/>
      <c r="P3034" s="4" t="s">
        <v>2427</v>
      </c>
      <c r="Q3034" s="2" t="n">
        <v>44670</v>
      </c>
      <c r="S3034" s="0" t="n">
        <f aca="false">YEAR(Q3034)</f>
        <v>2022</v>
      </c>
      <c r="T3034" s="0" t="n">
        <f aca="false">MONTH(Q3034)</f>
        <v>4</v>
      </c>
    </row>
    <row r="3035" customFormat="false" ht="14.25" hidden="false" customHeight="false" outlineLevel="0" collapsed="false">
      <c r="A3035" s="4" t="n">
        <v>3051</v>
      </c>
      <c r="B3035" s="4" t="n">
        <v>25012022</v>
      </c>
      <c r="C3035" s="1" t="s">
        <v>1495</v>
      </c>
      <c r="D3035" s="1" t="s">
        <v>1496</v>
      </c>
      <c r="E3035" s="4" t="s">
        <v>1619</v>
      </c>
      <c r="F3035" s="4" t="s">
        <v>1601</v>
      </c>
      <c r="G3035" s="4" t="s">
        <v>2428</v>
      </c>
      <c r="H3035" s="4" t="s">
        <v>1808</v>
      </c>
      <c r="I3035" s="4" t="s">
        <v>2429</v>
      </c>
      <c r="J3035" s="8" t="n">
        <v>0.252777777777778</v>
      </c>
      <c r="K3035" s="4"/>
      <c r="L3035" s="4" t="s">
        <v>2430</v>
      </c>
      <c r="M3035" s="4" t="s">
        <v>2431</v>
      </c>
      <c r="N3035" s="4" t="s">
        <v>2432</v>
      </c>
      <c r="O3035" s="4" t="s">
        <v>2433</v>
      </c>
      <c r="P3035" s="4" t="s">
        <v>2434</v>
      </c>
      <c r="Q3035" s="2" t="n">
        <v>44671</v>
      </c>
      <c r="S3035" s="0" t="n">
        <f aca="false">YEAR(Q3035)</f>
        <v>2022</v>
      </c>
      <c r="T3035" s="0" t="n">
        <f aca="false">MONTH(Q3035)</f>
        <v>4</v>
      </c>
    </row>
    <row r="3036" customFormat="false" ht="14.25" hidden="false" customHeight="false" outlineLevel="0" collapsed="false">
      <c r="A3036" s="4" t="n">
        <v>3052</v>
      </c>
      <c r="B3036" s="4" t="n">
        <v>24012022</v>
      </c>
      <c r="C3036" s="1" t="s">
        <v>1495</v>
      </c>
      <c r="D3036" s="1" t="s">
        <v>1487</v>
      </c>
      <c r="E3036" s="4" t="s">
        <v>1656</v>
      </c>
      <c r="F3036" s="4" t="s">
        <v>1601</v>
      </c>
      <c r="G3036" s="4" t="s">
        <v>2435</v>
      </c>
      <c r="H3036" s="4" t="s">
        <v>2436</v>
      </c>
      <c r="I3036" s="4" t="s">
        <v>1867</v>
      </c>
      <c r="J3036" s="8" t="n">
        <v>0.265972222222222</v>
      </c>
      <c r="K3036" s="4"/>
      <c r="L3036" s="4" t="s">
        <v>2437</v>
      </c>
      <c r="M3036" s="4" t="s">
        <v>2438</v>
      </c>
      <c r="N3036" s="4" t="s">
        <v>2439</v>
      </c>
      <c r="O3036" s="4" t="s">
        <v>2440</v>
      </c>
      <c r="P3036" s="4" t="s">
        <v>2441</v>
      </c>
      <c r="Q3036" s="2" t="n">
        <v>44673</v>
      </c>
      <c r="S3036" s="0" t="n">
        <f aca="false">YEAR(Q3036)</f>
        <v>2022</v>
      </c>
      <c r="T3036" s="0" t="n">
        <f aca="false">MONTH(Q3036)</f>
        <v>4</v>
      </c>
    </row>
    <row r="3037" customFormat="false" ht="14.25" hidden="false" customHeight="false" outlineLevel="0" collapsed="false">
      <c r="A3037" s="4" t="n">
        <v>3053</v>
      </c>
      <c r="B3037" s="4" t="n">
        <v>25012022</v>
      </c>
      <c r="C3037" s="4" t="s">
        <v>1479</v>
      </c>
      <c r="D3037" s="4" t="s">
        <v>1535</v>
      </c>
      <c r="E3037" s="4" t="s">
        <v>1639</v>
      </c>
      <c r="F3037" s="4" t="s">
        <v>1601</v>
      </c>
      <c r="G3037" s="4" t="s">
        <v>2442</v>
      </c>
      <c r="H3037" s="4" t="s">
        <v>2322</v>
      </c>
      <c r="I3037" s="4"/>
      <c r="J3037" s="8" t="n">
        <v>0.276388888888889</v>
      </c>
      <c r="K3037" s="4"/>
      <c r="L3037" s="4"/>
      <c r="M3037" s="4" t="s">
        <v>2443</v>
      </c>
      <c r="N3037" s="4" t="s">
        <v>2439</v>
      </c>
      <c r="O3037" s="4" t="s">
        <v>2440</v>
      </c>
      <c r="P3037" s="4" t="s">
        <v>2441</v>
      </c>
      <c r="Q3037" s="2" t="n">
        <v>44673</v>
      </c>
      <c r="S3037" s="0" t="n">
        <f aca="false">YEAR(Q3037)</f>
        <v>2022</v>
      </c>
      <c r="T3037" s="0" t="n">
        <f aca="false">MONTH(Q3037)</f>
        <v>4</v>
      </c>
    </row>
    <row r="3038" customFormat="false" ht="14.25" hidden="false" customHeight="false" outlineLevel="0" collapsed="false">
      <c r="A3038" s="4" t="n">
        <v>3054</v>
      </c>
      <c r="B3038" s="4" t="n">
        <v>25012022</v>
      </c>
      <c r="C3038" s="1" t="s">
        <v>1479</v>
      </c>
      <c r="D3038" s="1" t="s">
        <v>1863</v>
      </c>
      <c r="E3038" s="4" t="s">
        <v>1864</v>
      </c>
      <c r="F3038" s="4" t="s">
        <v>1601</v>
      </c>
      <c r="G3038" s="4" t="s">
        <v>2444</v>
      </c>
      <c r="H3038" s="4" t="s">
        <v>2445</v>
      </c>
      <c r="I3038" s="4"/>
      <c r="J3038" s="4"/>
      <c r="K3038" s="4"/>
      <c r="L3038" s="4"/>
      <c r="M3038" s="4" t="s">
        <v>2446</v>
      </c>
      <c r="N3038" s="4" t="s">
        <v>2447</v>
      </c>
      <c r="O3038" s="4"/>
      <c r="P3038" s="4" t="s">
        <v>2448</v>
      </c>
      <c r="Q3038" s="2" t="n">
        <v>44673</v>
      </c>
      <c r="S3038" s="0" t="n">
        <f aca="false">YEAR(Q3038)</f>
        <v>2022</v>
      </c>
      <c r="T3038" s="0" t="n">
        <f aca="false">MONTH(Q3038)</f>
        <v>4</v>
      </c>
    </row>
    <row r="3039" customFormat="false" ht="14.25" hidden="false" customHeight="false" outlineLevel="0" collapsed="false">
      <c r="A3039" s="4" t="n">
        <v>3055</v>
      </c>
      <c r="B3039" s="4" t="n">
        <v>25012022</v>
      </c>
      <c r="C3039" s="1" t="s">
        <v>1503</v>
      </c>
      <c r="D3039" s="1" t="s">
        <v>1535</v>
      </c>
      <c r="E3039" s="4" t="s">
        <v>1503</v>
      </c>
      <c r="F3039" s="4" t="s">
        <v>1612</v>
      </c>
      <c r="G3039" s="4" t="s">
        <v>2449</v>
      </c>
      <c r="H3039" s="4" t="s">
        <v>2450</v>
      </c>
      <c r="I3039" s="4" t="s">
        <v>2451</v>
      </c>
      <c r="J3039" s="8" t="n">
        <v>0.659722222222222</v>
      </c>
      <c r="K3039" s="4"/>
      <c r="L3039" s="4" t="s">
        <v>1869</v>
      </c>
      <c r="M3039" s="4" t="s">
        <v>2452</v>
      </c>
      <c r="N3039" s="4" t="s">
        <v>2453</v>
      </c>
      <c r="O3039" s="4" t="s">
        <v>2454</v>
      </c>
      <c r="P3039" s="4" t="s">
        <v>2455</v>
      </c>
      <c r="Q3039" s="2" t="n">
        <v>44673</v>
      </c>
      <c r="S3039" s="0" t="n">
        <f aca="false">YEAR(Q3039)</f>
        <v>2022</v>
      </c>
      <c r="T3039" s="0" t="n">
        <f aca="false">MONTH(Q3039)</f>
        <v>4</v>
      </c>
    </row>
    <row r="3040" customFormat="false" ht="14.25" hidden="false" customHeight="false" outlineLevel="0" collapsed="false">
      <c r="A3040" s="4" t="n">
        <v>3056</v>
      </c>
      <c r="B3040" s="4" t="n">
        <v>24012022</v>
      </c>
      <c r="C3040" s="1" t="s">
        <v>1495</v>
      </c>
      <c r="D3040" s="1" t="s">
        <v>1487</v>
      </c>
      <c r="E3040" s="4" t="s">
        <v>1656</v>
      </c>
      <c r="F3040" s="4" t="s">
        <v>1612</v>
      </c>
      <c r="G3040" s="4" t="s">
        <v>2456</v>
      </c>
      <c r="H3040" s="4" t="s">
        <v>2457</v>
      </c>
      <c r="I3040" s="4" t="s">
        <v>2458</v>
      </c>
      <c r="J3040" s="8" t="n">
        <v>0.729166666666667</v>
      </c>
      <c r="K3040" s="4"/>
      <c r="L3040" s="4" t="s">
        <v>2459</v>
      </c>
      <c r="M3040" s="4" t="s">
        <v>1819</v>
      </c>
      <c r="N3040" s="4" t="s">
        <v>2460</v>
      </c>
      <c r="O3040" s="4" t="s">
        <v>2461</v>
      </c>
      <c r="P3040" s="4" t="s">
        <v>2462</v>
      </c>
      <c r="Q3040" s="2" t="n">
        <v>44674</v>
      </c>
      <c r="S3040" s="0" t="n">
        <f aca="false">YEAR(Q3040)</f>
        <v>2022</v>
      </c>
      <c r="T3040" s="0" t="n">
        <f aca="false">MONTH(Q3040)</f>
        <v>4</v>
      </c>
    </row>
    <row r="3041" customFormat="false" ht="14.25" hidden="false" customHeight="false" outlineLevel="0" collapsed="false">
      <c r="A3041" s="4" t="n">
        <v>3057</v>
      </c>
      <c r="B3041" s="4" t="n">
        <v>25012022</v>
      </c>
      <c r="C3041" s="4" t="s">
        <v>1495</v>
      </c>
      <c r="D3041" s="4" t="s">
        <v>1535</v>
      </c>
      <c r="E3041" s="4" t="s">
        <v>1672</v>
      </c>
      <c r="F3041" s="4" t="s">
        <v>1612</v>
      </c>
      <c r="G3041" s="4" t="s">
        <v>2463</v>
      </c>
      <c r="H3041" s="4" t="s">
        <v>2464</v>
      </c>
      <c r="I3041" s="4" t="s">
        <v>2336</v>
      </c>
      <c r="J3041" s="8" t="n">
        <v>0.875</v>
      </c>
      <c r="K3041" s="4" t="n">
        <v>0</v>
      </c>
      <c r="L3041" s="4" t="s">
        <v>2465</v>
      </c>
      <c r="M3041" s="4" t="s">
        <v>2466</v>
      </c>
      <c r="N3041" s="4" t="s">
        <v>2467</v>
      </c>
      <c r="O3041" s="4" t="s">
        <v>2468</v>
      </c>
      <c r="P3041" s="4" t="s">
        <v>2469</v>
      </c>
      <c r="Q3041" s="2" t="n">
        <v>44676</v>
      </c>
      <c r="S3041" s="0" t="n">
        <f aca="false">YEAR(Q3041)</f>
        <v>2022</v>
      </c>
      <c r="T3041" s="0" t="n">
        <f aca="false">MONTH(Q3041)</f>
        <v>4</v>
      </c>
    </row>
    <row r="3042" customFormat="false" ht="14.25" hidden="false" customHeight="false" outlineLevel="0" collapsed="false">
      <c r="A3042" s="4" t="n">
        <v>3058</v>
      </c>
      <c r="B3042" s="4" t="n">
        <v>25012022</v>
      </c>
      <c r="C3042" s="1" t="s">
        <v>1479</v>
      </c>
      <c r="D3042" s="1" t="s">
        <v>1487</v>
      </c>
      <c r="E3042" s="4" t="s">
        <v>1488</v>
      </c>
      <c r="F3042" s="4" t="s">
        <v>1601</v>
      </c>
      <c r="G3042" s="4" t="s">
        <v>2470</v>
      </c>
      <c r="H3042" s="4" t="s">
        <v>2471</v>
      </c>
      <c r="I3042" s="4" t="s">
        <v>2472</v>
      </c>
      <c r="J3042" s="8" t="n">
        <v>0.369444444444444</v>
      </c>
      <c r="K3042" s="4" t="s">
        <v>2473</v>
      </c>
      <c r="L3042" s="4" t="s">
        <v>2474</v>
      </c>
      <c r="M3042" s="4" t="s">
        <v>2475</v>
      </c>
      <c r="N3042" s="4" t="s">
        <v>2476</v>
      </c>
      <c r="O3042" s="4" t="s">
        <v>2477</v>
      </c>
      <c r="P3042" s="4" t="s">
        <v>2478</v>
      </c>
      <c r="Q3042" s="2" t="n">
        <v>44677</v>
      </c>
      <c r="S3042" s="0" t="n">
        <f aca="false">YEAR(Q3042)</f>
        <v>2022</v>
      </c>
      <c r="T3042" s="0" t="n">
        <f aca="false">MONTH(Q3042)</f>
        <v>4</v>
      </c>
    </row>
    <row r="3043" customFormat="false" ht="14.25" hidden="false" customHeight="false" outlineLevel="0" collapsed="false">
      <c r="A3043" s="4" t="n">
        <v>3059</v>
      </c>
      <c r="B3043" s="4" t="n">
        <v>25012022</v>
      </c>
      <c r="C3043" s="1" t="s">
        <v>1479</v>
      </c>
      <c r="D3043" s="1" t="s">
        <v>1496</v>
      </c>
      <c r="E3043" s="4" t="s">
        <v>1680</v>
      </c>
      <c r="F3043" s="4" t="s">
        <v>1601</v>
      </c>
      <c r="G3043" s="4" t="s">
        <v>2479</v>
      </c>
      <c r="H3043" s="4" t="s">
        <v>2480</v>
      </c>
      <c r="I3043" s="4"/>
      <c r="J3043" s="8" t="n">
        <v>0.490972222222222</v>
      </c>
      <c r="K3043" s="4"/>
      <c r="L3043" s="4"/>
      <c r="M3043" s="4" t="s">
        <v>2481</v>
      </c>
      <c r="N3043" s="4" t="s">
        <v>2482</v>
      </c>
      <c r="O3043" s="4" t="s">
        <v>2483</v>
      </c>
      <c r="P3043" s="4" t="s">
        <v>2484</v>
      </c>
      <c r="Q3043" s="2" t="n">
        <v>44677</v>
      </c>
      <c r="S3043" s="0" t="n">
        <f aca="false">YEAR(Q3043)</f>
        <v>2022</v>
      </c>
      <c r="T3043" s="0" t="n">
        <f aca="false">MONTH(Q3043)</f>
        <v>4</v>
      </c>
    </row>
    <row r="3044" customFormat="false" ht="14.25" hidden="false" customHeight="false" outlineLevel="0" collapsed="false">
      <c r="A3044" s="4" t="n">
        <v>3060</v>
      </c>
      <c r="B3044" s="4" t="n">
        <v>24012022</v>
      </c>
      <c r="C3044" s="4" t="s">
        <v>1495</v>
      </c>
      <c r="D3044" s="4" t="s">
        <v>1535</v>
      </c>
      <c r="E3044" s="4" t="s">
        <v>1672</v>
      </c>
      <c r="F3044" s="4" t="s">
        <v>1612</v>
      </c>
      <c r="G3044" s="4" t="s">
        <v>2485</v>
      </c>
      <c r="H3044" s="4" t="s">
        <v>2486</v>
      </c>
      <c r="I3044" s="4" t="s">
        <v>2487</v>
      </c>
      <c r="J3044" s="8" t="n">
        <v>0.625</v>
      </c>
      <c r="K3044" s="4"/>
      <c r="L3044" s="4" t="s">
        <v>2488</v>
      </c>
      <c r="M3044" s="4" t="s">
        <v>2489</v>
      </c>
      <c r="N3044" s="4" t="s">
        <v>2490</v>
      </c>
      <c r="O3044" s="4" t="s">
        <v>2491</v>
      </c>
      <c r="P3044" s="4" t="s">
        <v>2492</v>
      </c>
      <c r="Q3044" s="2" t="n">
        <v>44677</v>
      </c>
      <c r="S3044" s="0" t="n">
        <f aca="false">YEAR(Q3044)</f>
        <v>2022</v>
      </c>
      <c r="T3044" s="0" t="n">
        <f aca="false">MONTH(Q3044)</f>
        <v>4</v>
      </c>
    </row>
    <row r="3045" customFormat="false" ht="14.25" hidden="false" customHeight="false" outlineLevel="0" collapsed="false">
      <c r="A3045" s="4" t="n">
        <v>3061</v>
      </c>
      <c r="B3045" s="4" t="n">
        <v>25012022</v>
      </c>
      <c r="C3045" s="1" t="s">
        <v>1479</v>
      </c>
      <c r="D3045" s="1" t="s">
        <v>1487</v>
      </c>
      <c r="E3045" s="4" t="s">
        <v>1488</v>
      </c>
      <c r="F3045" s="4" t="s">
        <v>1612</v>
      </c>
      <c r="G3045" s="4" t="s">
        <v>2493</v>
      </c>
      <c r="H3045" s="4" t="s">
        <v>2494</v>
      </c>
      <c r="I3045" s="4" t="s">
        <v>2495</v>
      </c>
      <c r="J3045" s="8" t="n">
        <v>0.673611111111111</v>
      </c>
      <c r="K3045" s="4"/>
      <c r="L3045" s="4" t="s">
        <v>2496</v>
      </c>
      <c r="M3045" s="4" t="s">
        <v>2497</v>
      </c>
      <c r="N3045" s="4" t="s">
        <v>2498</v>
      </c>
      <c r="O3045" s="4" t="s">
        <v>2499</v>
      </c>
      <c r="P3045" s="4" t="s">
        <v>2500</v>
      </c>
      <c r="Q3045" s="2" t="n">
        <v>44677</v>
      </c>
      <c r="S3045" s="0" t="n">
        <f aca="false">YEAR(Q3045)</f>
        <v>2022</v>
      </c>
      <c r="T3045" s="0" t="n">
        <f aca="false">MONTH(Q3045)</f>
        <v>4</v>
      </c>
    </row>
    <row r="3046" customFormat="false" ht="14.25" hidden="false" customHeight="false" outlineLevel="0" collapsed="false">
      <c r="A3046" s="4" t="n">
        <v>3062</v>
      </c>
      <c r="B3046" s="4" t="n">
        <v>25012022</v>
      </c>
      <c r="C3046" s="1" t="s">
        <v>1503</v>
      </c>
      <c r="D3046" s="1" t="s">
        <v>1535</v>
      </c>
      <c r="E3046" s="4" t="s">
        <v>1503</v>
      </c>
      <c r="F3046" s="4" t="s">
        <v>1612</v>
      </c>
      <c r="G3046" s="4" t="s">
        <v>2501</v>
      </c>
      <c r="H3046" s="4" t="s">
        <v>2250</v>
      </c>
      <c r="I3046" s="4" t="s">
        <v>1735</v>
      </c>
      <c r="J3046" s="8" t="n">
        <v>0.819444444444444</v>
      </c>
      <c r="K3046" s="4"/>
      <c r="L3046" s="4" t="s">
        <v>2502</v>
      </c>
      <c r="M3046" s="4" t="s">
        <v>2503</v>
      </c>
      <c r="N3046" s="4" t="s">
        <v>2504</v>
      </c>
      <c r="O3046" s="4" t="s">
        <v>2505</v>
      </c>
      <c r="P3046" s="4" t="s">
        <v>2506</v>
      </c>
      <c r="Q3046" s="2" t="n">
        <v>44678</v>
      </c>
      <c r="S3046" s="0" t="n">
        <f aca="false">YEAR(Q3046)</f>
        <v>2022</v>
      </c>
      <c r="T3046" s="0" t="n">
        <f aca="false">MONTH(Q3046)</f>
        <v>4</v>
      </c>
    </row>
    <row r="3047" customFormat="false" ht="14.25" hidden="false" customHeight="false" outlineLevel="0" collapsed="false">
      <c r="A3047" s="4" t="n">
        <v>3039</v>
      </c>
      <c r="B3047" s="4" t="n">
        <v>25012022</v>
      </c>
      <c r="C3047" s="1" t="s">
        <v>1479</v>
      </c>
      <c r="D3047" s="1" t="s">
        <v>1487</v>
      </c>
      <c r="E3047" s="4" t="s">
        <v>1488</v>
      </c>
      <c r="F3047" s="4" t="s">
        <v>1601</v>
      </c>
      <c r="G3047" s="4" t="s">
        <v>2357</v>
      </c>
      <c r="H3047" s="4" t="s">
        <v>2358</v>
      </c>
      <c r="I3047" s="4" t="s">
        <v>2359</v>
      </c>
      <c r="J3047" s="8" t="n">
        <v>0.386805555555556</v>
      </c>
      <c r="K3047" s="4"/>
      <c r="L3047" s="4"/>
      <c r="M3047" s="4" t="s">
        <v>2360</v>
      </c>
      <c r="N3047" s="4" t="s">
        <v>2361</v>
      </c>
      <c r="O3047" s="4" t="s">
        <v>2362</v>
      </c>
      <c r="P3047" s="4" t="s">
        <v>2363</v>
      </c>
      <c r="Q3047" s="2" t="n">
        <v>44565</v>
      </c>
      <c r="S3047" s="0" t="n">
        <f aca="false">YEAR(Q3047)</f>
        <v>2022</v>
      </c>
      <c r="T3047" s="0" t="n">
        <f aca="false">MONTH(Q3047)</f>
        <v>1</v>
      </c>
    </row>
    <row r="3048" customFormat="false" ht="14.25" hidden="false" customHeight="false" outlineLevel="0" collapsed="false">
      <c r="A3048" s="4" t="n">
        <v>3040</v>
      </c>
      <c r="B3048" s="4" t="n">
        <v>24012022</v>
      </c>
      <c r="C3048" s="4" t="s">
        <v>1495</v>
      </c>
      <c r="D3048" s="4" t="s">
        <v>1535</v>
      </c>
      <c r="E3048" s="4" t="s">
        <v>1732</v>
      </c>
      <c r="F3048" s="4" t="s">
        <v>1612</v>
      </c>
      <c r="G3048" s="4" t="s">
        <v>2364</v>
      </c>
      <c r="H3048" s="4" t="s">
        <v>1734</v>
      </c>
      <c r="I3048" s="4" t="s">
        <v>2365</v>
      </c>
      <c r="J3048" s="8" t="n">
        <v>0.921527777777778</v>
      </c>
      <c r="K3048" s="4"/>
      <c r="L3048" s="4" t="s">
        <v>2366</v>
      </c>
      <c r="M3048" s="4" t="s">
        <v>2367</v>
      </c>
      <c r="N3048" s="4" t="s">
        <v>2368</v>
      </c>
      <c r="O3048" s="4" t="s">
        <v>1654</v>
      </c>
      <c r="P3048" s="4"/>
      <c r="Q3048" s="2" t="n">
        <v>44565</v>
      </c>
      <c r="S3048" s="0" t="n">
        <f aca="false">YEAR(Q3048)</f>
        <v>2022</v>
      </c>
      <c r="T3048" s="0" t="n">
        <f aca="false">MONTH(Q3048)</f>
        <v>1</v>
      </c>
    </row>
    <row r="3049" customFormat="false" ht="14.25" hidden="false" customHeight="false" outlineLevel="0" collapsed="false">
      <c r="A3049" s="4" t="n">
        <v>3041</v>
      </c>
      <c r="B3049" s="4" t="n">
        <v>25012022</v>
      </c>
      <c r="C3049" s="4" t="s">
        <v>1495</v>
      </c>
      <c r="D3049" s="4" t="s">
        <v>1535</v>
      </c>
      <c r="E3049" s="4" t="s">
        <v>1672</v>
      </c>
      <c r="F3049" s="4" t="s">
        <v>1601</v>
      </c>
      <c r="G3049" s="4" t="s">
        <v>1734</v>
      </c>
      <c r="H3049" s="4" t="s">
        <v>1734</v>
      </c>
      <c r="I3049" s="4" t="s">
        <v>1709</v>
      </c>
      <c r="J3049" s="8" t="n">
        <v>0.285416666666667</v>
      </c>
      <c r="K3049" s="4"/>
      <c r="L3049" s="4" t="s">
        <v>2369</v>
      </c>
      <c r="M3049" s="4" t="s">
        <v>2370</v>
      </c>
      <c r="N3049" s="4" t="s">
        <v>2371</v>
      </c>
      <c r="O3049" s="4"/>
      <c r="P3049" s="4" t="s">
        <v>2372</v>
      </c>
      <c r="Q3049" s="2" t="n">
        <v>44662</v>
      </c>
      <c r="S3049" s="0" t="n">
        <f aca="false">YEAR(Q3049)</f>
        <v>2022</v>
      </c>
      <c r="T3049" s="0" t="n">
        <f aca="false">MONTH(Q3049)</f>
        <v>4</v>
      </c>
    </row>
    <row r="3050" customFormat="false" ht="14.25" hidden="false" customHeight="false" outlineLevel="0" collapsed="false">
      <c r="A3050" s="4" t="n">
        <v>3042</v>
      </c>
      <c r="B3050" s="4" t="n">
        <v>25012022</v>
      </c>
      <c r="C3050" s="4" t="s">
        <v>1495</v>
      </c>
      <c r="D3050" s="4" t="s">
        <v>1535</v>
      </c>
      <c r="E3050" s="4" t="s">
        <v>1672</v>
      </c>
      <c r="F3050" s="4" t="s">
        <v>1601</v>
      </c>
      <c r="G3050" s="4" t="s">
        <v>1734</v>
      </c>
      <c r="H3050" s="4" t="s">
        <v>1734</v>
      </c>
      <c r="I3050" s="4" t="s">
        <v>2373</v>
      </c>
      <c r="J3050" s="8" t="n">
        <v>0.285416666666667</v>
      </c>
      <c r="K3050" s="4"/>
      <c r="L3050" s="4"/>
      <c r="M3050" s="4" t="s">
        <v>2374</v>
      </c>
      <c r="N3050" s="4" t="s">
        <v>2375</v>
      </c>
      <c r="O3050" s="4"/>
      <c r="P3050" s="4" t="s">
        <v>2376</v>
      </c>
      <c r="Q3050" s="2" t="n">
        <v>44662</v>
      </c>
      <c r="S3050" s="0" t="n">
        <f aca="false">YEAR(Q3050)</f>
        <v>2022</v>
      </c>
      <c r="T3050" s="0" t="n">
        <f aca="false">MONTH(Q3050)</f>
        <v>4</v>
      </c>
    </row>
    <row r="3051" customFormat="false" ht="14.25" hidden="false" customHeight="false" outlineLevel="0" collapsed="false">
      <c r="A3051" s="4" t="n">
        <v>3043</v>
      </c>
      <c r="B3051" s="4" t="n">
        <v>25012022</v>
      </c>
      <c r="C3051" s="1" t="s">
        <v>1503</v>
      </c>
      <c r="D3051" s="1" t="s">
        <v>1504</v>
      </c>
      <c r="E3051" s="4" t="s">
        <v>1664</v>
      </c>
      <c r="F3051" s="4" t="s">
        <v>1612</v>
      </c>
      <c r="G3051" s="4" t="s">
        <v>2377</v>
      </c>
      <c r="H3051" s="4" t="s">
        <v>2378</v>
      </c>
      <c r="I3051" s="4" t="s">
        <v>2379</v>
      </c>
      <c r="J3051" s="8" t="n">
        <v>0.805555555555555</v>
      </c>
      <c r="K3051" s="4"/>
      <c r="L3051" s="4" t="s">
        <v>2380</v>
      </c>
      <c r="M3051" s="4" t="s">
        <v>2381</v>
      </c>
      <c r="N3051" s="4" t="s">
        <v>2382</v>
      </c>
      <c r="O3051" s="4" t="s">
        <v>2383</v>
      </c>
      <c r="P3051" s="4" t="s">
        <v>2384</v>
      </c>
      <c r="Q3051" s="2" t="n">
        <v>44663</v>
      </c>
      <c r="S3051" s="0" t="n">
        <f aca="false">YEAR(Q3051)</f>
        <v>2022</v>
      </c>
      <c r="T3051" s="0" t="n">
        <f aca="false">MONTH(Q3051)</f>
        <v>4</v>
      </c>
    </row>
    <row r="3052" customFormat="false" ht="14.25" hidden="false" customHeight="false" outlineLevel="0" collapsed="false">
      <c r="A3052" s="4" t="n">
        <v>3044</v>
      </c>
      <c r="B3052" s="4" t="n">
        <v>24012022</v>
      </c>
      <c r="C3052" s="4" t="s">
        <v>1479</v>
      </c>
      <c r="D3052" s="4" t="s">
        <v>1535</v>
      </c>
      <c r="E3052" s="4" t="s">
        <v>1639</v>
      </c>
      <c r="F3052" s="4" t="s">
        <v>1601</v>
      </c>
      <c r="G3052" s="4" t="s">
        <v>2385</v>
      </c>
      <c r="H3052" s="4" t="s">
        <v>1641</v>
      </c>
      <c r="I3052" s="4" t="s">
        <v>2386</v>
      </c>
      <c r="J3052" s="8" t="n">
        <v>0.270138888888889</v>
      </c>
      <c r="K3052" s="4"/>
      <c r="L3052" s="4" t="s">
        <v>2387</v>
      </c>
      <c r="M3052" s="4" t="s">
        <v>2388</v>
      </c>
      <c r="N3052" s="4" t="s">
        <v>2389</v>
      </c>
      <c r="O3052" s="4"/>
      <c r="P3052" s="4" t="s">
        <v>2390</v>
      </c>
      <c r="Q3052" s="2" t="n">
        <v>44664</v>
      </c>
      <c r="S3052" s="0" t="n">
        <f aca="false">YEAR(Q3052)</f>
        <v>2022</v>
      </c>
      <c r="T3052" s="0" t="n">
        <f aca="false">MONTH(Q3052)</f>
        <v>4</v>
      </c>
    </row>
    <row r="3053" customFormat="false" ht="14.25" hidden="false" customHeight="false" outlineLevel="0" collapsed="false">
      <c r="A3053" s="4" t="n">
        <v>3045</v>
      </c>
      <c r="B3053" s="4" t="n">
        <v>25012022</v>
      </c>
      <c r="C3053" s="4" t="s">
        <v>1495</v>
      </c>
      <c r="D3053" s="4" t="s">
        <v>1535</v>
      </c>
      <c r="E3053" s="4" t="s">
        <v>1672</v>
      </c>
      <c r="F3053" s="4" t="s">
        <v>1601</v>
      </c>
      <c r="G3053" s="4" t="s">
        <v>2391</v>
      </c>
      <c r="H3053" s="4" t="s">
        <v>1724</v>
      </c>
      <c r="I3053" s="4" t="s">
        <v>2386</v>
      </c>
      <c r="J3053" s="8" t="n">
        <v>0.261805555555556</v>
      </c>
      <c r="K3053" s="4" t="s">
        <v>2392</v>
      </c>
      <c r="L3053" s="4" t="s">
        <v>2393</v>
      </c>
      <c r="M3053" s="4" t="s">
        <v>2394</v>
      </c>
      <c r="N3053" s="4" t="s">
        <v>2395</v>
      </c>
      <c r="O3053" s="4" t="s">
        <v>2396</v>
      </c>
      <c r="P3053" s="4" t="s">
        <v>2397</v>
      </c>
      <c r="Q3053" s="2" t="n">
        <v>44665</v>
      </c>
      <c r="S3053" s="0" t="n">
        <f aca="false">YEAR(Q3053)</f>
        <v>2022</v>
      </c>
      <c r="T3053" s="0" t="n">
        <f aca="false">MONTH(Q3053)</f>
        <v>4</v>
      </c>
    </row>
    <row r="3054" customFormat="false" ht="14.25" hidden="false" customHeight="false" outlineLevel="0" collapsed="false">
      <c r="A3054" s="4" t="n">
        <v>3046</v>
      </c>
      <c r="B3054" s="4" t="n">
        <v>25012022</v>
      </c>
      <c r="C3054" s="1" t="s">
        <v>1479</v>
      </c>
      <c r="D3054" s="1" t="s">
        <v>1863</v>
      </c>
      <c r="E3054" s="4" t="s">
        <v>1864</v>
      </c>
      <c r="F3054" s="4" t="s">
        <v>1601</v>
      </c>
      <c r="G3054" s="4" t="s">
        <v>2398</v>
      </c>
      <c r="H3054" s="4" t="s">
        <v>2399</v>
      </c>
      <c r="I3054" s="4"/>
      <c r="J3054" s="8" t="n">
        <v>0.265972222222222</v>
      </c>
      <c r="K3054" s="4"/>
      <c r="L3054" s="4"/>
      <c r="M3054" s="4" t="s">
        <v>2400</v>
      </c>
      <c r="N3054" s="4" t="s">
        <v>2401</v>
      </c>
      <c r="O3054" s="4" t="s">
        <v>2402</v>
      </c>
      <c r="P3054" s="4" t="s">
        <v>2403</v>
      </c>
      <c r="Q3054" s="2" t="n">
        <v>44669</v>
      </c>
      <c r="S3054" s="0" t="n">
        <f aca="false">YEAR(Q3054)</f>
        <v>2022</v>
      </c>
      <c r="T3054" s="0" t="n">
        <f aca="false">MONTH(Q3054)</f>
        <v>4</v>
      </c>
    </row>
    <row r="3055" customFormat="false" ht="14.25" hidden="false" customHeight="false" outlineLevel="0" collapsed="false">
      <c r="A3055" s="4" t="n">
        <v>3047</v>
      </c>
      <c r="B3055" s="4" t="n">
        <v>25012022</v>
      </c>
      <c r="C3055" s="1" t="s">
        <v>1479</v>
      </c>
      <c r="D3055" s="1" t="s">
        <v>1487</v>
      </c>
      <c r="E3055" s="4" t="s">
        <v>1488</v>
      </c>
      <c r="F3055" s="4" t="s">
        <v>1601</v>
      </c>
      <c r="G3055" s="4" t="s">
        <v>2404</v>
      </c>
      <c r="H3055" s="4" t="s">
        <v>2405</v>
      </c>
      <c r="I3055" s="4"/>
      <c r="J3055" s="8" t="n">
        <v>0.265972222222222</v>
      </c>
      <c r="K3055" s="4" t="s">
        <v>2406</v>
      </c>
      <c r="L3055" s="4" t="s">
        <v>2407</v>
      </c>
      <c r="M3055" s="4" t="s">
        <v>2408</v>
      </c>
      <c r="N3055" s="4" t="s">
        <v>2401</v>
      </c>
      <c r="O3055" s="4" t="s">
        <v>2402</v>
      </c>
      <c r="P3055" s="4" t="s">
        <v>2409</v>
      </c>
      <c r="Q3055" s="2" t="n">
        <v>44669</v>
      </c>
      <c r="S3055" s="0" t="n">
        <f aca="false">YEAR(Q3055)</f>
        <v>2022</v>
      </c>
      <c r="T3055" s="0" t="n">
        <f aca="false">MONTH(Q3055)</f>
        <v>4</v>
      </c>
    </row>
    <row r="3056" customFormat="false" ht="14.25" hidden="false" customHeight="false" outlineLevel="0" collapsed="false">
      <c r="A3056" s="4" t="n">
        <v>3048</v>
      </c>
      <c r="B3056" s="4" t="n">
        <v>24012022</v>
      </c>
      <c r="C3056" s="4" t="s">
        <v>1479</v>
      </c>
      <c r="D3056" s="4" t="s">
        <v>1535</v>
      </c>
      <c r="E3056" s="4" t="s">
        <v>1639</v>
      </c>
      <c r="F3056" s="4" t="s">
        <v>1601</v>
      </c>
      <c r="G3056" s="4" t="s">
        <v>2404</v>
      </c>
      <c r="H3056" s="4" t="s">
        <v>2410</v>
      </c>
      <c r="I3056" s="4"/>
      <c r="J3056" s="8" t="n">
        <v>0.272222222222222</v>
      </c>
      <c r="K3056" s="4" t="s">
        <v>2411</v>
      </c>
      <c r="L3056" s="4" t="s">
        <v>2412</v>
      </c>
      <c r="M3056" s="4" t="s">
        <v>2400</v>
      </c>
      <c r="N3056" s="4" t="s">
        <v>2401</v>
      </c>
      <c r="O3056" s="4" t="s">
        <v>2402</v>
      </c>
      <c r="P3056" s="4" t="s">
        <v>2403</v>
      </c>
      <c r="Q3056" s="2" t="n">
        <v>44669</v>
      </c>
      <c r="S3056" s="0" t="n">
        <f aca="false">YEAR(Q3056)</f>
        <v>2022</v>
      </c>
      <c r="T3056" s="0" t="n">
        <f aca="false">MONTH(Q3056)</f>
        <v>4</v>
      </c>
    </row>
    <row r="3057" customFormat="false" ht="14.25" hidden="false" customHeight="false" outlineLevel="0" collapsed="false">
      <c r="A3057" s="4" t="n">
        <v>3049</v>
      </c>
      <c r="B3057" s="4" t="n">
        <v>25012022</v>
      </c>
      <c r="C3057" s="1" t="s">
        <v>1479</v>
      </c>
      <c r="D3057" s="1" t="s">
        <v>1487</v>
      </c>
      <c r="E3057" s="4" t="s">
        <v>1488</v>
      </c>
      <c r="F3057" s="4" t="s">
        <v>1612</v>
      </c>
      <c r="G3057" s="4" t="s">
        <v>2413</v>
      </c>
      <c r="H3057" s="4" t="s">
        <v>2414</v>
      </c>
      <c r="I3057" s="4" t="s">
        <v>2415</v>
      </c>
      <c r="J3057" s="8" t="n">
        <v>0.625</v>
      </c>
      <c r="K3057" s="4" t="n">
        <v>0</v>
      </c>
      <c r="L3057" s="4" t="s">
        <v>1651</v>
      </c>
      <c r="M3057" s="4" t="s">
        <v>2416</v>
      </c>
      <c r="N3057" s="4" t="s">
        <v>2417</v>
      </c>
      <c r="O3057" s="4" t="s">
        <v>2418</v>
      </c>
      <c r="P3057" s="4" t="s">
        <v>2419</v>
      </c>
      <c r="Q3057" s="2" t="n">
        <v>44669</v>
      </c>
      <c r="S3057" s="0" t="n">
        <f aca="false">YEAR(Q3057)</f>
        <v>2022</v>
      </c>
      <c r="T3057" s="0" t="n">
        <f aca="false">MONTH(Q3057)</f>
        <v>4</v>
      </c>
    </row>
    <row r="3058" customFormat="false" ht="14.25" hidden="false" customHeight="false" outlineLevel="0" collapsed="false">
      <c r="A3058" s="4" t="n">
        <v>3050</v>
      </c>
      <c r="B3058" s="4" t="n">
        <v>25012022</v>
      </c>
      <c r="C3058" s="1" t="s">
        <v>1503</v>
      </c>
      <c r="D3058" s="4" t="s">
        <v>1535</v>
      </c>
      <c r="E3058" s="4" t="s">
        <v>2420</v>
      </c>
      <c r="F3058" s="4" t="s">
        <v>1601</v>
      </c>
      <c r="G3058" s="4" t="s">
        <v>2421</v>
      </c>
      <c r="H3058" s="4" t="s">
        <v>2422</v>
      </c>
      <c r="I3058" s="4" t="s">
        <v>2423</v>
      </c>
      <c r="J3058" s="8" t="n">
        <v>0.520833333333333</v>
      </c>
      <c r="K3058" s="4"/>
      <c r="L3058" s="4" t="s">
        <v>2424</v>
      </c>
      <c r="M3058" s="4" t="s">
        <v>2425</v>
      </c>
      <c r="N3058" s="4" t="s">
        <v>2426</v>
      </c>
      <c r="O3058" s="4"/>
      <c r="P3058" s="4" t="s">
        <v>2427</v>
      </c>
      <c r="Q3058" s="2" t="n">
        <v>44670</v>
      </c>
      <c r="S3058" s="0" t="n">
        <f aca="false">YEAR(Q3058)</f>
        <v>2022</v>
      </c>
      <c r="T3058" s="0" t="n">
        <f aca="false">MONTH(Q3058)</f>
        <v>4</v>
      </c>
    </row>
    <row r="3059" customFormat="false" ht="14.25" hidden="false" customHeight="false" outlineLevel="0" collapsed="false">
      <c r="A3059" s="4" t="n">
        <v>3051</v>
      </c>
      <c r="B3059" s="4" t="n">
        <v>25012022</v>
      </c>
      <c r="C3059" s="1" t="s">
        <v>1495</v>
      </c>
      <c r="D3059" s="1" t="s">
        <v>1496</v>
      </c>
      <c r="E3059" s="4" t="s">
        <v>1619</v>
      </c>
      <c r="F3059" s="4" t="s">
        <v>1601</v>
      </c>
      <c r="G3059" s="4" t="s">
        <v>2428</v>
      </c>
      <c r="H3059" s="4" t="s">
        <v>1808</v>
      </c>
      <c r="I3059" s="4" t="s">
        <v>2429</v>
      </c>
      <c r="J3059" s="8" t="n">
        <v>0.252777777777778</v>
      </c>
      <c r="K3059" s="4"/>
      <c r="L3059" s="4" t="s">
        <v>2430</v>
      </c>
      <c r="M3059" s="4" t="s">
        <v>2431</v>
      </c>
      <c r="N3059" s="4" t="s">
        <v>2432</v>
      </c>
      <c r="O3059" s="4" t="s">
        <v>2433</v>
      </c>
      <c r="P3059" s="4" t="s">
        <v>2434</v>
      </c>
      <c r="Q3059" s="2" t="n">
        <v>44671</v>
      </c>
      <c r="S3059" s="0" t="n">
        <f aca="false">YEAR(Q3059)</f>
        <v>2022</v>
      </c>
      <c r="T3059" s="0" t="n">
        <f aca="false">MONTH(Q3059)</f>
        <v>4</v>
      </c>
    </row>
    <row r="3060" customFormat="false" ht="14.25" hidden="false" customHeight="false" outlineLevel="0" collapsed="false">
      <c r="A3060" s="4" t="n">
        <v>3052</v>
      </c>
      <c r="B3060" s="4" t="n">
        <v>24012022</v>
      </c>
      <c r="C3060" s="1" t="s">
        <v>1495</v>
      </c>
      <c r="D3060" s="1" t="s">
        <v>1487</v>
      </c>
      <c r="E3060" s="4" t="s">
        <v>1656</v>
      </c>
      <c r="F3060" s="4" t="s">
        <v>1601</v>
      </c>
      <c r="G3060" s="4" t="s">
        <v>2435</v>
      </c>
      <c r="H3060" s="4" t="s">
        <v>2436</v>
      </c>
      <c r="I3060" s="4" t="s">
        <v>1867</v>
      </c>
      <c r="J3060" s="8" t="n">
        <v>0.265972222222222</v>
      </c>
      <c r="K3060" s="4"/>
      <c r="L3060" s="4" t="s">
        <v>2437</v>
      </c>
      <c r="M3060" s="4" t="s">
        <v>2438</v>
      </c>
      <c r="N3060" s="4" t="s">
        <v>2439</v>
      </c>
      <c r="O3060" s="4" t="s">
        <v>2440</v>
      </c>
      <c r="P3060" s="4" t="s">
        <v>2441</v>
      </c>
      <c r="Q3060" s="2" t="n">
        <v>44673</v>
      </c>
      <c r="S3060" s="0" t="n">
        <f aca="false">YEAR(Q3060)</f>
        <v>2022</v>
      </c>
      <c r="T3060" s="0" t="n">
        <f aca="false">MONTH(Q3060)</f>
        <v>4</v>
      </c>
    </row>
    <row r="3061" customFormat="false" ht="14.25" hidden="false" customHeight="false" outlineLevel="0" collapsed="false">
      <c r="A3061" s="4" t="n">
        <v>3053</v>
      </c>
      <c r="B3061" s="4" t="n">
        <v>25012022</v>
      </c>
      <c r="C3061" s="4" t="s">
        <v>1479</v>
      </c>
      <c r="D3061" s="4" t="s">
        <v>1535</v>
      </c>
      <c r="E3061" s="4" t="s">
        <v>1639</v>
      </c>
      <c r="F3061" s="4" t="s">
        <v>1601</v>
      </c>
      <c r="G3061" s="4" t="s">
        <v>2442</v>
      </c>
      <c r="H3061" s="4" t="s">
        <v>2322</v>
      </c>
      <c r="I3061" s="4"/>
      <c r="J3061" s="8" t="n">
        <v>0.276388888888889</v>
      </c>
      <c r="K3061" s="4"/>
      <c r="L3061" s="4"/>
      <c r="M3061" s="4" t="s">
        <v>2443</v>
      </c>
      <c r="N3061" s="4" t="s">
        <v>2439</v>
      </c>
      <c r="O3061" s="4" t="s">
        <v>2440</v>
      </c>
      <c r="P3061" s="4" t="s">
        <v>2441</v>
      </c>
      <c r="Q3061" s="2" t="n">
        <v>44673</v>
      </c>
      <c r="S3061" s="0" t="n">
        <f aca="false">YEAR(Q3061)</f>
        <v>2022</v>
      </c>
      <c r="T3061" s="0" t="n">
        <f aca="false">MONTH(Q3061)</f>
        <v>4</v>
      </c>
    </row>
    <row r="3062" customFormat="false" ht="14.25" hidden="false" customHeight="false" outlineLevel="0" collapsed="false">
      <c r="A3062" s="4" t="n">
        <v>3054</v>
      </c>
      <c r="B3062" s="4" t="n">
        <v>25012022</v>
      </c>
      <c r="C3062" s="1" t="s">
        <v>1479</v>
      </c>
      <c r="D3062" s="1" t="s">
        <v>1863</v>
      </c>
      <c r="E3062" s="4" t="s">
        <v>1864</v>
      </c>
      <c r="F3062" s="4" t="s">
        <v>1601</v>
      </c>
      <c r="G3062" s="4" t="s">
        <v>2444</v>
      </c>
      <c r="H3062" s="4" t="s">
        <v>2445</v>
      </c>
      <c r="I3062" s="4"/>
      <c r="J3062" s="4"/>
      <c r="K3062" s="4"/>
      <c r="L3062" s="4"/>
      <c r="M3062" s="4" t="s">
        <v>2446</v>
      </c>
      <c r="N3062" s="4" t="s">
        <v>2447</v>
      </c>
      <c r="O3062" s="4"/>
      <c r="P3062" s="4" t="s">
        <v>2448</v>
      </c>
      <c r="Q3062" s="2" t="n">
        <v>44673</v>
      </c>
      <c r="S3062" s="0" t="n">
        <f aca="false">YEAR(Q3062)</f>
        <v>2022</v>
      </c>
      <c r="T3062" s="0" t="n">
        <f aca="false">MONTH(Q3062)</f>
        <v>4</v>
      </c>
    </row>
    <row r="3063" customFormat="false" ht="14.25" hidden="false" customHeight="false" outlineLevel="0" collapsed="false">
      <c r="A3063" s="4" t="n">
        <v>3055</v>
      </c>
      <c r="B3063" s="4" t="n">
        <v>25012022</v>
      </c>
      <c r="C3063" s="1" t="s">
        <v>1503</v>
      </c>
      <c r="D3063" s="1" t="s">
        <v>1535</v>
      </c>
      <c r="E3063" s="4" t="s">
        <v>1503</v>
      </c>
      <c r="F3063" s="4" t="s">
        <v>1612</v>
      </c>
      <c r="G3063" s="4" t="s">
        <v>2449</v>
      </c>
      <c r="H3063" s="4" t="s">
        <v>2450</v>
      </c>
      <c r="I3063" s="4" t="s">
        <v>2451</v>
      </c>
      <c r="J3063" s="8" t="n">
        <v>0.659722222222222</v>
      </c>
      <c r="K3063" s="4"/>
      <c r="L3063" s="4" t="s">
        <v>1869</v>
      </c>
      <c r="M3063" s="4" t="s">
        <v>2452</v>
      </c>
      <c r="N3063" s="4" t="s">
        <v>2453</v>
      </c>
      <c r="O3063" s="4" t="s">
        <v>2454</v>
      </c>
      <c r="P3063" s="4" t="s">
        <v>2455</v>
      </c>
      <c r="Q3063" s="2" t="n">
        <v>44673</v>
      </c>
      <c r="S3063" s="0" t="n">
        <f aca="false">YEAR(Q3063)</f>
        <v>2022</v>
      </c>
      <c r="T3063" s="0" t="n">
        <f aca="false">MONTH(Q3063)</f>
        <v>4</v>
      </c>
    </row>
    <row r="3064" customFormat="false" ht="14.25" hidden="false" customHeight="false" outlineLevel="0" collapsed="false">
      <c r="A3064" s="4" t="n">
        <v>3056</v>
      </c>
      <c r="B3064" s="4" t="n">
        <v>24012022</v>
      </c>
      <c r="C3064" s="1" t="s">
        <v>1495</v>
      </c>
      <c r="D3064" s="1" t="s">
        <v>1487</v>
      </c>
      <c r="E3064" s="4" t="s">
        <v>1656</v>
      </c>
      <c r="F3064" s="4" t="s">
        <v>1612</v>
      </c>
      <c r="G3064" s="4" t="s">
        <v>2456</v>
      </c>
      <c r="H3064" s="4" t="s">
        <v>2457</v>
      </c>
      <c r="I3064" s="4" t="s">
        <v>2458</v>
      </c>
      <c r="J3064" s="8" t="n">
        <v>0.729166666666667</v>
      </c>
      <c r="K3064" s="4"/>
      <c r="L3064" s="4" t="s">
        <v>2459</v>
      </c>
      <c r="M3064" s="4" t="s">
        <v>1819</v>
      </c>
      <c r="N3064" s="4" t="s">
        <v>2460</v>
      </c>
      <c r="O3064" s="4" t="s">
        <v>2461</v>
      </c>
      <c r="P3064" s="4" t="s">
        <v>2462</v>
      </c>
      <c r="Q3064" s="2" t="n">
        <v>44674</v>
      </c>
      <c r="S3064" s="0" t="n">
        <f aca="false">YEAR(Q3064)</f>
        <v>2022</v>
      </c>
      <c r="T3064" s="0" t="n">
        <f aca="false">MONTH(Q3064)</f>
        <v>4</v>
      </c>
    </row>
    <row r="3065" customFormat="false" ht="14.25" hidden="false" customHeight="false" outlineLevel="0" collapsed="false">
      <c r="A3065" s="4" t="n">
        <v>3057</v>
      </c>
      <c r="B3065" s="4" t="n">
        <v>25012022</v>
      </c>
      <c r="C3065" s="4" t="s">
        <v>1495</v>
      </c>
      <c r="D3065" s="4" t="s">
        <v>1535</v>
      </c>
      <c r="E3065" s="4" t="s">
        <v>1672</v>
      </c>
      <c r="F3065" s="4" t="s">
        <v>1612</v>
      </c>
      <c r="G3065" s="4" t="s">
        <v>2463</v>
      </c>
      <c r="H3065" s="4" t="s">
        <v>2464</v>
      </c>
      <c r="I3065" s="4" t="s">
        <v>2336</v>
      </c>
      <c r="J3065" s="8" t="n">
        <v>0.875</v>
      </c>
      <c r="K3065" s="4" t="n">
        <v>0</v>
      </c>
      <c r="L3065" s="4" t="s">
        <v>2465</v>
      </c>
      <c r="M3065" s="4" t="s">
        <v>2466</v>
      </c>
      <c r="N3065" s="4" t="s">
        <v>2467</v>
      </c>
      <c r="O3065" s="4" t="s">
        <v>2468</v>
      </c>
      <c r="P3065" s="4" t="s">
        <v>2469</v>
      </c>
      <c r="Q3065" s="2" t="n">
        <v>44676</v>
      </c>
      <c r="S3065" s="0" t="n">
        <f aca="false">YEAR(Q3065)</f>
        <v>2022</v>
      </c>
      <c r="T3065" s="0" t="n">
        <f aca="false">MONTH(Q3065)</f>
        <v>4</v>
      </c>
    </row>
    <row r="3066" customFormat="false" ht="14.25" hidden="false" customHeight="false" outlineLevel="0" collapsed="false">
      <c r="A3066" s="4" t="n">
        <v>3058</v>
      </c>
      <c r="B3066" s="4" t="n">
        <v>25012022</v>
      </c>
      <c r="C3066" s="1" t="s">
        <v>1479</v>
      </c>
      <c r="D3066" s="1" t="s">
        <v>1487</v>
      </c>
      <c r="E3066" s="4" t="s">
        <v>1488</v>
      </c>
      <c r="F3066" s="4" t="s">
        <v>1601</v>
      </c>
      <c r="G3066" s="4" t="s">
        <v>2470</v>
      </c>
      <c r="H3066" s="4" t="s">
        <v>2471</v>
      </c>
      <c r="I3066" s="4" t="s">
        <v>2472</v>
      </c>
      <c r="J3066" s="8" t="n">
        <v>0.369444444444444</v>
      </c>
      <c r="K3066" s="4" t="s">
        <v>2473</v>
      </c>
      <c r="L3066" s="4" t="s">
        <v>2474</v>
      </c>
      <c r="M3066" s="4" t="s">
        <v>2475</v>
      </c>
      <c r="N3066" s="4" t="s">
        <v>2476</v>
      </c>
      <c r="O3066" s="4" t="s">
        <v>2477</v>
      </c>
      <c r="P3066" s="4" t="s">
        <v>2478</v>
      </c>
      <c r="Q3066" s="2" t="n">
        <v>44677</v>
      </c>
      <c r="S3066" s="0" t="n">
        <f aca="false">YEAR(Q3066)</f>
        <v>2022</v>
      </c>
      <c r="T3066" s="0" t="n">
        <f aca="false">MONTH(Q3066)</f>
        <v>4</v>
      </c>
    </row>
    <row r="3067" customFormat="false" ht="14.25" hidden="false" customHeight="false" outlineLevel="0" collapsed="false">
      <c r="A3067" s="4" t="n">
        <v>3059</v>
      </c>
      <c r="B3067" s="4" t="n">
        <v>25012022</v>
      </c>
      <c r="C3067" s="1" t="s">
        <v>1479</v>
      </c>
      <c r="D3067" s="1" t="s">
        <v>1496</v>
      </c>
      <c r="E3067" s="4" t="s">
        <v>1680</v>
      </c>
      <c r="F3067" s="4" t="s">
        <v>1601</v>
      </c>
      <c r="G3067" s="4" t="s">
        <v>2479</v>
      </c>
      <c r="H3067" s="4" t="s">
        <v>2480</v>
      </c>
      <c r="I3067" s="4"/>
      <c r="J3067" s="8" t="n">
        <v>0.490972222222222</v>
      </c>
      <c r="K3067" s="4"/>
      <c r="L3067" s="4"/>
      <c r="M3067" s="4" t="s">
        <v>2481</v>
      </c>
      <c r="N3067" s="4" t="s">
        <v>2482</v>
      </c>
      <c r="O3067" s="4" t="s">
        <v>2483</v>
      </c>
      <c r="P3067" s="4" t="s">
        <v>2484</v>
      </c>
      <c r="Q3067" s="2" t="n">
        <v>44677</v>
      </c>
      <c r="S3067" s="0" t="n">
        <f aca="false">YEAR(Q3067)</f>
        <v>2022</v>
      </c>
      <c r="T3067" s="0" t="n">
        <f aca="false">MONTH(Q3067)</f>
        <v>4</v>
      </c>
    </row>
    <row r="3068" customFormat="false" ht="14.25" hidden="false" customHeight="false" outlineLevel="0" collapsed="false">
      <c r="A3068" s="4" t="n">
        <v>3060</v>
      </c>
      <c r="B3068" s="4" t="n">
        <v>24012022</v>
      </c>
      <c r="C3068" s="4" t="s">
        <v>1495</v>
      </c>
      <c r="D3068" s="4" t="s">
        <v>1535</v>
      </c>
      <c r="E3068" s="4" t="s">
        <v>1672</v>
      </c>
      <c r="F3068" s="4" t="s">
        <v>1612</v>
      </c>
      <c r="G3068" s="4" t="s">
        <v>2485</v>
      </c>
      <c r="H3068" s="4" t="s">
        <v>2486</v>
      </c>
      <c r="I3068" s="4" t="s">
        <v>2487</v>
      </c>
      <c r="J3068" s="8" t="n">
        <v>0.625</v>
      </c>
      <c r="K3068" s="4"/>
      <c r="L3068" s="4" t="s">
        <v>2488</v>
      </c>
      <c r="M3068" s="4" t="s">
        <v>2489</v>
      </c>
      <c r="N3068" s="4" t="s">
        <v>2490</v>
      </c>
      <c r="O3068" s="4" t="s">
        <v>2491</v>
      </c>
      <c r="P3068" s="4" t="s">
        <v>2492</v>
      </c>
      <c r="Q3068" s="2" t="n">
        <v>44677</v>
      </c>
      <c r="S3068" s="0" t="n">
        <f aca="false">YEAR(Q3068)</f>
        <v>2022</v>
      </c>
      <c r="T3068" s="0" t="n">
        <f aca="false">MONTH(Q3068)</f>
        <v>4</v>
      </c>
    </row>
    <row r="3069" customFormat="false" ht="14.25" hidden="false" customHeight="false" outlineLevel="0" collapsed="false">
      <c r="A3069" s="4" t="n">
        <v>3060</v>
      </c>
      <c r="B3069" s="4" t="n">
        <v>25012022</v>
      </c>
      <c r="C3069" s="1" t="s">
        <v>1479</v>
      </c>
      <c r="D3069" s="1" t="s">
        <v>1487</v>
      </c>
      <c r="E3069" s="4" t="s">
        <v>1488</v>
      </c>
      <c r="F3069" s="4" t="s">
        <v>1612</v>
      </c>
      <c r="G3069" s="4" t="s">
        <v>2493</v>
      </c>
      <c r="H3069" s="4" t="s">
        <v>2494</v>
      </c>
      <c r="I3069" s="4" t="s">
        <v>2495</v>
      </c>
      <c r="J3069" s="8" t="n">
        <v>0.673611111111111</v>
      </c>
      <c r="K3069" s="4"/>
      <c r="L3069" s="4" t="s">
        <v>2496</v>
      </c>
      <c r="M3069" s="4" t="s">
        <v>2497</v>
      </c>
      <c r="N3069" s="4" t="s">
        <v>2498</v>
      </c>
      <c r="O3069" s="4" t="s">
        <v>2499</v>
      </c>
      <c r="P3069" s="4" t="s">
        <v>2500</v>
      </c>
      <c r="Q3069" s="2" t="n">
        <v>44677</v>
      </c>
      <c r="S3069" s="0" t="n">
        <f aca="false">YEAR(Q3069)</f>
        <v>2022</v>
      </c>
      <c r="T3069" s="0" t="n">
        <f aca="false">MONTH(Q3069)</f>
        <v>4</v>
      </c>
    </row>
    <row r="3070" customFormat="false" ht="14.25" hidden="false" customHeight="false" outlineLevel="0" collapsed="false">
      <c r="A3070" s="4" t="n">
        <v>3060</v>
      </c>
      <c r="B3070" s="4" t="n">
        <v>25012022</v>
      </c>
      <c r="C3070" s="1" t="s">
        <v>1503</v>
      </c>
      <c r="D3070" s="1" t="s">
        <v>1535</v>
      </c>
      <c r="E3070" s="4" t="s">
        <v>1503</v>
      </c>
      <c r="F3070" s="4" t="s">
        <v>1612</v>
      </c>
      <c r="G3070" s="4" t="s">
        <v>2501</v>
      </c>
      <c r="H3070" s="4" t="s">
        <v>2250</v>
      </c>
      <c r="I3070" s="4" t="s">
        <v>1735</v>
      </c>
      <c r="J3070" s="8" t="n">
        <v>0.819444444444444</v>
      </c>
      <c r="K3070" s="4"/>
      <c r="L3070" s="4" t="s">
        <v>2502</v>
      </c>
      <c r="M3070" s="4" t="s">
        <v>2503</v>
      </c>
      <c r="N3070" s="4" t="s">
        <v>2504</v>
      </c>
      <c r="O3070" s="4" t="s">
        <v>2505</v>
      </c>
      <c r="P3070" s="4" t="s">
        <v>2506</v>
      </c>
      <c r="Q3070" s="2" t="n">
        <v>44678</v>
      </c>
      <c r="S3070" s="0" t="n">
        <f aca="false">YEAR(Q3070)</f>
        <v>2022</v>
      </c>
      <c r="T3070" s="0" t="n">
        <f aca="false">MONTH(Q3070)</f>
        <v>4</v>
      </c>
    </row>
    <row r="3071" customFormat="false" ht="14.25" hidden="false" customHeight="false" outlineLevel="0" collapsed="false">
      <c r="A3071" s="4" t="n">
        <v>3060</v>
      </c>
      <c r="B3071" s="4" t="n">
        <v>25012022</v>
      </c>
      <c r="C3071" s="1" t="s">
        <v>1479</v>
      </c>
      <c r="D3071" s="1" t="s">
        <v>1496</v>
      </c>
      <c r="E3071" s="0" t="s">
        <v>1680</v>
      </c>
      <c r="F3071" s="4" t="s">
        <v>1601</v>
      </c>
      <c r="G3071" s="0" t="s">
        <v>2507</v>
      </c>
      <c r="H3071" s="0" t="s">
        <v>2508</v>
      </c>
      <c r="I3071" s="6" t="n">
        <v>0.236111111111111</v>
      </c>
      <c r="J3071" s="6" t="n">
        <v>0.236111111111111</v>
      </c>
      <c r="L3071" s="0" t="n">
        <v>140</v>
      </c>
      <c r="M3071" s="9" t="s">
        <v>2509</v>
      </c>
      <c r="N3071" s="10" t="s">
        <v>2510</v>
      </c>
      <c r="O3071" s="9" t="s">
        <v>2511</v>
      </c>
      <c r="P3071" s="9" t="s">
        <v>2512</v>
      </c>
      <c r="Q3071" s="2" t="n">
        <v>44679</v>
      </c>
      <c r="S3071" s="0" t="n">
        <f aca="false">YEAR(Q3071)</f>
        <v>2022</v>
      </c>
      <c r="T3071" s="0" t="n">
        <f aca="false">MONTH(Q3071)</f>
        <v>4</v>
      </c>
    </row>
    <row r="3072" customFormat="false" ht="14.25" hidden="false" customHeight="false" outlineLevel="0" collapsed="false">
      <c r="A3072" s="4" t="n">
        <v>3060</v>
      </c>
      <c r="B3072" s="4" t="n">
        <v>25012022</v>
      </c>
      <c r="C3072" s="1" t="s">
        <v>1479</v>
      </c>
      <c r="D3072" s="1" t="s">
        <v>1487</v>
      </c>
      <c r="E3072" s="4" t="s">
        <v>1488</v>
      </c>
      <c r="F3072" s="4" t="s">
        <v>1612</v>
      </c>
      <c r="G3072" s="9" t="s">
        <v>2513</v>
      </c>
      <c r="H3072" s="0" t="s">
        <v>2514</v>
      </c>
      <c r="I3072" s="6" t="n">
        <v>0.533333333333333</v>
      </c>
      <c r="J3072" s="6" t="n">
        <v>0.724305555555556</v>
      </c>
      <c r="M3072" s="9" t="s">
        <v>2515</v>
      </c>
      <c r="N3072" s="9" t="s">
        <v>2516</v>
      </c>
      <c r="P3072" s="9" t="s">
        <v>2517</v>
      </c>
      <c r="Q3072" s="2" t="n">
        <v>44679</v>
      </c>
      <c r="S3072" s="0" t="n">
        <f aca="false">YEAR(Q3072)</f>
        <v>2022</v>
      </c>
      <c r="T3072" s="0" t="n">
        <f aca="false">MONTH(Q3072)</f>
        <v>4</v>
      </c>
    </row>
    <row r="3073" customFormat="false" ht="14.25" hidden="false" customHeight="false" outlineLevel="0" collapsed="false">
      <c r="A3073" s="4" t="n">
        <v>3060</v>
      </c>
      <c r="B3073" s="4" t="n">
        <v>25012022</v>
      </c>
      <c r="C3073" s="1" t="s">
        <v>1479</v>
      </c>
      <c r="D3073" s="1" t="s">
        <v>1487</v>
      </c>
      <c r="E3073" s="4" t="s">
        <v>1488</v>
      </c>
      <c r="F3073" s="4" t="s">
        <v>1601</v>
      </c>
      <c r="G3073" s="9" t="s">
        <v>2513</v>
      </c>
      <c r="H3073" s="0" t="s">
        <v>2514</v>
      </c>
      <c r="I3073" s="0" t="s">
        <v>2518</v>
      </c>
      <c r="J3073" s="6" t="n">
        <v>0.327083333333333</v>
      </c>
      <c r="K3073" s="0" t="n">
        <v>22</v>
      </c>
      <c r="L3073" s="0" t="s">
        <v>2519</v>
      </c>
      <c r="M3073" s="9" t="s">
        <v>2520</v>
      </c>
      <c r="N3073" s="9" t="s">
        <v>2520</v>
      </c>
      <c r="O3073" s="9" t="s">
        <v>2521</v>
      </c>
      <c r="P3073" s="9" t="s">
        <v>2522</v>
      </c>
      <c r="Q3073" s="2" t="n">
        <v>44680</v>
      </c>
      <c r="S3073" s="0" t="n">
        <f aca="false">YEAR(Q3073)</f>
        <v>2022</v>
      </c>
      <c r="T3073" s="0" t="n">
        <f aca="false">MONTH(Q3073)</f>
        <v>4</v>
      </c>
    </row>
    <row r="3074" customFormat="false" ht="14.25" hidden="false" customHeight="false" outlineLevel="0" collapsed="false">
      <c r="A3074" s="4" t="n">
        <v>3060</v>
      </c>
      <c r="B3074" s="4" t="n">
        <v>25012022</v>
      </c>
      <c r="C3074" s="1" t="s">
        <v>1479</v>
      </c>
      <c r="D3074" s="1" t="s">
        <v>1496</v>
      </c>
      <c r="E3074" s="0" t="s">
        <v>1873</v>
      </c>
      <c r="F3074" s="4" t="s">
        <v>1601</v>
      </c>
      <c r="G3074" s="0" t="s">
        <v>2523</v>
      </c>
      <c r="H3074" s="0" t="s">
        <v>2524</v>
      </c>
      <c r="J3074" s="6" t="n">
        <v>0.380555555555556</v>
      </c>
      <c r="K3074" s="0" t="n">
        <v>0</v>
      </c>
      <c r="L3074" s="0" t="n">
        <v>0</v>
      </c>
      <c r="M3074" s="9" t="s">
        <v>2525</v>
      </c>
      <c r="N3074" s="9" t="s">
        <v>2526</v>
      </c>
      <c r="O3074" s="0" t="s">
        <v>2527</v>
      </c>
      <c r="P3074" s="9" t="s">
        <v>2528</v>
      </c>
      <c r="Q3074" s="2" t="n">
        <v>44680</v>
      </c>
      <c r="S3074" s="0" t="n">
        <f aca="false">YEAR(Q3074)</f>
        <v>2022</v>
      </c>
      <c r="T3074" s="0" t="n">
        <f aca="false">MONTH(Q3074)</f>
        <v>4</v>
      </c>
    </row>
    <row r="3075" customFormat="false" ht="14.25" hidden="false" customHeight="false" outlineLevel="0" collapsed="false">
      <c r="A3075" s="4" t="n">
        <v>3060</v>
      </c>
      <c r="C3075" s="4" t="s">
        <v>1495</v>
      </c>
      <c r="D3075" s="4" t="s">
        <v>1487</v>
      </c>
      <c r="E3075" s="1" t="s">
        <v>1712</v>
      </c>
      <c r="F3075" s="1" t="s">
        <v>2529</v>
      </c>
      <c r="G3075" s="1"/>
      <c r="H3075" s="1" t="s">
        <v>2530</v>
      </c>
      <c r="I3075" s="1" t="s">
        <v>2531</v>
      </c>
      <c r="J3075" s="1" t="s">
        <v>2532</v>
      </c>
      <c r="K3075" s="1" t="s">
        <v>2533</v>
      </c>
      <c r="L3075" s="1" t="s">
        <v>2534</v>
      </c>
      <c r="M3075" s="1" t="s">
        <v>2535</v>
      </c>
      <c r="N3075" s="1" t="s">
        <v>2536</v>
      </c>
      <c r="O3075" s="1"/>
      <c r="P3075" s="1" t="s">
        <v>2537</v>
      </c>
      <c r="Q3075" s="2" t="n">
        <v>44597</v>
      </c>
      <c r="S3075" s="0" t="n">
        <f aca="false">YEAR(Q3075)</f>
        <v>2022</v>
      </c>
      <c r="T3075" s="0" t="n">
        <f aca="false">MONTH(Q3075)</f>
        <v>2</v>
      </c>
    </row>
    <row r="3076" customFormat="false" ht="14.25" hidden="false" customHeight="false" outlineLevel="0" collapsed="false">
      <c r="A3076" s="4" t="n">
        <v>3060</v>
      </c>
      <c r="C3076" s="4" t="s">
        <v>1495</v>
      </c>
      <c r="D3076" s="4" t="s">
        <v>1487</v>
      </c>
      <c r="E3076" s="1" t="s">
        <v>1712</v>
      </c>
      <c r="F3076" s="1" t="s">
        <v>2538</v>
      </c>
      <c r="G3076" s="1" t="s">
        <v>2539</v>
      </c>
      <c r="H3076" s="1" t="s">
        <v>2540</v>
      </c>
      <c r="I3076" s="1" t="s">
        <v>2138</v>
      </c>
      <c r="J3076" s="1" t="s">
        <v>2495</v>
      </c>
      <c r="K3076" s="1" t="s">
        <v>2541</v>
      </c>
      <c r="L3076" s="1" t="s">
        <v>2542</v>
      </c>
      <c r="M3076" s="1" t="s">
        <v>2543</v>
      </c>
      <c r="N3076" s="1" t="s">
        <v>2544</v>
      </c>
      <c r="O3076" s="1" t="s">
        <v>2545</v>
      </c>
      <c r="P3076" s="1" t="s">
        <v>2546</v>
      </c>
      <c r="Q3076" s="2" t="n">
        <v>44683</v>
      </c>
      <c r="S3076" s="0" t="n">
        <f aca="false">YEAR(Q3076)</f>
        <v>2022</v>
      </c>
      <c r="T3076" s="0" t="n">
        <f aca="false">MONTH(Q3076)</f>
        <v>5</v>
      </c>
    </row>
    <row r="3077" customFormat="false" ht="14.25" hidden="false" customHeight="false" outlineLevel="0" collapsed="false">
      <c r="A3077" s="4" t="n">
        <v>3060</v>
      </c>
      <c r="C3077" s="1" t="s">
        <v>1479</v>
      </c>
      <c r="D3077" s="1" t="s">
        <v>1487</v>
      </c>
      <c r="E3077" s="4" t="s">
        <v>1488</v>
      </c>
      <c r="F3077" s="1" t="s">
        <v>2538</v>
      </c>
      <c r="G3077" s="1" t="s">
        <v>2547</v>
      </c>
      <c r="H3077" s="1" t="s">
        <v>2548</v>
      </c>
      <c r="I3077" s="1" t="s">
        <v>2487</v>
      </c>
      <c r="J3077" s="1" t="s">
        <v>1614</v>
      </c>
      <c r="K3077" s="1" t="s">
        <v>2549</v>
      </c>
      <c r="L3077" s="1" t="s">
        <v>2550</v>
      </c>
      <c r="M3077" s="1" t="s">
        <v>2551</v>
      </c>
      <c r="N3077" s="1" t="s">
        <v>2552</v>
      </c>
      <c r="O3077" s="1" t="s">
        <v>2553</v>
      </c>
      <c r="P3077" s="1" t="s">
        <v>2554</v>
      </c>
      <c r="Q3077" s="2" t="n">
        <v>44685</v>
      </c>
      <c r="S3077" s="0" t="n">
        <f aca="false">YEAR(Q3077)</f>
        <v>2022</v>
      </c>
      <c r="T3077" s="0" t="n">
        <f aca="false">MONTH(Q3077)</f>
        <v>5</v>
      </c>
    </row>
    <row r="3078" customFormat="false" ht="14.25" hidden="false" customHeight="false" outlineLevel="0" collapsed="false">
      <c r="A3078" s="4" t="n">
        <v>3060</v>
      </c>
      <c r="C3078" s="4" t="s">
        <v>1495</v>
      </c>
      <c r="D3078" s="4" t="s">
        <v>1487</v>
      </c>
      <c r="E3078" s="1" t="s">
        <v>1712</v>
      </c>
      <c r="F3078" s="1" t="s">
        <v>2538</v>
      </c>
      <c r="G3078" s="1" t="s">
        <v>2555</v>
      </c>
      <c r="H3078" s="1" t="s">
        <v>2556</v>
      </c>
      <c r="I3078" s="1" t="s">
        <v>1939</v>
      </c>
      <c r="J3078" s="1" t="s">
        <v>2557</v>
      </c>
      <c r="K3078" s="1"/>
      <c r="L3078" s="1" t="s">
        <v>2558</v>
      </c>
      <c r="M3078" s="1" t="s">
        <v>2559</v>
      </c>
      <c r="N3078" s="1" t="s">
        <v>2560</v>
      </c>
      <c r="O3078" s="1" t="s">
        <v>2561</v>
      </c>
      <c r="P3078" s="1" t="s">
        <v>2562</v>
      </c>
      <c r="Q3078" s="2" t="n">
        <v>44685</v>
      </c>
      <c r="S3078" s="0" t="n">
        <f aca="false">YEAR(Q3078)</f>
        <v>2022</v>
      </c>
      <c r="T3078" s="0" t="n">
        <f aca="false">MONTH(Q3078)</f>
        <v>5</v>
      </c>
    </row>
    <row r="3079" customFormat="false" ht="14.25" hidden="false" customHeight="false" outlineLevel="0" collapsed="false">
      <c r="A3079" s="4" t="n">
        <v>3060</v>
      </c>
      <c r="C3079" s="1" t="s">
        <v>1479</v>
      </c>
      <c r="D3079" s="1" t="s">
        <v>1487</v>
      </c>
      <c r="E3079" s="4" t="s">
        <v>1488</v>
      </c>
      <c r="F3079" s="1" t="s">
        <v>2529</v>
      </c>
      <c r="G3079" s="1" t="s">
        <v>2563</v>
      </c>
      <c r="H3079" s="1" t="s">
        <v>2564</v>
      </c>
      <c r="I3079" s="1" t="s">
        <v>2565</v>
      </c>
      <c r="J3079" s="1" t="s">
        <v>2566</v>
      </c>
      <c r="K3079" s="1"/>
      <c r="L3079" s="1" t="s">
        <v>2567</v>
      </c>
      <c r="M3079" s="1" t="s">
        <v>2568</v>
      </c>
      <c r="N3079" s="1" t="s">
        <v>2569</v>
      </c>
      <c r="O3079" s="1"/>
      <c r="P3079" s="1" t="s">
        <v>2570</v>
      </c>
      <c r="Q3079" s="2" t="n">
        <v>44704</v>
      </c>
      <c r="S3079" s="0" t="n">
        <f aca="false">YEAR(Q3079)</f>
        <v>2022</v>
      </c>
      <c r="T3079" s="0" t="n">
        <f aca="false">MONTH(Q3079)</f>
        <v>5</v>
      </c>
    </row>
    <row r="3080" customFormat="false" ht="14.25" hidden="false" customHeight="false" outlineLevel="0" collapsed="false">
      <c r="A3080" s="4" t="n">
        <v>3060</v>
      </c>
      <c r="C3080" s="4" t="s">
        <v>1479</v>
      </c>
      <c r="D3080" s="4" t="s">
        <v>1535</v>
      </c>
      <c r="E3080" s="1" t="s">
        <v>1639</v>
      </c>
      <c r="F3080" s="1" t="s">
        <v>2538</v>
      </c>
      <c r="G3080" s="1" t="s">
        <v>1838</v>
      </c>
      <c r="H3080" s="1" t="s">
        <v>2571</v>
      </c>
      <c r="I3080" s="1"/>
      <c r="J3080" s="1" t="s">
        <v>2572</v>
      </c>
      <c r="K3080" s="1"/>
      <c r="L3080" s="1" t="s">
        <v>2573</v>
      </c>
      <c r="M3080" s="1" t="s">
        <v>2574</v>
      </c>
      <c r="N3080" s="1" t="s">
        <v>2575</v>
      </c>
      <c r="O3080" s="1"/>
      <c r="P3080" s="1" t="s">
        <v>2576</v>
      </c>
      <c r="Q3080" s="2" t="n">
        <v>44704</v>
      </c>
      <c r="S3080" s="0" t="n">
        <f aca="false">YEAR(Q3080)</f>
        <v>2022</v>
      </c>
      <c r="T3080" s="0" t="n">
        <f aca="false">MONTH(Q3080)</f>
        <v>5</v>
      </c>
    </row>
    <row r="3081" customFormat="false" ht="14.25" hidden="false" customHeight="false" outlineLevel="0" collapsed="false">
      <c r="A3081" s="4" t="n">
        <v>3060</v>
      </c>
      <c r="C3081" s="4" t="s">
        <v>1479</v>
      </c>
      <c r="D3081" s="4" t="s">
        <v>1535</v>
      </c>
      <c r="E3081" s="1" t="s">
        <v>1639</v>
      </c>
      <c r="F3081" s="1" t="s">
        <v>2529</v>
      </c>
      <c r="G3081" s="1" t="s">
        <v>1838</v>
      </c>
      <c r="H3081" s="1" t="s">
        <v>2571</v>
      </c>
      <c r="I3081" s="1"/>
      <c r="J3081" s="1" t="s">
        <v>2572</v>
      </c>
      <c r="K3081" s="1"/>
      <c r="L3081" s="1" t="s">
        <v>2573</v>
      </c>
      <c r="M3081" s="1" t="s">
        <v>2574</v>
      </c>
      <c r="N3081" s="1" t="s">
        <v>2575</v>
      </c>
      <c r="O3081" s="1"/>
      <c r="P3081" s="1" t="s">
        <v>2577</v>
      </c>
      <c r="Q3081" s="2" t="n">
        <v>44705</v>
      </c>
      <c r="S3081" s="0" t="n">
        <f aca="false">YEAR(Q3081)</f>
        <v>2022</v>
      </c>
      <c r="T3081" s="0" t="n">
        <f aca="false">MONTH(Q3081)</f>
        <v>5</v>
      </c>
    </row>
    <row r="3082" customFormat="false" ht="14.25" hidden="false" customHeight="false" outlineLevel="0" collapsed="false">
      <c r="A3082" s="4" t="n">
        <v>3060</v>
      </c>
      <c r="C3082" s="1" t="s">
        <v>1495</v>
      </c>
      <c r="D3082" s="1" t="s">
        <v>1496</v>
      </c>
      <c r="E3082" s="1" t="s">
        <v>1619</v>
      </c>
      <c r="F3082" s="1" t="s">
        <v>2538</v>
      </c>
      <c r="G3082" s="1" t="s">
        <v>1761</v>
      </c>
      <c r="H3082" s="1" t="s">
        <v>1816</v>
      </c>
      <c r="I3082" s="1"/>
      <c r="J3082" s="1"/>
      <c r="K3082" s="1"/>
      <c r="L3082" s="1"/>
      <c r="M3082" s="1" t="s">
        <v>2578</v>
      </c>
      <c r="N3082" s="1" t="s">
        <v>2579</v>
      </c>
      <c r="O3082" s="1"/>
      <c r="P3082" s="1"/>
      <c r="Q3082" s="2" t="n">
        <v>44705</v>
      </c>
      <c r="S3082" s="0" t="n">
        <f aca="false">YEAR(Q3082)</f>
        <v>2022</v>
      </c>
      <c r="T3082" s="0" t="n">
        <f aca="false">MONTH(Q3082)</f>
        <v>5</v>
      </c>
    </row>
    <row r="3083" customFormat="false" ht="14.25" hidden="false" customHeight="false" outlineLevel="0" collapsed="false">
      <c r="A3083" s="4" t="n">
        <v>3060</v>
      </c>
      <c r="C3083" s="1" t="s">
        <v>1495</v>
      </c>
      <c r="D3083" s="1" t="s">
        <v>1496</v>
      </c>
      <c r="E3083" s="1" t="s">
        <v>1619</v>
      </c>
      <c r="F3083" s="1" t="s">
        <v>2529</v>
      </c>
      <c r="G3083" s="1" t="s">
        <v>1761</v>
      </c>
      <c r="H3083" s="1" t="s">
        <v>1816</v>
      </c>
      <c r="I3083" s="1" t="s">
        <v>2580</v>
      </c>
      <c r="J3083" s="1" t="s">
        <v>2581</v>
      </c>
      <c r="K3083" s="1"/>
      <c r="L3083" s="1" t="s">
        <v>2582</v>
      </c>
      <c r="M3083" s="1" t="s">
        <v>2578</v>
      </c>
      <c r="N3083" s="1" t="s">
        <v>2579</v>
      </c>
      <c r="O3083" s="1" t="s">
        <v>2583</v>
      </c>
      <c r="P3083" s="1" t="s">
        <v>2584</v>
      </c>
      <c r="Q3083" s="2" t="n">
        <v>44706</v>
      </c>
      <c r="S3083" s="0" t="n">
        <f aca="false">YEAR(Q3083)</f>
        <v>2022</v>
      </c>
      <c r="T3083" s="0" t="n">
        <f aca="false">MONTH(Q3083)</f>
        <v>5</v>
      </c>
    </row>
    <row r="3084" customFormat="false" ht="14.25" hidden="false" customHeight="false" outlineLevel="0" collapsed="false">
      <c r="A3084" s="4" t="n">
        <v>3060</v>
      </c>
      <c r="C3084" s="4" t="s">
        <v>1479</v>
      </c>
      <c r="D3084" s="4" t="s">
        <v>1535</v>
      </c>
      <c r="E3084" s="1" t="s">
        <v>1639</v>
      </c>
      <c r="F3084" s="1" t="s">
        <v>2529</v>
      </c>
      <c r="G3084" s="1" t="s">
        <v>2585</v>
      </c>
      <c r="H3084" s="1" t="s">
        <v>2586</v>
      </c>
      <c r="I3084" s="1" t="s">
        <v>1867</v>
      </c>
      <c r="J3084" s="1" t="s">
        <v>2587</v>
      </c>
      <c r="K3084" s="1" t="s">
        <v>2588</v>
      </c>
      <c r="L3084" s="1" t="s">
        <v>2589</v>
      </c>
      <c r="M3084" s="1" t="s">
        <v>2590</v>
      </c>
      <c r="N3084" s="1" t="s">
        <v>2591</v>
      </c>
      <c r="O3084" s="1" t="s">
        <v>2592</v>
      </c>
      <c r="P3084" s="1" t="s">
        <v>2593</v>
      </c>
      <c r="Q3084" s="2" t="n">
        <v>44707</v>
      </c>
      <c r="S3084" s="0" t="n">
        <f aca="false">YEAR(Q3084)</f>
        <v>2022</v>
      </c>
      <c r="T3084" s="0" t="n">
        <f aca="false">MONTH(Q3084)</f>
        <v>5</v>
      </c>
    </row>
    <row r="3085" customFormat="false" ht="14.25" hidden="false" customHeight="false" outlineLevel="0" collapsed="false">
      <c r="A3085" s="4" t="n">
        <v>3060</v>
      </c>
      <c r="C3085" s="1" t="s">
        <v>1495</v>
      </c>
      <c r="D3085" s="1" t="s">
        <v>1487</v>
      </c>
      <c r="E3085" s="1" t="s">
        <v>1656</v>
      </c>
      <c r="F3085" s="1" t="s">
        <v>2538</v>
      </c>
      <c r="G3085" s="1" t="s">
        <v>2594</v>
      </c>
      <c r="H3085" s="1" t="s">
        <v>2595</v>
      </c>
      <c r="I3085" s="1" t="s">
        <v>2596</v>
      </c>
      <c r="J3085" s="1" t="s">
        <v>2597</v>
      </c>
      <c r="K3085" s="1"/>
      <c r="L3085" s="1" t="s">
        <v>2598</v>
      </c>
      <c r="M3085" s="1" t="s">
        <v>1805</v>
      </c>
      <c r="N3085" s="1" t="s">
        <v>2599</v>
      </c>
      <c r="O3085" s="1" t="s">
        <v>2600</v>
      </c>
      <c r="P3085" s="1" t="s">
        <v>2601</v>
      </c>
      <c r="Q3085" s="2" t="n">
        <v>44707</v>
      </c>
      <c r="S3085" s="0" t="n">
        <f aca="false">YEAR(Q3085)</f>
        <v>2022</v>
      </c>
      <c r="T3085" s="0" t="n">
        <f aca="false">MONTH(Q3085)</f>
        <v>5</v>
      </c>
    </row>
    <row r="3086" customFormat="false" ht="14.25" hidden="false" customHeight="false" outlineLevel="0" collapsed="false">
      <c r="A3086" s="4" t="n">
        <v>3060</v>
      </c>
      <c r="C3086" s="1" t="s">
        <v>1495</v>
      </c>
      <c r="D3086" s="1" t="s">
        <v>1487</v>
      </c>
      <c r="E3086" s="1" t="s">
        <v>1656</v>
      </c>
      <c r="F3086" s="1" t="s">
        <v>2538</v>
      </c>
      <c r="G3086" s="1" t="s">
        <v>2594</v>
      </c>
      <c r="H3086" s="1" t="s">
        <v>2595</v>
      </c>
      <c r="I3086" s="1" t="s">
        <v>2602</v>
      </c>
      <c r="J3086" s="1" t="s">
        <v>2603</v>
      </c>
      <c r="K3086" s="1"/>
      <c r="L3086" s="1" t="s">
        <v>2604</v>
      </c>
      <c r="M3086" s="1" t="s">
        <v>2605</v>
      </c>
      <c r="N3086" s="1" t="s">
        <v>2606</v>
      </c>
      <c r="O3086" s="1"/>
      <c r="P3086" s="1" t="s">
        <v>2607</v>
      </c>
      <c r="Q3086" s="2" t="n">
        <v>44707</v>
      </c>
      <c r="S3086" s="0" t="n">
        <f aca="false">YEAR(Q3086)</f>
        <v>2022</v>
      </c>
      <c r="T3086" s="0" t="n">
        <f aca="false">MONTH(Q3086)</f>
        <v>5</v>
      </c>
    </row>
    <row r="3087" customFormat="false" ht="14.25" hidden="false" customHeight="false" outlineLevel="0" collapsed="false">
      <c r="A3087" s="4" t="n">
        <v>3060</v>
      </c>
      <c r="C3087" s="1" t="s">
        <v>1479</v>
      </c>
      <c r="D3087" s="1" t="s">
        <v>1487</v>
      </c>
      <c r="E3087" s="4" t="s">
        <v>1488</v>
      </c>
      <c r="F3087" s="1" t="s">
        <v>2529</v>
      </c>
      <c r="G3087" s="1"/>
      <c r="H3087" s="1" t="s">
        <v>1909</v>
      </c>
      <c r="I3087" s="1"/>
      <c r="J3087" s="1"/>
      <c r="K3087" s="1"/>
      <c r="L3087" s="1"/>
      <c r="M3087" s="1" t="s">
        <v>2608</v>
      </c>
      <c r="N3087" s="1" t="s">
        <v>2609</v>
      </c>
      <c r="O3087" s="1" t="s">
        <v>2610</v>
      </c>
      <c r="P3087" s="1" t="s">
        <v>2611</v>
      </c>
      <c r="Q3087" s="2" t="n">
        <v>44709</v>
      </c>
      <c r="S3087" s="0" t="n">
        <f aca="false">YEAR(Q3087)</f>
        <v>2022</v>
      </c>
      <c r="T3087" s="0" t="n">
        <f aca="false">MONTH(Q3087)</f>
        <v>5</v>
      </c>
    </row>
    <row r="3088" customFormat="false" ht="14.25" hidden="false" customHeight="false" outlineLevel="0" collapsed="false">
      <c r="A3088" s="4" t="n">
        <v>3060</v>
      </c>
      <c r="C3088" s="4" t="s">
        <v>1495</v>
      </c>
      <c r="D3088" s="4" t="s">
        <v>1535</v>
      </c>
      <c r="E3088" s="1" t="s">
        <v>1672</v>
      </c>
      <c r="F3088" s="1" t="s">
        <v>2529</v>
      </c>
      <c r="G3088" s="1" t="s">
        <v>2612</v>
      </c>
      <c r="H3088" s="1" t="s">
        <v>1734</v>
      </c>
      <c r="I3088" s="1" t="s">
        <v>2225</v>
      </c>
      <c r="J3088" s="1" t="s">
        <v>2613</v>
      </c>
      <c r="K3088" s="1" t="s">
        <v>2614</v>
      </c>
      <c r="L3088" s="1" t="s">
        <v>2615</v>
      </c>
      <c r="M3088" s="1" t="s">
        <v>2616</v>
      </c>
      <c r="N3088" s="1" t="s">
        <v>2617</v>
      </c>
      <c r="O3088" s="1" t="s">
        <v>2618</v>
      </c>
      <c r="P3088" s="1" t="s">
        <v>2619</v>
      </c>
      <c r="Q3088" s="2" t="n">
        <v>44711</v>
      </c>
      <c r="S3088" s="0" t="n">
        <f aca="false">YEAR(Q3088)</f>
        <v>2022</v>
      </c>
      <c r="T3088" s="0" t="n">
        <f aca="false">MONTH(Q3088)</f>
        <v>5</v>
      </c>
    </row>
    <row r="3089" customFormat="false" ht="14.25" hidden="false" customHeight="false" outlineLevel="0" collapsed="false">
      <c r="A3089" s="4" t="n">
        <v>3060</v>
      </c>
      <c r="C3089" s="4" t="s">
        <v>1495</v>
      </c>
      <c r="D3089" s="4" t="s">
        <v>1535</v>
      </c>
      <c r="E3089" s="1" t="s">
        <v>1672</v>
      </c>
      <c r="F3089" s="1" t="s">
        <v>2538</v>
      </c>
      <c r="G3089" s="1" t="s">
        <v>2612</v>
      </c>
      <c r="H3089" s="1" t="s">
        <v>1734</v>
      </c>
      <c r="I3089" s="1" t="s">
        <v>2596</v>
      </c>
      <c r="J3089" s="1" t="s">
        <v>2620</v>
      </c>
      <c r="K3089" s="1" t="s">
        <v>2621</v>
      </c>
      <c r="L3089" s="1" t="s">
        <v>2622</v>
      </c>
      <c r="M3089" s="1" t="s">
        <v>2623</v>
      </c>
      <c r="N3089" s="1" t="s">
        <v>2624</v>
      </c>
      <c r="O3089" s="1" t="s">
        <v>2625</v>
      </c>
      <c r="P3089" s="1" t="s">
        <v>2626</v>
      </c>
      <c r="Q3089" s="2" t="n">
        <v>44711</v>
      </c>
      <c r="S3089" s="0" t="n">
        <f aca="false">YEAR(Q3089)</f>
        <v>2022</v>
      </c>
      <c r="T3089" s="0" t="n">
        <f aca="false">MONTH(Q3089)</f>
        <v>5</v>
      </c>
    </row>
    <row r="3090" customFormat="false" ht="14.25" hidden="false" customHeight="false" outlineLevel="0" collapsed="false">
      <c r="A3090" s="4" t="n">
        <v>3060</v>
      </c>
      <c r="C3090" s="1" t="s">
        <v>1479</v>
      </c>
      <c r="D3090" s="1" t="s">
        <v>1487</v>
      </c>
      <c r="E3090" s="4" t="s">
        <v>1488</v>
      </c>
      <c r="F3090" s="1" t="s">
        <v>2538</v>
      </c>
      <c r="G3090" s="1" t="s">
        <v>1773</v>
      </c>
      <c r="H3090" s="1" t="s">
        <v>2313</v>
      </c>
      <c r="I3090" s="1" t="s">
        <v>2627</v>
      </c>
      <c r="J3090" s="1" t="s">
        <v>2628</v>
      </c>
      <c r="K3090" s="1"/>
      <c r="L3090" s="1"/>
      <c r="M3090" s="1" t="s">
        <v>2629</v>
      </c>
      <c r="N3090" s="1" t="s">
        <v>2630</v>
      </c>
      <c r="O3090" s="1" t="s">
        <v>2631</v>
      </c>
      <c r="P3090" s="1" t="s">
        <v>2632</v>
      </c>
      <c r="Q3090" s="2" t="n">
        <v>44711</v>
      </c>
      <c r="S3090" s="0" t="n">
        <f aca="false">YEAR(Q3090)</f>
        <v>2022</v>
      </c>
      <c r="T3090" s="0" t="n">
        <f aca="false">MONTH(Q3090)</f>
        <v>5</v>
      </c>
    </row>
    <row r="3091" customFormat="false" ht="14.25" hidden="false" customHeight="false" outlineLevel="0" collapsed="false">
      <c r="A3091" s="4" t="n">
        <v>3060</v>
      </c>
      <c r="C3091" s="1" t="s">
        <v>1479</v>
      </c>
      <c r="D3091" s="1" t="s">
        <v>1487</v>
      </c>
      <c r="E3091" s="4" t="s">
        <v>1488</v>
      </c>
      <c r="F3091" s="1" t="s">
        <v>2529</v>
      </c>
      <c r="G3091" s="1" t="s">
        <v>2633</v>
      </c>
      <c r="H3091" s="1" t="s">
        <v>2634</v>
      </c>
      <c r="I3091" s="1"/>
      <c r="J3091" s="1" t="s">
        <v>2635</v>
      </c>
      <c r="K3091" s="1"/>
      <c r="L3091" s="1"/>
      <c r="M3091" s="1" t="s">
        <v>2636</v>
      </c>
      <c r="N3091" s="1" t="s">
        <v>2637</v>
      </c>
      <c r="O3091" s="1" t="s">
        <v>2638</v>
      </c>
      <c r="P3091" s="1" t="s">
        <v>2639</v>
      </c>
      <c r="Q3091" s="2" t="n">
        <v>44712</v>
      </c>
      <c r="S3091" s="0" t="n">
        <f aca="false">YEAR(Q3091)</f>
        <v>2022</v>
      </c>
      <c r="T3091" s="0" t="n">
        <f aca="false">MONTH(Q3091)</f>
        <v>5</v>
      </c>
    </row>
    <row r="3092" customFormat="false" ht="14.25" hidden="false" customHeight="false" outlineLevel="0" collapsed="false">
      <c r="A3092" s="4" t="n">
        <v>3060</v>
      </c>
      <c r="C3092" s="1" t="s">
        <v>1503</v>
      </c>
      <c r="D3092" s="1" t="s">
        <v>1535</v>
      </c>
      <c r="E3092" s="1" t="s">
        <v>1503</v>
      </c>
      <c r="F3092" s="1" t="s">
        <v>2538</v>
      </c>
      <c r="G3092" s="1" t="s">
        <v>2640</v>
      </c>
      <c r="H3092" s="1" t="s">
        <v>2641</v>
      </c>
      <c r="I3092" s="1" t="n">
        <v>0.875</v>
      </c>
      <c r="J3092" s="1" t="s">
        <v>2642</v>
      </c>
      <c r="K3092" s="1" t="n">
        <v>0</v>
      </c>
      <c r="L3092" s="1"/>
      <c r="M3092" s="1" t="s">
        <v>2643</v>
      </c>
      <c r="N3092" s="1" t="s">
        <v>2644</v>
      </c>
      <c r="O3092" s="1" t="s">
        <v>2645</v>
      </c>
      <c r="P3092" s="1" t="s">
        <v>2646</v>
      </c>
      <c r="Q3092" s="2" t="n">
        <v>44712</v>
      </c>
      <c r="S3092" s="0" t="n">
        <f aca="false">YEAR(Q3092)</f>
        <v>2022</v>
      </c>
      <c r="T3092" s="0" t="n">
        <f aca="false">MONTH(Q3092)</f>
        <v>5</v>
      </c>
    </row>
    <row r="3093" customFormat="false" ht="14.25" hidden="false" customHeight="false" outlineLevel="0" collapsed="false">
      <c r="C3093" s="1" t="s">
        <v>1495</v>
      </c>
      <c r="D3093" s="1" t="s">
        <v>1496</v>
      </c>
      <c r="E3093" s="1" t="s">
        <v>1619</v>
      </c>
      <c r="F3093" s="1" t="s">
        <v>2529</v>
      </c>
      <c r="G3093" s="1" t="s">
        <v>1761</v>
      </c>
      <c r="H3093" s="1" t="s">
        <v>1816</v>
      </c>
      <c r="I3093" s="1" t="s">
        <v>2580</v>
      </c>
      <c r="J3093" s="1"/>
      <c r="K3093" s="1" t="s">
        <v>2647</v>
      </c>
      <c r="L3093" s="1"/>
      <c r="M3093" s="1" t="s">
        <v>2578</v>
      </c>
      <c r="N3093" s="1" t="s">
        <v>2648</v>
      </c>
      <c r="O3093" s="1" t="s">
        <v>2649</v>
      </c>
      <c r="P3093" s="1" t="s">
        <v>2650</v>
      </c>
      <c r="Q3093" s="2" t="n">
        <v>44567</v>
      </c>
      <c r="S3093" s="0" t="n">
        <f aca="false">YEAR(Q3093)</f>
        <v>2022</v>
      </c>
      <c r="T3093" s="0" t="n">
        <f aca="false">MONTH(Q3093)</f>
        <v>1</v>
      </c>
    </row>
    <row r="3094" customFormat="false" ht="14.25" hidden="false" customHeight="false" outlineLevel="0" collapsed="false">
      <c r="C3094" s="1" t="s">
        <v>1479</v>
      </c>
      <c r="D3094" s="1" t="s">
        <v>2651</v>
      </c>
      <c r="E3094" s="1" t="s">
        <v>1479</v>
      </c>
      <c r="F3094" s="1" t="s">
        <v>2538</v>
      </c>
      <c r="G3094" s="1" t="s">
        <v>2652</v>
      </c>
      <c r="H3094" s="1" t="s">
        <v>2653</v>
      </c>
      <c r="I3094" s="1" t="s">
        <v>2365</v>
      </c>
      <c r="J3094" s="1" t="s">
        <v>2654</v>
      </c>
      <c r="K3094" s="1"/>
      <c r="L3094" s="1" t="s">
        <v>2655</v>
      </c>
      <c r="M3094" s="1" t="s">
        <v>2656</v>
      </c>
      <c r="N3094" s="1" t="s">
        <v>2657</v>
      </c>
      <c r="O3094" s="1" t="s">
        <v>2658</v>
      </c>
      <c r="P3094" s="1" t="s">
        <v>2659</v>
      </c>
      <c r="Q3094" s="2" t="n">
        <v>44567</v>
      </c>
      <c r="S3094" s="0" t="n">
        <f aca="false">YEAR(Q3094)</f>
        <v>2022</v>
      </c>
      <c r="T3094" s="0" t="n">
        <f aca="false">MONTH(Q3094)</f>
        <v>1</v>
      </c>
    </row>
    <row r="3095" customFormat="false" ht="14.25" hidden="false" customHeight="false" outlineLevel="0" collapsed="false">
      <c r="C3095" s="1" t="s">
        <v>1479</v>
      </c>
      <c r="D3095" s="1" t="s">
        <v>1480</v>
      </c>
      <c r="E3095" s="1" t="s">
        <v>1600</v>
      </c>
      <c r="F3095" s="1" t="s">
        <v>2529</v>
      </c>
      <c r="G3095" s="1" t="s">
        <v>2660</v>
      </c>
      <c r="H3095" s="1" t="s">
        <v>2193</v>
      </c>
      <c r="I3095" s="1" t="s">
        <v>2661</v>
      </c>
      <c r="J3095" s="1" t="s">
        <v>2662</v>
      </c>
      <c r="K3095" s="1"/>
      <c r="L3095" s="1" t="s">
        <v>2663</v>
      </c>
      <c r="M3095" s="1" t="s">
        <v>2664</v>
      </c>
      <c r="N3095" s="1" t="s">
        <v>2665</v>
      </c>
      <c r="O3095" s="1" t="s">
        <v>2666</v>
      </c>
      <c r="P3095" s="1" t="s">
        <v>2667</v>
      </c>
      <c r="Q3095" s="2" t="n">
        <v>44598</v>
      </c>
      <c r="S3095" s="0" t="n">
        <f aca="false">YEAR(Q3095)</f>
        <v>2022</v>
      </c>
      <c r="T3095" s="0" t="n">
        <f aca="false">MONTH(Q3095)</f>
        <v>2</v>
      </c>
    </row>
    <row r="3096" customFormat="false" ht="14.25" hidden="false" customHeight="false" outlineLevel="0" collapsed="false">
      <c r="C3096" s="1" t="s">
        <v>1479</v>
      </c>
      <c r="D3096" s="1" t="s">
        <v>1480</v>
      </c>
      <c r="E3096" s="1" t="s">
        <v>1480</v>
      </c>
      <c r="F3096" s="1" t="s">
        <v>2538</v>
      </c>
      <c r="G3096" s="1" t="s">
        <v>2668</v>
      </c>
      <c r="H3096" s="1" t="s">
        <v>2334</v>
      </c>
      <c r="I3096" s="1" t="s">
        <v>1614</v>
      </c>
      <c r="J3096" s="1" t="s">
        <v>2138</v>
      </c>
      <c r="K3096" s="1"/>
      <c r="L3096" s="1" t="s">
        <v>2669</v>
      </c>
      <c r="M3096" s="1" t="s">
        <v>2670</v>
      </c>
      <c r="N3096" s="1" t="s">
        <v>2671</v>
      </c>
      <c r="O3096" s="1" t="s">
        <v>2672</v>
      </c>
      <c r="P3096" s="1" t="s">
        <v>2673</v>
      </c>
      <c r="Q3096" s="2" t="n">
        <v>44598</v>
      </c>
      <c r="S3096" s="0" t="n">
        <f aca="false">YEAR(Q3096)</f>
        <v>2022</v>
      </c>
      <c r="T3096" s="0" t="n">
        <f aca="false">MONTH(Q3096)</f>
        <v>2</v>
      </c>
    </row>
    <row r="3097" customFormat="false" ht="14.25" hidden="false" customHeight="false" outlineLevel="0" collapsed="false">
      <c r="C3097" s="1" t="s">
        <v>1495</v>
      </c>
      <c r="D3097" s="1" t="s">
        <v>1487</v>
      </c>
      <c r="E3097" s="1" t="s">
        <v>2674</v>
      </c>
      <c r="F3097" s="1" t="s">
        <v>2538</v>
      </c>
      <c r="G3097" s="1" t="s">
        <v>2675</v>
      </c>
      <c r="H3097" s="1" t="s">
        <v>2004</v>
      </c>
      <c r="I3097" s="1" t="s">
        <v>2676</v>
      </c>
      <c r="J3097" s="1" t="s">
        <v>2677</v>
      </c>
      <c r="K3097" s="1" t="s">
        <v>2678</v>
      </c>
      <c r="L3097" s="1" t="s">
        <v>2679</v>
      </c>
      <c r="M3097" s="1" t="s">
        <v>2680</v>
      </c>
      <c r="N3097" s="1" t="s">
        <v>2681</v>
      </c>
      <c r="O3097" s="1" t="s">
        <v>2682</v>
      </c>
      <c r="P3097" s="1" t="s">
        <v>2683</v>
      </c>
      <c r="Q3097" s="2" t="n">
        <v>44598</v>
      </c>
      <c r="S3097" s="0" t="n">
        <f aca="false">YEAR(Q3097)</f>
        <v>2022</v>
      </c>
      <c r="T3097" s="0" t="n">
        <f aca="false">MONTH(Q3097)</f>
        <v>2</v>
      </c>
    </row>
    <row r="3098" customFormat="false" ht="14.25" hidden="false" customHeight="false" outlineLevel="0" collapsed="false">
      <c r="C3098" s="1" t="s">
        <v>1479</v>
      </c>
      <c r="D3098" s="1" t="s">
        <v>1480</v>
      </c>
      <c r="E3098" s="1" t="s">
        <v>1600</v>
      </c>
      <c r="F3098" s="1" t="s">
        <v>2538</v>
      </c>
      <c r="G3098" s="1" t="s">
        <v>2660</v>
      </c>
      <c r="H3098" s="1" t="s">
        <v>2193</v>
      </c>
      <c r="I3098" s="1" t="s">
        <v>2684</v>
      </c>
      <c r="J3098" s="1" t="s">
        <v>2685</v>
      </c>
      <c r="K3098" s="1"/>
      <c r="L3098" s="1" t="s">
        <v>2686</v>
      </c>
      <c r="M3098" s="1" t="s">
        <v>2687</v>
      </c>
      <c r="N3098" s="1" t="s">
        <v>2688</v>
      </c>
      <c r="O3098" s="1" t="s">
        <v>2689</v>
      </c>
      <c r="P3098" s="1" t="s">
        <v>2690</v>
      </c>
      <c r="Q3098" s="2" t="n">
        <v>44626</v>
      </c>
      <c r="S3098" s="0" t="n">
        <f aca="false">YEAR(Q3098)</f>
        <v>2022</v>
      </c>
      <c r="T3098" s="0" t="n">
        <f aca="false">MONTH(Q3098)</f>
        <v>3</v>
      </c>
    </row>
    <row r="3099" customFormat="false" ht="14.25" hidden="false" customHeight="false" outlineLevel="0" collapsed="false">
      <c r="C3099" s="1" t="s">
        <v>1495</v>
      </c>
      <c r="D3099" s="1" t="s">
        <v>1535</v>
      </c>
      <c r="E3099" s="1" t="s">
        <v>1495</v>
      </c>
      <c r="F3099" s="1" t="s">
        <v>2538</v>
      </c>
      <c r="G3099" s="1" t="s">
        <v>2691</v>
      </c>
      <c r="H3099" s="1" t="s">
        <v>2692</v>
      </c>
      <c r="I3099" s="1" t="s">
        <v>2693</v>
      </c>
      <c r="J3099" s="1" t="s">
        <v>2694</v>
      </c>
      <c r="K3099" s="1"/>
      <c r="L3099" s="1" t="s">
        <v>2695</v>
      </c>
      <c r="M3099" s="1" t="s">
        <v>2696</v>
      </c>
      <c r="N3099" s="1" t="s">
        <v>2697</v>
      </c>
      <c r="O3099" s="1" t="s">
        <v>2698</v>
      </c>
      <c r="P3099" s="1" t="s">
        <v>2699</v>
      </c>
      <c r="Q3099" s="2" t="n">
        <v>44718</v>
      </c>
      <c r="S3099" s="0" t="n">
        <f aca="false">YEAR(Q3099)</f>
        <v>2022</v>
      </c>
      <c r="T3099" s="0" t="n">
        <f aca="false">MONTH(Q3099)</f>
        <v>6</v>
      </c>
    </row>
    <row r="3100" customFormat="false" ht="14.25" hidden="false" customHeight="false" outlineLevel="0" collapsed="false">
      <c r="C3100" s="1" t="s">
        <v>1479</v>
      </c>
      <c r="D3100" s="1" t="s">
        <v>1487</v>
      </c>
      <c r="E3100" s="4" t="s">
        <v>1488</v>
      </c>
      <c r="F3100" s="1" t="s">
        <v>2529</v>
      </c>
      <c r="G3100" s="1" t="s">
        <v>2700</v>
      </c>
      <c r="H3100" s="1" t="s">
        <v>2701</v>
      </c>
      <c r="I3100" s="1" t="s">
        <v>2702</v>
      </c>
      <c r="J3100" s="1" t="s">
        <v>2703</v>
      </c>
      <c r="K3100" s="1" t="s">
        <v>2704</v>
      </c>
      <c r="L3100" s="1" t="s">
        <v>2705</v>
      </c>
      <c r="M3100" s="1" t="s">
        <v>2706</v>
      </c>
      <c r="N3100" s="1" t="s">
        <v>2707</v>
      </c>
      <c r="O3100" s="1" t="s">
        <v>2708</v>
      </c>
      <c r="P3100" s="1" t="s">
        <v>2709</v>
      </c>
      <c r="Q3100" s="2" t="n">
        <v>44720</v>
      </c>
      <c r="S3100" s="0" t="n">
        <f aca="false">YEAR(Q3100)</f>
        <v>2022</v>
      </c>
      <c r="T3100" s="0" t="n">
        <f aca="false">MONTH(Q3100)</f>
        <v>6</v>
      </c>
    </row>
    <row r="3101" customFormat="false" ht="14.25" hidden="false" customHeight="false" outlineLevel="0" collapsed="false">
      <c r="C3101" s="1" t="s">
        <v>1479</v>
      </c>
      <c r="D3101" s="1" t="s">
        <v>1480</v>
      </c>
      <c r="E3101" s="1" t="s">
        <v>1480</v>
      </c>
      <c r="F3101" s="1" t="s">
        <v>2538</v>
      </c>
      <c r="G3101" s="1" t="s">
        <v>2668</v>
      </c>
      <c r="H3101" s="1" t="s">
        <v>2193</v>
      </c>
      <c r="I3101" s="1" t="s">
        <v>1735</v>
      </c>
      <c r="J3101" s="1" t="s">
        <v>2710</v>
      </c>
      <c r="K3101" s="1"/>
      <c r="L3101" s="1" t="s">
        <v>2669</v>
      </c>
      <c r="M3101" s="1" t="s">
        <v>2711</v>
      </c>
      <c r="N3101" s="1" t="s">
        <v>2671</v>
      </c>
      <c r="O3101" s="1" t="s">
        <v>2712</v>
      </c>
      <c r="P3101" s="1" t="s">
        <v>2713</v>
      </c>
      <c r="Q3101" s="2" t="n">
        <v>44720</v>
      </c>
      <c r="S3101" s="0" t="n">
        <f aca="false">YEAR(Q3101)</f>
        <v>2022</v>
      </c>
      <c r="T3101" s="0" t="n">
        <f aca="false">MONTH(Q3101)</f>
        <v>6</v>
      </c>
    </row>
    <row r="3102" customFormat="false" ht="14.25" hidden="false" customHeight="false" outlineLevel="0" collapsed="false">
      <c r="C3102" s="1" t="s">
        <v>1479</v>
      </c>
      <c r="D3102" s="1" t="s">
        <v>1480</v>
      </c>
      <c r="E3102" s="1" t="s">
        <v>1480</v>
      </c>
      <c r="F3102" s="1" t="s">
        <v>2538</v>
      </c>
      <c r="G3102" s="1" t="s">
        <v>2668</v>
      </c>
      <c r="H3102" s="1" t="s">
        <v>2193</v>
      </c>
      <c r="I3102" s="1" t="s">
        <v>2714</v>
      </c>
      <c r="J3102" s="1" t="s">
        <v>2715</v>
      </c>
      <c r="K3102" s="1"/>
      <c r="L3102" s="1" t="s">
        <v>2716</v>
      </c>
      <c r="M3102" s="1" t="s">
        <v>2711</v>
      </c>
      <c r="N3102" s="1" t="s">
        <v>2717</v>
      </c>
      <c r="O3102" s="1" t="s">
        <v>2718</v>
      </c>
      <c r="P3102" s="1" t="s">
        <v>2719</v>
      </c>
      <c r="Q3102" s="2" t="n">
        <v>44720</v>
      </c>
      <c r="S3102" s="0" t="n">
        <f aca="false">YEAR(Q3102)</f>
        <v>2022</v>
      </c>
      <c r="T3102" s="0" t="n">
        <f aca="false">MONTH(Q3102)</f>
        <v>6</v>
      </c>
    </row>
    <row r="3103" customFormat="false" ht="14.25" hidden="false" customHeight="false" outlineLevel="0" collapsed="false">
      <c r="C3103" s="1" t="s">
        <v>1479</v>
      </c>
      <c r="D3103" s="1" t="s">
        <v>1535</v>
      </c>
      <c r="E3103" s="1" t="s">
        <v>1479</v>
      </c>
      <c r="F3103" s="1" t="s">
        <v>2529</v>
      </c>
      <c r="G3103" s="1" t="s">
        <v>2720</v>
      </c>
      <c r="H3103" s="1" t="s">
        <v>1688</v>
      </c>
      <c r="I3103" s="1" t="s">
        <v>2721</v>
      </c>
      <c r="J3103" s="1" t="s">
        <v>2722</v>
      </c>
      <c r="K3103" s="1"/>
      <c r="L3103" s="1"/>
      <c r="M3103" s="1" t="s">
        <v>2723</v>
      </c>
      <c r="N3103" s="1" t="s">
        <v>2724</v>
      </c>
      <c r="O3103" s="1" t="s">
        <v>2725</v>
      </c>
      <c r="P3103" s="1" t="s">
        <v>2726</v>
      </c>
      <c r="Q3103" s="2" t="n">
        <v>44722</v>
      </c>
      <c r="S3103" s="0" t="n">
        <f aca="false">YEAR(Q3103)</f>
        <v>2022</v>
      </c>
      <c r="T3103" s="0" t="n">
        <f aca="false">MONTH(Q3103)</f>
        <v>6</v>
      </c>
    </row>
    <row r="3104" customFormat="false" ht="14.25" hidden="false" customHeight="false" outlineLevel="0" collapsed="false">
      <c r="C3104" s="1" t="s">
        <v>1495</v>
      </c>
      <c r="D3104" s="1" t="s">
        <v>1535</v>
      </c>
      <c r="E3104" s="1" t="s">
        <v>1495</v>
      </c>
      <c r="F3104" s="1" t="s">
        <v>2538</v>
      </c>
      <c r="G3104" s="1" t="s">
        <v>2727</v>
      </c>
      <c r="H3104" s="1" t="s">
        <v>2692</v>
      </c>
      <c r="I3104" s="1" t="s">
        <v>1876</v>
      </c>
      <c r="J3104" s="1" t="n">
        <v>0.690972222222222</v>
      </c>
      <c r="K3104" s="1"/>
      <c r="L3104" s="1" t="s">
        <v>2728</v>
      </c>
      <c r="M3104" s="1" t="s">
        <v>2729</v>
      </c>
      <c r="N3104" s="1" t="s">
        <v>2730</v>
      </c>
      <c r="O3104" s="1" t="s">
        <v>2731</v>
      </c>
      <c r="P3104" s="1" t="s">
        <v>2732</v>
      </c>
      <c r="Q3104" s="2" t="n">
        <v>44722</v>
      </c>
      <c r="S3104" s="0" t="n">
        <f aca="false">YEAR(Q3104)</f>
        <v>2022</v>
      </c>
      <c r="T3104" s="0" t="n">
        <f aca="false">MONTH(Q3104)</f>
        <v>6</v>
      </c>
    </row>
    <row r="3105" customFormat="false" ht="14.25" hidden="false" customHeight="false" outlineLevel="0" collapsed="false">
      <c r="C3105" s="1" t="s">
        <v>1503</v>
      </c>
      <c r="D3105" s="1" t="s">
        <v>1535</v>
      </c>
      <c r="E3105" s="1" t="s">
        <v>1503</v>
      </c>
      <c r="F3105" s="1" t="s">
        <v>2538</v>
      </c>
      <c r="G3105" s="1" t="s">
        <v>2733</v>
      </c>
      <c r="H3105" s="1" t="s">
        <v>2250</v>
      </c>
      <c r="I3105" s="1" t="s">
        <v>2710</v>
      </c>
      <c r="J3105" s="1" t="s">
        <v>2734</v>
      </c>
      <c r="K3105" s="1"/>
      <c r="L3105" s="1" t="s">
        <v>2735</v>
      </c>
      <c r="M3105" s="1" t="s">
        <v>2736</v>
      </c>
      <c r="N3105" s="1" t="s">
        <v>2737</v>
      </c>
      <c r="O3105" s="1" t="s">
        <v>2738</v>
      </c>
      <c r="P3105" s="1" t="s">
        <v>2739</v>
      </c>
      <c r="Q3105" s="2" t="n">
        <v>44722</v>
      </c>
      <c r="S3105" s="0" t="n">
        <f aca="false">YEAR(Q3105)</f>
        <v>2022</v>
      </c>
      <c r="T3105" s="0" t="n">
        <f aca="false">MONTH(Q3105)</f>
        <v>6</v>
      </c>
    </row>
    <row r="3106" customFormat="false" ht="14.25" hidden="false" customHeight="false" outlineLevel="0" collapsed="false">
      <c r="C3106" s="1" t="s">
        <v>1503</v>
      </c>
      <c r="D3106" s="1" t="s">
        <v>1535</v>
      </c>
      <c r="E3106" s="1" t="s">
        <v>1503</v>
      </c>
      <c r="F3106" s="1" t="s">
        <v>2538</v>
      </c>
      <c r="G3106" s="1" t="s">
        <v>2740</v>
      </c>
      <c r="H3106" s="1" t="s">
        <v>2741</v>
      </c>
      <c r="I3106" s="1" t="s">
        <v>2742</v>
      </c>
      <c r="J3106" s="1" t="s">
        <v>2743</v>
      </c>
      <c r="K3106" s="1"/>
      <c r="L3106" s="1" t="s">
        <v>2744</v>
      </c>
      <c r="M3106" s="1" t="s">
        <v>2745</v>
      </c>
      <c r="N3106" s="1" t="s">
        <v>2746</v>
      </c>
      <c r="O3106" s="1" t="s">
        <v>2747</v>
      </c>
      <c r="P3106" s="1" t="s">
        <v>2748</v>
      </c>
      <c r="Q3106" s="2" t="n">
        <v>44722</v>
      </c>
      <c r="S3106" s="0" t="n">
        <f aca="false">YEAR(Q3106)</f>
        <v>2022</v>
      </c>
      <c r="T3106" s="0" t="n">
        <f aca="false">MONTH(Q3106)</f>
        <v>6</v>
      </c>
    </row>
    <row r="3107" customFormat="false" ht="14.25" hidden="false" customHeight="false" outlineLevel="0" collapsed="false">
      <c r="C3107" s="1" t="s">
        <v>1479</v>
      </c>
      <c r="D3107" s="1" t="s">
        <v>1496</v>
      </c>
      <c r="E3107" s="1" t="s">
        <v>1479</v>
      </c>
      <c r="F3107" s="1" t="s">
        <v>2538</v>
      </c>
      <c r="G3107" s="1" t="s">
        <v>2749</v>
      </c>
      <c r="H3107" s="1" t="s">
        <v>2750</v>
      </c>
      <c r="I3107" s="1" t="s">
        <v>1614</v>
      </c>
      <c r="J3107" s="1" t="s">
        <v>2138</v>
      </c>
      <c r="K3107" s="1"/>
      <c r="L3107" s="1"/>
      <c r="M3107" s="1" t="s">
        <v>2751</v>
      </c>
      <c r="N3107" s="1" t="s">
        <v>2752</v>
      </c>
      <c r="O3107" s="1" t="s">
        <v>2753</v>
      </c>
      <c r="P3107" s="1" t="s">
        <v>2754</v>
      </c>
      <c r="Q3107" s="2" t="n">
        <v>44722</v>
      </c>
      <c r="S3107" s="0" t="n">
        <f aca="false">YEAR(Q3107)</f>
        <v>2022</v>
      </c>
      <c r="T3107" s="0" t="n">
        <f aca="false">MONTH(Q3107)</f>
        <v>6</v>
      </c>
    </row>
    <row r="3108" customFormat="false" ht="14.25" hidden="false" customHeight="false" outlineLevel="0" collapsed="false">
      <c r="C3108" s="4" t="s">
        <v>1479</v>
      </c>
      <c r="D3108" s="4" t="s">
        <v>1535</v>
      </c>
      <c r="E3108" s="1" t="s">
        <v>1639</v>
      </c>
      <c r="F3108" s="1" t="s">
        <v>2529</v>
      </c>
      <c r="G3108" s="1" t="s">
        <v>2755</v>
      </c>
      <c r="H3108" s="1" t="s">
        <v>1674</v>
      </c>
      <c r="I3108" s="1"/>
      <c r="J3108" s="1" t="s">
        <v>2756</v>
      </c>
      <c r="K3108" s="1"/>
      <c r="L3108" s="1"/>
      <c r="M3108" s="1" t="s">
        <v>2757</v>
      </c>
      <c r="N3108" s="1" t="s">
        <v>2758</v>
      </c>
      <c r="O3108" s="1" t="s">
        <v>2759</v>
      </c>
      <c r="P3108" s="1" t="s">
        <v>2760</v>
      </c>
      <c r="Q3108" s="2" t="n">
        <v>44725</v>
      </c>
      <c r="S3108" s="0" t="n">
        <f aca="false">YEAR(Q3108)</f>
        <v>2022</v>
      </c>
      <c r="T3108" s="0" t="n">
        <f aca="false">MONTH(Q3108)</f>
        <v>6</v>
      </c>
    </row>
    <row r="3109" customFormat="false" ht="14.25" hidden="false" customHeight="false" outlineLevel="0" collapsed="false">
      <c r="C3109" s="4" t="s">
        <v>1479</v>
      </c>
      <c r="D3109" s="4" t="s">
        <v>1535</v>
      </c>
      <c r="E3109" s="1" t="s">
        <v>1639</v>
      </c>
      <c r="F3109" s="1" t="s">
        <v>2529</v>
      </c>
      <c r="G3109" s="1" t="s">
        <v>2761</v>
      </c>
      <c r="H3109" s="1" t="s">
        <v>1688</v>
      </c>
      <c r="I3109" s="1"/>
      <c r="J3109" s="1" t="s">
        <v>2762</v>
      </c>
      <c r="K3109" s="1" t="s">
        <v>2763</v>
      </c>
      <c r="L3109" s="1"/>
      <c r="M3109" s="1" t="s">
        <v>2764</v>
      </c>
      <c r="N3109" s="1" t="s">
        <v>2765</v>
      </c>
      <c r="O3109" s="1" t="s">
        <v>2766</v>
      </c>
      <c r="P3109" s="1" t="s">
        <v>2767</v>
      </c>
      <c r="Q3109" s="2" t="n">
        <v>44725</v>
      </c>
      <c r="S3109" s="0" t="n">
        <f aca="false">YEAR(Q3109)</f>
        <v>2022</v>
      </c>
      <c r="T3109" s="0" t="n">
        <f aca="false">MONTH(Q3109)</f>
        <v>6</v>
      </c>
    </row>
    <row r="3110" customFormat="false" ht="14.25" hidden="false" customHeight="false" outlineLevel="0" collapsed="false">
      <c r="C3110" s="4" t="s">
        <v>1495</v>
      </c>
      <c r="D3110" s="4" t="s">
        <v>1535</v>
      </c>
      <c r="E3110" s="1" t="s">
        <v>1672</v>
      </c>
      <c r="F3110" s="1" t="s">
        <v>2538</v>
      </c>
      <c r="G3110" s="1" t="s">
        <v>2768</v>
      </c>
      <c r="H3110" s="1" t="s">
        <v>1734</v>
      </c>
      <c r="I3110" s="1" t="s">
        <v>1735</v>
      </c>
      <c r="J3110" s="1" t="s">
        <v>2769</v>
      </c>
      <c r="K3110" s="1" t="s">
        <v>2770</v>
      </c>
      <c r="L3110" s="1" t="s">
        <v>2669</v>
      </c>
      <c r="M3110" s="1" t="s">
        <v>2771</v>
      </c>
      <c r="N3110" s="1" t="s">
        <v>2772</v>
      </c>
      <c r="O3110" s="1" t="s">
        <v>2773</v>
      </c>
      <c r="P3110" s="1" t="s">
        <v>2774</v>
      </c>
      <c r="Q3110" s="2" t="n">
        <v>44725</v>
      </c>
      <c r="S3110" s="0" t="n">
        <f aca="false">YEAR(Q3110)</f>
        <v>2022</v>
      </c>
      <c r="T3110" s="0" t="n">
        <f aca="false">MONTH(Q3110)</f>
        <v>6</v>
      </c>
    </row>
    <row r="3111" customFormat="false" ht="14.25" hidden="false" customHeight="false" outlineLevel="0" collapsed="false">
      <c r="C3111" s="1" t="s">
        <v>1503</v>
      </c>
      <c r="D3111" s="1" t="s">
        <v>1535</v>
      </c>
      <c r="E3111" s="1" t="s">
        <v>1503</v>
      </c>
      <c r="F3111" s="1" t="s">
        <v>2538</v>
      </c>
      <c r="G3111" s="1" t="s">
        <v>2775</v>
      </c>
      <c r="H3111" s="1" t="s">
        <v>2641</v>
      </c>
      <c r="I3111" s="1" t="s">
        <v>1726</v>
      </c>
      <c r="J3111" s="1" t="s">
        <v>2676</v>
      </c>
      <c r="K3111" s="1"/>
      <c r="L3111" s="1" t="s">
        <v>2776</v>
      </c>
      <c r="M3111" s="1" t="s">
        <v>2777</v>
      </c>
      <c r="N3111" s="1" t="s">
        <v>2778</v>
      </c>
      <c r="O3111" s="1" t="s">
        <v>2779</v>
      </c>
      <c r="P3111" s="1" t="s">
        <v>2780</v>
      </c>
      <c r="Q3111" s="2" t="n">
        <v>44725</v>
      </c>
      <c r="S3111" s="0" t="n">
        <f aca="false">YEAR(Q3111)</f>
        <v>2022</v>
      </c>
      <c r="T3111" s="0" t="n">
        <f aca="false">MONTH(Q3111)</f>
        <v>6</v>
      </c>
    </row>
    <row r="3112" customFormat="false" ht="14.25" hidden="false" customHeight="false" outlineLevel="0" collapsed="false">
      <c r="C3112" s="1" t="s">
        <v>1479</v>
      </c>
      <c r="D3112" s="1" t="s">
        <v>1487</v>
      </c>
      <c r="E3112" s="4" t="s">
        <v>1488</v>
      </c>
      <c r="F3112" s="1" t="s">
        <v>2529</v>
      </c>
      <c r="G3112" s="1" t="s">
        <v>2781</v>
      </c>
      <c r="H3112" s="1" t="s">
        <v>1784</v>
      </c>
      <c r="I3112" s="1"/>
      <c r="J3112" s="1" t="s">
        <v>2097</v>
      </c>
      <c r="K3112" s="1" t="s">
        <v>2782</v>
      </c>
      <c r="L3112" s="1" t="s">
        <v>2783</v>
      </c>
      <c r="M3112" s="1" t="s">
        <v>2784</v>
      </c>
      <c r="N3112" s="1" t="s">
        <v>2785</v>
      </c>
      <c r="O3112" s="1"/>
      <c r="P3112" s="1" t="s">
        <v>2786</v>
      </c>
      <c r="Q3112" s="2" t="n">
        <v>44727</v>
      </c>
      <c r="S3112" s="0" t="n">
        <f aca="false">YEAR(Q3112)</f>
        <v>2022</v>
      </c>
      <c r="T3112" s="0" t="n">
        <f aca="false">MONTH(Q3112)</f>
        <v>6</v>
      </c>
    </row>
    <row r="3113" customFormat="false" ht="14.25" hidden="false" customHeight="false" outlineLevel="0" collapsed="false">
      <c r="C3113" s="4" t="s">
        <v>1479</v>
      </c>
      <c r="D3113" s="4" t="s">
        <v>1535</v>
      </c>
      <c r="E3113" s="1" t="s">
        <v>1639</v>
      </c>
      <c r="F3113" s="1" t="s">
        <v>2538</v>
      </c>
      <c r="G3113" s="1" t="s">
        <v>2787</v>
      </c>
      <c r="H3113" s="1" t="s">
        <v>2788</v>
      </c>
      <c r="I3113" s="1" t="s">
        <v>2789</v>
      </c>
      <c r="J3113" s="1" t="s">
        <v>2790</v>
      </c>
      <c r="K3113" s="1"/>
      <c r="L3113" s="1" t="s">
        <v>2791</v>
      </c>
      <c r="M3113" s="1" t="s">
        <v>2792</v>
      </c>
      <c r="N3113" s="1" t="s">
        <v>2793</v>
      </c>
      <c r="O3113" s="1" t="s">
        <v>2794</v>
      </c>
      <c r="P3113" s="1" t="s">
        <v>2795</v>
      </c>
      <c r="Q3113" s="2" t="n">
        <v>44727</v>
      </c>
      <c r="S3113" s="0" t="n">
        <f aca="false">YEAR(Q3113)</f>
        <v>2022</v>
      </c>
      <c r="T3113" s="0" t="n">
        <f aca="false">MONTH(Q3113)</f>
        <v>6</v>
      </c>
    </row>
    <row r="3114" customFormat="false" ht="14.25" hidden="false" customHeight="false" outlineLevel="0" collapsed="false">
      <c r="C3114" s="1" t="s">
        <v>1479</v>
      </c>
      <c r="D3114" s="1" t="s">
        <v>1480</v>
      </c>
      <c r="E3114" s="1" t="s">
        <v>1600</v>
      </c>
      <c r="F3114" s="1" t="s">
        <v>2538</v>
      </c>
      <c r="G3114" s="1" t="s">
        <v>2796</v>
      </c>
      <c r="H3114" s="1"/>
      <c r="I3114" s="1" t="s">
        <v>2266</v>
      </c>
      <c r="J3114" s="1" t="s">
        <v>2797</v>
      </c>
      <c r="K3114" s="1"/>
      <c r="L3114" s="1" t="s">
        <v>2798</v>
      </c>
      <c r="M3114" s="1" t="s">
        <v>2799</v>
      </c>
      <c r="N3114" s="1" t="s">
        <v>2800</v>
      </c>
      <c r="O3114" s="1" t="s">
        <v>2801</v>
      </c>
      <c r="P3114" s="1" t="s">
        <v>2802</v>
      </c>
      <c r="Q3114" s="2" t="n">
        <v>44727</v>
      </c>
      <c r="S3114" s="0" t="n">
        <f aca="false">YEAR(Q3114)</f>
        <v>2022</v>
      </c>
      <c r="T3114" s="0" t="n">
        <f aca="false">MONTH(Q3114)</f>
        <v>6</v>
      </c>
    </row>
    <row r="3115" customFormat="false" ht="14.25" hidden="false" customHeight="false" outlineLevel="0" collapsed="false">
      <c r="C3115" s="1" t="s">
        <v>1479</v>
      </c>
      <c r="D3115" s="1" t="s">
        <v>1535</v>
      </c>
      <c r="E3115" s="1" t="s">
        <v>1479</v>
      </c>
      <c r="F3115" s="1" t="s">
        <v>2538</v>
      </c>
      <c r="G3115" s="1" t="s">
        <v>2803</v>
      </c>
      <c r="H3115" s="1" t="s">
        <v>2692</v>
      </c>
      <c r="I3115" s="1" t="n">
        <v>0.684027777777778</v>
      </c>
      <c r="J3115" s="1" t="s">
        <v>1939</v>
      </c>
      <c r="K3115" s="1"/>
      <c r="L3115" s="1" t="s">
        <v>2804</v>
      </c>
      <c r="M3115" s="1" t="s">
        <v>2805</v>
      </c>
      <c r="N3115" s="1" t="s">
        <v>2806</v>
      </c>
      <c r="O3115" s="1" t="s">
        <v>2807</v>
      </c>
      <c r="P3115" s="1" t="s">
        <v>2808</v>
      </c>
      <c r="Q3115" s="2" t="n">
        <v>44729</v>
      </c>
      <c r="S3115" s="0" t="n">
        <f aca="false">YEAR(Q3115)</f>
        <v>2022</v>
      </c>
      <c r="T3115" s="0" t="n">
        <f aca="false">MONTH(Q3115)</f>
        <v>6</v>
      </c>
    </row>
    <row r="3116" customFormat="false" ht="14.25" hidden="false" customHeight="false" outlineLevel="0" collapsed="false">
      <c r="C3116" s="1" t="s">
        <v>1479</v>
      </c>
      <c r="D3116" s="1" t="s">
        <v>1496</v>
      </c>
      <c r="E3116" s="1" t="s">
        <v>1680</v>
      </c>
      <c r="F3116" s="1" t="s">
        <v>2529</v>
      </c>
      <c r="G3116" s="1" t="s">
        <v>2809</v>
      </c>
      <c r="H3116" s="1" t="s">
        <v>2810</v>
      </c>
      <c r="I3116" s="1"/>
      <c r="J3116" s="1" t="s">
        <v>2811</v>
      </c>
      <c r="K3116" s="1" t="s">
        <v>1633</v>
      </c>
      <c r="L3116" s="1" t="s">
        <v>2812</v>
      </c>
      <c r="M3116" s="1" t="s">
        <v>2813</v>
      </c>
      <c r="N3116" s="1" t="s">
        <v>2814</v>
      </c>
      <c r="O3116" s="1" t="s">
        <v>2815</v>
      </c>
      <c r="P3116" s="1" t="s">
        <v>2816</v>
      </c>
      <c r="Q3116" s="2" t="n">
        <v>44733</v>
      </c>
      <c r="S3116" s="0" t="n">
        <f aca="false">YEAR(Q3116)</f>
        <v>2022</v>
      </c>
      <c r="T3116" s="0" t="n">
        <f aca="false">MONTH(Q3116)</f>
        <v>6</v>
      </c>
    </row>
    <row r="3117" customFormat="false" ht="14.25" hidden="false" customHeight="false" outlineLevel="0" collapsed="false">
      <c r="C3117" s="1" t="s">
        <v>1479</v>
      </c>
      <c r="D3117" s="1" t="s">
        <v>1487</v>
      </c>
      <c r="E3117" s="4" t="s">
        <v>1488</v>
      </c>
      <c r="F3117" s="1" t="s">
        <v>2538</v>
      </c>
      <c r="G3117" s="1" t="s">
        <v>2817</v>
      </c>
      <c r="H3117" s="1" t="s">
        <v>2818</v>
      </c>
      <c r="I3117" s="1" t="s">
        <v>2458</v>
      </c>
      <c r="J3117" s="1" t="s">
        <v>2819</v>
      </c>
      <c r="K3117" s="1"/>
      <c r="L3117" s="1" t="s">
        <v>2728</v>
      </c>
      <c r="M3117" s="1" t="s">
        <v>2820</v>
      </c>
      <c r="N3117" s="1" t="s">
        <v>2821</v>
      </c>
      <c r="O3117" s="1" t="s">
        <v>2801</v>
      </c>
      <c r="P3117" s="1" t="s">
        <v>2822</v>
      </c>
      <c r="Q3117" s="2" t="n">
        <v>44733</v>
      </c>
      <c r="S3117" s="0" t="n">
        <f aca="false">YEAR(Q3117)</f>
        <v>2022</v>
      </c>
      <c r="T3117" s="0" t="n">
        <f aca="false">MONTH(Q3117)</f>
        <v>6</v>
      </c>
    </row>
    <row r="3118" customFormat="false" ht="14.25" hidden="false" customHeight="false" outlineLevel="0" collapsed="false">
      <c r="C3118" s="1" t="s">
        <v>1479</v>
      </c>
      <c r="D3118" s="1" t="s">
        <v>1487</v>
      </c>
      <c r="E3118" s="4" t="s">
        <v>1488</v>
      </c>
      <c r="F3118" s="1" t="s">
        <v>2529</v>
      </c>
      <c r="G3118" s="1" t="s">
        <v>2071</v>
      </c>
      <c r="H3118" s="1" t="s">
        <v>2823</v>
      </c>
      <c r="I3118" s="1" t="s">
        <v>1689</v>
      </c>
      <c r="J3118" s="1" t="s">
        <v>2824</v>
      </c>
      <c r="K3118" s="1"/>
      <c r="L3118" s="1" t="s">
        <v>2825</v>
      </c>
      <c r="M3118" s="1" t="s">
        <v>2826</v>
      </c>
      <c r="N3118" s="1" t="s">
        <v>2827</v>
      </c>
      <c r="O3118" s="1"/>
      <c r="P3118" s="1" t="s">
        <v>2828</v>
      </c>
      <c r="Q3118" s="2" t="n">
        <v>44734</v>
      </c>
      <c r="S3118" s="0" t="n">
        <f aca="false">YEAR(Q3118)</f>
        <v>2022</v>
      </c>
      <c r="T3118" s="0" t="n">
        <f aca="false">MONTH(Q3118)</f>
        <v>6</v>
      </c>
    </row>
    <row r="3119" customFormat="false" ht="14.25" hidden="false" customHeight="false" outlineLevel="0" collapsed="false">
      <c r="C3119" s="1" t="s">
        <v>1503</v>
      </c>
      <c r="D3119" s="1" t="s">
        <v>1535</v>
      </c>
      <c r="E3119" s="1" t="s">
        <v>2829</v>
      </c>
      <c r="F3119" s="1" t="s">
        <v>2529</v>
      </c>
      <c r="G3119" s="1" t="s">
        <v>2830</v>
      </c>
      <c r="H3119" s="1" t="s">
        <v>2831</v>
      </c>
      <c r="I3119" s="1" t="s">
        <v>2832</v>
      </c>
      <c r="J3119" s="1" t="s">
        <v>1622</v>
      </c>
      <c r="K3119" s="1"/>
      <c r="L3119" s="1" t="s">
        <v>2437</v>
      </c>
      <c r="M3119" s="1" t="s">
        <v>2833</v>
      </c>
      <c r="N3119" s="1" t="s">
        <v>2834</v>
      </c>
      <c r="O3119" s="1" t="s">
        <v>2835</v>
      </c>
      <c r="P3119" s="1" t="s">
        <v>2836</v>
      </c>
      <c r="Q3119" s="2" t="n">
        <v>44734</v>
      </c>
      <c r="S3119" s="0" t="n">
        <f aca="false">YEAR(Q3119)</f>
        <v>2022</v>
      </c>
      <c r="T3119" s="0" t="n">
        <f aca="false">MONTH(Q3119)</f>
        <v>6</v>
      </c>
    </row>
    <row r="3120" customFormat="false" ht="14.25" hidden="false" customHeight="false" outlineLevel="0" collapsed="false">
      <c r="C3120" s="1" t="s">
        <v>1479</v>
      </c>
      <c r="D3120" s="1" t="s">
        <v>1487</v>
      </c>
      <c r="E3120" s="4" t="s">
        <v>1488</v>
      </c>
      <c r="F3120" s="1" t="s">
        <v>2529</v>
      </c>
      <c r="G3120" s="1" t="s">
        <v>2837</v>
      </c>
      <c r="H3120" s="1" t="s">
        <v>2838</v>
      </c>
      <c r="I3120" s="1"/>
      <c r="J3120" s="1" t="s">
        <v>2839</v>
      </c>
      <c r="K3120" s="1" t="s">
        <v>2840</v>
      </c>
      <c r="L3120" s="1" t="s">
        <v>2669</v>
      </c>
      <c r="M3120" s="1" t="s">
        <v>2841</v>
      </c>
      <c r="N3120" s="1" t="s">
        <v>2842</v>
      </c>
      <c r="O3120" s="1" t="s">
        <v>2843</v>
      </c>
      <c r="P3120" s="1" t="s">
        <v>2844</v>
      </c>
      <c r="Q3120" s="2" t="n">
        <v>44734</v>
      </c>
      <c r="S3120" s="0" t="n">
        <f aca="false">YEAR(Q3120)</f>
        <v>2022</v>
      </c>
      <c r="T3120" s="0" t="n">
        <f aca="false">MONTH(Q3120)</f>
        <v>6</v>
      </c>
    </row>
    <row r="3121" customFormat="false" ht="14.25" hidden="false" customHeight="false" outlineLevel="0" collapsed="false">
      <c r="C3121" s="1" t="s">
        <v>1503</v>
      </c>
      <c r="D3121" s="1" t="s">
        <v>1535</v>
      </c>
      <c r="E3121" s="1" t="s">
        <v>2829</v>
      </c>
      <c r="F3121" s="1" t="s">
        <v>2529</v>
      </c>
      <c r="G3121" s="1" t="s">
        <v>2845</v>
      </c>
      <c r="H3121" s="1" t="s">
        <v>2831</v>
      </c>
      <c r="I3121" s="1"/>
      <c r="J3121" s="1"/>
      <c r="K3121" s="1"/>
      <c r="L3121" s="1"/>
      <c r="M3121" s="1" t="s">
        <v>2846</v>
      </c>
      <c r="N3121" s="1" t="s">
        <v>2847</v>
      </c>
      <c r="O3121" s="1"/>
      <c r="P3121" s="1" t="s">
        <v>2848</v>
      </c>
      <c r="Q3121" s="2" t="n">
        <v>44734</v>
      </c>
      <c r="S3121" s="0" t="n">
        <f aca="false">YEAR(Q3121)</f>
        <v>2022</v>
      </c>
      <c r="T3121" s="0" t="n">
        <f aca="false">MONTH(Q3121)</f>
        <v>6</v>
      </c>
    </row>
    <row r="3122" customFormat="false" ht="14.25" hidden="false" customHeight="false" outlineLevel="0" collapsed="false">
      <c r="C3122" s="4" t="s">
        <v>1479</v>
      </c>
      <c r="D3122" s="4" t="s">
        <v>1535</v>
      </c>
      <c r="E3122" s="1" t="s">
        <v>1639</v>
      </c>
      <c r="F3122" s="1" t="s">
        <v>2529</v>
      </c>
      <c r="G3122" s="1" t="s">
        <v>1838</v>
      </c>
      <c r="H3122" s="1" t="s">
        <v>2586</v>
      </c>
      <c r="I3122" s="1"/>
      <c r="J3122" s="1"/>
      <c r="K3122" s="1"/>
      <c r="L3122" s="1"/>
      <c r="M3122" s="1" t="s">
        <v>2849</v>
      </c>
      <c r="N3122" s="1" t="s">
        <v>2850</v>
      </c>
      <c r="O3122" s="1"/>
      <c r="P3122" s="1" t="s">
        <v>2851</v>
      </c>
      <c r="Q3122" s="2" t="n">
        <v>44736</v>
      </c>
      <c r="S3122" s="0" t="n">
        <f aca="false">YEAR(Q3122)</f>
        <v>2022</v>
      </c>
      <c r="T3122" s="0" t="n">
        <f aca="false">MONTH(Q3122)</f>
        <v>6</v>
      </c>
    </row>
    <row r="3123" customFormat="false" ht="14.25" hidden="false" customHeight="false" outlineLevel="0" collapsed="false">
      <c r="C3123" s="1" t="s">
        <v>1479</v>
      </c>
      <c r="D3123" s="1" t="s">
        <v>1863</v>
      </c>
      <c r="E3123" s="1" t="s">
        <v>1864</v>
      </c>
      <c r="F3123" s="1" t="s">
        <v>2538</v>
      </c>
      <c r="G3123" s="1" t="s">
        <v>2852</v>
      </c>
      <c r="H3123" s="1" t="s">
        <v>2445</v>
      </c>
      <c r="I3123" s="1" t="n">
        <v>0.729166666666667</v>
      </c>
      <c r="J3123" s="1" t="n">
        <v>0.770833333333333</v>
      </c>
      <c r="K3123" s="1"/>
      <c r="L3123" s="1" t="s">
        <v>2853</v>
      </c>
      <c r="M3123" s="1" t="s">
        <v>2854</v>
      </c>
      <c r="N3123" s="1" t="s">
        <v>2855</v>
      </c>
      <c r="O3123" s="1" t="s">
        <v>2856</v>
      </c>
      <c r="P3123" s="1" t="s">
        <v>2857</v>
      </c>
      <c r="Q3123" s="2" t="n">
        <v>44736</v>
      </c>
      <c r="S3123" s="0" t="n">
        <f aca="false">YEAR(Q3123)</f>
        <v>2022</v>
      </c>
      <c r="T3123" s="0" t="n">
        <f aca="false">MONTH(Q3123)</f>
        <v>6</v>
      </c>
    </row>
    <row r="3124" customFormat="false" ht="14.25" hidden="false" customHeight="false" outlineLevel="0" collapsed="false">
      <c r="C3124" s="1" t="s">
        <v>1495</v>
      </c>
      <c r="D3124" s="1" t="s">
        <v>1487</v>
      </c>
      <c r="E3124" s="1" t="s">
        <v>1656</v>
      </c>
      <c r="F3124" s="1" t="s">
        <v>2538</v>
      </c>
      <c r="G3124" s="1"/>
      <c r="H3124" s="1" t="s">
        <v>2858</v>
      </c>
      <c r="I3124" s="1" t="n">
        <v>0.708333333333333</v>
      </c>
      <c r="J3124" s="1" t="n">
        <v>0.722222222222222</v>
      </c>
      <c r="K3124" s="1"/>
      <c r="L3124" s="1"/>
      <c r="M3124" s="1" t="s">
        <v>2859</v>
      </c>
      <c r="N3124" s="1" t="s">
        <v>2860</v>
      </c>
      <c r="O3124" s="1" t="s">
        <v>2861</v>
      </c>
      <c r="P3124" s="1" t="s">
        <v>2862</v>
      </c>
      <c r="Q3124" s="2" t="n">
        <v>44736</v>
      </c>
      <c r="S3124" s="0" t="n">
        <f aca="false">YEAR(Q3124)</f>
        <v>2022</v>
      </c>
      <c r="T3124" s="0" t="n">
        <f aca="false">MONTH(Q3124)</f>
        <v>6</v>
      </c>
    </row>
    <row r="3125" customFormat="false" ht="14.25" hidden="false" customHeight="false" outlineLevel="0" collapsed="false">
      <c r="C3125" s="1" t="s">
        <v>1503</v>
      </c>
      <c r="D3125" s="1" t="s">
        <v>1648</v>
      </c>
      <c r="E3125" s="1" t="s">
        <v>1648</v>
      </c>
      <c r="F3125" s="1" t="s">
        <v>2529</v>
      </c>
      <c r="G3125" s="1" t="s">
        <v>1838</v>
      </c>
      <c r="H3125" s="1" t="s">
        <v>2863</v>
      </c>
      <c r="I3125" s="1"/>
      <c r="J3125" s="1" t="s">
        <v>2864</v>
      </c>
      <c r="K3125" s="1"/>
      <c r="L3125" s="1"/>
      <c r="M3125" s="1" t="s">
        <v>2865</v>
      </c>
      <c r="N3125" s="1" t="s">
        <v>2866</v>
      </c>
      <c r="O3125" s="1" t="s">
        <v>2867</v>
      </c>
      <c r="P3125" s="1" t="s">
        <v>2868</v>
      </c>
      <c r="Q3125" s="2" t="n">
        <v>44739</v>
      </c>
      <c r="S3125" s="0" t="n">
        <f aca="false">YEAR(Q3125)</f>
        <v>2022</v>
      </c>
      <c r="T3125" s="0" t="n">
        <f aca="false">MONTH(Q3125)</f>
        <v>6</v>
      </c>
    </row>
    <row r="3126" customFormat="false" ht="14.25" hidden="false" customHeight="false" outlineLevel="0" collapsed="false">
      <c r="C3126" s="1" t="s">
        <v>1495</v>
      </c>
      <c r="D3126" s="1" t="s">
        <v>1496</v>
      </c>
      <c r="E3126" s="1" t="s">
        <v>1619</v>
      </c>
      <c r="F3126" s="1" t="s">
        <v>2529</v>
      </c>
      <c r="G3126" s="1" t="s">
        <v>2869</v>
      </c>
      <c r="H3126" s="1" t="s">
        <v>2014</v>
      </c>
      <c r="I3126" s="1" t="s">
        <v>2050</v>
      </c>
      <c r="J3126" s="1" t="s">
        <v>2870</v>
      </c>
      <c r="K3126" s="1"/>
      <c r="L3126" s="1" t="s">
        <v>1625</v>
      </c>
      <c r="M3126" s="1" t="s">
        <v>2871</v>
      </c>
      <c r="N3126" s="1" t="s">
        <v>2872</v>
      </c>
      <c r="O3126" s="1"/>
      <c r="P3126" s="1" t="s">
        <v>2873</v>
      </c>
      <c r="Q3126" s="2" t="n">
        <v>44740</v>
      </c>
      <c r="S3126" s="0" t="n">
        <f aca="false">YEAR(Q3126)</f>
        <v>2022</v>
      </c>
      <c r="T3126" s="0" t="n">
        <f aca="false">MONTH(Q3126)</f>
        <v>6</v>
      </c>
    </row>
    <row r="3127" customFormat="false" ht="14.25" hidden="false" customHeight="false" outlineLevel="0" collapsed="false">
      <c r="C3127" s="1" t="s">
        <v>1479</v>
      </c>
      <c r="D3127" s="1" t="s">
        <v>1535</v>
      </c>
      <c r="E3127" s="1" t="s">
        <v>1722</v>
      </c>
      <c r="F3127" s="1" t="s">
        <v>2529</v>
      </c>
      <c r="G3127" s="1" t="s">
        <v>2273</v>
      </c>
      <c r="H3127" s="1" t="s">
        <v>1922</v>
      </c>
      <c r="I3127" s="1" t="s">
        <v>2874</v>
      </c>
      <c r="J3127" s="1" t="s">
        <v>1923</v>
      </c>
      <c r="K3127" s="1" t="n">
        <v>0</v>
      </c>
      <c r="L3127" s="1" t="s">
        <v>1869</v>
      </c>
      <c r="M3127" s="1" t="s">
        <v>2875</v>
      </c>
      <c r="N3127" s="1" t="s">
        <v>1925</v>
      </c>
      <c r="O3127" s="1" t="s">
        <v>2876</v>
      </c>
      <c r="P3127" s="1" t="s">
        <v>2877</v>
      </c>
      <c r="Q3127" s="2" t="n">
        <v>44740</v>
      </c>
      <c r="S3127" s="0" t="n">
        <f aca="false">YEAR(Q3127)</f>
        <v>2022</v>
      </c>
      <c r="T3127" s="0" t="n">
        <f aca="false">MONTH(Q3127)</f>
        <v>6</v>
      </c>
    </row>
    <row r="3128" customFormat="false" ht="14.25" hidden="false" customHeight="false" outlineLevel="0" collapsed="false">
      <c r="C3128" s="1" t="s">
        <v>1503</v>
      </c>
      <c r="D3128" s="1" t="s">
        <v>1535</v>
      </c>
      <c r="E3128" s="1" t="s">
        <v>1503</v>
      </c>
      <c r="F3128" s="1" t="s">
        <v>2538</v>
      </c>
      <c r="G3128" s="1" t="s">
        <v>2878</v>
      </c>
      <c r="H3128" s="1" t="s">
        <v>2641</v>
      </c>
      <c r="I3128" s="1" t="s">
        <v>1651</v>
      </c>
      <c r="J3128" s="1" t="s">
        <v>1876</v>
      </c>
      <c r="K3128" s="1" t="s">
        <v>1651</v>
      </c>
      <c r="L3128" s="1" t="s">
        <v>1651</v>
      </c>
      <c r="M3128" s="1" t="s">
        <v>2879</v>
      </c>
      <c r="N3128" s="1" t="s">
        <v>2880</v>
      </c>
      <c r="O3128" s="1" t="s">
        <v>2881</v>
      </c>
      <c r="P3128" s="1" t="s">
        <v>2882</v>
      </c>
      <c r="Q3128" s="2" t="n">
        <v>44740</v>
      </c>
      <c r="S3128" s="0" t="n">
        <f aca="false">YEAR(Q3128)</f>
        <v>2022</v>
      </c>
      <c r="T3128" s="0" t="n">
        <f aca="false">MONTH(Q3128)</f>
        <v>6</v>
      </c>
    </row>
    <row r="3129" customFormat="false" ht="14.25" hidden="false" customHeight="false" outlineLevel="0" collapsed="false">
      <c r="C3129" s="1" t="s">
        <v>1495</v>
      </c>
      <c r="D3129" s="1" t="s">
        <v>1496</v>
      </c>
      <c r="E3129" s="1" t="s">
        <v>2883</v>
      </c>
      <c r="F3129" s="1" t="s">
        <v>2538</v>
      </c>
      <c r="G3129" s="1" t="s">
        <v>2884</v>
      </c>
      <c r="H3129" s="1" t="s">
        <v>1816</v>
      </c>
      <c r="I3129" s="1" t="s">
        <v>2885</v>
      </c>
      <c r="J3129" s="1" t="s">
        <v>2886</v>
      </c>
      <c r="K3129" s="1"/>
      <c r="L3129" s="1" t="s">
        <v>2887</v>
      </c>
      <c r="M3129" s="1" t="s">
        <v>2888</v>
      </c>
      <c r="N3129" s="1" t="s">
        <v>2889</v>
      </c>
      <c r="O3129" s="1" t="s">
        <v>2890</v>
      </c>
      <c r="P3129" s="1" t="s">
        <v>2891</v>
      </c>
      <c r="Q3129" s="2" t="n">
        <v>44740</v>
      </c>
      <c r="S3129" s="0" t="n">
        <f aca="false">YEAR(Q3129)</f>
        <v>2022</v>
      </c>
      <c r="T3129" s="0" t="n">
        <f aca="false">MONTH(Q3129)</f>
        <v>6</v>
      </c>
    </row>
    <row r="3130" customFormat="false" ht="14.25" hidden="false" customHeight="false" outlineLevel="0" collapsed="false">
      <c r="C3130" s="4" t="s">
        <v>1495</v>
      </c>
      <c r="D3130" s="4" t="s">
        <v>1535</v>
      </c>
      <c r="E3130" s="1" t="s">
        <v>1732</v>
      </c>
      <c r="F3130" s="1" t="s">
        <v>2538</v>
      </c>
      <c r="G3130" s="1" t="s">
        <v>2892</v>
      </c>
      <c r="H3130" s="1" t="s">
        <v>2893</v>
      </c>
      <c r="I3130" s="1" t="s">
        <v>1735</v>
      </c>
      <c r="J3130" s="1" t="s">
        <v>2710</v>
      </c>
      <c r="K3130" s="1" t="n">
        <v>0</v>
      </c>
      <c r="L3130" s="1" t="s">
        <v>2894</v>
      </c>
      <c r="M3130" s="1" t="s">
        <v>2895</v>
      </c>
      <c r="N3130" s="1" t="s">
        <v>2896</v>
      </c>
      <c r="O3130" s="1" t="s">
        <v>2897</v>
      </c>
      <c r="P3130" s="1" t="s">
        <v>2898</v>
      </c>
      <c r="Q3130" s="2" t="n">
        <v>44740</v>
      </c>
      <c r="S3130" s="0" t="n">
        <f aca="false">YEAR(Q3130)</f>
        <v>2022</v>
      </c>
      <c r="T3130" s="0" t="n">
        <f aca="false">MONTH(Q3130)</f>
        <v>6</v>
      </c>
    </row>
    <row r="3131" customFormat="false" ht="14.25" hidden="false" customHeight="false" outlineLevel="0" collapsed="false">
      <c r="C3131" s="1" t="s">
        <v>1479</v>
      </c>
      <c r="D3131" s="1" t="s">
        <v>1480</v>
      </c>
      <c r="E3131" s="1" t="s">
        <v>1600</v>
      </c>
      <c r="F3131" s="1" t="s">
        <v>2538</v>
      </c>
      <c r="G3131" s="1" t="s">
        <v>2796</v>
      </c>
      <c r="H3131" s="1" t="s">
        <v>2334</v>
      </c>
      <c r="I3131" s="1" t="s">
        <v>2734</v>
      </c>
      <c r="J3131" s="1" t="s">
        <v>2899</v>
      </c>
      <c r="K3131" s="1"/>
      <c r="L3131" s="1" t="s">
        <v>2900</v>
      </c>
      <c r="M3131" s="1" t="s">
        <v>2901</v>
      </c>
      <c r="N3131" s="1" t="s">
        <v>2902</v>
      </c>
      <c r="O3131" s="1" t="s">
        <v>2903</v>
      </c>
      <c r="P3131" s="1" t="s">
        <v>2904</v>
      </c>
      <c r="Q3131" s="2" t="n">
        <v>44741</v>
      </c>
      <c r="S3131" s="0" t="n">
        <f aca="false">YEAR(Q3131)</f>
        <v>2022</v>
      </c>
      <c r="T3131" s="0" t="n">
        <f aca="false">MONTH(Q3131)</f>
        <v>6</v>
      </c>
    </row>
    <row r="3132" customFormat="false" ht="14.25" hidden="false" customHeight="false" outlineLevel="0" collapsed="false">
      <c r="C3132" s="4" t="s">
        <v>1479</v>
      </c>
      <c r="D3132" s="4" t="s">
        <v>1535</v>
      </c>
      <c r="E3132" s="1" t="s">
        <v>1639</v>
      </c>
      <c r="F3132" s="1" t="s">
        <v>2529</v>
      </c>
      <c r="G3132" s="1" t="s">
        <v>2905</v>
      </c>
      <c r="H3132" s="1" t="s">
        <v>2906</v>
      </c>
      <c r="I3132" s="1"/>
      <c r="J3132" s="1"/>
      <c r="K3132" s="1"/>
      <c r="L3132" s="1"/>
      <c r="M3132" s="1" t="s">
        <v>2907</v>
      </c>
      <c r="N3132" s="1" t="s">
        <v>2908</v>
      </c>
      <c r="O3132" s="1" t="s">
        <v>2909</v>
      </c>
      <c r="P3132" s="1" t="s">
        <v>2910</v>
      </c>
      <c r="Q3132" s="2" t="n">
        <v>44742</v>
      </c>
      <c r="S3132" s="0" t="n">
        <f aca="false">YEAR(Q3132)</f>
        <v>2022</v>
      </c>
      <c r="T3132" s="0" t="n">
        <f aca="false">MONTH(Q3132)</f>
        <v>6</v>
      </c>
    </row>
    <row r="3133" customFormat="false" ht="14.25" hidden="false" customHeight="false" outlineLevel="0" collapsed="false">
      <c r="C3133" s="4" t="s">
        <v>1479</v>
      </c>
      <c r="D3133" s="4" t="s">
        <v>1535</v>
      </c>
      <c r="E3133" s="1" t="s">
        <v>1639</v>
      </c>
      <c r="F3133" s="1" t="s">
        <v>2529</v>
      </c>
      <c r="G3133" s="1" t="s">
        <v>2911</v>
      </c>
      <c r="H3133" s="1" t="s">
        <v>2912</v>
      </c>
      <c r="I3133" s="1"/>
      <c r="J3133" s="1" t="s">
        <v>2913</v>
      </c>
      <c r="K3133" s="1"/>
      <c r="L3133" s="1"/>
      <c r="M3133" s="1" t="s">
        <v>2914</v>
      </c>
      <c r="N3133" s="1" t="s">
        <v>2915</v>
      </c>
      <c r="O3133" s="1" t="s">
        <v>2916</v>
      </c>
      <c r="P3133" s="1" t="s">
        <v>2917</v>
      </c>
      <c r="Q3133" s="2" t="n">
        <v>44742</v>
      </c>
      <c r="S3133" s="0" t="n">
        <f aca="false">YEAR(Q3133)</f>
        <v>2022</v>
      </c>
      <c r="T3133" s="0" t="n">
        <f aca="false">MONTH(Q3133)</f>
        <v>6</v>
      </c>
    </row>
    <row r="3134" customFormat="false" ht="14.25" hidden="false" customHeight="false" outlineLevel="0" collapsed="false">
      <c r="C3134" s="1" t="s">
        <v>1479</v>
      </c>
      <c r="D3134" s="1" t="s">
        <v>1487</v>
      </c>
      <c r="E3134" s="4" t="s">
        <v>1488</v>
      </c>
      <c r="F3134" s="1" t="s">
        <v>2538</v>
      </c>
      <c r="G3134" s="1" t="s">
        <v>2918</v>
      </c>
      <c r="H3134" s="1" t="s">
        <v>2919</v>
      </c>
      <c r="I3134" s="1" t="s">
        <v>2920</v>
      </c>
      <c r="J3134" s="1" t="s">
        <v>2921</v>
      </c>
      <c r="K3134" s="1" t="s">
        <v>2922</v>
      </c>
      <c r="L3134" s="1" t="n">
        <v>29</v>
      </c>
      <c r="M3134" s="1" t="s">
        <v>2923</v>
      </c>
      <c r="N3134" s="1" t="s">
        <v>2924</v>
      </c>
      <c r="O3134" s="1" t="s">
        <v>2925</v>
      </c>
      <c r="P3134" s="1" t="s">
        <v>2926</v>
      </c>
      <c r="Q3134" s="2" t="n">
        <v>44742</v>
      </c>
      <c r="S3134" s="0" t="n">
        <f aca="false">YEAR(Q3134)</f>
        <v>2022</v>
      </c>
      <c r="T3134" s="0" t="n">
        <f aca="false">MONTH(Q3134)</f>
        <v>6</v>
      </c>
    </row>
    <row r="3135" customFormat="false" ht="14.25" hidden="false" customHeight="false" outlineLevel="0" collapsed="false">
      <c r="C3135" s="4" t="s">
        <v>1479</v>
      </c>
      <c r="D3135" s="4" t="s">
        <v>1535</v>
      </c>
      <c r="E3135" s="12" t="s">
        <v>1639</v>
      </c>
      <c r="F3135" s="13" t="s">
        <v>2529</v>
      </c>
      <c r="G3135" s="13" t="s">
        <v>2927</v>
      </c>
      <c r="H3135" s="13" t="s">
        <v>2928</v>
      </c>
      <c r="I3135" s="13" t="s">
        <v>1800</v>
      </c>
      <c r="J3135" s="13" t="s">
        <v>1970</v>
      </c>
      <c r="K3135" s="13"/>
      <c r="L3135" s="13"/>
      <c r="M3135" s="13" t="s">
        <v>2929</v>
      </c>
      <c r="N3135" s="13" t="s">
        <v>2930</v>
      </c>
      <c r="O3135" s="13" t="s">
        <v>2931</v>
      </c>
      <c r="P3135" s="13"/>
      <c r="Q3135" s="2" t="n">
        <v>44658</v>
      </c>
      <c r="S3135" s="0" t="n">
        <f aca="false">YEAR(Q3135)</f>
        <v>2022</v>
      </c>
      <c r="T3135" s="0" t="n">
        <f aca="false">MONTH(Q3135)</f>
        <v>4</v>
      </c>
    </row>
    <row r="3136" customFormat="false" ht="14.25" hidden="false" customHeight="false" outlineLevel="0" collapsed="false">
      <c r="C3136" s="1" t="s">
        <v>1479</v>
      </c>
      <c r="D3136" s="1" t="s">
        <v>1480</v>
      </c>
      <c r="E3136" s="14" t="s">
        <v>1600</v>
      </c>
      <c r="F3136" s="15" t="s">
        <v>2529</v>
      </c>
      <c r="G3136" s="15" t="s">
        <v>2932</v>
      </c>
      <c r="H3136" s="15" t="s">
        <v>2933</v>
      </c>
      <c r="I3136" s="15" t="s">
        <v>1800</v>
      </c>
      <c r="J3136" s="15" t="s">
        <v>2532</v>
      </c>
      <c r="K3136" s="15"/>
      <c r="L3136" s="15"/>
      <c r="M3136" s="15" t="s">
        <v>2934</v>
      </c>
      <c r="N3136" s="15" t="s">
        <v>2935</v>
      </c>
      <c r="O3136" s="15" t="s">
        <v>2931</v>
      </c>
      <c r="P3136" s="15" t="s">
        <v>2936</v>
      </c>
      <c r="Q3136" s="2" t="n">
        <v>44658</v>
      </c>
      <c r="S3136" s="0" t="n">
        <f aca="false">YEAR(Q3136)</f>
        <v>2022</v>
      </c>
      <c r="T3136" s="0" t="n">
        <f aca="false">MONTH(Q3136)</f>
        <v>4</v>
      </c>
    </row>
    <row r="3137" customFormat="false" ht="14.25" hidden="false" customHeight="false" outlineLevel="0" collapsed="false">
      <c r="C3137" s="1" t="s">
        <v>1495</v>
      </c>
      <c r="D3137" s="1" t="s">
        <v>1487</v>
      </c>
      <c r="E3137" s="12" t="s">
        <v>1656</v>
      </c>
      <c r="F3137" s="13" t="s">
        <v>2529</v>
      </c>
      <c r="G3137" s="13" t="s">
        <v>2937</v>
      </c>
      <c r="H3137" s="13" t="s">
        <v>2938</v>
      </c>
      <c r="I3137" s="13" t="s">
        <v>2939</v>
      </c>
      <c r="J3137" s="13" t="s">
        <v>2940</v>
      </c>
      <c r="K3137" s="13"/>
      <c r="L3137" s="13"/>
      <c r="M3137" s="13" t="s">
        <v>2941</v>
      </c>
      <c r="N3137" s="13" t="s">
        <v>2942</v>
      </c>
      <c r="O3137" s="13" t="s">
        <v>2943</v>
      </c>
      <c r="P3137" s="13" t="s">
        <v>2944</v>
      </c>
      <c r="Q3137" s="2" t="n">
        <v>44658</v>
      </c>
      <c r="S3137" s="0" t="n">
        <f aca="false">YEAR(Q3137)</f>
        <v>2022</v>
      </c>
      <c r="T3137" s="0" t="n">
        <f aca="false">MONTH(Q3137)</f>
        <v>4</v>
      </c>
    </row>
    <row r="3138" customFormat="false" ht="14.25" hidden="false" customHeight="false" outlineLevel="0" collapsed="false">
      <c r="C3138" s="4" t="s">
        <v>1479</v>
      </c>
      <c r="D3138" s="4" t="s">
        <v>1535</v>
      </c>
      <c r="E3138" s="14" t="s">
        <v>1639</v>
      </c>
      <c r="F3138" s="15" t="s">
        <v>2529</v>
      </c>
      <c r="G3138" s="15" t="s">
        <v>2945</v>
      </c>
      <c r="H3138" s="15" t="s">
        <v>2911</v>
      </c>
      <c r="I3138" s="15"/>
      <c r="J3138" s="15" t="s">
        <v>2946</v>
      </c>
      <c r="K3138" s="15"/>
      <c r="L3138" s="15"/>
      <c r="M3138" s="15" t="s">
        <v>2947</v>
      </c>
      <c r="N3138" s="15" t="s">
        <v>2948</v>
      </c>
      <c r="O3138" s="15"/>
      <c r="P3138" s="15" t="s">
        <v>2949</v>
      </c>
      <c r="Q3138" s="2" t="n">
        <v>44658</v>
      </c>
      <c r="S3138" s="0" t="n">
        <f aca="false">YEAR(Q3138)</f>
        <v>2022</v>
      </c>
      <c r="T3138" s="0" t="n">
        <f aca="false">MONTH(Q3138)</f>
        <v>4</v>
      </c>
    </row>
    <row r="3139" customFormat="false" ht="14.25" hidden="false" customHeight="false" outlineLevel="0" collapsed="false">
      <c r="C3139" s="1" t="s">
        <v>1479</v>
      </c>
      <c r="D3139" s="1" t="s">
        <v>1480</v>
      </c>
      <c r="E3139" s="12" t="s">
        <v>1600</v>
      </c>
      <c r="F3139" s="13" t="s">
        <v>2529</v>
      </c>
      <c r="G3139" s="13" t="s">
        <v>2950</v>
      </c>
      <c r="H3139" s="13" t="s">
        <v>2334</v>
      </c>
      <c r="I3139" s="13" t="s">
        <v>1800</v>
      </c>
      <c r="J3139" s="13" t="s">
        <v>2532</v>
      </c>
      <c r="K3139" s="13"/>
      <c r="L3139" s="13"/>
      <c r="M3139" s="13" t="s">
        <v>2951</v>
      </c>
      <c r="N3139" s="13" t="s">
        <v>2952</v>
      </c>
      <c r="O3139" s="13" t="s">
        <v>2931</v>
      </c>
      <c r="P3139" s="13" t="s">
        <v>2953</v>
      </c>
      <c r="Q3139" s="2" t="n">
        <v>44658</v>
      </c>
      <c r="S3139" s="0" t="n">
        <f aca="false">YEAR(Q3139)</f>
        <v>2022</v>
      </c>
      <c r="T3139" s="0" t="n">
        <f aca="false">MONTH(Q3139)</f>
        <v>4</v>
      </c>
    </row>
    <row r="3140" customFormat="false" ht="14.25" hidden="false" customHeight="false" outlineLevel="0" collapsed="false">
      <c r="C3140" s="1" t="s">
        <v>1503</v>
      </c>
      <c r="D3140" s="1" t="s">
        <v>1535</v>
      </c>
      <c r="E3140" s="14" t="s">
        <v>1503</v>
      </c>
      <c r="F3140" s="15" t="s">
        <v>2538</v>
      </c>
      <c r="G3140" s="15" t="s">
        <v>2954</v>
      </c>
      <c r="H3140" s="15" t="s">
        <v>2422</v>
      </c>
      <c r="I3140" s="15" t="s">
        <v>2015</v>
      </c>
      <c r="J3140" s="15" t="s">
        <v>1613</v>
      </c>
      <c r="K3140" s="15" t="s">
        <v>2704</v>
      </c>
      <c r="L3140" s="15" t="s">
        <v>2705</v>
      </c>
      <c r="M3140" s="15" t="s">
        <v>2955</v>
      </c>
      <c r="N3140" s="15" t="s">
        <v>2956</v>
      </c>
      <c r="O3140" s="15" t="s">
        <v>2957</v>
      </c>
      <c r="P3140" s="15" t="s">
        <v>2958</v>
      </c>
      <c r="Q3140" s="2" t="n">
        <v>44658</v>
      </c>
      <c r="S3140" s="0" t="n">
        <f aca="false">YEAR(Q3140)</f>
        <v>2022</v>
      </c>
      <c r="T3140" s="0" t="n">
        <f aca="false">MONTH(Q3140)</f>
        <v>4</v>
      </c>
    </row>
    <row r="3141" customFormat="false" ht="14.25" hidden="false" customHeight="false" outlineLevel="0" collapsed="false">
      <c r="C3141" s="1" t="s">
        <v>1503</v>
      </c>
      <c r="D3141" s="1" t="s">
        <v>1535</v>
      </c>
      <c r="E3141" s="12" t="s">
        <v>1503</v>
      </c>
      <c r="F3141" s="13" t="s">
        <v>2538</v>
      </c>
      <c r="G3141" s="13" t="s">
        <v>2959</v>
      </c>
      <c r="H3141" s="13" t="s">
        <v>2641</v>
      </c>
      <c r="I3141" s="13" t="s">
        <v>1939</v>
      </c>
      <c r="J3141" s="13" t="s">
        <v>2960</v>
      </c>
      <c r="K3141" s="13" t="s">
        <v>2704</v>
      </c>
      <c r="L3141" s="13" t="s">
        <v>2961</v>
      </c>
      <c r="M3141" s="13" t="s">
        <v>2962</v>
      </c>
      <c r="N3141" s="13" t="s">
        <v>2963</v>
      </c>
      <c r="O3141" s="13" t="s">
        <v>2964</v>
      </c>
      <c r="P3141" s="13" t="s">
        <v>2965</v>
      </c>
      <c r="Q3141" s="2" t="n">
        <v>44658</v>
      </c>
      <c r="S3141" s="0" t="n">
        <f aca="false">YEAR(Q3141)</f>
        <v>2022</v>
      </c>
      <c r="T3141" s="0" t="n">
        <f aca="false">MONTH(Q3141)</f>
        <v>4</v>
      </c>
    </row>
    <row r="3142" customFormat="false" ht="14.25" hidden="false" customHeight="false" outlineLevel="0" collapsed="false">
      <c r="C3142" s="4" t="s">
        <v>1479</v>
      </c>
      <c r="D3142" s="4" t="s">
        <v>1535</v>
      </c>
      <c r="E3142" s="14" t="s">
        <v>1639</v>
      </c>
      <c r="F3142" s="15" t="s">
        <v>2529</v>
      </c>
      <c r="G3142" s="15" t="s">
        <v>2966</v>
      </c>
      <c r="H3142" s="15" t="s">
        <v>1641</v>
      </c>
      <c r="I3142" s="15" t="s">
        <v>2967</v>
      </c>
      <c r="J3142" s="15" t="s">
        <v>2968</v>
      </c>
      <c r="K3142" s="15" t="s">
        <v>1633</v>
      </c>
      <c r="L3142" s="15" t="s">
        <v>2969</v>
      </c>
      <c r="M3142" s="15" t="s">
        <v>2970</v>
      </c>
      <c r="N3142" s="15" t="s">
        <v>2971</v>
      </c>
      <c r="O3142" s="15"/>
      <c r="P3142" s="15" t="s">
        <v>2972</v>
      </c>
      <c r="Q3142" s="2" t="n">
        <v>44688</v>
      </c>
      <c r="S3142" s="0" t="n">
        <f aca="false">YEAR(Q3142)</f>
        <v>2022</v>
      </c>
      <c r="T3142" s="0" t="n">
        <f aca="false">MONTH(Q3142)</f>
        <v>5</v>
      </c>
    </row>
    <row r="3143" customFormat="false" ht="14.25" hidden="false" customHeight="false" outlineLevel="0" collapsed="false">
      <c r="C3143" s="1" t="s">
        <v>1479</v>
      </c>
      <c r="D3143" s="1" t="s">
        <v>1487</v>
      </c>
      <c r="E3143" s="4" t="s">
        <v>1488</v>
      </c>
      <c r="F3143" s="15" t="s">
        <v>2529</v>
      </c>
      <c r="G3143" s="15" t="s">
        <v>2973</v>
      </c>
      <c r="H3143" s="15" t="s">
        <v>2974</v>
      </c>
      <c r="I3143" s="15" t="s">
        <v>1868</v>
      </c>
      <c r="J3143" s="15" t="s">
        <v>2975</v>
      </c>
      <c r="K3143" s="15"/>
      <c r="L3143" s="15" t="s">
        <v>2976</v>
      </c>
      <c r="M3143" s="15" t="s">
        <v>2977</v>
      </c>
      <c r="N3143" s="15" t="s">
        <v>2978</v>
      </c>
      <c r="O3143" s="15" t="s">
        <v>2979</v>
      </c>
      <c r="P3143" s="15" t="s">
        <v>2980</v>
      </c>
      <c r="Q3143" s="2" t="n">
        <v>44688</v>
      </c>
      <c r="S3143" s="0" t="n">
        <f aca="false">YEAR(Q3143)</f>
        <v>2022</v>
      </c>
      <c r="T3143" s="0" t="n">
        <f aca="false">MONTH(Q3143)</f>
        <v>5</v>
      </c>
    </row>
    <row r="3144" customFormat="false" ht="14.25" hidden="false" customHeight="false" outlineLevel="0" collapsed="false">
      <c r="C3144" s="1" t="s">
        <v>1503</v>
      </c>
      <c r="D3144" s="1" t="s">
        <v>1535</v>
      </c>
      <c r="E3144" s="12" t="s">
        <v>1503</v>
      </c>
      <c r="F3144" s="13" t="s">
        <v>2529</v>
      </c>
      <c r="G3144" s="13" t="s">
        <v>2959</v>
      </c>
      <c r="H3144" s="13" t="s">
        <v>2641</v>
      </c>
      <c r="I3144" s="13" t="s">
        <v>2057</v>
      </c>
      <c r="J3144" s="13" t="s">
        <v>2981</v>
      </c>
      <c r="K3144" s="13" t="s">
        <v>2704</v>
      </c>
      <c r="L3144" s="13" t="s">
        <v>2982</v>
      </c>
      <c r="M3144" s="13" t="s">
        <v>2983</v>
      </c>
      <c r="N3144" s="13" t="s">
        <v>2984</v>
      </c>
      <c r="O3144" s="13"/>
      <c r="P3144" s="13" t="s">
        <v>2985</v>
      </c>
      <c r="Q3144" s="2" t="n">
        <v>44688</v>
      </c>
      <c r="S3144" s="0" t="n">
        <f aca="false">YEAR(Q3144)</f>
        <v>2022</v>
      </c>
      <c r="T3144" s="0" t="n">
        <f aca="false">MONTH(Q3144)</f>
        <v>5</v>
      </c>
    </row>
    <row r="3145" customFormat="false" ht="14.25" hidden="false" customHeight="false" outlineLevel="0" collapsed="false">
      <c r="C3145" s="1" t="s">
        <v>1479</v>
      </c>
      <c r="D3145" s="1" t="s">
        <v>1496</v>
      </c>
      <c r="E3145" s="14" t="s">
        <v>1680</v>
      </c>
      <c r="F3145" s="15" t="s">
        <v>2538</v>
      </c>
      <c r="G3145" s="15" t="s">
        <v>2986</v>
      </c>
      <c r="H3145" s="15" t="s">
        <v>2987</v>
      </c>
      <c r="I3145" s="15" t="s">
        <v>2988</v>
      </c>
      <c r="J3145" s="15" t="s">
        <v>2989</v>
      </c>
      <c r="K3145" s="15" t="s">
        <v>2990</v>
      </c>
      <c r="L3145" s="15" t="s">
        <v>2991</v>
      </c>
      <c r="M3145" s="15" t="s">
        <v>2992</v>
      </c>
      <c r="N3145" s="15" t="s">
        <v>2993</v>
      </c>
      <c r="O3145" s="15" t="s">
        <v>2994</v>
      </c>
      <c r="P3145" s="15" t="s">
        <v>2995</v>
      </c>
      <c r="Q3145" s="2" t="n">
        <v>44688</v>
      </c>
      <c r="S3145" s="0" t="n">
        <f aca="false">YEAR(Q3145)</f>
        <v>2022</v>
      </c>
      <c r="T3145" s="0" t="n">
        <f aca="false">MONTH(Q3145)</f>
        <v>5</v>
      </c>
    </row>
    <row r="3146" customFormat="false" ht="14.25" hidden="false" customHeight="false" outlineLevel="0" collapsed="false">
      <c r="C3146" s="1" t="s">
        <v>1503</v>
      </c>
      <c r="D3146" s="1" t="s">
        <v>1535</v>
      </c>
      <c r="E3146" s="12" t="s">
        <v>1503</v>
      </c>
      <c r="F3146" s="13" t="s">
        <v>2538</v>
      </c>
      <c r="G3146" s="13" t="s">
        <v>1980</v>
      </c>
      <c r="H3146" s="13" t="s">
        <v>2996</v>
      </c>
      <c r="I3146" s="13"/>
      <c r="J3146" s="13" t="s">
        <v>2997</v>
      </c>
      <c r="K3146" s="13"/>
      <c r="L3146" s="13"/>
      <c r="M3146" s="13" t="s">
        <v>2998</v>
      </c>
      <c r="N3146" s="13" t="s">
        <v>2999</v>
      </c>
      <c r="O3146" s="13" t="s">
        <v>3000</v>
      </c>
      <c r="P3146" s="13" t="s">
        <v>3001</v>
      </c>
      <c r="Q3146" s="2" t="n">
        <v>44688</v>
      </c>
      <c r="S3146" s="0" t="n">
        <f aca="false">YEAR(Q3146)</f>
        <v>2022</v>
      </c>
      <c r="T3146" s="0" t="n">
        <f aca="false">MONTH(Q3146)</f>
        <v>5</v>
      </c>
    </row>
    <row r="3147" customFormat="false" ht="14.25" hidden="false" customHeight="false" outlineLevel="0" collapsed="false">
      <c r="C3147" s="1" t="s">
        <v>1479</v>
      </c>
      <c r="D3147" s="1" t="s">
        <v>1496</v>
      </c>
      <c r="E3147" s="14" t="s">
        <v>1680</v>
      </c>
      <c r="F3147" s="15" t="s">
        <v>2529</v>
      </c>
      <c r="G3147" s="15" t="s">
        <v>3002</v>
      </c>
      <c r="H3147" s="15" t="s">
        <v>2014</v>
      </c>
      <c r="I3147" s="15" t="s">
        <v>1868</v>
      </c>
      <c r="J3147" s="15" t="s">
        <v>3003</v>
      </c>
      <c r="K3147" s="15"/>
      <c r="L3147" s="15" t="s">
        <v>3004</v>
      </c>
      <c r="M3147" s="15" t="s">
        <v>3005</v>
      </c>
      <c r="N3147" s="15" t="s">
        <v>3006</v>
      </c>
      <c r="O3147" s="15" t="s">
        <v>3007</v>
      </c>
      <c r="P3147" s="15" t="s">
        <v>3008</v>
      </c>
      <c r="Q3147" s="2" t="n">
        <v>44719</v>
      </c>
      <c r="S3147" s="0" t="n">
        <f aca="false">YEAR(Q3147)</f>
        <v>2022</v>
      </c>
      <c r="T3147" s="0" t="n">
        <f aca="false">MONTH(Q3147)</f>
        <v>6</v>
      </c>
    </row>
    <row r="3148" customFormat="false" ht="14.25" hidden="false" customHeight="false" outlineLevel="0" collapsed="false">
      <c r="C3148" s="1" t="s">
        <v>1479</v>
      </c>
      <c r="D3148" s="1" t="s">
        <v>3009</v>
      </c>
      <c r="E3148" s="12" t="s">
        <v>3010</v>
      </c>
      <c r="F3148" s="13" t="s">
        <v>2538</v>
      </c>
      <c r="G3148" s="13" t="s">
        <v>3011</v>
      </c>
      <c r="H3148" s="13" t="s">
        <v>3012</v>
      </c>
      <c r="I3148" s="13"/>
      <c r="J3148" s="13" t="s">
        <v>3013</v>
      </c>
      <c r="K3148" s="13"/>
      <c r="L3148" s="13"/>
      <c r="M3148" s="13" t="s">
        <v>3014</v>
      </c>
      <c r="N3148" s="13" t="s">
        <v>3015</v>
      </c>
      <c r="O3148" s="13"/>
      <c r="P3148" s="13" t="s">
        <v>3016</v>
      </c>
      <c r="Q3148" s="2" t="n">
        <v>44719</v>
      </c>
      <c r="S3148" s="0" t="n">
        <f aca="false">YEAR(Q3148)</f>
        <v>2022</v>
      </c>
      <c r="T3148" s="0" t="n">
        <f aca="false">MONTH(Q3148)</f>
        <v>6</v>
      </c>
    </row>
    <row r="3149" customFormat="false" ht="14.25" hidden="false" customHeight="false" outlineLevel="0" collapsed="false">
      <c r="C3149" s="1" t="s">
        <v>1479</v>
      </c>
      <c r="D3149" s="1" t="s">
        <v>3009</v>
      </c>
      <c r="E3149" s="14" t="s">
        <v>3010</v>
      </c>
      <c r="F3149" s="15" t="s">
        <v>2529</v>
      </c>
      <c r="G3149" s="15" t="s">
        <v>3011</v>
      </c>
      <c r="H3149" s="15" t="s">
        <v>3012</v>
      </c>
      <c r="I3149" s="15"/>
      <c r="J3149" s="15" t="s">
        <v>3013</v>
      </c>
      <c r="K3149" s="15"/>
      <c r="L3149" s="15"/>
      <c r="M3149" s="15" t="s">
        <v>3017</v>
      </c>
      <c r="N3149" s="15" t="s">
        <v>3018</v>
      </c>
      <c r="O3149" s="15"/>
      <c r="P3149" s="15" t="s">
        <v>3019</v>
      </c>
      <c r="Q3149" s="2" t="n">
        <v>44749</v>
      </c>
      <c r="S3149" s="0" t="n">
        <f aca="false">YEAR(Q3149)</f>
        <v>2022</v>
      </c>
      <c r="T3149" s="0" t="n">
        <f aca="false">MONTH(Q3149)</f>
        <v>7</v>
      </c>
    </row>
    <row r="3150" customFormat="false" ht="14.25" hidden="false" customHeight="false" outlineLevel="0" collapsed="false">
      <c r="C3150" s="1" t="s">
        <v>1479</v>
      </c>
      <c r="D3150" s="1" t="s">
        <v>1496</v>
      </c>
      <c r="E3150" s="12" t="s">
        <v>1680</v>
      </c>
      <c r="F3150" s="13" t="s">
        <v>2538</v>
      </c>
      <c r="G3150" s="13" t="s">
        <v>3020</v>
      </c>
      <c r="H3150" s="13" t="s">
        <v>3021</v>
      </c>
      <c r="I3150" s="13" t="s">
        <v>1747</v>
      </c>
      <c r="J3150" s="13" t="s">
        <v>2315</v>
      </c>
      <c r="K3150" s="13"/>
      <c r="L3150" s="13" t="s">
        <v>3022</v>
      </c>
      <c r="M3150" s="13" t="s">
        <v>3023</v>
      </c>
      <c r="N3150" s="13" t="s">
        <v>3024</v>
      </c>
      <c r="O3150" s="13" t="s">
        <v>3025</v>
      </c>
      <c r="P3150" s="13" t="s">
        <v>3026</v>
      </c>
      <c r="Q3150" s="2" t="n">
        <v>44749</v>
      </c>
      <c r="S3150" s="0" t="n">
        <f aca="false">YEAR(Q3150)</f>
        <v>2022</v>
      </c>
      <c r="T3150" s="0" t="n">
        <f aca="false">MONTH(Q3150)</f>
        <v>7</v>
      </c>
    </row>
    <row r="3151" customFormat="false" ht="14.25" hidden="false" customHeight="false" outlineLevel="0" collapsed="false">
      <c r="C3151" s="1" t="s">
        <v>1479</v>
      </c>
      <c r="D3151" s="1" t="s">
        <v>1496</v>
      </c>
      <c r="E3151" s="14" t="s">
        <v>1680</v>
      </c>
      <c r="F3151" s="15" t="s">
        <v>2529</v>
      </c>
      <c r="G3151" s="15" t="s">
        <v>3027</v>
      </c>
      <c r="H3151" s="15" t="s">
        <v>3028</v>
      </c>
      <c r="I3151" s="15" t="s">
        <v>3029</v>
      </c>
      <c r="J3151" s="15" t="s">
        <v>3030</v>
      </c>
      <c r="K3151" s="15"/>
      <c r="L3151" s="15"/>
      <c r="M3151" s="15" t="s">
        <v>3031</v>
      </c>
      <c r="N3151" s="15" t="s">
        <v>3032</v>
      </c>
      <c r="O3151" s="15" t="s">
        <v>3033</v>
      </c>
      <c r="P3151" s="15" t="s">
        <v>3034</v>
      </c>
      <c r="Q3151" s="2" t="n">
        <v>44750</v>
      </c>
      <c r="S3151" s="0" t="n">
        <f aca="false">YEAR(Q3151)</f>
        <v>2022</v>
      </c>
      <c r="T3151" s="0" t="n">
        <f aca="false">MONTH(Q3151)</f>
        <v>7</v>
      </c>
    </row>
    <row r="3152" customFormat="false" ht="14.25" hidden="false" customHeight="false" outlineLevel="0" collapsed="false">
      <c r="C3152" s="1" t="s">
        <v>1503</v>
      </c>
      <c r="D3152" s="1" t="s">
        <v>1535</v>
      </c>
      <c r="E3152" s="12" t="s">
        <v>2829</v>
      </c>
      <c r="F3152" s="13" t="s">
        <v>2538</v>
      </c>
      <c r="G3152" s="13" t="s">
        <v>3035</v>
      </c>
      <c r="H3152" s="13" t="s">
        <v>3036</v>
      </c>
      <c r="I3152" s="13"/>
      <c r="J3152" s="13" t="s">
        <v>2721</v>
      </c>
      <c r="K3152" s="13" t="s">
        <v>2704</v>
      </c>
      <c r="L3152" s="13" t="s">
        <v>3037</v>
      </c>
      <c r="M3152" s="13" t="s">
        <v>3038</v>
      </c>
      <c r="N3152" s="13" t="s">
        <v>3039</v>
      </c>
      <c r="O3152" s="13" t="s">
        <v>3040</v>
      </c>
      <c r="P3152" s="13" t="s">
        <v>3041</v>
      </c>
      <c r="Q3152" s="2" t="n">
        <v>44750</v>
      </c>
      <c r="S3152" s="0" t="n">
        <f aca="false">YEAR(Q3152)</f>
        <v>2022</v>
      </c>
      <c r="T3152" s="0" t="n">
        <f aca="false">MONTH(Q3152)</f>
        <v>7</v>
      </c>
    </row>
    <row r="3153" customFormat="false" ht="14.25" hidden="false" customHeight="false" outlineLevel="0" collapsed="false">
      <c r="C3153" s="4" t="s">
        <v>1479</v>
      </c>
      <c r="D3153" s="4" t="s">
        <v>1535</v>
      </c>
      <c r="E3153" s="14" t="s">
        <v>1639</v>
      </c>
      <c r="F3153" s="15" t="s">
        <v>2538</v>
      </c>
      <c r="G3153" s="15" t="s">
        <v>3042</v>
      </c>
      <c r="H3153" s="15" t="s">
        <v>1641</v>
      </c>
      <c r="I3153" s="15" t="s">
        <v>3043</v>
      </c>
      <c r="J3153" s="15" t="s">
        <v>2170</v>
      </c>
      <c r="K3153" s="15" t="s">
        <v>2704</v>
      </c>
      <c r="L3153" s="15" t="s">
        <v>3044</v>
      </c>
      <c r="M3153" s="15" t="s">
        <v>3045</v>
      </c>
      <c r="N3153" s="15" t="s">
        <v>3046</v>
      </c>
      <c r="O3153" s="15" t="s">
        <v>3047</v>
      </c>
      <c r="P3153" s="15" t="s">
        <v>3048</v>
      </c>
      <c r="Q3153" s="2" t="n">
        <v>44750</v>
      </c>
      <c r="S3153" s="0" t="n">
        <f aca="false">YEAR(Q3153)</f>
        <v>2022</v>
      </c>
      <c r="T3153" s="0" t="n">
        <f aca="false">MONTH(Q3153)</f>
        <v>7</v>
      </c>
    </row>
    <row r="3154" customFormat="false" ht="14.25" hidden="false" customHeight="false" outlineLevel="0" collapsed="false">
      <c r="C3154" s="1" t="s">
        <v>1495</v>
      </c>
      <c r="D3154" s="1" t="s">
        <v>1487</v>
      </c>
      <c r="E3154" s="12" t="s">
        <v>1656</v>
      </c>
      <c r="F3154" s="13" t="s">
        <v>2538</v>
      </c>
      <c r="G3154" s="13" t="s">
        <v>3049</v>
      </c>
      <c r="H3154" s="13" t="s">
        <v>3050</v>
      </c>
      <c r="I3154" s="13" t="s">
        <v>3051</v>
      </c>
      <c r="J3154" s="13" t="s">
        <v>2365</v>
      </c>
      <c r="K3154" s="13" t="s">
        <v>2704</v>
      </c>
      <c r="L3154" s="13" t="s">
        <v>2853</v>
      </c>
      <c r="M3154" s="13" t="s">
        <v>3052</v>
      </c>
      <c r="N3154" s="13" t="s">
        <v>3053</v>
      </c>
      <c r="O3154" s="13" t="s">
        <v>3054</v>
      </c>
      <c r="P3154" s="13" t="s">
        <v>3055</v>
      </c>
      <c r="Q3154" s="2" t="n">
        <v>44750</v>
      </c>
      <c r="S3154" s="0" t="n">
        <f aca="false">YEAR(Q3154)</f>
        <v>2022</v>
      </c>
      <c r="T3154" s="0" t="n">
        <f aca="false">MONTH(Q3154)</f>
        <v>7</v>
      </c>
    </row>
    <row r="3155" customFormat="false" ht="14.25" hidden="false" customHeight="false" outlineLevel="0" collapsed="false">
      <c r="C3155" s="1" t="s">
        <v>1479</v>
      </c>
      <c r="D3155" s="1" t="s">
        <v>1487</v>
      </c>
      <c r="E3155" s="4" t="s">
        <v>1488</v>
      </c>
      <c r="F3155" s="15" t="s">
        <v>2538</v>
      </c>
      <c r="G3155" s="15" t="s">
        <v>2700</v>
      </c>
      <c r="H3155" s="15" t="s">
        <v>2701</v>
      </c>
      <c r="I3155" s="15" t="s">
        <v>2170</v>
      </c>
      <c r="J3155" s="15" t="s">
        <v>3056</v>
      </c>
      <c r="K3155" s="15" t="s">
        <v>2704</v>
      </c>
      <c r="L3155" s="15" t="s">
        <v>3057</v>
      </c>
      <c r="M3155" s="15" t="s">
        <v>2706</v>
      </c>
      <c r="N3155" s="15" t="s">
        <v>2707</v>
      </c>
      <c r="O3155" s="15" t="s">
        <v>2708</v>
      </c>
      <c r="P3155" s="15" t="s">
        <v>3058</v>
      </c>
      <c r="Q3155" s="2" t="n">
        <v>44750</v>
      </c>
      <c r="S3155" s="0" t="n">
        <f aca="false">YEAR(Q3155)</f>
        <v>2022</v>
      </c>
      <c r="T3155" s="0" t="n">
        <f aca="false">MONTH(Q3155)</f>
        <v>7</v>
      </c>
    </row>
    <row r="3156" customFormat="false" ht="14.25" hidden="false" customHeight="false" outlineLevel="0" collapsed="false">
      <c r="C3156" s="4" t="s">
        <v>1479</v>
      </c>
      <c r="D3156" s="4" t="s">
        <v>1535</v>
      </c>
      <c r="E3156" s="12" t="s">
        <v>1639</v>
      </c>
      <c r="F3156" s="13" t="s">
        <v>2538</v>
      </c>
      <c r="G3156" s="13" t="s">
        <v>3059</v>
      </c>
      <c r="H3156" s="13" t="s">
        <v>2022</v>
      </c>
      <c r="I3156" s="13" t="s">
        <v>2920</v>
      </c>
      <c r="J3156" s="13" t="s">
        <v>3060</v>
      </c>
      <c r="K3156" s="13" t="s">
        <v>2704</v>
      </c>
      <c r="L3156" s="13" t="s">
        <v>3061</v>
      </c>
      <c r="M3156" s="13" t="s">
        <v>3062</v>
      </c>
      <c r="N3156" s="13" t="s">
        <v>3063</v>
      </c>
      <c r="O3156" s="13" t="s">
        <v>3064</v>
      </c>
      <c r="P3156" s="13" t="s">
        <v>3065</v>
      </c>
      <c r="Q3156" s="2" t="n">
        <v>44750</v>
      </c>
      <c r="S3156" s="0" t="n">
        <f aca="false">YEAR(Q3156)</f>
        <v>2022</v>
      </c>
      <c r="T3156" s="0" t="n">
        <f aca="false">MONTH(Q3156)</f>
        <v>7</v>
      </c>
    </row>
    <row r="3157" customFormat="false" ht="14.25" hidden="false" customHeight="false" outlineLevel="0" collapsed="false">
      <c r="C3157" s="1" t="s">
        <v>1503</v>
      </c>
      <c r="D3157" s="1" t="s">
        <v>1504</v>
      </c>
      <c r="E3157" s="14" t="s">
        <v>3066</v>
      </c>
      <c r="F3157" s="15" t="s">
        <v>2538</v>
      </c>
      <c r="G3157" s="15" t="s">
        <v>3067</v>
      </c>
      <c r="H3157" s="15" t="s">
        <v>3068</v>
      </c>
      <c r="I3157" s="15" t="s">
        <v>3069</v>
      </c>
      <c r="J3157" s="15" t="s">
        <v>2336</v>
      </c>
      <c r="K3157" s="15" t="s">
        <v>2704</v>
      </c>
      <c r="L3157" s="15" t="s">
        <v>2853</v>
      </c>
      <c r="M3157" s="15" t="s">
        <v>3070</v>
      </c>
      <c r="N3157" s="15" t="s">
        <v>3071</v>
      </c>
      <c r="O3157" s="15" t="s">
        <v>3072</v>
      </c>
      <c r="P3157" s="15" t="s">
        <v>3073</v>
      </c>
      <c r="Q3157" s="2" t="n">
        <v>44750</v>
      </c>
      <c r="S3157" s="0" t="n">
        <f aca="false">YEAR(Q3157)</f>
        <v>2022</v>
      </c>
      <c r="T3157" s="0" t="n">
        <f aca="false">MONTH(Q3157)</f>
        <v>7</v>
      </c>
    </row>
    <row r="3158" customFormat="false" ht="14.25" hidden="false" customHeight="false" outlineLevel="0" collapsed="false">
      <c r="C3158" s="4" t="s">
        <v>1479</v>
      </c>
      <c r="D3158" s="4" t="s">
        <v>1535</v>
      </c>
      <c r="E3158" s="12" t="s">
        <v>1639</v>
      </c>
      <c r="F3158" s="13" t="s">
        <v>2529</v>
      </c>
      <c r="G3158" s="13" t="s">
        <v>3074</v>
      </c>
      <c r="H3158" s="13" t="s">
        <v>3075</v>
      </c>
      <c r="I3158" s="13" t="s">
        <v>1676</v>
      </c>
      <c r="J3158" s="13" t="s">
        <v>3076</v>
      </c>
      <c r="K3158" s="13" t="s">
        <v>3077</v>
      </c>
      <c r="L3158" s="13" t="s">
        <v>3078</v>
      </c>
      <c r="M3158" s="13" t="s">
        <v>3079</v>
      </c>
      <c r="N3158" s="13" t="s">
        <v>3080</v>
      </c>
      <c r="O3158" s="13" t="s">
        <v>3081</v>
      </c>
      <c r="P3158" s="13" t="s">
        <v>3082</v>
      </c>
      <c r="Q3158" s="2" t="n">
        <v>44754</v>
      </c>
      <c r="S3158" s="0" t="n">
        <f aca="false">YEAR(Q3158)</f>
        <v>2022</v>
      </c>
      <c r="T3158" s="0" t="n">
        <f aca="false">MONTH(Q3158)</f>
        <v>7</v>
      </c>
    </row>
    <row r="3159" customFormat="false" ht="14.25" hidden="false" customHeight="false" outlineLevel="0" collapsed="false">
      <c r="C3159" s="4" t="s">
        <v>1479</v>
      </c>
      <c r="D3159" s="4" t="s">
        <v>1535</v>
      </c>
      <c r="E3159" s="14" t="s">
        <v>1639</v>
      </c>
      <c r="F3159" s="15" t="s">
        <v>2529</v>
      </c>
      <c r="G3159" s="15" t="s">
        <v>3083</v>
      </c>
      <c r="H3159" s="15" t="s">
        <v>2022</v>
      </c>
      <c r="I3159" s="15" t="s">
        <v>3084</v>
      </c>
      <c r="J3159" s="15" t="s">
        <v>3085</v>
      </c>
      <c r="K3159" s="15" t="s">
        <v>2704</v>
      </c>
      <c r="L3159" s="15" t="s">
        <v>3086</v>
      </c>
      <c r="M3159" s="15" t="s">
        <v>3087</v>
      </c>
      <c r="N3159" s="15" t="s">
        <v>3088</v>
      </c>
      <c r="O3159" s="15" t="s">
        <v>3089</v>
      </c>
      <c r="P3159" s="15" t="s">
        <v>3090</v>
      </c>
      <c r="Q3159" s="2" t="n">
        <v>44755</v>
      </c>
      <c r="S3159" s="0" t="n">
        <f aca="false">YEAR(Q3159)</f>
        <v>2022</v>
      </c>
      <c r="T3159" s="0" t="n">
        <f aca="false">MONTH(Q3159)</f>
        <v>7</v>
      </c>
    </row>
    <row r="3160" customFormat="false" ht="14.25" hidden="false" customHeight="false" outlineLevel="0" collapsed="false">
      <c r="C3160" s="1" t="s">
        <v>1479</v>
      </c>
      <c r="D3160" s="1" t="s">
        <v>1487</v>
      </c>
      <c r="E3160" s="4" t="s">
        <v>1488</v>
      </c>
      <c r="F3160" s="13" t="s">
        <v>2538</v>
      </c>
      <c r="G3160" s="13" t="s">
        <v>3091</v>
      </c>
      <c r="H3160" s="13" t="s">
        <v>3092</v>
      </c>
      <c r="I3160" s="13" t="s">
        <v>1939</v>
      </c>
      <c r="J3160" s="13" t="s">
        <v>2170</v>
      </c>
      <c r="K3160" s="13"/>
      <c r="L3160" s="13" t="s">
        <v>3093</v>
      </c>
      <c r="M3160" s="13" t="s">
        <v>3094</v>
      </c>
      <c r="N3160" s="13" t="s">
        <v>3095</v>
      </c>
      <c r="O3160" s="13" t="s">
        <v>3096</v>
      </c>
      <c r="P3160" s="13" t="s">
        <v>3097</v>
      </c>
      <c r="Q3160" s="2" t="n">
        <v>44755</v>
      </c>
      <c r="S3160" s="0" t="n">
        <f aca="false">YEAR(Q3160)</f>
        <v>2022</v>
      </c>
      <c r="T3160" s="0" t="n">
        <f aca="false">MONTH(Q3160)</f>
        <v>7</v>
      </c>
    </row>
    <row r="3161" customFormat="false" ht="14.25" hidden="false" customHeight="false" outlineLevel="0" collapsed="false">
      <c r="C3161" s="1" t="s">
        <v>1479</v>
      </c>
      <c r="D3161" s="1" t="s">
        <v>1487</v>
      </c>
      <c r="E3161" s="4" t="s">
        <v>1488</v>
      </c>
      <c r="F3161" s="15" t="s">
        <v>2529</v>
      </c>
      <c r="G3161" s="15" t="s">
        <v>3098</v>
      </c>
      <c r="H3161" s="15" t="s">
        <v>3099</v>
      </c>
      <c r="I3161" s="15" t="s">
        <v>2096</v>
      </c>
      <c r="J3161" s="15" t="s">
        <v>3100</v>
      </c>
      <c r="K3161" s="15" t="s">
        <v>3101</v>
      </c>
      <c r="L3161" s="15" t="s">
        <v>3102</v>
      </c>
      <c r="M3161" s="15" t="s">
        <v>3103</v>
      </c>
      <c r="N3161" s="15" t="s">
        <v>3104</v>
      </c>
      <c r="O3161" s="15" t="s">
        <v>3105</v>
      </c>
      <c r="P3161" s="15" t="s">
        <v>3106</v>
      </c>
      <c r="Q3161" s="2" t="n">
        <v>44757</v>
      </c>
      <c r="S3161" s="0" t="n">
        <f aca="false">YEAR(Q3161)</f>
        <v>2022</v>
      </c>
      <c r="T3161" s="0" t="n">
        <f aca="false">MONTH(Q3161)</f>
        <v>7</v>
      </c>
    </row>
    <row r="3162" customFormat="false" ht="14.25" hidden="false" customHeight="false" outlineLevel="0" collapsed="false">
      <c r="C3162" s="4" t="s">
        <v>1495</v>
      </c>
      <c r="D3162" s="4" t="s">
        <v>1487</v>
      </c>
      <c r="E3162" s="12" t="s">
        <v>1712</v>
      </c>
      <c r="F3162" s="13" t="s">
        <v>2538</v>
      </c>
      <c r="G3162" s="13" t="s">
        <v>3107</v>
      </c>
      <c r="H3162" s="13" t="s">
        <v>3108</v>
      </c>
      <c r="I3162" s="13" t="s">
        <v>2114</v>
      </c>
      <c r="J3162" s="13" t="s">
        <v>3109</v>
      </c>
      <c r="K3162" s="13"/>
      <c r="L3162" s="13" t="s">
        <v>1625</v>
      </c>
      <c r="M3162" s="13" t="s">
        <v>3110</v>
      </c>
      <c r="N3162" s="13" t="s">
        <v>3111</v>
      </c>
      <c r="O3162" s="13" t="s">
        <v>3112</v>
      </c>
      <c r="P3162" s="13" t="s">
        <v>3113</v>
      </c>
      <c r="Q3162" s="2" t="n">
        <v>44760</v>
      </c>
      <c r="S3162" s="0" t="n">
        <f aca="false">YEAR(Q3162)</f>
        <v>2022</v>
      </c>
      <c r="T3162" s="0" t="n">
        <f aca="false">MONTH(Q3162)</f>
        <v>7</v>
      </c>
    </row>
    <row r="3163" customFormat="false" ht="14.25" hidden="false" customHeight="false" outlineLevel="0" collapsed="false">
      <c r="C3163" s="1" t="s">
        <v>1503</v>
      </c>
      <c r="D3163" s="1" t="s">
        <v>1535</v>
      </c>
      <c r="E3163" s="14" t="s">
        <v>2829</v>
      </c>
      <c r="F3163" s="15" t="s">
        <v>2529</v>
      </c>
      <c r="G3163" s="15" t="s">
        <v>3114</v>
      </c>
      <c r="H3163" s="15" t="s">
        <v>2422</v>
      </c>
      <c r="I3163" s="15" t="s">
        <v>3115</v>
      </c>
      <c r="J3163" s="15" t="s">
        <v>3116</v>
      </c>
      <c r="K3163" s="15" t="s">
        <v>3117</v>
      </c>
      <c r="L3163" s="15" t="s">
        <v>1948</v>
      </c>
      <c r="M3163" s="15" t="s">
        <v>3118</v>
      </c>
      <c r="N3163" s="15" t="s">
        <v>3119</v>
      </c>
      <c r="O3163" s="15" t="s">
        <v>3120</v>
      </c>
      <c r="P3163" s="15" t="s">
        <v>3121</v>
      </c>
      <c r="Q3163" s="2" t="n">
        <v>44761</v>
      </c>
      <c r="S3163" s="0" t="n">
        <f aca="false">YEAR(Q3163)</f>
        <v>2022</v>
      </c>
      <c r="T3163" s="0" t="n">
        <f aca="false">MONTH(Q3163)</f>
        <v>7</v>
      </c>
    </row>
    <row r="3164" customFormat="false" ht="14.25" hidden="false" customHeight="false" outlineLevel="0" collapsed="false">
      <c r="C3164" s="1" t="s">
        <v>1479</v>
      </c>
      <c r="D3164" s="1" t="s">
        <v>1487</v>
      </c>
      <c r="E3164" s="4" t="s">
        <v>1488</v>
      </c>
      <c r="F3164" s="13" t="s">
        <v>2538</v>
      </c>
      <c r="G3164" s="13"/>
      <c r="H3164" s="13" t="s">
        <v>3122</v>
      </c>
      <c r="I3164" s="13"/>
      <c r="J3164" s="13"/>
      <c r="K3164" s="13"/>
      <c r="L3164" s="13"/>
      <c r="M3164" s="13" t="s">
        <v>3123</v>
      </c>
      <c r="N3164" s="13" t="s">
        <v>3124</v>
      </c>
      <c r="O3164" s="13" t="s">
        <v>3125</v>
      </c>
      <c r="P3164" s="13" t="s">
        <v>3126</v>
      </c>
      <c r="Q3164" s="2" t="n">
        <v>44761</v>
      </c>
      <c r="S3164" s="0" t="n">
        <f aca="false">YEAR(Q3164)</f>
        <v>2022</v>
      </c>
      <c r="T3164" s="0" t="n">
        <f aca="false">MONTH(Q3164)</f>
        <v>7</v>
      </c>
    </row>
    <row r="3165" customFormat="false" ht="14.25" hidden="false" customHeight="false" outlineLevel="0" collapsed="false">
      <c r="C3165" s="4" t="s">
        <v>1479</v>
      </c>
      <c r="D3165" s="4" t="s">
        <v>1535</v>
      </c>
      <c r="E3165" s="14" t="s">
        <v>1639</v>
      </c>
      <c r="F3165" s="15" t="s">
        <v>2529</v>
      </c>
      <c r="G3165" s="15" t="s">
        <v>3127</v>
      </c>
      <c r="H3165" s="15" t="s">
        <v>2912</v>
      </c>
      <c r="I3165" s="15" t="s">
        <v>2084</v>
      </c>
      <c r="J3165" s="15" t="s">
        <v>2359</v>
      </c>
      <c r="K3165" s="15" t="s">
        <v>3128</v>
      </c>
      <c r="L3165" s="15" t="s">
        <v>3129</v>
      </c>
      <c r="M3165" s="15" t="s">
        <v>3130</v>
      </c>
      <c r="N3165" s="15" t="s">
        <v>3131</v>
      </c>
      <c r="O3165" s="15" t="s">
        <v>3132</v>
      </c>
      <c r="P3165" s="15" t="s">
        <v>3133</v>
      </c>
      <c r="Q3165" s="2" t="n">
        <v>44762</v>
      </c>
      <c r="S3165" s="0" t="n">
        <f aca="false">YEAR(Q3165)</f>
        <v>2022</v>
      </c>
      <c r="T3165" s="0" t="n">
        <f aca="false">MONTH(Q3165)</f>
        <v>7</v>
      </c>
    </row>
    <row r="3166" customFormat="false" ht="14.25" hidden="false" customHeight="false" outlineLevel="0" collapsed="false">
      <c r="C3166" s="4" t="s">
        <v>1479</v>
      </c>
      <c r="D3166" s="4" t="s">
        <v>1535</v>
      </c>
      <c r="E3166" s="12" t="s">
        <v>1639</v>
      </c>
      <c r="F3166" s="13" t="s">
        <v>2529</v>
      </c>
      <c r="G3166" s="13" t="s">
        <v>3127</v>
      </c>
      <c r="H3166" s="13" t="s">
        <v>2912</v>
      </c>
      <c r="I3166" s="13" t="s">
        <v>2289</v>
      </c>
      <c r="J3166" s="13" t="s">
        <v>3134</v>
      </c>
      <c r="K3166" s="13" t="s">
        <v>3128</v>
      </c>
      <c r="L3166" s="13" t="s">
        <v>2502</v>
      </c>
      <c r="M3166" s="13" t="s">
        <v>3135</v>
      </c>
      <c r="N3166" s="13" t="s">
        <v>3131</v>
      </c>
      <c r="O3166" s="13" t="s">
        <v>3136</v>
      </c>
      <c r="P3166" s="13" t="s">
        <v>3137</v>
      </c>
      <c r="Q3166" s="2" t="n">
        <v>44762</v>
      </c>
      <c r="S3166" s="0" t="n">
        <f aca="false">YEAR(Q3166)</f>
        <v>2022</v>
      </c>
      <c r="T3166" s="0" t="n">
        <f aca="false">MONTH(Q3166)</f>
        <v>7</v>
      </c>
    </row>
    <row r="3167" customFormat="false" ht="14.25" hidden="false" customHeight="false" outlineLevel="0" collapsed="false">
      <c r="C3167" s="1" t="s">
        <v>1495</v>
      </c>
      <c r="D3167" s="1" t="s">
        <v>1487</v>
      </c>
      <c r="E3167" s="14" t="s">
        <v>1656</v>
      </c>
      <c r="F3167" s="15" t="s">
        <v>2529</v>
      </c>
      <c r="G3167" s="15" t="s">
        <v>3138</v>
      </c>
      <c r="H3167" s="15" t="s">
        <v>3139</v>
      </c>
      <c r="I3167" s="15" t="s">
        <v>3140</v>
      </c>
      <c r="J3167" s="15" t="s">
        <v>3141</v>
      </c>
      <c r="K3167" s="15"/>
      <c r="L3167" s="15" t="s">
        <v>2502</v>
      </c>
      <c r="M3167" s="15" t="s">
        <v>3142</v>
      </c>
      <c r="N3167" s="15" t="s">
        <v>3143</v>
      </c>
      <c r="O3167" s="15" t="s">
        <v>3144</v>
      </c>
      <c r="P3167" s="15" t="s">
        <v>3145</v>
      </c>
      <c r="Q3167" s="2" t="n">
        <v>44762</v>
      </c>
      <c r="S3167" s="0" t="n">
        <f aca="false">YEAR(Q3167)</f>
        <v>2022</v>
      </c>
      <c r="T3167" s="0" t="n">
        <f aca="false">MONTH(Q3167)</f>
        <v>7</v>
      </c>
    </row>
    <row r="3168" customFormat="false" ht="14.25" hidden="false" customHeight="false" outlineLevel="0" collapsed="false">
      <c r="C3168" s="4" t="s">
        <v>1479</v>
      </c>
      <c r="D3168" s="4" t="s">
        <v>1535</v>
      </c>
      <c r="E3168" s="12" t="s">
        <v>1639</v>
      </c>
      <c r="F3168" s="13" t="s">
        <v>2538</v>
      </c>
      <c r="G3168" s="13" t="s">
        <v>2911</v>
      </c>
      <c r="H3168" s="13" t="s">
        <v>3146</v>
      </c>
      <c r="I3168" s="16" t="n">
        <v>0.583333333333333</v>
      </c>
      <c r="J3168" s="16" t="n">
        <v>0.590277777777778</v>
      </c>
      <c r="K3168" s="13"/>
      <c r="L3168" s="13" t="s">
        <v>3147</v>
      </c>
      <c r="M3168" s="13" t="s">
        <v>3148</v>
      </c>
      <c r="N3168" s="13" t="s">
        <v>3149</v>
      </c>
      <c r="O3168" s="13" t="s">
        <v>3150</v>
      </c>
      <c r="P3168" s="13" t="s">
        <v>3151</v>
      </c>
      <c r="Q3168" s="2" t="n">
        <v>44762</v>
      </c>
      <c r="S3168" s="0" t="n">
        <f aca="false">YEAR(Q3168)</f>
        <v>2022</v>
      </c>
      <c r="T3168" s="0" t="n">
        <f aca="false">MONTH(Q3168)</f>
        <v>7</v>
      </c>
    </row>
    <row r="3169" customFormat="false" ht="14.25" hidden="false" customHeight="false" outlineLevel="0" collapsed="false">
      <c r="C3169" s="1" t="s">
        <v>1479</v>
      </c>
      <c r="D3169" s="1" t="s">
        <v>1487</v>
      </c>
      <c r="E3169" s="4" t="s">
        <v>1488</v>
      </c>
      <c r="F3169" s="15" t="s">
        <v>2538</v>
      </c>
      <c r="G3169" s="15" t="s">
        <v>3152</v>
      </c>
      <c r="H3169" s="15" t="s">
        <v>3153</v>
      </c>
      <c r="I3169" s="15" t="s">
        <v>3154</v>
      </c>
      <c r="J3169" s="17" t="n">
        <v>0.690972222222222</v>
      </c>
      <c r="K3169" s="15"/>
      <c r="L3169" s="15" t="s">
        <v>3155</v>
      </c>
      <c r="M3169" s="15" t="s">
        <v>3156</v>
      </c>
      <c r="N3169" s="15" t="s">
        <v>3157</v>
      </c>
      <c r="O3169" s="15" t="s">
        <v>3158</v>
      </c>
      <c r="P3169" s="15" t="s">
        <v>3159</v>
      </c>
      <c r="Q3169" s="2" t="n">
        <v>44762</v>
      </c>
      <c r="S3169" s="0" t="n">
        <f aca="false">YEAR(Q3169)</f>
        <v>2022</v>
      </c>
      <c r="T3169" s="0" t="n">
        <f aca="false">MONTH(Q3169)</f>
        <v>7</v>
      </c>
    </row>
    <row r="3170" customFormat="false" ht="14.25" hidden="false" customHeight="false" outlineLevel="0" collapsed="false">
      <c r="C3170" s="1" t="s">
        <v>1503</v>
      </c>
      <c r="D3170" s="1" t="s">
        <v>1535</v>
      </c>
      <c r="E3170" s="12" t="s">
        <v>1503</v>
      </c>
      <c r="F3170" s="13" t="s">
        <v>2538</v>
      </c>
      <c r="G3170" s="13" t="s">
        <v>2741</v>
      </c>
      <c r="H3170" s="13" t="s">
        <v>3160</v>
      </c>
      <c r="I3170" s="16" t="n">
        <v>0.666666666666667</v>
      </c>
      <c r="J3170" s="16" t="n">
        <v>0.701388888888889</v>
      </c>
      <c r="K3170" s="13"/>
      <c r="L3170" s="13" t="s">
        <v>3161</v>
      </c>
      <c r="M3170" s="13" t="s">
        <v>3162</v>
      </c>
      <c r="N3170" s="13" t="s">
        <v>3163</v>
      </c>
      <c r="O3170" s="13" t="s">
        <v>3164</v>
      </c>
      <c r="P3170" s="13" t="s">
        <v>3165</v>
      </c>
      <c r="Q3170" s="2" t="n">
        <v>44762</v>
      </c>
      <c r="S3170" s="0" t="n">
        <f aca="false">YEAR(Q3170)</f>
        <v>2022</v>
      </c>
      <c r="T3170" s="0" t="n">
        <f aca="false">MONTH(Q3170)</f>
        <v>7</v>
      </c>
    </row>
    <row r="3171" customFormat="false" ht="14.25" hidden="false" customHeight="false" outlineLevel="0" collapsed="false">
      <c r="C3171" s="1" t="s">
        <v>1479</v>
      </c>
      <c r="D3171" s="1" t="s">
        <v>1863</v>
      </c>
      <c r="E3171" s="14" t="s">
        <v>1479</v>
      </c>
      <c r="F3171" s="15" t="s">
        <v>2538</v>
      </c>
      <c r="G3171" s="15" t="s">
        <v>3166</v>
      </c>
      <c r="H3171" s="15" t="s">
        <v>3167</v>
      </c>
      <c r="I3171" s="17" t="n">
        <v>0.708333333333333</v>
      </c>
      <c r="J3171" s="17" t="n">
        <v>0.743055555555555</v>
      </c>
      <c r="K3171" s="15"/>
      <c r="L3171" s="15" t="s">
        <v>3168</v>
      </c>
      <c r="M3171" s="15" t="s">
        <v>3169</v>
      </c>
      <c r="N3171" s="15" t="s">
        <v>3170</v>
      </c>
      <c r="O3171" s="15" t="s">
        <v>3171</v>
      </c>
      <c r="P3171" s="15" t="s">
        <v>3172</v>
      </c>
      <c r="Q3171" s="2" t="n">
        <v>44762</v>
      </c>
      <c r="S3171" s="0" t="n">
        <f aca="false">YEAR(Q3171)</f>
        <v>2022</v>
      </c>
      <c r="T3171" s="0" t="n">
        <f aca="false">MONTH(Q3171)</f>
        <v>7</v>
      </c>
    </row>
    <row r="3172" customFormat="false" ht="14.25" hidden="false" customHeight="false" outlineLevel="0" collapsed="false">
      <c r="C3172" s="1" t="s">
        <v>1503</v>
      </c>
      <c r="D3172" s="1" t="s">
        <v>1648</v>
      </c>
      <c r="E3172" s="12" t="s">
        <v>1648</v>
      </c>
      <c r="F3172" s="13" t="s">
        <v>2538</v>
      </c>
      <c r="G3172" s="13" t="s">
        <v>1874</v>
      </c>
      <c r="H3172" s="13" t="s">
        <v>1946</v>
      </c>
      <c r="I3172" s="16" t="n">
        <v>0.833333333333333</v>
      </c>
      <c r="J3172" s="13" t="s">
        <v>3173</v>
      </c>
      <c r="K3172" s="13"/>
      <c r="L3172" s="13" t="s">
        <v>3174</v>
      </c>
      <c r="M3172" s="13" t="s">
        <v>3175</v>
      </c>
      <c r="N3172" s="13" t="s">
        <v>3176</v>
      </c>
      <c r="O3172" s="13" t="s">
        <v>3177</v>
      </c>
      <c r="P3172" s="13" t="s">
        <v>3178</v>
      </c>
      <c r="Q3172" s="2" t="n">
        <v>44762</v>
      </c>
      <c r="S3172" s="0" t="n">
        <f aca="false">YEAR(Q3172)</f>
        <v>2022</v>
      </c>
      <c r="T3172" s="0" t="n">
        <f aca="false">MONTH(Q3172)</f>
        <v>7</v>
      </c>
    </row>
    <row r="3173" customFormat="false" ht="14.25" hidden="false" customHeight="false" outlineLevel="0" collapsed="false">
      <c r="C3173" s="4" t="s">
        <v>1479</v>
      </c>
      <c r="D3173" s="4" t="s">
        <v>1535</v>
      </c>
      <c r="E3173" s="14" t="s">
        <v>1639</v>
      </c>
      <c r="F3173" s="15" t="s">
        <v>2529</v>
      </c>
      <c r="G3173" s="15" t="s">
        <v>3179</v>
      </c>
      <c r="H3173" s="15" t="s">
        <v>3180</v>
      </c>
      <c r="I3173" s="15"/>
      <c r="J3173" s="15" t="s">
        <v>3181</v>
      </c>
      <c r="K3173" s="15"/>
      <c r="L3173" s="15"/>
      <c r="M3173" s="15" t="s">
        <v>3182</v>
      </c>
      <c r="N3173" s="15" t="s">
        <v>3183</v>
      </c>
      <c r="O3173" s="15" t="s">
        <v>3184</v>
      </c>
      <c r="P3173" s="15" t="s">
        <v>3185</v>
      </c>
      <c r="Q3173" s="2" t="n">
        <v>44763</v>
      </c>
      <c r="S3173" s="0" t="n">
        <f aca="false">YEAR(Q3173)</f>
        <v>2022</v>
      </c>
      <c r="T3173" s="0" t="n">
        <f aca="false">MONTH(Q3173)</f>
        <v>7</v>
      </c>
    </row>
    <row r="3174" customFormat="false" ht="14.25" hidden="false" customHeight="false" outlineLevel="0" collapsed="false">
      <c r="C3174" s="1" t="s">
        <v>1495</v>
      </c>
      <c r="D3174" s="1" t="s">
        <v>1487</v>
      </c>
      <c r="E3174" s="12" t="s">
        <v>1495</v>
      </c>
      <c r="F3174" s="13" t="s">
        <v>2538</v>
      </c>
      <c r="G3174" s="13" t="s">
        <v>3186</v>
      </c>
      <c r="H3174" s="13" t="s">
        <v>3187</v>
      </c>
      <c r="I3174" s="13" t="s">
        <v>3154</v>
      </c>
      <c r="J3174" s="16" t="n">
        <v>0.694444444444444</v>
      </c>
      <c r="K3174" s="13" t="s">
        <v>3188</v>
      </c>
      <c r="L3174" s="13" t="s">
        <v>2853</v>
      </c>
      <c r="M3174" s="13" t="s">
        <v>3189</v>
      </c>
      <c r="N3174" s="13" t="s">
        <v>3190</v>
      </c>
      <c r="O3174" s="13" t="s">
        <v>3191</v>
      </c>
      <c r="P3174" s="13" t="s">
        <v>3192</v>
      </c>
      <c r="Q3174" s="2" t="n">
        <v>44763</v>
      </c>
      <c r="S3174" s="0" t="n">
        <f aca="false">YEAR(Q3174)</f>
        <v>2022</v>
      </c>
      <c r="T3174" s="0" t="n">
        <f aca="false">MONTH(Q3174)</f>
        <v>7</v>
      </c>
    </row>
    <row r="3175" customFormat="false" ht="14.25" hidden="false" customHeight="false" outlineLevel="0" collapsed="false">
      <c r="C3175" s="4" t="s">
        <v>1479</v>
      </c>
      <c r="D3175" s="4" t="s">
        <v>1535</v>
      </c>
      <c r="E3175" s="14" t="s">
        <v>1639</v>
      </c>
      <c r="F3175" s="15" t="s">
        <v>2529</v>
      </c>
      <c r="G3175" s="15" t="s">
        <v>3179</v>
      </c>
      <c r="H3175" s="15" t="s">
        <v>3180</v>
      </c>
      <c r="I3175" s="15"/>
      <c r="J3175" s="15" t="s">
        <v>3181</v>
      </c>
      <c r="K3175" s="15"/>
      <c r="L3175" s="15"/>
      <c r="M3175" s="15" t="s">
        <v>3182</v>
      </c>
      <c r="N3175" s="15" t="s">
        <v>3183</v>
      </c>
      <c r="O3175" s="15" t="s">
        <v>3184</v>
      </c>
      <c r="P3175" s="15" t="s">
        <v>3185</v>
      </c>
      <c r="Q3175" s="2" t="n">
        <v>44763</v>
      </c>
      <c r="S3175" s="0" t="n">
        <f aca="false">YEAR(Q3175)</f>
        <v>2022</v>
      </c>
      <c r="T3175" s="0" t="n">
        <f aca="false">MONTH(Q3175)</f>
        <v>7</v>
      </c>
    </row>
    <row r="3176" customFormat="false" ht="14.25" hidden="false" customHeight="false" outlineLevel="0" collapsed="false">
      <c r="C3176" s="1" t="s">
        <v>1495</v>
      </c>
      <c r="D3176" s="1" t="s">
        <v>1487</v>
      </c>
      <c r="E3176" s="12" t="s">
        <v>1495</v>
      </c>
      <c r="F3176" s="13" t="s">
        <v>2538</v>
      </c>
      <c r="G3176" s="13" t="s">
        <v>3186</v>
      </c>
      <c r="H3176" s="13" t="s">
        <v>3187</v>
      </c>
      <c r="I3176" s="13" t="s">
        <v>3154</v>
      </c>
      <c r="J3176" s="16" t="n">
        <v>0.694444444444444</v>
      </c>
      <c r="K3176" s="13" t="s">
        <v>3188</v>
      </c>
      <c r="L3176" s="13" t="s">
        <v>2853</v>
      </c>
      <c r="M3176" s="13" t="s">
        <v>3189</v>
      </c>
      <c r="N3176" s="13" t="s">
        <v>3190</v>
      </c>
      <c r="O3176" s="13" t="s">
        <v>3191</v>
      </c>
      <c r="P3176" s="13" t="s">
        <v>3192</v>
      </c>
      <c r="Q3176" s="2" t="n">
        <v>44763</v>
      </c>
      <c r="S3176" s="0" t="n">
        <f aca="false">YEAR(Q3176)</f>
        <v>2022</v>
      </c>
      <c r="T3176" s="0" t="n">
        <f aca="false">MONTH(Q3176)</f>
        <v>7</v>
      </c>
    </row>
    <row r="3177" customFormat="false" ht="14.25" hidden="false" customHeight="false" outlineLevel="0" collapsed="false">
      <c r="C3177" s="1" t="s">
        <v>1495</v>
      </c>
      <c r="D3177" s="1" t="s">
        <v>1496</v>
      </c>
      <c r="E3177" s="14" t="s">
        <v>1619</v>
      </c>
      <c r="F3177" s="15" t="s">
        <v>2529</v>
      </c>
      <c r="G3177" s="15" t="s">
        <v>3193</v>
      </c>
      <c r="H3177" s="15" t="s">
        <v>2149</v>
      </c>
      <c r="I3177" s="15" t="s">
        <v>2050</v>
      </c>
      <c r="J3177" s="15" t="s">
        <v>3194</v>
      </c>
      <c r="K3177" s="15" t="s">
        <v>3195</v>
      </c>
      <c r="L3177" s="15" t="s">
        <v>3196</v>
      </c>
      <c r="M3177" s="15" t="s">
        <v>3197</v>
      </c>
      <c r="N3177" s="15" t="s">
        <v>3198</v>
      </c>
      <c r="O3177" s="15" t="s">
        <v>3199</v>
      </c>
      <c r="P3177" s="15" t="s">
        <v>3200</v>
      </c>
      <c r="Q3177" s="2" t="n">
        <v>44767</v>
      </c>
      <c r="S3177" s="0" t="n">
        <f aca="false">YEAR(Q3177)</f>
        <v>2022</v>
      </c>
      <c r="T3177" s="0" t="n">
        <f aca="false">MONTH(Q3177)</f>
        <v>7</v>
      </c>
    </row>
    <row r="3178" customFormat="false" ht="14.25" hidden="false" customHeight="false" outlineLevel="0" collapsed="false">
      <c r="C3178" s="1" t="s">
        <v>1479</v>
      </c>
      <c r="D3178" s="1" t="s">
        <v>1863</v>
      </c>
      <c r="E3178" s="12" t="s">
        <v>1864</v>
      </c>
      <c r="F3178" s="13" t="s">
        <v>2529</v>
      </c>
      <c r="G3178" s="13" t="s">
        <v>3201</v>
      </c>
      <c r="H3178" s="13" t="s">
        <v>3202</v>
      </c>
      <c r="I3178" s="13" t="s">
        <v>3203</v>
      </c>
      <c r="J3178" s="13" t="s">
        <v>3204</v>
      </c>
      <c r="K3178" s="13"/>
      <c r="L3178" s="13"/>
      <c r="M3178" s="13" t="s">
        <v>3205</v>
      </c>
      <c r="N3178" s="13" t="s">
        <v>3206</v>
      </c>
      <c r="O3178" s="13" t="s">
        <v>3207</v>
      </c>
      <c r="P3178" s="13" t="s">
        <v>3208</v>
      </c>
      <c r="Q3178" s="2" t="n">
        <v>44768</v>
      </c>
      <c r="S3178" s="0" t="n">
        <f aca="false">YEAR(Q3178)</f>
        <v>2022</v>
      </c>
      <c r="T3178" s="0" t="n">
        <f aca="false">MONTH(Q3178)</f>
        <v>7</v>
      </c>
    </row>
    <row r="3179" customFormat="false" ht="14.25" hidden="false" customHeight="false" outlineLevel="0" collapsed="false">
      <c r="C3179" s="1" t="s">
        <v>1503</v>
      </c>
      <c r="D3179" s="1" t="s">
        <v>1504</v>
      </c>
      <c r="E3179" s="14" t="s">
        <v>1503</v>
      </c>
      <c r="F3179" s="15" t="s">
        <v>2529</v>
      </c>
      <c r="G3179" s="15" t="s">
        <v>3209</v>
      </c>
      <c r="H3179" s="15" t="s">
        <v>1698</v>
      </c>
      <c r="I3179" s="15" t="s">
        <v>3210</v>
      </c>
      <c r="J3179" s="15" t="s">
        <v>3211</v>
      </c>
      <c r="K3179" s="15" t="s">
        <v>3212</v>
      </c>
      <c r="L3179" s="15" t="s">
        <v>3213</v>
      </c>
      <c r="M3179" s="15" t="s">
        <v>3214</v>
      </c>
      <c r="N3179" s="15" t="s">
        <v>3215</v>
      </c>
      <c r="O3179" s="15" t="s">
        <v>3216</v>
      </c>
      <c r="P3179" s="15" t="s">
        <v>3217</v>
      </c>
      <c r="Q3179" s="2" t="n">
        <v>44768</v>
      </c>
      <c r="S3179" s="0" t="n">
        <f aca="false">YEAR(Q3179)</f>
        <v>2022</v>
      </c>
      <c r="T3179" s="0" t="n">
        <f aca="false">MONTH(Q3179)</f>
        <v>7</v>
      </c>
    </row>
    <row r="3180" customFormat="false" ht="14.25" hidden="false" customHeight="false" outlineLevel="0" collapsed="false">
      <c r="C3180" s="4" t="s">
        <v>1479</v>
      </c>
      <c r="D3180" s="4" t="s">
        <v>1535</v>
      </c>
      <c r="E3180" s="12" t="s">
        <v>1639</v>
      </c>
      <c r="F3180" s="13" t="s">
        <v>2538</v>
      </c>
      <c r="G3180" s="13" t="s">
        <v>3218</v>
      </c>
      <c r="H3180" s="13" t="s">
        <v>3219</v>
      </c>
      <c r="I3180" s="13" t="s">
        <v>2743</v>
      </c>
      <c r="J3180" s="13" t="s">
        <v>1613</v>
      </c>
      <c r="K3180" s="13"/>
      <c r="L3180" s="13" t="s">
        <v>1851</v>
      </c>
      <c r="M3180" s="13" t="s">
        <v>3220</v>
      </c>
      <c r="N3180" s="13" t="s">
        <v>3221</v>
      </c>
      <c r="O3180" s="13" t="s">
        <v>3222</v>
      </c>
      <c r="P3180" s="13" t="s">
        <v>3223</v>
      </c>
      <c r="Q3180" s="2" t="n">
        <v>44768</v>
      </c>
      <c r="S3180" s="0" t="n">
        <f aca="false">YEAR(Q3180)</f>
        <v>2022</v>
      </c>
      <c r="T3180" s="0" t="n">
        <f aca="false">MONTH(Q3180)</f>
        <v>7</v>
      </c>
    </row>
    <row r="3181" customFormat="false" ht="14.25" hidden="false" customHeight="false" outlineLevel="0" collapsed="false">
      <c r="C3181" s="1" t="s">
        <v>1495</v>
      </c>
      <c r="D3181" s="1" t="s">
        <v>1496</v>
      </c>
      <c r="E3181" s="14" t="s">
        <v>1619</v>
      </c>
      <c r="F3181" s="15" t="s">
        <v>2538</v>
      </c>
      <c r="G3181" s="15" t="s">
        <v>3224</v>
      </c>
      <c r="H3181" s="15" t="s">
        <v>2149</v>
      </c>
      <c r="I3181" s="15"/>
      <c r="J3181" s="15" t="s">
        <v>2789</v>
      </c>
      <c r="K3181" s="15" t="s">
        <v>3225</v>
      </c>
      <c r="L3181" s="15"/>
      <c r="M3181" s="15" t="s">
        <v>3226</v>
      </c>
      <c r="N3181" s="15" t="s">
        <v>3227</v>
      </c>
      <c r="O3181" s="15"/>
      <c r="P3181" s="15" t="s">
        <v>3228</v>
      </c>
      <c r="Q3181" s="2" t="n">
        <v>44768</v>
      </c>
      <c r="S3181" s="0" t="n">
        <f aca="false">YEAR(Q3181)</f>
        <v>2022</v>
      </c>
      <c r="T3181" s="0" t="n">
        <f aca="false">MONTH(Q3181)</f>
        <v>7</v>
      </c>
    </row>
    <row r="3182" customFormat="false" ht="14.25" hidden="false" customHeight="false" outlineLevel="0" collapsed="false">
      <c r="C3182" s="1" t="s">
        <v>1479</v>
      </c>
      <c r="D3182" s="1" t="s">
        <v>1487</v>
      </c>
      <c r="E3182" s="4" t="s">
        <v>1488</v>
      </c>
      <c r="F3182" s="13" t="s">
        <v>2538</v>
      </c>
      <c r="G3182" s="13" t="s">
        <v>3229</v>
      </c>
      <c r="H3182" s="13" t="s">
        <v>1969</v>
      </c>
      <c r="I3182" s="13" t="s">
        <v>3230</v>
      </c>
      <c r="J3182" s="13" t="s">
        <v>3231</v>
      </c>
      <c r="K3182" s="13"/>
      <c r="L3182" s="13" t="s">
        <v>1878</v>
      </c>
      <c r="M3182" s="13" t="s">
        <v>3232</v>
      </c>
      <c r="N3182" s="13" t="s">
        <v>3233</v>
      </c>
      <c r="O3182" s="13" t="s">
        <v>3234</v>
      </c>
      <c r="P3182" s="13" t="s">
        <v>3235</v>
      </c>
      <c r="Q3182" s="2" t="n">
        <v>44768</v>
      </c>
      <c r="S3182" s="0" t="n">
        <f aca="false">YEAR(Q3182)</f>
        <v>2022</v>
      </c>
      <c r="T3182" s="0" t="n">
        <f aca="false">MONTH(Q3182)</f>
        <v>7</v>
      </c>
    </row>
    <row r="3183" customFormat="false" ht="14.25" hidden="false" customHeight="false" outlineLevel="0" collapsed="false">
      <c r="C3183" s="4" t="s">
        <v>1479</v>
      </c>
      <c r="D3183" s="4" t="s">
        <v>1535</v>
      </c>
      <c r="E3183" s="14" t="s">
        <v>1639</v>
      </c>
      <c r="F3183" s="15" t="s">
        <v>2529</v>
      </c>
      <c r="G3183" s="15" t="s">
        <v>3236</v>
      </c>
      <c r="H3183" s="15" t="s">
        <v>1688</v>
      </c>
      <c r="I3183" s="15" t="s">
        <v>1800</v>
      </c>
      <c r="J3183" s="15" t="s">
        <v>3237</v>
      </c>
      <c r="K3183" s="15"/>
      <c r="L3183" s="15"/>
      <c r="M3183" s="15" t="s">
        <v>3238</v>
      </c>
      <c r="N3183" s="15" t="s">
        <v>3239</v>
      </c>
      <c r="O3183" s="15" t="s">
        <v>3240</v>
      </c>
      <c r="P3183" s="15" t="s">
        <v>3241</v>
      </c>
      <c r="Q3183" s="2" t="n">
        <v>44769</v>
      </c>
      <c r="S3183" s="0" t="n">
        <f aca="false">YEAR(Q3183)</f>
        <v>2022</v>
      </c>
      <c r="T3183" s="0" t="n">
        <f aca="false">MONTH(Q3183)</f>
        <v>7</v>
      </c>
    </row>
    <row r="3184" customFormat="false" ht="14.25" hidden="false" customHeight="false" outlineLevel="0" collapsed="false">
      <c r="C3184" s="1" t="s">
        <v>1479</v>
      </c>
      <c r="D3184" s="1" t="s">
        <v>1535</v>
      </c>
      <c r="E3184" s="12" t="s">
        <v>1479</v>
      </c>
      <c r="F3184" s="13" t="s">
        <v>2538</v>
      </c>
      <c r="G3184" s="13" t="s">
        <v>3242</v>
      </c>
      <c r="H3184" s="13" t="s">
        <v>2692</v>
      </c>
      <c r="I3184" s="13" t="s">
        <v>1613</v>
      </c>
      <c r="J3184" s="13" t="s">
        <v>1614</v>
      </c>
      <c r="K3184" s="13"/>
      <c r="L3184" s="13" t="s">
        <v>3243</v>
      </c>
      <c r="M3184" s="13" t="s">
        <v>3244</v>
      </c>
      <c r="N3184" s="13" t="s">
        <v>3245</v>
      </c>
      <c r="O3184" s="13" t="s">
        <v>3246</v>
      </c>
      <c r="P3184" s="13" t="s">
        <v>3247</v>
      </c>
      <c r="Q3184" s="2" t="n">
        <v>44769</v>
      </c>
      <c r="S3184" s="0" t="n">
        <f aca="false">YEAR(Q3184)</f>
        <v>2022</v>
      </c>
      <c r="T3184" s="0" t="n">
        <f aca="false">MONTH(Q3184)</f>
        <v>7</v>
      </c>
    </row>
    <row r="3185" customFormat="false" ht="14.25" hidden="false" customHeight="false" outlineLevel="0" collapsed="false">
      <c r="C3185" s="1" t="s">
        <v>1495</v>
      </c>
      <c r="D3185" s="1" t="s">
        <v>1487</v>
      </c>
      <c r="E3185" s="14" t="s">
        <v>1495</v>
      </c>
      <c r="F3185" s="15" t="s">
        <v>2538</v>
      </c>
      <c r="G3185" s="15" t="s">
        <v>3248</v>
      </c>
      <c r="H3185" s="15" t="s">
        <v>3249</v>
      </c>
      <c r="I3185" s="15" t="s">
        <v>2138</v>
      </c>
      <c r="J3185" s="17" t="n">
        <v>0.659722222222222</v>
      </c>
      <c r="K3185" s="15"/>
      <c r="L3185" s="15" t="s">
        <v>3250</v>
      </c>
      <c r="M3185" s="15" t="s">
        <v>3251</v>
      </c>
      <c r="N3185" s="15" t="s">
        <v>3252</v>
      </c>
      <c r="O3185" s="15" t="s">
        <v>3253</v>
      </c>
      <c r="P3185" s="15" t="s">
        <v>3254</v>
      </c>
      <c r="Q3185" s="2" t="n">
        <v>44769</v>
      </c>
      <c r="S3185" s="0" t="n">
        <f aca="false">YEAR(Q3185)</f>
        <v>2022</v>
      </c>
      <c r="T3185" s="0" t="n">
        <f aca="false">MONTH(Q3185)</f>
        <v>7</v>
      </c>
    </row>
    <row r="3186" customFormat="false" ht="14.25" hidden="false" customHeight="false" outlineLevel="0" collapsed="false">
      <c r="C3186" s="1" t="s">
        <v>1503</v>
      </c>
      <c r="D3186" s="1" t="s">
        <v>1504</v>
      </c>
      <c r="E3186" s="12" t="s">
        <v>1503</v>
      </c>
      <c r="F3186" s="13" t="s">
        <v>2538</v>
      </c>
      <c r="G3186" s="13" t="s">
        <v>3255</v>
      </c>
      <c r="H3186" s="13" t="s">
        <v>1698</v>
      </c>
      <c r="I3186" s="13" t="s">
        <v>1726</v>
      </c>
      <c r="J3186" s="13" t="s">
        <v>2886</v>
      </c>
      <c r="K3186" s="13" t="s">
        <v>3212</v>
      </c>
      <c r="L3186" s="13" t="s">
        <v>3213</v>
      </c>
      <c r="M3186" s="13" t="s">
        <v>3214</v>
      </c>
      <c r="N3186" s="13" t="s">
        <v>3215</v>
      </c>
      <c r="O3186" s="13" t="s">
        <v>3216</v>
      </c>
      <c r="P3186" s="13" t="s">
        <v>3256</v>
      </c>
      <c r="Q3186" s="2" t="n">
        <v>44769</v>
      </c>
      <c r="S3186" s="0" t="n">
        <f aca="false">YEAR(Q3186)</f>
        <v>2022</v>
      </c>
      <c r="T3186" s="0" t="n">
        <f aca="false">MONTH(Q3186)</f>
        <v>7</v>
      </c>
    </row>
    <row r="3187" customFormat="false" ht="14.25" hidden="false" customHeight="false" outlineLevel="0" collapsed="false">
      <c r="C3187" s="1" t="s">
        <v>1479</v>
      </c>
      <c r="D3187" s="1" t="s">
        <v>1535</v>
      </c>
      <c r="E3187" s="14" t="s">
        <v>1479</v>
      </c>
      <c r="F3187" s="15" t="s">
        <v>2529</v>
      </c>
      <c r="G3187" s="15" t="s">
        <v>3242</v>
      </c>
      <c r="H3187" s="15" t="s">
        <v>2692</v>
      </c>
      <c r="I3187" s="15" t="s">
        <v>1613</v>
      </c>
      <c r="J3187" s="15" t="s">
        <v>1614</v>
      </c>
      <c r="K3187" s="15"/>
      <c r="L3187" s="15" t="s">
        <v>3243</v>
      </c>
      <c r="M3187" s="15" t="s">
        <v>3244</v>
      </c>
      <c r="N3187" s="15" t="s">
        <v>3245</v>
      </c>
      <c r="O3187" s="15" t="s">
        <v>3246</v>
      </c>
      <c r="P3187" s="15"/>
      <c r="Q3187" s="2" t="n">
        <v>44770</v>
      </c>
      <c r="S3187" s="0" t="n">
        <f aca="false">YEAR(Q3187)</f>
        <v>2022</v>
      </c>
      <c r="T3187" s="0" t="n">
        <f aca="false">MONTH(Q3187)</f>
        <v>7</v>
      </c>
    </row>
    <row r="3188" customFormat="false" ht="14.25" hidden="false" customHeight="false" outlineLevel="0" collapsed="false">
      <c r="C3188" s="1" t="s">
        <v>1479</v>
      </c>
      <c r="D3188" s="1" t="s">
        <v>1535</v>
      </c>
      <c r="E3188" s="12" t="s">
        <v>1479</v>
      </c>
      <c r="F3188" s="13" t="s">
        <v>2529</v>
      </c>
      <c r="G3188" s="13" t="s">
        <v>3257</v>
      </c>
      <c r="H3188" s="13" t="s">
        <v>2692</v>
      </c>
      <c r="I3188" s="13"/>
      <c r="J3188" s="13"/>
      <c r="K3188" s="13"/>
      <c r="L3188" s="13"/>
      <c r="M3188" s="13" t="s">
        <v>3258</v>
      </c>
      <c r="N3188" s="13" t="s">
        <v>3259</v>
      </c>
      <c r="O3188" s="13" t="s">
        <v>3260</v>
      </c>
      <c r="P3188" s="13" t="s">
        <v>3261</v>
      </c>
      <c r="Q3188" s="2" t="n">
        <v>44770</v>
      </c>
      <c r="S3188" s="0" t="n">
        <f aca="false">YEAR(Q3188)</f>
        <v>2022</v>
      </c>
      <c r="T3188" s="0" t="n">
        <f aca="false">MONTH(Q3188)</f>
        <v>7</v>
      </c>
    </row>
    <row r="3189" customFormat="false" ht="14.25" hidden="false" customHeight="false" outlineLevel="0" collapsed="false">
      <c r="C3189" s="1" t="s">
        <v>1479</v>
      </c>
      <c r="D3189" s="1" t="s">
        <v>1535</v>
      </c>
      <c r="E3189" s="14" t="s">
        <v>1479</v>
      </c>
      <c r="F3189" s="15" t="s">
        <v>2529</v>
      </c>
      <c r="G3189" s="15" t="s">
        <v>3262</v>
      </c>
      <c r="H3189" s="15" t="s">
        <v>2692</v>
      </c>
      <c r="I3189" s="15"/>
      <c r="J3189" s="15"/>
      <c r="K3189" s="15"/>
      <c r="L3189" s="15"/>
      <c r="M3189" s="15" t="s">
        <v>3258</v>
      </c>
      <c r="N3189" s="15" t="s">
        <v>3263</v>
      </c>
      <c r="O3189" s="15" t="s">
        <v>3260</v>
      </c>
      <c r="P3189" s="15" t="s">
        <v>3264</v>
      </c>
      <c r="Q3189" s="2" t="n">
        <v>44770</v>
      </c>
      <c r="S3189" s="0" t="n">
        <f aca="false">YEAR(Q3189)</f>
        <v>2022</v>
      </c>
      <c r="T3189" s="0" t="n">
        <f aca="false">MONTH(Q3189)</f>
        <v>7</v>
      </c>
    </row>
  </sheetData>
  <autoFilter ref="A1:T3189">
    <filterColumn colId="16">
      <filters>
        <dateGroupItem year="2022" month="01" day="02" dateTimeGrouping="day"/>
        <dateGroupItem year="2022" month="01" day="04" dateTimeGrouping="day"/>
        <dateGroupItem year="2022" month="01" day="06" dateTimeGrouping="day"/>
        <dateGroupItem year="2022" month="01" day="13" dateTimeGrouping="day"/>
        <dateGroupItem year="2022" month="01" day="17" dateTimeGrouping="day"/>
        <dateGroupItem year="2022" month="01" day="18" dateTimeGrouping="day"/>
        <dateGroupItem year="2022" month="01" day="20" dateTimeGrouping="day"/>
        <dateGroupItem year="2022" month="01" day="22" dateTimeGrouping="day"/>
        <dateGroupItem year="2022" month="01" day="24" dateTimeGrouping="day"/>
        <dateGroupItem year="2022" month="01" day="25" dateTimeGrouping="day"/>
        <dateGroupItem year="2022" month="01" day="27" dateTimeGrouping="day"/>
        <dateGroupItem year="2022" month="01" day="31" dateTimeGrouping="day"/>
        <dateGroupItem year="2022" month="02" day="02" dateTimeGrouping="day"/>
        <dateGroupItem year="2022" month="02" day="03" dateTimeGrouping="day"/>
        <dateGroupItem year="2022" month="02" day="05" dateTimeGrouping="day"/>
        <dateGroupItem year="2022" month="02" day="06" dateTimeGrouping="day"/>
        <dateGroupItem year="2022" month="02" day="08" dateTimeGrouping="day"/>
        <dateGroupItem year="2022" month="02" day="09" dateTimeGrouping="day"/>
        <dateGroupItem year="2022" month="02" day="10" dateTimeGrouping="day"/>
        <dateGroupItem year="2022" month="02" day="14" dateTimeGrouping="day"/>
        <dateGroupItem year="2022" month="02" day="16" dateTimeGrouping="day"/>
        <dateGroupItem year="2022" month="02" day="17" dateTimeGrouping="day"/>
        <dateGroupItem year="2022" month="02" day="18" dateTimeGrouping="day"/>
        <dateGroupItem year="2022" month="02" day="21" dateTimeGrouping="day"/>
        <dateGroupItem year="2022" month="02" day="22" dateTimeGrouping="day"/>
        <dateGroupItem year="2022" month="02" day="23" dateTimeGrouping="day"/>
        <dateGroupItem year="2022" month="02" day="24" dateTimeGrouping="day"/>
        <dateGroupItem year="2022" month="02" day="25" dateTimeGrouping="day"/>
        <dateGroupItem year="2022" month="03" day="02" dateTimeGrouping="day"/>
        <dateGroupItem year="2022" month="03" day="03" dateTimeGrouping="day"/>
        <dateGroupItem year="2022" month="03" day="06" dateTimeGrouping="day"/>
        <dateGroupItem year="2022" month="03" day="08" dateTimeGrouping="day"/>
        <dateGroupItem year="2022" month="03" day="09" dateTimeGrouping="day"/>
        <dateGroupItem year="2022" month="03" day="10" dateTimeGrouping="day"/>
        <dateGroupItem year="2022" month="03" day="11" dateTimeGrouping="day"/>
        <dateGroupItem year="2022" month="03" day="12" dateTimeGrouping="day"/>
        <dateGroupItem year="2022" month="03" day="14" dateTimeGrouping="day"/>
        <dateGroupItem year="2022" month="03" day="16" dateTimeGrouping="day"/>
        <dateGroupItem year="2022" month="03" day="17" dateTimeGrouping="day"/>
        <dateGroupItem year="2022" month="03" day="18" dateTimeGrouping="day"/>
        <dateGroupItem year="2022" month="03" day="21" dateTimeGrouping="day"/>
        <dateGroupItem year="2022" month="03" day="22" dateTimeGrouping="day"/>
        <dateGroupItem year="2022" month="03" day="23" dateTimeGrouping="day"/>
        <dateGroupItem year="2022" month="03" day="24" dateTimeGrouping="day"/>
        <dateGroupItem year="2022" month="03" day="25" dateTimeGrouping="day"/>
        <dateGroupItem year="2022" month="03" day="26" dateTimeGrouping="day"/>
        <dateGroupItem year="2022" month="03" day="28" dateTimeGrouping="day"/>
        <dateGroupItem year="2022" month="03" day="29" dateTimeGrouping="day"/>
        <dateGroupItem year="2022" month="03" day="30" dateTimeGrouping="day"/>
        <dateGroupItem year="2022" month="03" day="31" dateTimeGrouping="day"/>
        <dateGroupItem year="2022" month="04" day="02" dateTimeGrouping="day"/>
        <dateGroupItem year="2022" month="04" day="03" dateTimeGrouping="day"/>
        <dateGroupItem year="2022" month="04" day="07" dateTimeGrouping="day"/>
        <dateGroupItem year="2022" month="04" day="11" dateTimeGrouping="day"/>
        <dateGroupItem year="2022" month="04" day="12" dateTimeGrouping="day"/>
        <dateGroupItem year="2022" month="04" day="13" dateTimeGrouping="day"/>
        <dateGroupItem year="2022" month="04" day="14" dateTimeGrouping="day"/>
        <dateGroupItem year="2022" month="04" day="18" dateTimeGrouping="day"/>
        <dateGroupItem year="2022" month="04" day="19" dateTimeGrouping="day"/>
        <dateGroupItem year="2022" month="04" day="20" dateTimeGrouping="day"/>
        <dateGroupItem year="2022" month="04" day="22" dateTimeGrouping="day"/>
        <dateGroupItem year="2022" month="04" day="23" dateTimeGrouping="day"/>
        <dateGroupItem year="2022" month="04" day="25" dateTimeGrouping="day"/>
        <dateGroupItem year="2022" month="04" day="26" dateTimeGrouping="day"/>
        <dateGroupItem year="2022" month="04" day="27" dateTimeGrouping="day"/>
        <dateGroupItem year="2022" month="04" day="28" dateTimeGrouping="day"/>
        <dateGroupItem year="2022" month="04" day="29" dateTimeGrouping="day"/>
        <dateGroupItem year="2022" month="05" day="02" dateTimeGrouping="day"/>
        <dateGroupItem year="2022" month="05" day="04" dateTimeGrouping="day"/>
        <dateGroupItem year="2022" month="05" day="07" dateTimeGrouping="day"/>
        <dateGroupItem year="2022" month="05" day="23" dateTimeGrouping="day"/>
        <dateGroupItem year="2022" month="05" day="24" dateTimeGrouping="day"/>
        <dateGroupItem year="2022" month="05" day="25" dateTimeGrouping="day"/>
        <dateGroupItem year="2022" month="05" day="26" dateTimeGrouping="day"/>
        <dateGroupItem year="2022" month="05" day="28" dateTimeGrouping="day"/>
        <dateGroupItem year="2022" month="05" day="30" dateTimeGrouping="day"/>
        <dateGroupItem year="2022" month="05" day="31" dateTimeGrouping="day"/>
        <dateGroupItem year="2022" month="06" day="06" dateTimeGrouping="day"/>
        <dateGroupItem year="2022" month="06" day="07" dateTimeGrouping="day"/>
        <dateGroupItem year="2022" month="06" day="08" dateTimeGrouping="day"/>
        <dateGroupItem year="2022" month="06" day="10" dateTimeGrouping="day"/>
        <dateGroupItem year="2022" month="06" day="13" dateTimeGrouping="day"/>
        <dateGroupItem year="2022" month="06" day="15" dateTimeGrouping="day"/>
        <dateGroupItem year="2022" month="06" day="17" dateTimeGrouping="day"/>
        <dateGroupItem year="2022" month="06" day="21" dateTimeGrouping="day"/>
        <dateGroupItem year="2022" month="06" day="22" dateTimeGrouping="day"/>
        <dateGroupItem year="2022" month="06" day="24" dateTimeGrouping="day"/>
        <dateGroupItem year="2022" month="06" day="27" dateTimeGrouping="day"/>
        <dateGroupItem year="2022" month="06" day="28" dateTimeGrouping="day"/>
        <dateGroupItem year="2022" month="06" day="29" dateTimeGrouping="day"/>
        <dateGroupItem year="2022" month="06" day="30" dateTimeGrouping="day"/>
        <dateGroupItem year="2022" month="07" day="02" dateTimeGrouping="day"/>
        <dateGroupItem year="2022" month="07" day="03" dateTimeGrouping="day"/>
        <dateGroupItem year="2022" month="07" day="07" dateTimeGrouping="day"/>
        <dateGroupItem year="2022" month="07" day="08" dateTimeGrouping="day"/>
        <dateGroupItem year="2022" month="07" day="12" dateTimeGrouping="day"/>
        <dateGroupItem year="2022" month="07" day="13" dateTimeGrouping="day"/>
        <dateGroupItem year="2022" month="07" day="15" dateTimeGrouping="day"/>
        <dateGroupItem year="2022" month="07" day="18" dateTimeGrouping="day"/>
        <dateGroupItem year="2022" month="07" day="19" dateTimeGrouping="day"/>
        <dateGroupItem year="2022" month="07" day="20" dateTimeGrouping="day"/>
        <dateGroupItem year="2022" month="07" day="21" dateTimeGrouping="day"/>
        <dateGroupItem year="2022" month="07" day="25" dateTimeGrouping="day"/>
        <dateGroupItem year="2022" month="07" day="26" dateTimeGrouping="day"/>
        <dateGroupItem year="2022" month="07" day="27" dateTimeGrouping="day"/>
        <dateGroupItem year="2022" month="07" day="28" dateTimeGrouping="day"/>
      </filters>
    </filterColumn>
  </autoFilter>
  <printOptions headings="false" gridLines="false" gridLinesSet="true" horizontalCentered="false" verticalCentered="false"/>
  <pageMargins left="0.511805555555556" right="0.511805555555556" top="0.7875" bottom="0.7875" header="0.511811023622047" footer="0.315277777777778"/>
  <pageSetup paperSize="9" scale="100" fitToWidth="1" fitToHeight="1" pageOrder="downThenOver" orientation="portrait" blackAndWhite="false" draft="false" cellComments="none" horizontalDpi="300" verticalDpi="300" copies="1"/>
  <headerFooter differentFirst="false" differentOddEven="false">
    <oddHeader/>
    <oddFooter>&amp;R&amp;1#&amp;"Arial,Regular"&amp;10Confidential C</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398"/>
  <sheetViews>
    <sheetView showFormulas="false" showGridLines="true" showRowColHeaders="true" showZeros="true" rightToLeft="false" tabSelected="false" showOutlineSymbols="true" defaultGridColor="true" view="normal" topLeftCell="A327" colorId="64" zoomScale="100" zoomScaleNormal="100" zoomScalePageLayoutView="100" workbookViewId="0">
      <selection pane="topLeft" activeCell="J327" activeCellId="0" sqref="J327"/>
    </sheetView>
  </sheetViews>
  <sheetFormatPr defaultColWidth="9" defaultRowHeight="14.25" zeroHeight="false" outlineLevelRow="0" outlineLevelCol="0"/>
  <cols>
    <col collapsed="false" customWidth="true" hidden="false" outlineLevel="0" max="1" min="1" style="28" width="10.71"/>
    <col collapsed="false" customWidth="true" hidden="false" outlineLevel="0" max="2" min="2" style="29" width="8.14"/>
    <col collapsed="false" customWidth="true" hidden="false" outlineLevel="0" max="3" min="3" style="29" width="8.43"/>
    <col collapsed="false" customWidth="true" hidden="false" outlineLevel="0" max="4" min="4" style="29" width="12.57"/>
    <col collapsed="false" customWidth="true" hidden="false" outlineLevel="0" max="5" min="5" style="29" width="13"/>
    <col collapsed="false" customWidth="true" hidden="false" outlineLevel="0" max="6" min="6" style="30" width="12"/>
    <col collapsed="false" customWidth="true" hidden="false" outlineLevel="0" max="7" min="7" style="30" width="8.85"/>
    <col collapsed="false" customWidth="true" hidden="false" outlineLevel="0" max="8" min="8" style="31" width="8.7"/>
    <col collapsed="false" customWidth="true" hidden="false" outlineLevel="0" max="9" min="9" style="31" width="8.28"/>
    <col collapsed="false" customWidth="true" hidden="false" outlineLevel="0" max="10" min="10" style="29" width="20"/>
    <col collapsed="false" customWidth="true" hidden="false" outlineLevel="0" max="11" min="11" style="29" width="23"/>
    <col collapsed="false" customWidth="true" hidden="false" outlineLevel="0" max="12" min="12" style="29" width="19.43"/>
    <col collapsed="false" customWidth="true" hidden="false" outlineLevel="0" max="13" min="13" style="29" width="25"/>
    <col collapsed="false" customWidth="true" hidden="false" outlineLevel="0" max="14" min="14" style="29" width="12.57"/>
    <col collapsed="false" customWidth="false" hidden="false" outlineLevel="0" max="1024" min="15" style="32" width="9"/>
  </cols>
  <sheetData>
    <row r="1" s="34" customFormat="true" ht="49.5" hidden="false" customHeight="true" outlineLevel="0" collapsed="false">
      <c r="A1" s="33" t="s">
        <v>1</v>
      </c>
      <c r="B1" s="34" t="s">
        <v>36</v>
      </c>
      <c r="C1" s="34" t="s">
        <v>47</v>
      </c>
      <c r="D1" s="34" t="s">
        <v>1468</v>
      </c>
      <c r="E1" s="34" t="s">
        <v>1469</v>
      </c>
      <c r="F1" s="35" t="s">
        <v>1470</v>
      </c>
      <c r="G1" s="35" t="s">
        <v>1471</v>
      </c>
      <c r="H1" s="36" t="s">
        <v>1472</v>
      </c>
      <c r="I1" s="36" t="s">
        <v>1473</v>
      </c>
      <c r="J1" s="34" t="s">
        <v>1474</v>
      </c>
      <c r="K1" s="34" t="s">
        <v>1475</v>
      </c>
      <c r="L1" s="34" t="s">
        <v>1476</v>
      </c>
      <c r="M1" s="34" t="s">
        <v>1477</v>
      </c>
      <c r="N1" s="34" t="s">
        <v>1478</v>
      </c>
    </row>
    <row r="2" customFormat="false" ht="100.5" hidden="false" customHeight="false" outlineLevel="0" collapsed="false">
      <c r="A2" s="28" t="n">
        <v>44200</v>
      </c>
      <c r="B2" s="29" t="s">
        <v>43</v>
      </c>
      <c r="C2" s="29" t="s">
        <v>48</v>
      </c>
      <c r="D2" s="29" t="s">
        <v>12638</v>
      </c>
      <c r="F2" s="30" t="n">
        <v>0.541666666666667</v>
      </c>
      <c r="G2" s="30" t="n">
        <v>0.555555555555556</v>
      </c>
      <c r="H2" s="31" t="n">
        <v>0</v>
      </c>
      <c r="I2" s="31" t="n">
        <v>150</v>
      </c>
      <c r="J2" s="29" t="s">
        <v>12639</v>
      </c>
      <c r="K2" s="29" t="s">
        <v>12640</v>
      </c>
      <c r="M2" s="29" t="s">
        <v>12641</v>
      </c>
    </row>
    <row r="3" customFormat="false" ht="72" hidden="false" customHeight="false" outlineLevel="0" collapsed="false">
      <c r="A3" s="28" t="n">
        <v>44201</v>
      </c>
      <c r="B3" s="29" t="s">
        <v>43</v>
      </c>
      <c r="C3" s="29" t="s">
        <v>48</v>
      </c>
      <c r="D3" s="29" t="s">
        <v>12643</v>
      </c>
      <c r="F3" s="30" t="n">
        <v>0.236111111111111</v>
      </c>
      <c r="G3" s="30" t="n">
        <v>0.302083333333333</v>
      </c>
      <c r="H3" s="31" t="n">
        <v>0</v>
      </c>
      <c r="I3" s="31" t="n">
        <v>440</v>
      </c>
      <c r="J3" s="29" t="s">
        <v>12644</v>
      </c>
      <c r="K3" s="29" t="s">
        <v>12645</v>
      </c>
      <c r="M3" s="29" t="s">
        <v>12646</v>
      </c>
    </row>
    <row r="4" customFormat="false" ht="186.75" hidden="false" customHeight="false" outlineLevel="0" collapsed="false">
      <c r="A4" s="28" t="n">
        <v>44201</v>
      </c>
      <c r="B4" s="29" t="s">
        <v>41</v>
      </c>
      <c r="C4" s="29" t="s">
        <v>48</v>
      </c>
      <c r="D4" s="29" t="s">
        <v>12647</v>
      </c>
      <c r="F4" s="30" t="n">
        <v>0.236111111111111</v>
      </c>
      <c r="G4" s="30" t="n">
        <v>0.354166666666667</v>
      </c>
      <c r="J4" s="29" t="s">
        <v>12648</v>
      </c>
      <c r="K4" s="29" t="s">
        <v>12649</v>
      </c>
      <c r="M4" s="29" t="s">
        <v>12650</v>
      </c>
    </row>
    <row r="5" customFormat="false" ht="28.5" hidden="false" customHeight="false" outlineLevel="0" collapsed="false">
      <c r="A5" s="28" t="n">
        <v>44203</v>
      </c>
      <c r="B5" s="29" t="s">
        <v>39</v>
      </c>
      <c r="D5" s="29" t="s">
        <v>8322</v>
      </c>
      <c r="J5" s="29" t="s">
        <v>12652</v>
      </c>
      <c r="K5" s="29" t="s">
        <v>12653</v>
      </c>
      <c r="M5" s="29" t="s">
        <v>12654</v>
      </c>
    </row>
    <row r="6" customFormat="false" ht="57" hidden="false" customHeight="false" outlineLevel="0" collapsed="false">
      <c r="A6" s="28" t="n">
        <v>44207</v>
      </c>
      <c r="B6" s="29" t="s">
        <v>42</v>
      </c>
      <c r="C6" s="29" t="s">
        <v>48</v>
      </c>
      <c r="D6" s="29" t="s">
        <v>9101</v>
      </c>
      <c r="G6" s="30" t="n">
        <v>0.385416666666667</v>
      </c>
      <c r="I6" s="31" t="n">
        <v>100</v>
      </c>
      <c r="J6" s="29" t="s">
        <v>12656</v>
      </c>
      <c r="K6" s="29" t="s">
        <v>12657</v>
      </c>
      <c r="M6" s="29" t="s">
        <v>12658</v>
      </c>
    </row>
    <row r="7" customFormat="false" ht="42.75" hidden="false" customHeight="false" outlineLevel="0" collapsed="false">
      <c r="A7" s="28" t="n">
        <v>44207</v>
      </c>
      <c r="B7" s="29" t="s">
        <v>43</v>
      </c>
      <c r="C7" s="29" t="s">
        <v>48</v>
      </c>
      <c r="D7" s="29" t="s">
        <v>10457</v>
      </c>
      <c r="G7" s="30" t="n">
        <v>0.359722222222222</v>
      </c>
      <c r="H7" s="31" t="n">
        <v>0</v>
      </c>
      <c r="J7" s="29" t="s">
        <v>12659</v>
      </c>
      <c r="K7" s="29" t="s">
        <v>12660</v>
      </c>
      <c r="M7" s="29" t="s">
        <v>12661</v>
      </c>
    </row>
    <row r="8" customFormat="false" ht="57" hidden="false" customHeight="false" outlineLevel="0" collapsed="false">
      <c r="A8" s="28" t="n">
        <v>44208</v>
      </c>
      <c r="B8" s="29" t="s">
        <v>39</v>
      </c>
      <c r="C8" s="29" t="s">
        <v>48</v>
      </c>
      <c r="D8" s="29" t="s">
        <v>12663</v>
      </c>
      <c r="G8" s="30" t="n">
        <v>0.427083333333333</v>
      </c>
      <c r="H8" s="31" t="n">
        <v>0</v>
      </c>
      <c r="I8" s="31" t="n">
        <v>80</v>
      </c>
      <c r="J8" s="29" t="s">
        <v>12664</v>
      </c>
      <c r="K8" s="29" t="s">
        <v>12665</v>
      </c>
      <c r="M8" s="29" t="s">
        <v>12666</v>
      </c>
    </row>
    <row r="9" customFormat="false" ht="216" hidden="false" customHeight="false" outlineLevel="0" collapsed="false">
      <c r="A9" s="28" t="n">
        <v>44208</v>
      </c>
      <c r="B9" s="29" t="s">
        <v>37</v>
      </c>
      <c r="C9" s="29" t="s">
        <v>49</v>
      </c>
      <c r="D9" s="29" t="s">
        <v>12667</v>
      </c>
      <c r="F9" s="30" t="n">
        <v>0.600694444444444</v>
      </c>
      <c r="G9" s="30" t="n">
        <v>0.642361111111111</v>
      </c>
      <c r="I9" s="31" t="n">
        <v>155</v>
      </c>
      <c r="J9" s="29" t="s">
        <v>12668</v>
      </c>
      <c r="K9" s="29" t="s">
        <v>12669</v>
      </c>
      <c r="M9" s="29" t="s">
        <v>12670</v>
      </c>
    </row>
    <row r="10" customFormat="false" ht="42.75" hidden="false" customHeight="false" outlineLevel="0" collapsed="false">
      <c r="A10" s="28" t="n">
        <v>44209</v>
      </c>
      <c r="B10" s="29" t="s">
        <v>39</v>
      </c>
      <c r="C10" s="29" t="s">
        <v>48</v>
      </c>
      <c r="D10" s="29" t="s">
        <v>12672</v>
      </c>
      <c r="G10" s="30" t="n">
        <v>0.260416666666667</v>
      </c>
      <c r="H10" s="31" t="n">
        <v>0</v>
      </c>
      <c r="J10" s="29" t="s">
        <v>12673</v>
      </c>
      <c r="K10" s="29" t="s">
        <v>12674</v>
      </c>
      <c r="M10" s="29" t="s">
        <v>12675</v>
      </c>
    </row>
    <row r="11" customFormat="false" ht="57" hidden="false" customHeight="false" outlineLevel="0" collapsed="false">
      <c r="A11" s="28" t="n">
        <v>44210</v>
      </c>
      <c r="B11" s="29" t="s">
        <v>43</v>
      </c>
      <c r="C11" s="29" t="s">
        <v>48</v>
      </c>
      <c r="D11" s="29" t="s">
        <v>12677</v>
      </c>
      <c r="G11" s="30" t="n">
        <v>0.347222222222222</v>
      </c>
      <c r="H11" s="31" t="n">
        <v>0</v>
      </c>
      <c r="J11" s="29" t="s">
        <v>12678</v>
      </c>
      <c r="K11" s="29" t="s">
        <v>12679</v>
      </c>
      <c r="M11" s="29" t="s">
        <v>12680</v>
      </c>
    </row>
    <row r="12" customFormat="false" ht="28.5" hidden="false" customHeight="false" outlineLevel="0" collapsed="false">
      <c r="A12" s="28" t="n">
        <v>44211</v>
      </c>
      <c r="B12" s="29" t="s">
        <v>38</v>
      </c>
      <c r="C12" s="29" t="s">
        <v>48</v>
      </c>
      <c r="D12" s="29" t="s">
        <v>12682</v>
      </c>
      <c r="G12" s="30" t="n">
        <v>0.5</v>
      </c>
      <c r="H12" s="31" t="n">
        <v>0</v>
      </c>
      <c r="J12" s="29" t="s">
        <v>12683</v>
      </c>
      <c r="K12" s="29" t="s">
        <v>12684</v>
      </c>
      <c r="M12" s="29" t="s">
        <v>12685</v>
      </c>
    </row>
    <row r="13" customFormat="false" ht="42.75" hidden="false" customHeight="false" outlineLevel="0" collapsed="false">
      <c r="A13" s="28" t="n">
        <v>44211</v>
      </c>
      <c r="B13" s="29" t="s">
        <v>1503</v>
      </c>
      <c r="C13" s="29" t="s">
        <v>48</v>
      </c>
      <c r="D13" s="29" t="s">
        <v>12686</v>
      </c>
      <c r="E13" s="29" t="s">
        <v>12687</v>
      </c>
      <c r="G13" s="30" t="n">
        <v>0.583333333333333</v>
      </c>
      <c r="H13" s="31" t="n">
        <v>0</v>
      </c>
      <c r="J13" s="29" t="s">
        <v>12688</v>
      </c>
      <c r="K13" s="29" t="s">
        <v>12689</v>
      </c>
      <c r="M13" s="29" t="s">
        <v>12690</v>
      </c>
    </row>
    <row r="14" customFormat="false" ht="28.5" hidden="false" customHeight="false" outlineLevel="0" collapsed="false">
      <c r="A14" s="28" t="n">
        <v>44214</v>
      </c>
      <c r="B14" s="29" t="s">
        <v>38</v>
      </c>
      <c r="C14" s="29" t="s">
        <v>48</v>
      </c>
      <c r="D14" s="29" t="s">
        <v>12692</v>
      </c>
      <c r="G14" s="30" t="n">
        <v>0.291666666666667</v>
      </c>
      <c r="H14" s="31" t="n">
        <v>0</v>
      </c>
      <c r="J14" s="29" t="s">
        <v>12683</v>
      </c>
      <c r="K14" s="29" t="s">
        <v>12693</v>
      </c>
      <c r="M14" s="29" t="s">
        <v>12694</v>
      </c>
    </row>
    <row r="15" customFormat="false" ht="42.75" hidden="false" customHeight="false" outlineLevel="0" collapsed="false">
      <c r="A15" s="28" t="n">
        <v>44215</v>
      </c>
      <c r="B15" s="29" t="s">
        <v>1503</v>
      </c>
      <c r="C15" s="29" t="s">
        <v>48</v>
      </c>
      <c r="D15" s="29" t="s">
        <v>10064</v>
      </c>
      <c r="E15" s="29" t="s">
        <v>12687</v>
      </c>
      <c r="G15" s="30" t="n">
        <v>0.216666666666667</v>
      </c>
      <c r="H15" s="31" t="n">
        <v>0</v>
      </c>
      <c r="I15" s="31" t="n">
        <v>80</v>
      </c>
      <c r="J15" s="29" t="s">
        <v>12696</v>
      </c>
      <c r="K15" s="29" t="s">
        <v>12697</v>
      </c>
      <c r="M15" s="29" t="s">
        <v>12698</v>
      </c>
    </row>
    <row r="16" customFormat="false" ht="42.75" hidden="false" customHeight="false" outlineLevel="0" collapsed="false">
      <c r="A16" s="28" t="n">
        <v>44215</v>
      </c>
      <c r="B16" s="29" t="s">
        <v>39</v>
      </c>
      <c r="C16" s="29" t="s">
        <v>48</v>
      </c>
      <c r="D16" s="29" t="s">
        <v>12699</v>
      </c>
      <c r="G16" s="30" t="n">
        <v>0.340277777777778</v>
      </c>
      <c r="J16" s="29" t="s">
        <v>12700</v>
      </c>
      <c r="K16" s="29" t="s">
        <v>12701</v>
      </c>
      <c r="M16" s="29" t="s">
        <v>12702</v>
      </c>
    </row>
    <row r="17" customFormat="false" ht="57" hidden="false" customHeight="false" outlineLevel="0" collapsed="false">
      <c r="A17" s="28" t="n">
        <v>44215</v>
      </c>
      <c r="B17" s="29" t="s">
        <v>37</v>
      </c>
      <c r="C17" s="29" t="s">
        <v>48</v>
      </c>
      <c r="D17" s="29" t="s">
        <v>12703</v>
      </c>
      <c r="G17" s="30" t="n">
        <v>0.465277777777778</v>
      </c>
      <c r="H17" s="31" t="n">
        <v>0</v>
      </c>
      <c r="I17" s="31" t="n">
        <v>60</v>
      </c>
      <c r="J17" s="29" t="s">
        <v>12704</v>
      </c>
      <c r="K17" s="29" t="s">
        <v>12705</v>
      </c>
      <c r="M17" s="29" t="s">
        <v>12706</v>
      </c>
    </row>
    <row r="18" customFormat="false" ht="28.5" hidden="false" customHeight="false" outlineLevel="0" collapsed="false">
      <c r="A18" s="28" t="n">
        <v>44216</v>
      </c>
      <c r="B18" s="29" t="s">
        <v>39</v>
      </c>
      <c r="C18" s="29" t="s">
        <v>48</v>
      </c>
      <c r="D18" s="29" t="s">
        <v>12708</v>
      </c>
      <c r="F18" s="30" t="n">
        <v>0.261805555555556</v>
      </c>
      <c r="G18" s="30" t="n">
        <v>0.263888888888889</v>
      </c>
      <c r="H18" s="31" t="n">
        <v>45</v>
      </c>
      <c r="I18" s="31" t="n">
        <v>50</v>
      </c>
      <c r="J18" s="29" t="s">
        <v>12709</v>
      </c>
      <c r="K18" s="29" t="s">
        <v>12710</v>
      </c>
      <c r="M18" s="29" t="s">
        <v>12711</v>
      </c>
    </row>
    <row r="19" customFormat="false" ht="129" hidden="false" customHeight="false" outlineLevel="0" collapsed="false">
      <c r="A19" s="28" t="n">
        <v>44216</v>
      </c>
      <c r="B19" s="29" t="s">
        <v>1503</v>
      </c>
      <c r="C19" s="29" t="s">
        <v>48</v>
      </c>
      <c r="D19" s="29" t="s">
        <v>12712</v>
      </c>
      <c r="E19" s="29" t="s">
        <v>12687</v>
      </c>
      <c r="G19" s="30" t="n">
        <v>0.277777777777778</v>
      </c>
      <c r="I19" s="31" t="n">
        <v>420</v>
      </c>
      <c r="J19" s="29" t="s">
        <v>12713</v>
      </c>
      <c r="K19" s="29" t="s">
        <v>12714</v>
      </c>
      <c r="M19" s="29" t="s">
        <v>12715</v>
      </c>
    </row>
    <row r="20" customFormat="false" ht="42.75" hidden="false" customHeight="false" outlineLevel="0" collapsed="false">
      <c r="A20" s="28" t="n">
        <v>44216</v>
      </c>
      <c r="B20" s="29" t="s">
        <v>43</v>
      </c>
      <c r="C20" s="29" t="s">
        <v>48</v>
      </c>
      <c r="D20" s="29" t="s">
        <v>1568</v>
      </c>
      <c r="F20" s="30" t="n">
        <v>0.263888888888889</v>
      </c>
      <c r="J20" s="29" t="s">
        <v>12716</v>
      </c>
      <c r="K20" s="29" t="s">
        <v>12717</v>
      </c>
      <c r="M20" s="29" t="s">
        <v>12718</v>
      </c>
    </row>
    <row r="21" customFormat="false" ht="72" hidden="false" customHeight="false" outlineLevel="0" collapsed="false">
      <c r="A21" s="28" t="n">
        <v>44217</v>
      </c>
      <c r="B21" s="29" t="s">
        <v>1503</v>
      </c>
      <c r="C21" s="29" t="s">
        <v>48</v>
      </c>
      <c r="D21" s="29" t="s">
        <v>12720</v>
      </c>
      <c r="E21" s="29" t="s">
        <v>4303</v>
      </c>
      <c r="G21" s="30" t="n">
        <v>0.534722222222222</v>
      </c>
      <c r="I21" s="31" t="n">
        <v>30</v>
      </c>
      <c r="J21" s="29" t="s">
        <v>12721</v>
      </c>
      <c r="K21" s="29" t="s">
        <v>12722</v>
      </c>
      <c r="M21" s="29" t="s">
        <v>12723</v>
      </c>
    </row>
    <row r="22" customFormat="false" ht="42.75" hidden="false" customHeight="false" outlineLevel="0" collapsed="false">
      <c r="A22" s="28" t="n">
        <v>44217</v>
      </c>
      <c r="B22" s="29" t="s">
        <v>42</v>
      </c>
      <c r="C22" s="29" t="s">
        <v>48</v>
      </c>
      <c r="D22" s="29" t="s">
        <v>12724</v>
      </c>
      <c r="G22" s="30" t="n">
        <v>0.544444444444444</v>
      </c>
      <c r="I22" s="31" t="n">
        <v>20</v>
      </c>
      <c r="J22" s="29" t="s">
        <v>12725</v>
      </c>
      <c r="K22" s="29" t="s">
        <v>12726</v>
      </c>
      <c r="M22" s="29" t="s">
        <v>12727</v>
      </c>
    </row>
    <row r="23" customFormat="false" ht="42.75" hidden="false" customHeight="false" outlineLevel="0" collapsed="false">
      <c r="A23" s="28" t="n">
        <v>44218</v>
      </c>
      <c r="B23" s="29" t="s">
        <v>1503</v>
      </c>
      <c r="C23" s="29" t="s">
        <v>48</v>
      </c>
      <c r="D23" s="29" t="s">
        <v>12729</v>
      </c>
      <c r="E23" s="29" t="s">
        <v>12687</v>
      </c>
      <c r="G23" s="30" t="n">
        <v>0.326388888888889</v>
      </c>
      <c r="J23" s="29" t="s">
        <v>12730</v>
      </c>
      <c r="K23" s="29" t="s">
        <v>12731</v>
      </c>
      <c r="M23" s="29" t="s">
        <v>12732</v>
      </c>
    </row>
    <row r="24" customFormat="false" ht="42.75" hidden="false" customHeight="false" outlineLevel="0" collapsed="false">
      <c r="A24" s="28" t="n">
        <v>44218</v>
      </c>
      <c r="B24" s="29" t="s">
        <v>43</v>
      </c>
      <c r="C24" s="29" t="s">
        <v>48</v>
      </c>
      <c r="D24" s="29" t="s">
        <v>12733</v>
      </c>
      <c r="G24" s="30" t="n">
        <v>0.486111111111111</v>
      </c>
      <c r="J24" s="29" t="s">
        <v>12734</v>
      </c>
      <c r="K24" s="29" t="s">
        <v>12735</v>
      </c>
      <c r="M24" s="29" t="s">
        <v>12736</v>
      </c>
    </row>
    <row r="25" customFormat="false" ht="100.5" hidden="false" customHeight="false" outlineLevel="0" collapsed="false">
      <c r="A25" s="28" t="n">
        <v>44218</v>
      </c>
      <c r="B25" s="29" t="s">
        <v>40</v>
      </c>
      <c r="C25" s="29" t="s">
        <v>49</v>
      </c>
      <c r="D25" s="29" t="s">
        <v>12737</v>
      </c>
      <c r="F25" s="30" t="n">
        <v>0.699305555555556</v>
      </c>
      <c r="G25" s="30" t="n">
        <v>0.711805555555555</v>
      </c>
      <c r="I25" s="31" t="n">
        <v>63</v>
      </c>
      <c r="J25" s="29" t="s">
        <v>12738</v>
      </c>
      <c r="K25" s="29" t="s">
        <v>12739</v>
      </c>
      <c r="M25" s="29" t="s">
        <v>12740</v>
      </c>
    </row>
    <row r="26" customFormat="false" ht="42.75" hidden="false" customHeight="false" outlineLevel="0" collapsed="false">
      <c r="A26" s="28" t="n">
        <v>44221</v>
      </c>
      <c r="B26" s="29" t="s">
        <v>37</v>
      </c>
      <c r="C26" s="29" t="s">
        <v>48</v>
      </c>
      <c r="D26" s="29" t="s">
        <v>12741</v>
      </c>
      <c r="F26" s="30" t="n">
        <v>0.421527777777778</v>
      </c>
      <c r="G26" s="30" t="n">
        <v>0.432638888888889</v>
      </c>
      <c r="I26" s="31" t="n">
        <v>35</v>
      </c>
      <c r="J26" s="29" t="s">
        <v>12742</v>
      </c>
      <c r="K26" s="29" t="s">
        <v>12743</v>
      </c>
      <c r="M26" s="29" t="s">
        <v>12744</v>
      </c>
    </row>
    <row r="27" customFormat="false" ht="28.5" hidden="false" customHeight="false" outlineLevel="0" collapsed="false">
      <c r="A27" s="28" t="n">
        <v>44221</v>
      </c>
      <c r="B27" s="29" t="s">
        <v>37</v>
      </c>
      <c r="C27" s="29" t="s">
        <v>49</v>
      </c>
      <c r="D27" s="29" t="s">
        <v>12745</v>
      </c>
      <c r="F27" s="30" t="n">
        <v>0.59375</v>
      </c>
      <c r="G27" s="30" t="n">
        <v>0.611111111111111</v>
      </c>
      <c r="I27" s="31" t="n">
        <v>15</v>
      </c>
      <c r="J27" s="29" t="s">
        <v>12746</v>
      </c>
      <c r="K27" s="29" t="s">
        <v>12747</v>
      </c>
      <c r="M27" s="29" t="s">
        <v>12748</v>
      </c>
    </row>
    <row r="28" customFormat="false" ht="114.75" hidden="false" customHeight="false" outlineLevel="0" collapsed="false">
      <c r="A28" s="28" t="n">
        <v>44221</v>
      </c>
      <c r="B28" s="29" t="s">
        <v>37</v>
      </c>
      <c r="C28" s="29" t="s">
        <v>49</v>
      </c>
      <c r="D28" s="29" t="s">
        <v>12749</v>
      </c>
      <c r="F28" s="30" t="n">
        <v>0.601388888888889</v>
      </c>
      <c r="G28" s="30" t="n">
        <v>0.628472222222222</v>
      </c>
      <c r="I28" s="31" t="n">
        <v>54</v>
      </c>
      <c r="J28" s="29" t="s">
        <v>12750</v>
      </c>
      <c r="K28" s="29" t="s">
        <v>2801</v>
      </c>
      <c r="M28" s="29" t="s">
        <v>12751</v>
      </c>
    </row>
    <row r="29" customFormat="false" ht="42.75" hidden="false" customHeight="false" outlineLevel="0" collapsed="false">
      <c r="A29" s="28" t="n">
        <v>44223</v>
      </c>
      <c r="B29" s="29" t="s">
        <v>39</v>
      </c>
      <c r="C29" s="29" t="s">
        <v>49</v>
      </c>
      <c r="D29" s="29" t="s">
        <v>12753</v>
      </c>
      <c r="F29" s="30" t="n">
        <v>0.732638888888889</v>
      </c>
      <c r="G29" s="30" t="n">
        <v>0.739583333333333</v>
      </c>
      <c r="I29" s="31" t="n">
        <v>40</v>
      </c>
      <c r="J29" s="29" t="s">
        <v>12754</v>
      </c>
      <c r="K29" s="29" t="s">
        <v>12755</v>
      </c>
      <c r="M29" s="29" t="s">
        <v>12756</v>
      </c>
    </row>
    <row r="30" customFormat="false" ht="28.5" hidden="false" customHeight="false" outlineLevel="0" collapsed="false">
      <c r="A30" s="28" t="n">
        <v>44224</v>
      </c>
      <c r="B30" s="29" t="s">
        <v>39</v>
      </c>
      <c r="C30" s="29" t="s">
        <v>48</v>
      </c>
      <c r="D30" s="29" t="s">
        <v>12758</v>
      </c>
      <c r="F30" s="30" t="n">
        <v>0.208333333333333</v>
      </c>
      <c r="G30" s="30" t="n">
        <v>0.222222222222222</v>
      </c>
      <c r="H30" s="31" t="n">
        <v>0</v>
      </c>
      <c r="I30" s="31" t="n">
        <v>20</v>
      </c>
      <c r="J30" s="29" t="s">
        <v>12759</v>
      </c>
      <c r="K30" s="29" t="s">
        <v>12760</v>
      </c>
      <c r="M30" s="29" t="s">
        <v>12761</v>
      </c>
    </row>
    <row r="31" customFormat="false" ht="100.5" hidden="false" customHeight="false" outlineLevel="0" collapsed="false">
      <c r="A31" s="28" t="n">
        <v>44224</v>
      </c>
      <c r="B31" s="29" t="s">
        <v>40</v>
      </c>
      <c r="C31" s="29" t="s">
        <v>48</v>
      </c>
      <c r="D31" s="29" t="s">
        <v>12762</v>
      </c>
      <c r="F31" s="30" t="n">
        <v>0.208333333333333</v>
      </c>
      <c r="G31" s="30" t="n">
        <v>0.23125</v>
      </c>
      <c r="I31" s="31" t="n">
        <v>120</v>
      </c>
      <c r="J31" s="29" t="s">
        <v>12763</v>
      </c>
      <c r="K31" s="29" t="s">
        <v>12764</v>
      </c>
      <c r="M31" s="29" t="s">
        <v>12765</v>
      </c>
    </row>
    <row r="32" customFormat="false" ht="28.5" hidden="false" customHeight="false" outlineLevel="0" collapsed="false">
      <c r="A32" s="28" t="n">
        <v>44224</v>
      </c>
      <c r="B32" s="29" t="s">
        <v>38</v>
      </c>
      <c r="C32" s="29" t="s">
        <v>48</v>
      </c>
      <c r="F32" s="30" t="n">
        <v>0.245138888888889</v>
      </c>
      <c r="G32" s="30" t="n">
        <v>0.252083333333333</v>
      </c>
      <c r="I32" s="31" t="n">
        <v>70</v>
      </c>
      <c r="J32" s="29" t="s">
        <v>12766</v>
      </c>
      <c r="K32" s="29" t="s">
        <v>12767</v>
      </c>
      <c r="M32" s="29" t="s">
        <v>12768</v>
      </c>
    </row>
    <row r="33" customFormat="false" ht="28.5" hidden="false" customHeight="false" outlineLevel="0" collapsed="false">
      <c r="A33" s="28" t="n">
        <v>44228</v>
      </c>
      <c r="B33" s="29" t="s">
        <v>39</v>
      </c>
      <c r="C33" s="29" t="s">
        <v>48</v>
      </c>
      <c r="D33" s="29" t="s">
        <v>12770</v>
      </c>
      <c r="F33" s="30" t="s">
        <v>6637</v>
      </c>
      <c r="G33" s="30" t="n">
        <v>0.229166666666667</v>
      </c>
      <c r="J33" s="29" t="s">
        <v>12771</v>
      </c>
      <c r="K33" s="29" t="s">
        <v>12772</v>
      </c>
      <c r="M33" s="29" t="s">
        <v>12773</v>
      </c>
    </row>
    <row r="34" customFormat="false" ht="42.75" hidden="false" customHeight="false" outlineLevel="0" collapsed="false">
      <c r="A34" s="28" t="n">
        <v>44228</v>
      </c>
      <c r="B34" s="29" t="s">
        <v>1503</v>
      </c>
      <c r="C34" s="29" t="s">
        <v>48</v>
      </c>
      <c r="D34" s="29" t="s">
        <v>12774</v>
      </c>
      <c r="E34" s="29" t="s">
        <v>12687</v>
      </c>
      <c r="F34" s="30" t="n">
        <v>0.243055555555556</v>
      </c>
      <c r="G34" s="30" t="n">
        <v>0.291666666666667</v>
      </c>
      <c r="I34" s="31" t="n">
        <v>210</v>
      </c>
      <c r="J34" s="29" t="s">
        <v>12775</v>
      </c>
      <c r="K34" s="29" t="s">
        <v>12776</v>
      </c>
      <c r="M34" s="29" t="s">
        <v>12777</v>
      </c>
    </row>
    <row r="35" customFormat="false" ht="42.75" hidden="false" customHeight="false" outlineLevel="0" collapsed="false">
      <c r="A35" s="28" t="n">
        <v>44228</v>
      </c>
      <c r="B35" s="29" t="s">
        <v>1503</v>
      </c>
      <c r="C35" s="29" t="s">
        <v>48</v>
      </c>
      <c r="D35" s="29" t="s">
        <v>12778</v>
      </c>
      <c r="E35" s="29" t="s">
        <v>12687</v>
      </c>
      <c r="G35" s="30" t="n">
        <v>0.291666666666667</v>
      </c>
      <c r="I35" s="31" t="n">
        <v>150</v>
      </c>
      <c r="J35" s="29" t="s">
        <v>12779</v>
      </c>
      <c r="K35" s="29" t="s">
        <v>12780</v>
      </c>
      <c r="M35" s="29" t="s">
        <v>12781</v>
      </c>
    </row>
    <row r="36" customFormat="false" ht="57" hidden="false" customHeight="false" outlineLevel="0" collapsed="false">
      <c r="A36" s="28" t="n">
        <v>44228</v>
      </c>
      <c r="B36" s="29" t="s">
        <v>1503</v>
      </c>
      <c r="C36" s="29" t="s">
        <v>48</v>
      </c>
      <c r="D36" s="29" t="s">
        <v>12782</v>
      </c>
      <c r="E36" s="29" t="s">
        <v>12687</v>
      </c>
      <c r="G36" s="30" t="n">
        <v>0.381944444444444</v>
      </c>
      <c r="J36" s="29" t="s">
        <v>12783</v>
      </c>
      <c r="K36" s="29" t="s">
        <v>12784</v>
      </c>
      <c r="M36" s="29" t="s">
        <v>12785</v>
      </c>
    </row>
    <row r="37" customFormat="false" ht="57" hidden="false" customHeight="false" outlineLevel="0" collapsed="false">
      <c r="A37" s="28" t="n">
        <v>44228</v>
      </c>
      <c r="B37" s="29" t="s">
        <v>1503</v>
      </c>
      <c r="C37" s="29" t="s">
        <v>48</v>
      </c>
      <c r="D37" s="29" t="s">
        <v>12786</v>
      </c>
      <c r="E37" s="29" t="s">
        <v>4303</v>
      </c>
      <c r="J37" s="29" t="s">
        <v>12787</v>
      </c>
      <c r="K37" s="29" t="s">
        <v>12788</v>
      </c>
      <c r="M37" s="29" t="s">
        <v>12789</v>
      </c>
    </row>
    <row r="38" customFormat="false" ht="14.25" hidden="false" customHeight="false" outlineLevel="0" collapsed="false">
      <c r="A38" s="28" t="n">
        <v>44228</v>
      </c>
    </row>
    <row r="39" customFormat="false" ht="114.75" hidden="false" customHeight="false" outlineLevel="0" collapsed="false">
      <c r="A39" s="28" t="n">
        <v>44229</v>
      </c>
      <c r="B39" s="29" t="s">
        <v>39</v>
      </c>
      <c r="C39" s="29" t="s">
        <v>49</v>
      </c>
      <c r="D39" s="29" t="s">
        <v>8322</v>
      </c>
      <c r="G39" s="30" t="n">
        <v>0.229166666666667</v>
      </c>
      <c r="J39" s="29" t="s">
        <v>12790</v>
      </c>
      <c r="K39" s="29" t="s">
        <v>12791</v>
      </c>
      <c r="M39" s="29" t="s">
        <v>12792</v>
      </c>
    </row>
    <row r="40" customFormat="false" ht="57" hidden="false" customHeight="false" outlineLevel="0" collapsed="false">
      <c r="A40" s="28" t="n">
        <v>44230</v>
      </c>
      <c r="B40" s="29" t="s">
        <v>1503</v>
      </c>
      <c r="C40" s="29" t="s">
        <v>48</v>
      </c>
      <c r="D40" s="29" t="s">
        <v>12794</v>
      </c>
      <c r="E40" s="29" t="s">
        <v>12687</v>
      </c>
      <c r="F40" s="30" t="n">
        <v>0.236111111111111</v>
      </c>
      <c r="G40" s="30" t="n">
        <v>0.3125</v>
      </c>
      <c r="J40" s="29" t="s">
        <v>12795</v>
      </c>
      <c r="K40" s="29" t="s">
        <v>12796</v>
      </c>
      <c r="M40" s="29" t="s">
        <v>12797</v>
      </c>
    </row>
    <row r="41" customFormat="false" ht="28.5" hidden="false" customHeight="false" outlineLevel="0" collapsed="false">
      <c r="A41" s="28" t="n">
        <v>44230</v>
      </c>
      <c r="B41" s="29" t="s">
        <v>1503</v>
      </c>
      <c r="C41" s="29" t="s">
        <v>48</v>
      </c>
      <c r="D41" s="29" t="s">
        <v>12798</v>
      </c>
      <c r="E41" s="29" t="s">
        <v>12687</v>
      </c>
      <c r="G41" s="30" t="n">
        <v>0.354166666666667</v>
      </c>
      <c r="J41" s="29" t="s">
        <v>12799</v>
      </c>
      <c r="K41" s="29" t="s">
        <v>12800</v>
      </c>
      <c r="M41" s="29" t="s">
        <v>12801</v>
      </c>
    </row>
    <row r="42" customFormat="false" ht="72" hidden="false" customHeight="false" outlineLevel="0" collapsed="false">
      <c r="A42" s="28" t="n">
        <v>44230</v>
      </c>
      <c r="B42" s="29" t="s">
        <v>37</v>
      </c>
      <c r="C42" s="29" t="s">
        <v>49</v>
      </c>
      <c r="D42" s="29" t="s">
        <v>12802</v>
      </c>
      <c r="F42" s="30" t="n">
        <v>0.586805555555556</v>
      </c>
      <c r="G42" s="30" t="n">
        <v>0.594444444444444</v>
      </c>
      <c r="J42" s="29" t="s">
        <v>12803</v>
      </c>
      <c r="K42" s="29" t="s">
        <v>12804</v>
      </c>
      <c r="M42" s="29" t="s">
        <v>12805</v>
      </c>
    </row>
    <row r="43" customFormat="false" ht="28.5" hidden="false" customHeight="false" outlineLevel="0" collapsed="false">
      <c r="A43" s="28" t="n">
        <v>44230</v>
      </c>
      <c r="B43" s="29" t="s">
        <v>40</v>
      </c>
      <c r="C43" s="29" t="s">
        <v>49</v>
      </c>
      <c r="D43" s="29" t="s">
        <v>12806</v>
      </c>
      <c r="F43" s="30" t="n">
        <v>0.671527777777778</v>
      </c>
      <c r="G43" s="30" t="n">
        <v>0.713194444444444</v>
      </c>
      <c r="I43" s="31" t="n">
        <v>100</v>
      </c>
      <c r="J43" s="29" t="s">
        <v>12807</v>
      </c>
      <c r="K43" s="29" t="s">
        <v>12808</v>
      </c>
      <c r="M43" s="29" t="s">
        <v>12809</v>
      </c>
    </row>
    <row r="44" customFormat="false" ht="72" hidden="false" customHeight="false" outlineLevel="0" collapsed="false">
      <c r="A44" s="28" t="n">
        <v>44230</v>
      </c>
      <c r="B44" s="29" t="s">
        <v>1503</v>
      </c>
      <c r="C44" s="29" t="s">
        <v>49</v>
      </c>
      <c r="D44" s="29" t="s">
        <v>12810</v>
      </c>
      <c r="E44" s="29" t="s">
        <v>12687</v>
      </c>
      <c r="F44" s="30" t="n">
        <v>0.75</v>
      </c>
      <c r="G44" s="30" t="n">
        <v>0.807638888888889</v>
      </c>
      <c r="J44" s="29" t="s">
        <v>12811</v>
      </c>
      <c r="K44" s="29" t="s">
        <v>12812</v>
      </c>
      <c r="M44" s="29" t="s">
        <v>12813</v>
      </c>
    </row>
    <row r="45" customFormat="false" ht="28.5" hidden="false" customHeight="false" outlineLevel="0" collapsed="false">
      <c r="A45" s="28" t="n">
        <v>44231</v>
      </c>
      <c r="B45" s="29" t="s">
        <v>43</v>
      </c>
      <c r="C45" s="29" t="s">
        <v>48</v>
      </c>
      <c r="D45" s="29" t="s">
        <v>12815</v>
      </c>
      <c r="J45" s="29" t="s">
        <v>12816</v>
      </c>
      <c r="K45" s="29" t="s">
        <v>12817</v>
      </c>
      <c r="M45" s="29" t="s">
        <v>12818</v>
      </c>
    </row>
    <row r="46" customFormat="false" ht="42.75" hidden="false" customHeight="false" outlineLevel="0" collapsed="false">
      <c r="A46" s="28" t="n">
        <v>44232</v>
      </c>
      <c r="B46" s="29" t="s">
        <v>39</v>
      </c>
      <c r="C46" s="29" t="s">
        <v>48</v>
      </c>
      <c r="D46" s="29" t="s">
        <v>12820</v>
      </c>
      <c r="F46" s="30" t="n">
        <v>0.238194444444444</v>
      </c>
      <c r="G46" s="30" t="n">
        <v>0.254166666666667</v>
      </c>
      <c r="J46" s="29" t="s">
        <v>12821</v>
      </c>
      <c r="K46" s="29" t="s">
        <v>12822</v>
      </c>
      <c r="M46" s="29" t="s">
        <v>12823</v>
      </c>
    </row>
    <row r="47" customFormat="false" ht="42.75" hidden="false" customHeight="false" outlineLevel="0" collapsed="false">
      <c r="A47" s="28" t="n">
        <v>44232</v>
      </c>
      <c r="B47" s="29" t="s">
        <v>43</v>
      </c>
      <c r="C47" s="29" t="s">
        <v>48</v>
      </c>
      <c r="D47" s="29" t="s">
        <v>12824</v>
      </c>
      <c r="F47" s="30" t="n">
        <v>0.256944444444444</v>
      </c>
      <c r="G47" s="30" t="n">
        <v>0.281944444444444</v>
      </c>
      <c r="I47" s="31" t="n">
        <v>80</v>
      </c>
      <c r="J47" s="29" t="s">
        <v>12825</v>
      </c>
      <c r="K47" s="29" t="s">
        <v>12826</v>
      </c>
      <c r="M47" s="29" t="s">
        <v>12827</v>
      </c>
    </row>
    <row r="48" customFormat="false" ht="100.5" hidden="false" customHeight="false" outlineLevel="0" collapsed="false">
      <c r="A48" s="28" t="n">
        <v>44235</v>
      </c>
      <c r="B48" s="29" t="s">
        <v>39</v>
      </c>
      <c r="C48" s="29" t="s">
        <v>48</v>
      </c>
      <c r="D48" s="29" t="s">
        <v>12829</v>
      </c>
      <c r="G48" s="30" t="n">
        <v>0.436805555555555</v>
      </c>
      <c r="J48" s="29" t="s">
        <v>12830</v>
      </c>
      <c r="K48" s="29" t="s">
        <v>12831</v>
      </c>
      <c r="M48" s="29" t="s">
        <v>12832</v>
      </c>
    </row>
    <row r="49" customFormat="false" ht="42.75" hidden="false" customHeight="false" outlineLevel="0" collapsed="false">
      <c r="A49" s="28" t="n">
        <v>44236</v>
      </c>
      <c r="B49" s="29" t="s">
        <v>1503</v>
      </c>
      <c r="C49" s="29" t="s">
        <v>48</v>
      </c>
      <c r="D49" s="29" t="s">
        <v>8334</v>
      </c>
      <c r="E49" s="29" t="s">
        <v>4303</v>
      </c>
      <c r="F49" s="30" t="n">
        <v>0.25</v>
      </c>
      <c r="G49" s="30" t="n">
        <v>0.361111111111111</v>
      </c>
      <c r="J49" s="29" t="s">
        <v>12834</v>
      </c>
      <c r="K49" s="29" t="s">
        <v>12835</v>
      </c>
    </row>
    <row r="50" customFormat="false" ht="57" hidden="false" customHeight="false" outlineLevel="0" collapsed="false">
      <c r="A50" s="28" t="n">
        <v>44244</v>
      </c>
      <c r="B50" s="29" t="s">
        <v>1503</v>
      </c>
      <c r="C50" s="29" t="s">
        <v>48</v>
      </c>
      <c r="D50" s="29" t="s">
        <v>12837</v>
      </c>
      <c r="E50" s="29" t="s">
        <v>12687</v>
      </c>
      <c r="F50" s="30" t="n">
        <v>0.25</v>
      </c>
      <c r="G50" s="30" t="n">
        <v>0.309027777777778</v>
      </c>
      <c r="I50" s="31" t="n">
        <v>110</v>
      </c>
      <c r="J50" s="29" t="s">
        <v>12838</v>
      </c>
      <c r="K50" s="29" t="s">
        <v>12839</v>
      </c>
      <c r="M50" s="29" t="s">
        <v>12840</v>
      </c>
    </row>
    <row r="51" customFormat="false" ht="57" hidden="false" customHeight="false" outlineLevel="0" collapsed="false">
      <c r="A51" s="28" t="n">
        <v>44244</v>
      </c>
      <c r="B51" s="29" t="s">
        <v>1503</v>
      </c>
      <c r="C51" s="29" t="s">
        <v>48</v>
      </c>
      <c r="D51" s="29" t="s">
        <v>12841</v>
      </c>
      <c r="E51" s="29" t="s">
        <v>12687</v>
      </c>
      <c r="F51" s="30" t="n">
        <v>0.25</v>
      </c>
      <c r="G51" s="30" t="n">
        <v>0.402777777777778</v>
      </c>
      <c r="I51" s="31" t="n">
        <v>390</v>
      </c>
      <c r="J51" s="29" t="s">
        <v>12842</v>
      </c>
      <c r="K51" s="29" t="s">
        <v>12843</v>
      </c>
      <c r="M51" s="29" t="s">
        <v>12844</v>
      </c>
    </row>
    <row r="52" customFormat="false" ht="72" hidden="false" customHeight="false" outlineLevel="0" collapsed="false">
      <c r="A52" s="28" t="n">
        <v>44244</v>
      </c>
      <c r="B52" s="29" t="s">
        <v>42</v>
      </c>
      <c r="C52" s="29" t="s">
        <v>48</v>
      </c>
      <c r="D52" s="29" t="s">
        <v>12845</v>
      </c>
      <c r="F52" s="30" t="n">
        <v>0.416666666666667</v>
      </c>
      <c r="G52" s="30" t="n">
        <v>0.479166666666667</v>
      </c>
      <c r="J52" s="29" t="s">
        <v>12846</v>
      </c>
      <c r="K52" s="29" t="s">
        <v>12847</v>
      </c>
      <c r="M52" s="29" t="s">
        <v>12848</v>
      </c>
    </row>
    <row r="53" customFormat="false" ht="114.75" hidden="false" customHeight="false" outlineLevel="0" collapsed="false">
      <c r="A53" s="28" t="n">
        <v>44244</v>
      </c>
      <c r="B53" s="29" t="s">
        <v>37</v>
      </c>
      <c r="C53" s="29" t="s">
        <v>49</v>
      </c>
      <c r="D53" s="29" t="s">
        <v>12849</v>
      </c>
      <c r="F53" s="30" t="n">
        <v>0.803472222222222</v>
      </c>
      <c r="G53" s="30" t="n">
        <v>0.827777777777778</v>
      </c>
      <c r="I53" s="31" t="n">
        <v>47</v>
      </c>
      <c r="J53" s="29" t="s">
        <v>12850</v>
      </c>
      <c r="K53" s="29" t="s">
        <v>12851</v>
      </c>
      <c r="M53" s="29" t="s">
        <v>12852</v>
      </c>
    </row>
    <row r="54" customFormat="false" ht="42.75" hidden="false" customHeight="false" outlineLevel="0" collapsed="false">
      <c r="A54" s="28" t="n">
        <v>44245</v>
      </c>
      <c r="B54" s="29" t="s">
        <v>1503</v>
      </c>
      <c r="C54" s="29" t="s">
        <v>48</v>
      </c>
      <c r="D54" s="29" t="s">
        <v>12854</v>
      </c>
      <c r="E54" s="29" t="s">
        <v>12687</v>
      </c>
      <c r="J54" s="29" t="s">
        <v>12855</v>
      </c>
      <c r="K54" s="29" t="s">
        <v>12856</v>
      </c>
      <c r="M54" s="29" t="s">
        <v>12857</v>
      </c>
    </row>
    <row r="55" customFormat="false" ht="129" hidden="false" customHeight="false" outlineLevel="0" collapsed="false">
      <c r="A55" s="28" t="n">
        <v>44245</v>
      </c>
      <c r="B55" s="29" t="s">
        <v>40</v>
      </c>
      <c r="C55" s="29" t="s">
        <v>49</v>
      </c>
      <c r="D55" s="29" t="s">
        <v>12858</v>
      </c>
      <c r="F55" s="30" t="n">
        <v>0.66875</v>
      </c>
      <c r="G55" s="30" t="n">
        <v>0.688888888888889</v>
      </c>
      <c r="I55" s="31" t="n">
        <v>70</v>
      </c>
      <c r="J55" s="29" t="s">
        <v>12859</v>
      </c>
      <c r="K55" s="29" t="s">
        <v>12860</v>
      </c>
      <c r="M55" s="29" t="s">
        <v>12861</v>
      </c>
    </row>
    <row r="56" customFormat="false" ht="72" hidden="false" customHeight="false" outlineLevel="0" collapsed="false">
      <c r="A56" s="28" t="n">
        <v>44246</v>
      </c>
      <c r="B56" s="29" t="s">
        <v>39</v>
      </c>
      <c r="C56" s="29" t="s">
        <v>48</v>
      </c>
      <c r="D56" s="29" t="s">
        <v>12862</v>
      </c>
      <c r="F56" s="30" t="n">
        <v>0.254166666666667</v>
      </c>
      <c r="G56" s="30" t="n">
        <v>0.257638888888889</v>
      </c>
      <c r="H56" s="31" t="n">
        <v>6</v>
      </c>
      <c r="I56" s="31" t="n">
        <v>6</v>
      </c>
      <c r="J56" s="29" t="s">
        <v>12863</v>
      </c>
      <c r="K56" s="29" t="s">
        <v>12864</v>
      </c>
      <c r="M56" s="29" t="s">
        <v>12865</v>
      </c>
    </row>
    <row r="57" customFormat="false" ht="100.5" hidden="false" customHeight="false" outlineLevel="0" collapsed="false">
      <c r="A57" s="28" t="n">
        <v>44246</v>
      </c>
      <c r="B57" s="29" t="s">
        <v>39</v>
      </c>
      <c r="C57" s="29" t="s">
        <v>48</v>
      </c>
      <c r="D57" s="29" t="s">
        <v>12866</v>
      </c>
      <c r="F57" s="30" t="n">
        <v>0.526388888888889</v>
      </c>
      <c r="G57" s="30" t="n">
        <v>0.531944444444444</v>
      </c>
      <c r="H57" s="31" t="n">
        <v>6</v>
      </c>
      <c r="I57" s="31" t="n">
        <v>12</v>
      </c>
      <c r="J57" s="29" t="s">
        <v>12867</v>
      </c>
      <c r="K57" s="29" t="s">
        <v>12868</v>
      </c>
      <c r="M57" s="29" t="s">
        <v>12869</v>
      </c>
    </row>
    <row r="58" customFormat="false" ht="42.75" hidden="false" customHeight="false" outlineLevel="0" collapsed="false">
      <c r="A58" s="28" t="n">
        <v>44249</v>
      </c>
      <c r="B58" s="29" t="s">
        <v>39</v>
      </c>
      <c r="C58" s="29" t="s">
        <v>48</v>
      </c>
      <c r="D58" s="29" t="s">
        <v>12871</v>
      </c>
      <c r="F58" s="30" t="s">
        <v>12872</v>
      </c>
      <c r="G58" s="30" t="s">
        <v>12872</v>
      </c>
      <c r="H58" s="31" t="n">
        <v>2</v>
      </c>
      <c r="I58" s="31" t="n">
        <v>100</v>
      </c>
      <c r="J58" s="29" t="s">
        <v>12873</v>
      </c>
      <c r="K58" s="29" t="s">
        <v>12874</v>
      </c>
      <c r="M58" s="29" t="s">
        <v>12875</v>
      </c>
    </row>
    <row r="59" customFormat="false" ht="114.75" hidden="false" customHeight="false" outlineLevel="0" collapsed="false">
      <c r="A59" s="28" t="n">
        <v>44249</v>
      </c>
      <c r="B59" s="29" t="s">
        <v>38</v>
      </c>
      <c r="C59" s="29" t="s">
        <v>48</v>
      </c>
      <c r="D59" s="29" t="s">
        <v>12876</v>
      </c>
      <c r="F59" s="30" t="n">
        <v>0.347222222222222</v>
      </c>
      <c r="G59" s="30" t="n">
        <v>0.363888888888889</v>
      </c>
      <c r="J59" s="29" t="s">
        <v>12877</v>
      </c>
      <c r="K59" s="29" t="s">
        <v>12878</v>
      </c>
      <c r="M59" s="29" t="s">
        <v>12879</v>
      </c>
    </row>
    <row r="60" customFormat="false" ht="57" hidden="false" customHeight="false" outlineLevel="0" collapsed="false">
      <c r="A60" s="28" t="n">
        <v>44249</v>
      </c>
      <c r="B60" s="29" t="s">
        <v>40</v>
      </c>
      <c r="C60" s="29" t="s">
        <v>49</v>
      </c>
      <c r="D60" s="29" t="s">
        <v>12880</v>
      </c>
      <c r="F60" s="30" t="n">
        <v>0.666666666666667</v>
      </c>
      <c r="G60" s="30" t="n">
        <v>0.921527777777778</v>
      </c>
      <c r="K60" s="29" t="s">
        <v>12881</v>
      </c>
      <c r="M60" s="29" t="s">
        <v>12882</v>
      </c>
    </row>
    <row r="61" customFormat="false" ht="72" hidden="false" customHeight="false" outlineLevel="0" collapsed="false">
      <c r="A61" s="28" t="n">
        <v>44250</v>
      </c>
      <c r="B61" s="29" t="s">
        <v>40</v>
      </c>
      <c r="C61" s="29" t="s">
        <v>48</v>
      </c>
      <c r="D61" s="29" t="s">
        <v>12884</v>
      </c>
      <c r="F61" s="30" t="n">
        <v>0.666666666666667</v>
      </c>
      <c r="G61" s="30" t="n">
        <v>0.921527777777778</v>
      </c>
      <c r="J61" s="29" t="s">
        <v>12885</v>
      </c>
      <c r="K61" s="29" t="s">
        <v>12886</v>
      </c>
      <c r="M61" s="29" t="s">
        <v>12887</v>
      </c>
    </row>
    <row r="62" customFormat="false" ht="57" hidden="false" customHeight="false" outlineLevel="0" collapsed="false">
      <c r="A62" s="28" t="n">
        <v>44250</v>
      </c>
      <c r="B62" s="29" t="s">
        <v>38</v>
      </c>
      <c r="C62" s="29" t="s">
        <v>48</v>
      </c>
      <c r="D62" s="29" t="s">
        <v>12888</v>
      </c>
      <c r="F62" s="30" t="n">
        <v>0.259722222222222</v>
      </c>
      <c r="G62" s="30" t="n">
        <v>0.270833333333333</v>
      </c>
      <c r="I62" s="31" t="n">
        <v>120</v>
      </c>
      <c r="J62" s="29" t="s">
        <v>12889</v>
      </c>
      <c r="K62" s="29" t="s">
        <v>12890</v>
      </c>
      <c r="M62" s="29" t="s">
        <v>12891</v>
      </c>
    </row>
    <row r="63" customFormat="false" ht="129" hidden="false" customHeight="false" outlineLevel="0" collapsed="false">
      <c r="A63" s="28" t="n">
        <v>44250</v>
      </c>
      <c r="B63" s="29" t="s">
        <v>1503</v>
      </c>
      <c r="C63" s="29" t="s">
        <v>48</v>
      </c>
      <c r="D63" s="29" t="s">
        <v>12892</v>
      </c>
      <c r="E63" s="29" t="s">
        <v>12687</v>
      </c>
      <c r="F63" s="30" t="n">
        <v>0.3125</v>
      </c>
      <c r="G63" s="30" t="n">
        <v>0.336111111111111</v>
      </c>
      <c r="I63" s="31" t="n">
        <v>60</v>
      </c>
      <c r="J63" s="29" t="s">
        <v>12893</v>
      </c>
      <c r="K63" s="29" t="s">
        <v>12894</v>
      </c>
      <c r="M63" s="29" t="s">
        <v>12895</v>
      </c>
    </row>
    <row r="64" customFormat="false" ht="57" hidden="false" customHeight="false" outlineLevel="0" collapsed="false">
      <c r="A64" s="28" t="n">
        <v>44250</v>
      </c>
      <c r="B64" s="29" t="s">
        <v>38</v>
      </c>
      <c r="C64" s="29" t="s">
        <v>49</v>
      </c>
      <c r="D64" s="29" t="s">
        <v>12896</v>
      </c>
      <c r="F64" s="30" t="n">
        <v>0.809027777777778</v>
      </c>
      <c r="G64" s="30" t="n">
        <v>0.817361111111111</v>
      </c>
      <c r="H64" s="31" t="n">
        <v>0</v>
      </c>
      <c r="I64" s="31" t="n">
        <v>15</v>
      </c>
      <c r="J64" s="29" t="s">
        <v>12897</v>
      </c>
      <c r="K64" s="29" t="s">
        <v>12898</v>
      </c>
      <c r="M64" s="29" t="s">
        <v>12899</v>
      </c>
    </row>
    <row r="65" customFormat="false" ht="72" hidden="false" customHeight="false" outlineLevel="0" collapsed="false">
      <c r="A65" s="28" t="n">
        <v>44251</v>
      </c>
      <c r="B65" s="29" t="s">
        <v>1503</v>
      </c>
      <c r="C65" s="29" t="s">
        <v>48</v>
      </c>
      <c r="D65" s="29" t="s">
        <v>12901</v>
      </c>
      <c r="E65" s="29" t="s">
        <v>12687</v>
      </c>
      <c r="F65" s="30" t="n">
        <v>0.25</v>
      </c>
      <c r="G65" s="30" t="n">
        <v>0.297222222222222</v>
      </c>
      <c r="I65" s="31" t="n">
        <v>110</v>
      </c>
      <c r="J65" s="29" t="s">
        <v>12902</v>
      </c>
      <c r="K65" s="29" t="s">
        <v>12903</v>
      </c>
      <c r="M65" s="29" t="s">
        <v>5148</v>
      </c>
    </row>
    <row r="66" customFormat="false" ht="42.75" hidden="false" customHeight="false" outlineLevel="0" collapsed="false">
      <c r="A66" s="28" t="n">
        <v>44253</v>
      </c>
      <c r="B66" s="29" t="s">
        <v>38</v>
      </c>
      <c r="C66" s="29" t="s">
        <v>49</v>
      </c>
      <c r="D66" s="29" t="s">
        <v>12904</v>
      </c>
      <c r="G66" s="30" t="n">
        <v>0.915972222222222</v>
      </c>
      <c r="J66" s="29" t="s">
        <v>12905</v>
      </c>
      <c r="K66" s="29" t="s">
        <v>12906</v>
      </c>
      <c r="M66" s="29" t="s">
        <v>12907</v>
      </c>
    </row>
    <row r="67" customFormat="false" ht="57" hidden="false" customHeight="false" outlineLevel="0" collapsed="false">
      <c r="A67" s="28" t="n">
        <v>44256</v>
      </c>
      <c r="B67" s="29" t="s">
        <v>40</v>
      </c>
      <c r="C67" s="29" t="s">
        <v>48</v>
      </c>
      <c r="D67" s="29" t="s">
        <v>12909</v>
      </c>
      <c r="F67" s="30" t="n">
        <v>0.236111111111111</v>
      </c>
      <c r="G67" s="30" t="n">
        <v>0.258333333333333</v>
      </c>
      <c r="I67" s="31" t="n">
        <v>54</v>
      </c>
      <c r="J67" s="29" t="s">
        <v>12910</v>
      </c>
      <c r="K67" s="29" t="s">
        <v>12911</v>
      </c>
      <c r="M67" s="29" t="s">
        <v>12912</v>
      </c>
    </row>
    <row r="68" customFormat="false" ht="42.75" hidden="false" customHeight="false" outlineLevel="0" collapsed="false">
      <c r="A68" s="28" t="n">
        <v>44256</v>
      </c>
      <c r="B68" s="29" t="s">
        <v>39</v>
      </c>
      <c r="C68" s="29" t="s">
        <v>48</v>
      </c>
      <c r="D68" s="29" t="s">
        <v>8609</v>
      </c>
      <c r="G68" s="30" t="n">
        <v>0.28125</v>
      </c>
      <c r="J68" s="29" t="s">
        <v>12913</v>
      </c>
      <c r="K68" s="29" t="s">
        <v>12914</v>
      </c>
      <c r="M68" s="29" t="s">
        <v>12915</v>
      </c>
    </row>
    <row r="69" customFormat="false" ht="86.25" hidden="false" customHeight="false" outlineLevel="0" collapsed="false">
      <c r="A69" s="28" t="n">
        <v>44256</v>
      </c>
      <c r="B69" s="29" t="s">
        <v>39</v>
      </c>
      <c r="C69" s="29" t="s">
        <v>48</v>
      </c>
      <c r="D69" s="29" t="s">
        <v>8294</v>
      </c>
      <c r="F69" s="30" t="n">
        <v>0.285416666666667</v>
      </c>
      <c r="G69" s="30" t="n">
        <v>0.305555555555555</v>
      </c>
      <c r="I69" s="31" t="n">
        <v>20</v>
      </c>
      <c r="J69" s="29" t="s">
        <v>12916</v>
      </c>
      <c r="K69" s="29" t="s">
        <v>12917</v>
      </c>
      <c r="M69" s="29" t="s">
        <v>12918</v>
      </c>
    </row>
    <row r="70" customFormat="false" ht="86.25" hidden="false" customHeight="false" outlineLevel="0" collapsed="false">
      <c r="A70" s="28" t="n">
        <v>44256</v>
      </c>
      <c r="B70" s="29" t="s">
        <v>37</v>
      </c>
      <c r="C70" s="29" t="s">
        <v>48</v>
      </c>
      <c r="D70" s="29" t="s">
        <v>12919</v>
      </c>
      <c r="F70" s="30" t="n">
        <v>0.260416666666667</v>
      </c>
      <c r="G70" s="30" t="n">
        <v>0.302083333333333</v>
      </c>
      <c r="I70" s="31" t="n">
        <v>60</v>
      </c>
      <c r="J70" s="29" t="s">
        <v>12920</v>
      </c>
      <c r="K70" s="29" t="s">
        <v>12921</v>
      </c>
      <c r="M70" s="29" t="s">
        <v>12922</v>
      </c>
    </row>
    <row r="71" customFormat="false" ht="57" hidden="false" customHeight="false" outlineLevel="0" collapsed="false">
      <c r="A71" s="28" t="n">
        <v>44256</v>
      </c>
      <c r="B71" s="29" t="s">
        <v>37</v>
      </c>
      <c r="C71" s="29" t="s">
        <v>49</v>
      </c>
      <c r="D71" s="29" t="s">
        <v>12923</v>
      </c>
      <c r="F71" s="30" t="n">
        <v>0.692361111111111</v>
      </c>
      <c r="G71" s="30" t="n">
        <v>0.754861111111111</v>
      </c>
      <c r="I71" s="31" t="n">
        <v>110</v>
      </c>
      <c r="J71" s="29" t="s">
        <v>12924</v>
      </c>
      <c r="K71" s="29" t="s">
        <v>12925</v>
      </c>
      <c r="M71" s="29" t="s">
        <v>12926</v>
      </c>
    </row>
    <row r="72" customFormat="false" ht="172.5" hidden="false" customHeight="false" outlineLevel="0" collapsed="false">
      <c r="A72" s="28" t="n">
        <v>44258</v>
      </c>
      <c r="B72" s="29" t="s">
        <v>40</v>
      </c>
      <c r="C72" s="29" t="s">
        <v>49</v>
      </c>
      <c r="D72" s="29" t="s">
        <v>12928</v>
      </c>
      <c r="F72" s="30" t="n">
        <v>0.701388888888889</v>
      </c>
      <c r="G72" s="30" t="n">
        <v>0.722222222222222</v>
      </c>
      <c r="I72" s="31" t="n">
        <v>75</v>
      </c>
      <c r="J72" s="29" t="s">
        <v>12929</v>
      </c>
      <c r="K72" s="29" t="s">
        <v>12930</v>
      </c>
      <c r="M72" s="29" t="s">
        <v>12931</v>
      </c>
    </row>
    <row r="73" customFormat="false" ht="86.25" hidden="false" customHeight="false" outlineLevel="0" collapsed="false">
      <c r="A73" s="28" t="n">
        <v>44259</v>
      </c>
      <c r="B73" s="29" t="s">
        <v>1503</v>
      </c>
      <c r="C73" s="29" t="s">
        <v>48</v>
      </c>
      <c r="D73" s="29" t="s">
        <v>12933</v>
      </c>
      <c r="E73" s="29" t="s">
        <v>12687</v>
      </c>
      <c r="F73" s="30" t="n">
        <v>0.270833333333333</v>
      </c>
      <c r="G73" s="30" t="n">
        <v>0.347222222222222</v>
      </c>
      <c r="I73" s="31" t="n">
        <v>150</v>
      </c>
      <c r="J73" s="29" t="s">
        <v>12934</v>
      </c>
      <c r="K73" s="29" t="s">
        <v>12935</v>
      </c>
      <c r="M73" s="29" t="s">
        <v>12936</v>
      </c>
    </row>
    <row r="74" customFormat="false" ht="86.25" hidden="false" customHeight="false" outlineLevel="0" collapsed="false">
      <c r="A74" s="28" t="n">
        <v>44259</v>
      </c>
      <c r="B74" s="29" t="s">
        <v>38</v>
      </c>
      <c r="C74" s="29" t="s">
        <v>49</v>
      </c>
      <c r="D74" s="29" t="s">
        <v>12937</v>
      </c>
      <c r="F74" s="30" t="n">
        <v>0.631944444444444</v>
      </c>
      <c r="G74" s="30" t="n">
        <v>0.634722222222222</v>
      </c>
      <c r="I74" s="31" t="n">
        <v>8</v>
      </c>
      <c r="J74" s="29" t="s">
        <v>12938</v>
      </c>
      <c r="K74" s="29" t="s">
        <v>12939</v>
      </c>
      <c r="M74" s="29" t="s">
        <v>12940</v>
      </c>
    </row>
    <row r="75" customFormat="false" ht="129" hidden="false" customHeight="false" outlineLevel="0" collapsed="false">
      <c r="A75" s="28" t="n">
        <v>44260</v>
      </c>
      <c r="B75" s="29" t="s">
        <v>42</v>
      </c>
      <c r="C75" s="29" t="s">
        <v>48</v>
      </c>
      <c r="D75" s="29" t="s">
        <v>12942</v>
      </c>
      <c r="F75" s="30" t="n">
        <v>0.333333333333333</v>
      </c>
      <c r="G75" s="30" t="n">
        <v>0.375</v>
      </c>
      <c r="I75" s="31" t="n">
        <v>76</v>
      </c>
      <c r="J75" s="29" t="s">
        <v>12943</v>
      </c>
      <c r="K75" s="29" t="s">
        <v>12944</v>
      </c>
      <c r="M75" s="29" t="s">
        <v>12945</v>
      </c>
    </row>
    <row r="76" customFormat="false" ht="72" hidden="false" customHeight="false" outlineLevel="0" collapsed="false">
      <c r="A76" s="28" t="n">
        <v>44260</v>
      </c>
      <c r="B76" s="29" t="s">
        <v>1863</v>
      </c>
      <c r="C76" s="29" t="s">
        <v>48</v>
      </c>
      <c r="D76" s="29" t="s">
        <v>12946</v>
      </c>
      <c r="F76" s="30" t="n">
        <v>0.333333333333333</v>
      </c>
      <c r="G76" s="30" t="n">
        <v>0.305555555555555</v>
      </c>
      <c r="J76" s="29" t="s">
        <v>12947</v>
      </c>
      <c r="K76" s="29" t="s">
        <v>12948</v>
      </c>
      <c r="M76" s="29" t="s">
        <v>12949</v>
      </c>
    </row>
    <row r="77" customFormat="false" ht="230.25" hidden="false" customHeight="false" outlineLevel="0" collapsed="false">
      <c r="A77" s="28" t="n">
        <v>44260</v>
      </c>
      <c r="B77" s="29" t="s">
        <v>37</v>
      </c>
      <c r="C77" s="29" t="s">
        <v>49</v>
      </c>
      <c r="D77" s="29" t="s">
        <v>12950</v>
      </c>
      <c r="F77" s="30" t="n">
        <v>0.53125</v>
      </c>
      <c r="G77" s="30" t="n">
        <v>0.6625</v>
      </c>
      <c r="I77" s="31" t="n">
        <v>420</v>
      </c>
      <c r="J77" s="29" t="s">
        <v>12951</v>
      </c>
      <c r="K77" s="29" t="s">
        <v>12952</v>
      </c>
      <c r="M77" s="29" t="s">
        <v>12953</v>
      </c>
    </row>
    <row r="78" customFormat="false" ht="100.5" hidden="false" customHeight="false" outlineLevel="0" collapsed="false">
      <c r="A78" s="28" t="n">
        <v>44263</v>
      </c>
      <c r="B78" s="29" t="s">
        <v>38</v>
      </c>
      <c r="C78" s="29" t="s">
        <v>49</v>
      </c>
      <c r="D78" s="29" t="s">
        <v>12954</v>
      </c>
      <c r="G78" s="30" t="n">
        <v>0.802083333333333</v>
      </c>
      <c r="J78" s="29" t="s">
        <v>12955</v>
      </c>
      <c r="K78" s="29" t="s">
        <v>12956</v>
      </c>
      <c r="M78" s="29" t="s">
        <v>12957</v>
      </c>
    </row>
    <row r="79" customFormat="false" ht="72" hidden="false" customHeight="false" outlineLevel="0" collapsed="false">
      <c r="A79" s="28" t="n">
        <v>44264</v>
      </c>
      <c r="B79" s="29" t="s">
        <v>42</v>
      </c>
      <c r="C79" s="29" t="s">
        <v>48</v>
      </c>
      <c r="D79" s="29" t="s">
        <v>12959</v>
      </c>
      <c r="G79" s="30" t="n">
        <v>0.386805555555556</v>
      </c>
      <c r="J79" s="29" t="s">
        <v>12960</v>
      </c>
      <c r="K79" s="29" t="s">
        <v>12961</v>
      </c>
      <c r="M79" s="29" t="s">
        <v>12962</v>
      </c>
    </row>
    <row r="80" customFormat="false" ht="72" hidden="false" customHeight="false" outlineLevel="0" collapsed="false">
      <c r="A80" s="28" t="n">
        <v>44264</v>
      </c>
      <c r="B80" s="29" t="s">
        <v>41</v>
      </c>
      <c r="C80" s="29" t="s">
        <v>48</v>
      </c>
      <c r="D80" s="29" t="s">
        <v>12963</v>
      </c>
      <c r="F80" s="30" t="n">
        <v>0.432638888888889</v>
      </c>
      <c r="G80" s="30" t="n">
        <v>0.442361111111111</v>
      </c>
      <c r="J80" s="29" t="s">
        <v>12964</v>
      </c>
      <c r="K80" s="29" t="s">
        <v>12965</v>
      </c>
      <c r="M80" s="29" t="s">
        <v>12966</v>
      </c>
    </row>
    <row r="81" customFormat="false" ht="100.5" hidden="false" customHeight="false" outlineLevel="0" collapsed="false">
      <c r="A81" s="28" t="n">
        <v>44265</v>
      </c>
      <c r="B81" s="29" t="s">
        <v>43</v>
      </c>
      <c r="C81" s="29" t="s">
        <v>48</v>
      </c>
      <c r="D81" s="29" t="s">
        <v>12968</v>
      </c>
      <c r="F81" s="30" t="n">
        <v>0.125</v>
      </c>
      <c r="G81" s="30" t="n">
        <v>0.229166666666667</v>
      </c>
      <c r="I81" s="31" t="n">
        <v>180</v>
      </c>
      <c r="J81" s="29" t="s">
        <v>12969</v>
      </c>
      <c r="K81" s="29" t="s">
        <v>12970</v>
      </c>
      <c r="M81" s="29" t="s">
        <v>12971</v>
      </c>
    </row>
    <row r="82" customFormat="false" ht="72" hidden="false" customHeight="false" outlineLevel="0" collapsed="false">
      <c r="A82" s="28" t="n">
        <v>44265</v>
      </c>
      <c r="B82" s="29" t="s">
        <v>41</v>
      </c>
      <c r="C82" s="29" t="s">
        <v>48</v>
      </c>
      <c r="D82" s="29" t="s">
        <v>12972</v>
      </c>
      <c r="F82" s="30" t="n">
        <v>0.25</v>
      </c>
      <c r="G82" s="30" t="n">
        <v>0.291666666666667</v>
      </c>
      <c r="J82" s="29" t="s">
        <v>12973</v>
      </c>
      <c r="K82" s="29" t="s">
        <v>12974</v>
      </c>
      <c r="M82" s="29" t="s">
        <v>12975</v>
      </c>
    </row>
    <row r="83" customFormat="false" ht="57" hidden="false" customHeight="false" outlineLevel="0" collapsed="false">
      <c r="A83" s="28" t="n">
        <v>44265</v>
      </c>
      <c r="B83" s="29" t="s">
        <v>38</v>
      </c>
      <c r="C83" s="29" t="s">
        <v>48</v>
      </c>
      <c r="D83" s="29" t="s">
        <v>12976</v>
      </c>
      <c r="F83" s="30" t="n">
        <v>0.432638888888889</v>
      </c>
      <c r="G83" s="30" t="n">
        <v>0.442361111111111</v>
      </c>
      <c r="J83" s="29" t="s">
        <v>12977</v>
      </c>
      <c r="K83" s="29" t="s">
        <v>12978</v>
      </c>
      <c r="M83" s="29" t="s">
        <v>12979</v>
      </c>
    </row>
    <row r="84" customFormat="false" ht="42.75" hidden="false" customHeight="false" outlineLevel="0" collapsed="false">
      <c r="A84" s="28" t="n">
        <v>44267</v>
      </c>
      <c r="B84" s="29" t="s">
        <v>41</v>
      </c>
      <c r="C84" s="29" t="s">
        <v>48</v>
      </c>
      <c r="D84" s="29" t="s">
        <v>12981</v>
      </c>
      <c r="F84" s="30" t="n">
        <v>0.272222222222222</v>
      </c>
      <c r="G84" s="30" t="n">
        <v>0.291666666666667</v>
      </c>
      <c r="H84" s="31" t="n">
        <v>0</v>
      </c>
      <c r="J84" s="29" t="s">
        <v>12982</v>
      </c>
      <c r="K84" s="29" t="s">
        <v>12983</v>
      </c>
      <c r="M84" s="29" t="s">
        <v>12984</v>
      </c>
    </row>
    <row r="85" customFormat="false" ht="86.25" hidden="false" customHeight="false" outlineLevel="0" collapsed="false">
      <c r="A85" s="28" t="n">
        <v>44267</v>
      </c>
      <c r="B85" s="29" t="s">
        <v>39</v>
      </c>
      <c r="C85" s="29" t="s">
        <v>49</v>
      </c>
      <c r="D85" s="29" t="s">
        <v>12985</v>
      </c>
      <c r="F85" s="30" t="n">
        <v>0.760416666666667</v>
      </c>
      <c r="G85" s="30" t="n">
        <v>0.78125</v>
      </c>
      <c r="J85" s="29" t="s">
        <v>12986</v>
      </c>
      <c r="K85" s="29" t="s">
        <v>12987</v>
      </c>
      <c r="M85" s="29" t="s">
        <v>12988</v>
      </c>
    </row>
    <row r="86" customFormat="false" ht="72" hidden="false" customHeight="false" outlineLevel="0" collapsed="false">
      <c r="A86" s="28" t="n">
        <v>44270</v>
      </c>
      <c r="B86" s="29" t="s">
        <v>41</v>
      </c>
      <c r="C86" s="29" t="s">
        <v>48</v>
      </c>
      <c r="D86" s="29" t="s">
        <v>12989</v>
      </c>
      <c r="F86" s="30" t="n">
        <v>0.243055555555556</v>
      </c>
      <c r="G86" s="30" t="n">
        <v>0.318055555555556</v>
      </c>
      <c r="J86" s="29" t="s">
        <v>12990</v>
      </c>
      <c r="K86" s="29" t="s">
        <v>12991</v>
      </c>
      <c r="M86" s="29" t="s">
        <v>12992</v>
      </c>
    </row>
    <row r="87" customFormat="false" ht="114.75" hidden="false" customHeight="false" outlineLevel="0" collapsed="false">
      <c r="A87" s="28" t="n">
        <v>44270</v>
      </c>
      <c r="B87" s="29" t="s">
        <v>1503</v>
      </c>
      <c r="C87" s="29" t="s">
        <v>48</v>
      </c>
      <c r="D87" s="29" t="s">
        <v>12993</v>
      </c>
      <c r="E87" s="29" t="s">
        <v>12687</v>
      </c>
      <c r="F87" s="30" t="n">
        <v>0.454861111111111</v>
      </c>
      <c r="G87" s="30" t="n">
        <v>0.4875</v>
      </c>
      <c r="I87" s="31" t="n">
        <v>140</v>
      </c>
      <c r="J87" s="29" t="s">
        <v>12994</v>
      </c>
      <c r="K87" s="29" t="s">
        <v>12995</v>
      </c>
      <c r="M87" s="29" t="s">
        <v>12996</v>
      </c>
    </row>
    <row r="88" customFormat="false" ht="28.5" hidden="false" customHeight="false" outlineLevel="0" collapsed="false">
      <c r="A88" s="28" t="n">
        <v>44270</v>
      </c>
      <c r="B88" s="29" t="s">
        <v>41</v>
      </c>
      <c r="C88" s="29" t="s">
        <v>49</v>
      </c>
      <c r="D88" s="29" t="s">
        <v>12989</v>
      </c>
      <c r="F88" s="30" t="n">
        <v>0.520833333333333</v>
      </c>
      <c r="G88" s="30" t="n">
        <v>0.561111111111111</v>
      </c>
      <c r="J88" s="29" t="s">
        <v>12990</v>
      </c>
      <c r="K88" s="29" t="s">
        <v>12997</v>
      </c>
      <c r="M88" s="29" t="s">
        <v>12998</v>
      </c>
    </row>
    <row r="89" customFormat="false" ht="100.5" hidden="false" customHeight="false" outlineLevel="0" collapsed="false">
      <c r="A89" s="28" t="n">
        <v>44270</v>
      </c>
      <c r="B89" s="29" t="s">
        <v>37</v>
      </c>
      <c r="C89" s="29" t="s">
        <v>49</v>
      </c>
      <c r="D89" s="29" t="s">
        <v>9326</v>
      </c>
      <c r="F89" s="30" t="n">
        <v>0.75</v>
      </c>
      <c r="G89" s="30" t="n">
        <v>0.770138888888889</v>
      </c>
      <c r="I89" s="31" t="n">
        <v>145</v>
      </c>
      <c r="J89" s="29" t="s">
        <v>12999</v>
      </c>
      <c r="K89" s="29" t="s">
        <v>13000</v>
      </c>
      <c r="M89" s="29" t="s">
        <v>13001</v>
      </c>
    </row>
    <row r="90" customFormat="false" ht="114.75" hidden="false" customHeight="false" outlineLevel="0" collapsed="false">
      <c r="A90" s="28" t="n">
        <v>44271</v>
      </c>
      <c r="B90" s="29" t="s">
        <v>41</v>
      </c>
      <c r="C90" s="29" t="s">
        <v>48</v>
      </c>
      <c r="D90" s="29" t="s">
        <v>13002</v>
      </c>
      <c r="F90" s="30" t="n">
        <v>0.513888888888889</v>
      </c>
      <c r="G90" s="30" t="n">
        <v>0.526388888888889</v>
      </c>
      <c r="I90" s="31" t="n">
        <v>35</v>
      </c>
      <c r="J90" s="29" t="s">
        <v>13003</v>
      </c>
      <c r="K90" s="29" t="s">
        <v>13004</v>
      </c>
      <c r="M90" s="29" t="s">
        <v>13005</v>
      </c>
    </row>
    <row r="91" customFormat="false" ht="72" hidden="false" customHeight="false" outlineLevel="0" collapsed="false">
      <c r="A91" s="28" t="n">
        <v>44271</v>
      </c>
      <c r="B91" s="29" t="s">
        <v>43</v>
      </c>
      <c r="C91" s="29" t="s">
        <v>49</v>
      </c>
      <c r="D91" s="29" t="s">
        <v>13006</v>
      </c>
      <c r="F91" s="30" t="n">
        <v>0.572916666666667</v>
      </c>
      <c r="G91" s="30" t="n">
        <v>0.597222222222222</v>
      </c>
      <c r="I91" s="31" t="n">
        <v>75</v>
      </c>
      <c r="J91" s="29" t="s">
        <v>13007</v>
      </c>
      <c r="K91" s="29" t="s">
        <v>13008</v>
      </c>
      <c r="M91" s="29" t="s">
        <v>13009</v>
      </c>
    </row>
    <row r="92" customFormat="false" ht="28.5" hidden="false" customHeight="false" outlineLevel="0" collapsed="false">
      <c r="A92" s="28" t="n">
        <v>44271</v>
      </c>
      <c r="B92" s="29" t="s">
        <v>39</v>
      </c>
      <c r="C92" s="29" t="s">
        <v>49</v>
      </c>
      <c r="D92" s="29" t="s">
        <v>13010</v>
      </c>
      <c r="F92" s="30" t="n">
        <v>0.666666666666667</v>
      </c>
      <c r="G92" s="30" t="n">
        <v>0.673611111111111</v>
      </c>
      <c r="I92" s="31" t="n">
        <v>135</v>
      </c>
      <c r="J92" s="29" t="s">
        <v>13011</v>
      </c>
      <c r="K92" s="29" t="s">
        <v>13012</v>
      </c>
      <c r="M92" s="29" t="s">
        <v>13013</v>
      </c>
    </row>
    <row r="93" customFormat="false" ht="72" hidden="false" customHeight="false" outlineLevel="0" collapsed="false">
      <c r="A93" s="28" t="n">
        <v>44271</v>
      </c>
      <c r="B93" s="29" t="s">
        <v>43</v>
      </c>
      <c r="C93" s="29" t="s">
        <v>49</v>
      </c>
      <c r="D93" s="29" t="s">
        <v>3332</v>
      </c>
      <c r="F93" s="30" t="n">
        <v>0.875</v>
      </c>
      <c r="G93" s="30" t="n">
        <v>0.902777777777778</v>
      </c>
      <c r="I93" s="31" t="n">
        <v>80</v>
      </c>
      <c r="J93" s="29" t="s">
        <v>13014</v>
      </c>
      <c r="K93" s="29" t="s">
        <v>13015</v>
      </c>
      <c r="M93" s="29" t="s">
        <v>13016</v>
      </c>
    </row>
    <row r="94" customFormat="false" ht="42.75" hidden="false" customHeight="false" outlineLevel="0" collapsed="false">
      <c r="A94" s="28" t="n">
        <v>44272</v>
      </c>
      <c r="B94" s="29" t="s">
        <v>39</v>
      </c>
      <c r="C94" s="29" t="s">
        <v>48</v>
      </c>
      <c r="D94" s="29" t="s">
        <v>13018</v>
      </c>
      <c r="F94" s="30" t="n">
        <v>0.260416666666667</v>
      </c>
      <c r="G94" s="30" t="n">
        <v>0.274305555555555</v>
      </c>
      <c r="J94" s="29" t="s">
        <v>13019</v>
      </c>
      <c r="K94" s="29" t="s">
        <v>13020</v>
      </c>
      <c r="M94" s="29" t="s">
        <v>13021</v>
      </c>
    </row>
    <row r="95" customFormat="false" ht="144" hidden="false" customHeight="false" outlineLevel="0" collapsed="false">
      <c r="A95" s="28" t="n">
        <v>44272</v>
      </c>
      <c r="B95" s="29" t="s">
        <v>37</v>
      </c>
      <c r="C95" s="29" t="s">
        <v>48</v>
      </c>
      <c r="D95" s="29" t="s">
        <v>13022</v>
      </c>
      <c r="F95" s="30" t="n">
        <v>0.298611111111111</v>
      </c>
      <c r="G95" s="30" t="n">
        <v>0.309027777777778</v>
      </c>
      <c r="I95" s="31" t="n">
        <v>180</v>
      </c>
      <c r="J95" s="29" t="s">
        <v>13023</v>
      </c>
      <c r="K95" s="29" t="s">
        <v>13024</v>
      </c>
      <c r="M95" s="29" t="s">
        <v>13025</v>
      </c>
    </row>
    <row r="96" customFormat="false" ht="86.25" hidden="false" customHeight="false" outlineLevel="0" collapsed="false">
      <c r="A96" s="28" t="n">
        <v>44273</v>
      </c>
      <c r="B96" s="29" t="s">
        <v>1503</v>
      </c>
      <c r="C96" s="29" t="s">
        <v>48</v>
      </c>
      <c r="D96" s="29" t="s">
        <v>13027</v>
      </c>
      <c r="F96" s="30" t="n">
        <v>0.347222222222222</v>
      </c>
      <c r="G96" s="30" t="n">
        <v>0.3875</v>
      </c>
      <c r="J96" s="29" t="s">
        <v>13028</v>
      </c>
      <c r="K96" s="29" t="s">
        <v>13029</v>
      </c>
      <c r="M96" s="29" t="s">
        <v>13030</v>
      </c>
    </row>
    <row r="97" customFormat="false" ht="72" hidden="false" customHeight="false" outlineLevel="0" collapsed="false">
      <c r="A97" s="28" t="n">
        <v>44274</v>
      </c>
      <c r="B97" s="29" t="s">
        <v>43</v>
      </c>
      <c r="C97" s="29" t="s">
        <v>48</v>
      </c>
      <c r="D97" s="29" t="s">
        <v>13032</v>
      </c>
      <c r="F97" s="30" t="n">
        <v>0.461805555555556</v>
      </c>
      <c r="G97" s="30" t="n">
        <v>0.529861111111111</v>
      </c>
      <c r="I97" s="31" t="n">
        <v>120</v>
      </c>
      <c r="J97" s="29" t="s">
        <v>13033</v>
      </c>
      <c r="K97" s="29" t="s">
        <v>13034</v>
      </c>
      <c r="M97" s="29" t="s">
        <v>13035</v>
      </c>
    </row>
    <row r="98" customFormat="false" ht="72" hidden="false" customHeight="false" outlineLevel="0" collapsed="false">
      <c r="A98" s="28" t="n">
        <v>44274</v>
      </c>
      <c r="B98" s="29" t="s">
        <v>43</v>
      </c>
      <c r="C98" s="29" t="s">
        <v>49</v>
      </c>
      <c r="D98" s="29" t="s">
        <v>11468</v>
      </c>
      <c r="F98" s="30" t="n">
        <v>0.902777777777778</v>
      </c>
      <c r="G98" s="30" t="n">
        <v>0.940972222222222</v>
      </c>
      <c r="I98" s="31" t="n">
        <v>90</v>
      </c>
      <c r="J98" s="29" t="s">
        <v>13037</v>
      </c>
      <c r="K98" s="29" t="s">
        <v>13038</v>
      </c>
      <c r="M98" s="29" t="s">
        <v>13039</v>
      </c>
    </row>
    <row r="99" customFormat="false" ht="72" hidden="false" customHeight="false" outlineLevel="0" collapsed="false">
      <c r="A99" s="28" t="n">
        <v>44277</v>
      </c>
      <c r="B99" s="29" t="s">
        <v>43</v>
      </c>
      <c r="C99" s="29" t="s">
        <v>48</v>
      </c>
      <c r="D99" s="29" t="s">
        <v>13041</v>
      </c>
      <c r="F99" s="30" t="n">
        <v>0.222222222222222</v>
      </c>
      <c r="G99" s="30" t="n">
        <v>0.259027777777778</v>
      </c>
      <c r="I99" s="31" t="n">
        <v>120</v>
      </c>
      <c r="J99" s="29" t="s">
        <v>13042</v>
      </c>
      <c r="K99" s="29" t="s">
        <v>13043</v>
      </c>
      <c r="M99" s="29" t="s">
        <v>13044</v>
      </c>
    </row>
    <row r="100" customFormat="false" ht="86.25" hidden="false" customHeight="false" outlineLevel="0" collapsed="false">
      <c r="A100" s="28" t="n">
        <v>44277</v>
      </c>
      <c r="B100" s="29" t="s">
        <v>37</v>
      </c>
      <c r="C100" s="29" t="s">
        <v>48</v>
      </c>
      <c r="D100" s="29" t="s">
        <v>8471</v>
      </c>
      <c r="F100" s="30" t="n">
        <v>0.247222222222222</v>
      </c>
      <c r="G100" s="30" t="n">
        <v>0.303472222222222</v>
      </c>
      <c r="I100" s="31" t="n">
        <v>175</v>
      </c>
      <c r="J100" s="29" t="s">
        <v>13045</v>
      </c>
      <c r="K100" s="29" t="s">
        <v>13046</v>
      </c>
      <c r="M100" s="29" t="s">
        <v>13047</v>
      </c>
    </row>
    <row r="101" customFormat="false" ht="72" hidden="false" customHeight="false" outlineLevel="0" collapsed="false">
      <c r="A101" s="28" t="n">
        <v>44279</v>
      </c>
      <c r="B101" s="29" t="s">
        <v>38</v>
      </c>
      <c r="C101" s="29" t="s">
        <v>49</v>
      </c>
      <c r="D101" s="29" t="s">
        <v>13049</v>
      </c>
      <c r="F101" s="30" t="n">
        <v>0.763888888888889</v>
      </c>
      <c r="G101" s="30" t="n">
        <v>0.76875</v>
      </c>
      <c r="J101" s="29" t="s">
        <v>13050</v>
      </c>
      <c r="K101" s="29" t="s">
        <v>13051</v>
      </c>
      <c r="M101" s="29" t="s">
        <v>13052</v>
      </c>
    </row>
    <row r="102" customFormat="false" ht="100.5" hidden="false" customHeight="false" outlineLevel="0" collapsed="false">
      <c r="A102" s="28" t="n">
        <v>44279</v>
      </c>
      <c r="B102" s="29" t="s">
        <v>39</v>
      </c>
      <c r="C102" s="29" t="s">
        <v>48</v>
      </c>
      <c r="D102" s="29" t="s">
        <v>4489</v>
      </c>
      <c r="F102" s="30" t="n">
        <v>0.276388888888889</v>
      </c>
      <c r="G102" s="30" t="n">
        <v>0.279861111111111</v>
      </c>
      <c r="I102" s="31" t="n">
        <v>90</v>
      </c>
      <c r="J102" s="29" t="s">
        <v>13053</v>
      </c>
      <c r="K102" s="29" t="s">
        <v>13054</v>
      </c>
      <c r="M102" s="29" t="s">
        <v>13055</v>
      </c>
    </row>
    <row r="103" customFormat="false" ht="144" hidden="false" customHeight="false" outlineLevel="0" collapsed="false">
      <c r="A103" s="28" t="n">
        <v>44278</v>
      </c>
      <c r="B103" s="29" t="s">
        <v>40</v>
      </c>
      <c r="C103" s="29" t="s">
        <v>48</v>
      </c>
      <c r="D103" s="29" t="s">
        <v>13057</v>
      </c>
      <c r="F103" s="30" t="n">
        <v>0.3125</v>
      </c>
      <c r="G103" s="30" t="n">
        <v>0.865277777777778</v>
      </c>
      <c r="I103" s="31" t="n">
        <v>140</v>
      </c>
      <c r="J103" s="29" t="s">
        <v>13058</v>
      </c>
      <c r="K103" s="29" t="s">
        <v>13059</v>
      </c>
      <c r="M103" s="29" t="s">
        <v>13060</v>
      </c>
    </row>
    <row r="104" customFormat="false" ht="57" hidden="false" customHeight="false" outlineLevel="0" collapsed="false">
      <c r="A104" s="28" t="n">
        <v>44280</v>
      </c>
      <c r="B104" s="29" t="s">
        <v>40</v>
      </c>
      <c r="C104" s="29" t="s">
        <v>48</v>
      </c>
      <c r="D104" s="29" t="s">
        <v>13062</v>
      </c>
      <c r="I104" s="31" t="n">
        <v>33</v>
      </c>
      <c r="J104" s="29" t="s">
        <v>13063</v>
      </c>
      <c r="K104" s="29" t="s">
        <v>13064</v>
      </c>
      <c r="M104" s="29" t="s">
        <v>13065</v>
      </c>
    </row>
    <row r="105" customFormat="false" ht="72" hidden="false" customHeight="false" outlineLevel="0" collapsed="false">
      <c r="A105" s="28" t="n">
        <v>44281</v>
      </c>
      <c r="B105" s="29" t="s">
        <v>40</v>
      </c>
      <c r="C105" s="29" t="s">
        <v>49</v>
      </c>
      <c r="D105" s="29" t="s">
        <v>13067</v>
      </c>
      <c r="F105" s="30" t="n">
        <v>0.725694444444444</v>
      </c>
      <c r="G105" s="30" t="n">
        <v>0.754861111111111</v>
      </c>
      <c r="I105" s="31" t="n">
        <v>60</v>
      </c>
      <c r="J105" s="29" t="s">
        <v>13068</v>
      </c>
      <c r="K105" s="29" t="s">
        <v>13069</v>
      </c>
      <c r="M105" s="29" t="s">
        <v>13070</v>
      </c>
    </row>
    <row r="106" customFormat="false" ht="57" hidden="false" customHeight="false" outlineLevel="0" collapsed="false">
      <c r="A106" s="28" t="n">
        <v>44291</v>
      </c>
      <c r="B106" s="29" t="s">
        <v>43</v>
      </c>
      <c r="C106" s="29" t="s">
        <v>48</v>
      </c>
      <c r="D106" s="29" t="s">
        <v>11831</v>
      </c>
      <c r="F106" s="30" t="n">
        <v>0.236111111111111</v>
      </c>
      <c r="G106" s="30" t="n">
        <v>0.25</v>
      </c>
      <c r="I106" s="31" t="n">
        <v>460</v>
      </c>
      <c r="J106" s="29" t="s">
        <v>13072</v>
      </c>
      <c r="K106" s="29" t="s">
        <v>13073</v>
      </c>
      <c r="M106" s="29" t="s">
        <v>13074</v>
      </c>
    </row>
    <row r="107" customFormat="false" ht="86.25" hidden="false" customHeight="false" outlineLevel="0" collapsed="false">
      <c r="A107" s="28" t="n">
        <v>44292</v>
      </c>
      <c r="B107" s="29" t="s">
        <v>38</v>
      </c>
      <c r="C107" s="29" t="s">
        <v>49</v>
      </c>
      <c r="D107" s="29" t="s">
        <v>13076</v>
      </c>
      <c r="F107" s="30" t="n">
        <v>0.6875</v>
      </c>
      <c r="G107" s="30" t="n">
        <v>0.695833333333333</v>
      </c>
      <c r="I107" s="31" t="n">
        <v>75</v>
      </c>
      <c r="J107" s="29" t="s">
        <v>13077</v>
      </c>
      <c r="K107" s="29" t="s">
        <v>13078</v>
      </c>
      <c r="M107" s="29" t="s">
        <v>13079</v>
      </c>
    </row>
    <row r="108" customFormat="false" ht="42.75" hidden="false" customHeight="false" outlineLevel="0" collapsed="false">
      <c r="A108" s="28" t="n">
        <v>44293</v>
      </c>
      <c r="B108" s="29" t="s">
        <v>38</v>
      </c>
      <c r="C108" s="29" t="s">
        <v>48</v>
      </c>
      <c r="D108" s="29" t="s">
        <v>13081</v>
      </c>
      <c r="F108" s="30" t="n">
        <v>0.236111111111111</v>
      </c>
      <c r="G108" s="30" t="n">
        <v>0.25</v>
      </c>
      <c r="J108" s="29" t="s">
        <v>13082</v>
      </c>
      <c r="K108" s="29" t="s">
        <v>13083</v>
      </c>
      <c r="M108" s="29" t="s">
        <v>13084</v>
      </c>
    </row>
    <row r="109" customFormat="false" ht="100.5" hidden="false" customHeight="false" outlineLevel="0" collapsed="false">
      <c r="A109" s="28" t="n">
        <v>44295</v>
      </c>
      <c r="B109" s="29" t="s">
        <v>39</v>
      </c>
      <c r="C109" s="29" t="s">
        <v>48</v>
      </c>
      <c r="D109" s="29" t="s">
        <v>13086</v>
      </c>
      <c r="F109" s="30" t="n">
        <v>0.291666666666667</v>
      </c>
      <c r="G109" s="30" t="n">
        <v>0.296527777777778</v>
      </c>
      <c r="I109" s="31" t="n">
        <v>13</v>
      </c>
      <c r="J109" s="29" t="s">
        <v>13087</v>
      </c>
      <c r="K109" s="29" t="s">
        <v>13088</v>
      </c>
      <c r="M109" s="29" t="s">
        <v>13089</v>
      </c>
    </row>
    <row r="110" customFormat="false" ht="100.5" hidden="false" customHeight="false" outlineLevel="0" collapsed="false">
      <c r="A110" s="28" t="n">
        <v>44295</v>
      </c>
      <c r="B110" s="29" t="s">
        <v>39</v>
      </c>
      <c r="C110" s="29" t="s">
        <v>48</v>
      </c>
      <c r="D110" s="29" t="s">
        <v>13090</v>
      </c>
      <c r="F110" s="30" t="n">
        <v>0.239583333333333</v>
      </c>
      <c r="G110" s="30" t="n">
        <v>0.296527777777778</v>
      </c>
      <c r="I110" s="31" t="n">
        <v>120</v>
      </c>
      <c r="J110" s="29" t="s">
        <v>13091</v>
      </c>
      <c r="K110" s="29" t="s">
        <v>13092</v>
      </c>
      <c r="M110" s="29" t="s">
        <v>13093</v>
      </c>
    </row>
    <row r="111" customFormat="false" ht="57" hidden="false" customHeight="false" outlineLevel="0" collapsed="false">
      <c r="A111" s="28" t="n">
        <v>44292</v>
      </c>
      <c r="B111" s="29" t="s">
        <v>1503</v>
      </c>
      <c r="C111" s="29" t="s">
        <v>48</v>
      </c>
      <c r="D111" s="29" t="s">
        <v>13094</v>
      </c>
      <c r="E111" s="29" t="s">
        <v>12687</v>
      </c>
      <c r="F111" s="30" t="n">
        <v>0.239583333333333</v>
      </c>
      <c r="G111" s="30" t="n">
        <v>0.298611111111111</v>
      </c>
      <c r="I111" s="31" t="n">
        <v>240</v>
      </c>
      <c r="J111" s="29" t="s">
        <v>13095</v>
      </c>
      <c r="K111" s="29" t="s">
        <v>13096</v>
      </c>
      <c r="M111" s="29" t="s">
        <v>13097</v>
      </c>
    </row>
    <row r="112" customFormat="false" ht="42.75" hidden="false" customHeight="false" outlineLevel="0" collapsed="false">
      <c r="A112" s="28" t="n">
        <v>44292</v>
      </c>
      <c r="B112" s="29" t="s">
        <v>1503</v>
      </c>
      <c r="C112" s="29" t="s">
        <v>48</v>
      </c>
      <c r="D112" s="29" t="s">
        <v>13098</v>
      </c>
      <c r="E112" s="29" t="s">
        <v>12687</v>
      </c>
      <c r="F112" s="30" t="n">
        <v>0.375</v>
      </c>
      <c r="G112" s="30" t="n">
        <v>0.429166666666667</v>
      </c>
      <c r="I112" s="31" t="n">
        <v>130</v>
      </c>
      <c r="J112" s="29" t="s">
        <v>13099</v>
      </c>
      <c r="K112" s="29" t="s">
        <v>13100</v>
      </c>
      <c r="M112" s="29" t="s">
        <v>13101</v>
      </c>
    </row>
    <row r="113" customFormat="false" ht="72" hidden="false" customHeight="false" outlineLevel="0" collapsed="false">
      <c r="A113" s="28" t="n">
        <v>44300</v>
      </c>
      <c r="B113" s="29" t="s">
        <v>39</v>
      </c>
      <c r="C113" s="29" t="s">
        <v>48</v>
      </c>
      <c r="D113" s="29" t="s">
        <v>13103</v>
      </c>
      <c r="F113" s="30" t="n">
        <v>0.236111111111111</v>
      </c>
      <c r="G113" s="30" t="n">
        <v>0.273611111111111</v>
      </c>
      <c r="J113" s="29" t="s">
        <v>13104</v>
      </c>
      <c r="K113" s="29" t="s">
        <v>13105</v>
      </c>
      <c r="M113" s="29" t="s">
        <v>13106</v>
      </c>
    </row>
    <row r="114" customFormat="false" ht="42.75" hidden="false" customHeight="false" outlineLevel="0" collapsed="false">
      <c r="A114" s="28" t="n">
        <v>44301</v>
      </c>
      <c r="B114" s="29" t="s">
        <v>39</v>
      </c>
      <c r="C114" s="29" t="s">
        <v>48</v>
      </c>
      <c r="F114" s="30" t="n">
        <v>0.236111111111111</v>
      </c>
      <c r="G114" s="30" t="n">
        <v>0.263194444444444</v>
      </c>
      <c r="J114" s="29" t="s">
        <v>13108</v>
      </c>
      <c r="K114" s="29" t="s">
        <v>13109</v>
      </c>
      <c r="M114" s="29" t="s">
        <v>13110</v>
      </c>
    </row>
    <row r="115" customFormat="false" ht="42.75" hidden="false" customHeight="false" outlineLevel="0" collapsed="false">
      <c r="A115" s="28" t="n">
        <v>44300</v>
      </c>
      <c r="B115" s="29" t="s">
        <v>37</v>
      </c>
      <c r="C115" s="29" t="s">
        <v>49</v>
      </c>
      <c r="D115" s="29" t="s">
        <v>12181</v>
      </c>
      <c r="F115" s="30" t="n">
        <v>0.795833333333333</v>
      </c>
      <c r="G115" s="30" t="n">
        <v>0.842361111111111</v>
      </c>
      <c r="I115" s="31" t="n">
        <v>134</v>
      </c>
      <c r="J115" s="29" t="s">
        <v>13111</v>
      </c>
      <c r="K115" s="29" t="s">
        <v>13112</v>
      </c>
      <c r="M115" s="29" t="s">
        <v>13113</v>
      </c>
    </row>
    <row r="116" customFormat="false" ht="72" hidden="false" customHeight="false" outlineLevel="0" collapsed="false">
      <c r="A116" s="28" t="n">
        <v>44301</v>
      </c>
      <c r="B116" s="29" t="s">
        <v>38</v>
      </c>
      <c r="C116" s="29" t="s">
        <v>48</v>
      </c>
      <c r="D116" s="29" t="s">
        <v>8294</v>
      </c>
      <c r="F116" s="30" t="n">
        <v>0.236111111111111</v>
      </c>
      <c r="G116" s="30" t="n">
        <v>0.259027777777778</v>
      </c>
      <c r="I116" s="31" t="n">
        <v>0</v>
      </c>
      <c r="J116" s="29" t="s">
        <v>13114</v>
      </c>
      <c r="K116" s="29" t="s">
        <v>13115</v>
      </c>
      <c r="M116" s="29" t="s">
        <v>13116</v>
      </c>
    </row>
    <row r="117" customFormat="false" ht="172.5" hidden="false" customHeight="false" outlineLevel="0" collapsed="false">
      <c r="A117" s="28" t="n">
        <v>44298</v>
      </c>
      <c r="B117" s="29" t="s">
        <v>40</v>
      </c>
      <c r="C117" s="29" t="s">
        <v>48</v>
      </c>
      <c r="D117" s="29" t="s">
        <v>13118</v>
      </c>
      <c r="F117" s="30" t="n">
        <v>0.53125</v>
      </c>
      <c r="G117" s="30" t="n">
        <v>0.535416666666667</v>
      </c>
      <c r="I117" s="31" t="n">
        <v>60</v>
      </c>
      <c r="J117" s="29" t="s">
        <v>13119</v>
      </c>
      <c r="K117" s="29" t="s">
        <v>13120</v>
      </c>
      <c r="M117" s="29" t="s">
        <v>13121</v>
      </c>
    </row>
    <row r="118" customFormat="false" ht="42.75" hidden="false" customHeight="false" outlineLevel="0" collapsed="false">
      <c r="A118" s="28" t="n">
        <v>44299</v>
      </c>
      <c r="B118" s="29" t="s">
        <v>42</v>
      </c>
      <c r="C118" s="29" t="s">
        <v>49</v>
      </c>
      <c r="D118" s="29" t="s">
        <v>13123</v>
      </c>
      <c r="F118" s="30" t="n">
        <v>0.701388888888889</v>
      </c>
      <c r="G118" s="30" t="n">
        <v>0.720138888888889</v>
      </c>
      <c r="I118" s="31" t="n">
        <v>50</v>
      </c>
      <c r="J118" s="29" t="s">
        <v>13124</v>
      </c>
      <c r="K118" s="29" t="s">
        <v>13125</v>
      </c>
      <c r="M118" s="29" t="s">
        <v>13126</v>
      </c>
    </row>
    <row r="119" customFormat="false" ht="100.5" hidden="false" customHeight="false" outlineLevel="0" collapsed="false">
      <c r="A119" s="28" t="n">
        <v>44300</v>
      </c>
      <c r="B119" s="29" t="s">
        <v>42</v>
      </c>
      <c r="C119" s="29" t="s">
        <v>48</v>
      </c>
      <c r="D119" s="29" t="s">
        <v>8322</v>
      </c>
      <c r="F119" s="30" t="n">
        <v>0.236111111111111</v>
      </c>
      <c r="G119" s="30" t="n">
        <v>0.292361111111111</v>
      </c>
      <c r="I119" s="31" t="n">
        <v>180</v>
      </c>
      <c r="J119" s="29" t="s">
        <v>13127</v>
      </c>
      <c r="K119" s="29" t="s">
        <v>13128</v>
      </c>
      <c r="M119" s="29" t="s">
        <v>13129</v>
      </c>
    </row>
    <row r="120" customFormat="false" ht="86.25" hidden="false" customHeight="false" outlineLevel="0" collapsed="false">
      <c r="A120" s="28" t="n">
        <v>44301</v>
      </c>
      <c r="B120" s="29" t="s">
        <v>1503</v>
      </c>
      <c r="C120" s="29" t="s">
        <v>49</v>
      </c>
      <c r="D120" s="29" t="s">
        <v>8334</v>
      </c>
      <c r="E120" s="29" t="s">
        <v>13130</v>
      </c>
      <c r="G120" s="30" t="n">
        <v>0.548611111111111</v>
      </c>
      <c r="J120" s="29" t="s">
        <v>13131</v>
      </c>
      <c r="K120" s="29" t="s">
        <v>13132</v>
      </c>
      <c r="M120" s="29" t="s">
        <v>13133</v>
      </c>
    </row>
    <row r="121" customFormat="false" ht="114.75" hidden="false" customHeight="false" outlineLevel="0" collapsed="false">
      <c r="A121" s="28" t="n">
        <v>44308</v>
      </c>
      <c r="B121" s="29" t="s">
        <v>37</v>
      </c>
      <c r="C121" s="29" t="s">
        <v>48</v>
      </c>
      <c r="D121" s="29" t="s">
        <v>13135</v>
      </c>
      <c r="F121" s="30" t="n">
        <v>0.482638888888889</v>
      </c>
      <c r="G121" s="30" t="n">
        <v>0.497222222222222</v>
      </c>
      <c r="I121" s="31" t="n">
        <v>35</v>
      </c>
      <c r="J121" s="29" t="s">
        <v>13136</v>
      </c>
      <c r="K121" s="29" t="s">
        <v>13137</v>
      </c>
      <c r="M121" s="29" t="s">
        <v>13138</v>
      </c>
    </row>
    <row r="122" customFormat="false" ht="144" hidden="false" customHeight="false" outlineLevel="0" collapsed="false">
      <c r="A122" s="28" t="n">
        <v>44308</v>
      </c>
      <c r="B122" s="29" t="s">
        <v>37</v>
      </c>
      <c r="C122" s="29" t="s">
        <v>49</v>
      </c>
      <c r="D122" s="29" t="s">
        <v>13139</v>
      </c>
      <c r="F122" s="30" t="n">
        <v>0.611111111111111</v>
      </c>
      <c r="G122" s="30" t="n">
        <v>0.627777777777778</v>
      </c>
      <c r="I122" s="31" t="n">
        <v>60</v>
      </c>
      <c r="J122" s="29" t="s">
        <v>13140</v>
      </c>
      <c r="K122" s="29" t="s">
        <v>13141</v>
      </c>
      <c r="M122" s="29" t="s">
        <v>13142</v>
      </c>
    </row>
    <row r="123" customFormat="false" ht="144" hidden="false" customHeight="false" outlineLevel="0" collapsed="false">
      <c r="A123" s="28" t="n">
        <v>44309</v>
      </c>
      <c r="B123" s="29" t="s">
        <v>37</v>
      </c>
      <c r="C123" s="29" t="s">
        <v>48</v>
      </c>
      <c r="D123" s="29" t="s">
        <v>13144</v>
      </c>
      <c r="G123" s="30" t="n">
        <v>0.448611111111111</v>
      </c>
      <c r="I123" s="31" t="n">
        <v>100</v>
      </c>
      <c r="J123" s="29" t="s">
        <v>13145</v>
      </c>
      <c r="K123" s="29" t="s">
        <v>13146</v>
      </c>
      <c r="M123" s="29" t="s">
        <v>13147</v>
      </c>
    </row>
    <row r="124" customFormat="false" ht="201" hidden="false" customHeight="false" outlineLevel="0" collapsed="false">
      <c r="A124" s="28" t="n">
        <v>44309</v>
      </c>
      <c r="B124" s="29" t="s">
        <v>37</v>
      </c>
      <c r="C124" s="29" t="s">
        <v>48</v>
      </c>
      <c r="D124" s="29" t="s">
        <v>8515</v>
      </c>
      <c r="J124" s="29" t="s">
        <v>13148</v>
      </c>
      <c r="K124" s="29" t="s">
        <v>13149</v>
      </c>
      <c r="M124" s="29" t="s">
        <v>13150</v>
      </c>
    </row>
    <row r="125" customFormat="false" ht="86.25" hidden="false" customHeight="false" outlineLevel="0" collapsed="false">
      <c r="A125" s="28" t="n">
        <v>44309</v>
      </c>
      <c r="B125" s="29" t="s">
        <v>39</v>
      </c>
      <c r="C125" s="29" t="s">
        <v>48</v>
      </c>
      <c r="D125" s="29" t="s">
        <v>13151</v>
      </c>
      <c r="F125" s="30" t="n">
        <v>0.236111111111111</v>
      </c>
      <c r="G125" s="30" t="n">
        <v>0.339583333333333</v>
      </c>
      <c r="J125" s="29" t="s">
        <v>13152</v>
      </c>
      <c r="K125" s="29" t="s">
        <v>13153</v>
      </c>
      <c r="M125" s="29" t="s">
        <v>13154</v>
      </c>
    </row>
    <row r="126" customFormat="false" ht="72" hidden="false" customHeight="false" outlineLevel="0" collapsed="false">
      <c r="A126" s="28" t="n">
        <v>44309</v>
      </c>
      <c r="B126" s="29" t="s">
        <v>39</v>
      </c>
      <c r="C126" s="29" t="s">
        <v>48</v>
      </c>
      <c r="D126" s="29" t="s">
        <v>13155</v>
      </c>
      <c r="G126" s="30" t="n">
        <v>0.395833333333333</v>
      </c>
      <c r="I126" s="31" t="n">
        <v>15</v>
      </c>
      <c r="J126" s="29" t="s">
        <v>13156</v>
      </c>
      <c r="K126" s="29" t="s">
        <v>13157</v>
      </c>
      <c r="M126" s="29" t="s">
        <v>13158</v>
      </c>
    </row>
    <row r="127" customFormat="false" ht="42.75" hidden="false" customHeight="false" outlineLevel="0" collapsed="false">
      <c r="A127" s="28" t="n">
        <v>44312</v>
      </c>
      <c r="B127" s="29" t="s">
        <v>37</v>
      </c>
      <c r="C127" s="29" t="s">
        <v>48</v>
      </c>
      <c r="D127" s="29" t="s">
        <v>11036</v>
      </c>
      <c r="F127" s="30" t="n">
        <v>0.501388888888889</v>
      </c>
      <c r="G127" s="30" t="n">
        <v>0.546527777777778</v>
      </c>
      <c r="I127" s="31" t="n">
        <v>75</v>
      </c>
      <c r="J127" s="29" t="s">
        <v>13160</v>
      </c>
      <c r="K127" s="29" t="s">
        <v>13161</v>
      </c>
      <c r="M127" s="29" t="s">
        <v>13162</v>
      </c>
    </row>
    <row r="128" customFormat="false" ht="42.75" hidden="false" customHeight="false" outlineLevel="0" collapsed="false">
      <c r="A128" s="28" t="n">
        <v>44313</v>
      </c>
      <c r="B128" s="29" t="s">
        <v>37</v>
      </c>
      <c r="C128" s="29" t="s">
        <v>48</v>
      </c>
      <c r="D128" s="29" t="s">
        <v>8294</v>
      </c>
      <c r="F128" s="30" t="n">
        <v>0.239583333333333</v>
      </c>
      <c r="G128" s="30" t="n">
        <v>0.243055555555556</v>
      </c>
      <c r="I128" s="31" t="n">
        <v>20</v>
      </c>
      <c r="J128" s="29" t="s">
        <v>4415</v>
      </c>
      <c r="K128" s="29" t="s">
        <v>13164</v>
      </c>
      <c r="M128" s="29" t="s">
        <v>13164</v>
      </c>
    </row>
    <row r="129" customFormat="false" ht="86.25" hidden="false" customHeight="false" outlineLevel="0" collapsed="false">
      <c r="A129" s="28" t="n">
        <v>44312</v>
      </c>
      <c r="B129" s="29" t="s">
        <v>1503</v>
      </c>
      <c r="C129" s="29" t="s">
        <v>50</v>
      </c>
      <c r="D129" s="29" t="s">
        <v>13165</v>
      </c>
      <c r="E129" s="29" t="s">
        <v>12687</v>
      </c>
      <c r="G129" s="30" t="n">
        <v>0.34375</v>
      </c>
      <c r="I129" s="31" t="n">
        <v>240</v>
      </c>
      <c r="J129" s="29" t="s">
        <v>13166</v>
      </c>
      <c r="K129" s="29" t="s">
        <v>13167</v>
      </c>
      <c r="M129" s="29" t="s">
        <v>13168</v>
      </c>
    </row>
    <row r="130" customFormat="false" ht="100.5" hidden="false" customHeight="false" outlineLevel="0" collapsed="false">
      <c r="A130" s="28" t="n">
        <v>44314</v>
      </c>
      <c r="B130" s="29" t="s">
        <v>1503</v>
      </c>
      <c r="C130" s="29" t="s">
        <v>48</v>
      </c>
      <c r="D130" s="29" t="s">
        <v>13170</v>
      </c>
      <c r="E130" s="29" t="s">
        <v>13130</v>
      </c>
      <c r="G130" s="30" t="n">
        <v>0.395833333333333</v>
      </c>
      <c r="J130" s="29" t="s">
        <v>13171</v>
      </c>
      <c r="K130" s="29" t="s">
        <v>13172</v>
      </c>
      <c r="M130" s="29" t="s">
        <v>13173</v>
      </c>
    </row>
    <row r="131" customFormat="false" ht="72" hidden="false" customHeight="false" outlineLevel="0" collapsed="false">
      <c r="A131" s="28" t="n">
        <v>44322</v>
      </c>
      <c r="B131" s="29" t="s">
        <v>38</v>
      </c>
      <c r="C131" s="29" t="s">
        <v>48</v>
      </c>
      <c r="D131" s="29" t="s">
        <v>13175</v>
      </c>
      <c r="F131" s="30" t="n">
        <v>0.493055555555556</v>
      </c>
      <c r="G131" s="30" t="n">
        <v>0.493055555555556</v>
      </c>
      <c r="I131" s="31" t="n">
        <v>18</v>
      </c>
      <c r="J131" s="29" t="s">
        <v>13176</v>
      </c>
      <c r="K131" s="29" t="s">
        <v>13177</v>
      </c>
      <c r="M131" s="29" t="s">
        <v>13178</v>
      </c>
    </row>
    <row r="132" customFormat="false" ht="100.5" hidden="false" customHeight="false" outlineLevel="0" collapsed="false">
      <c r="A132" s="28" t="n">
        <v>44320</v>
      </c>
      <c r="B132" s="29" t="s">
        <v>39</v>
      </c>
      <c r="C132" s="29" t="s">
        <v>48</v>
      </c>
      <c r="D132" s="29" t="s">
        <v>13180</v>
      </c>
      <c r="J132" s="29" t="s">
        <v>13181</v>
      </c>
      <c r="K132" s="29" t="s">
        <v>13182</v>
      </c>
      <c r="M132" s="29" t="s">
        <v>13183</v>
      </c>
    </row>
    <row r="133" customFormat="false" ht="72" hidden="false" customHeight="false" outlineLevel="0" collapsed="false">
      <c r="A133" s="28" t="n">
        <v>44319</v>
      </c>
      <c r="B133" s="29" t="s">
        <v>39</v>
      </c>
      <c r="C133" s="29" t="s">
        <v>48</v>
      </c>
      <c r="D133" s="29" t="s">
        <v>13185</v>
      </c>
      <c r="F133" s="30" t="n">
        <v>0.506944444444444</v>
      </c>
      <c r="G133" s="30" t="n">
        <v>0.520833333333333</v>
      </c>
      <c r="I133" s="31" t="n">
        <v>100</v>
      </c>
      <c r="J133" s="29" t="s">
        <v>13186</v>
      </c>
      <c r="K133" s="29" t="s">
        <v>13187</v>
      </c>
      <c r="M133" s="29" t="s">
        <v>13188</v>
      </c>
    </row>
    <row r="134" customFormat="false" ht="72" hidden="false" customHeight="false" outlineLevel="0" collapsed="false">
      <c r="A134" s="28" t="n">
        <v>44319</v>
      </c>
      <c r="B134" s="29" t="s">
        <v>39</v>
      </c>
      <c r="C134" s="29" t="s">
        <v>48</v>
      </c>
      <c r="D134" s="29" t="s">
        <v>13180</v>
      </c>
      <c r="F134" s="30" t="n">
        <v>0.4375</v>
      </c>
      <c r="G134" s="30" t="n">
        <v>0.458333333333333</v>
      </c>
      <c r="J134" s="29" t="s">
        <v>13181</v>
      </c>
      <c r="K134" s="29" t="s">
        <v>13189</v>
      </c>
      <c r="M134" s="29" t="s">
        <v>13190</v>
      </c>
    </row>
    <row r="135" customFormat="false" ht="28.5" hidden="false" customHeight="false" outlineLevel="0" collapsed="false">
      <c r="A135" s="28" t="n">
        <v>44323</v>
      </c>
      <c r="B135" s="29" t="s">
        <v>41</v>
      </c>
      <c r="C135" s="29" t="s">
        <v>48</v>
      </c>
      <c r="D135" s="29" t="s">
        <v>13192</v>
      </c>
      <c r="F135" s="30" t="n">
        <v>0.4375</v>
      </c>
      <c r="G135" s="30" t="n">
        <v>0.440972222222222</v>
      </c>
      <c r="I135" s="31" t="n">
        <v>240</v>
      </c>
      <c r="J135" s="29" t="s">
        <v>13193</v>
      </c>
      <c r="K135" s="29" t="s">
        <v>13194</v>
      </c>
      <c r="M135" s="29" t="s">
        <v>13195</v>
      </c>
    </row>
    <row r="136" customFormat="false" ht="57" hidden="false" customHeight="false" outlineLevel="0" collapsed="false">
      <c r="A136" s="28" t="n">
        <v>44320</v>
      </c>
      <c r="B136" s="29" t="s">
        <v>1503</v>
      </c>
      <c r="C136" s="29" t="s">
        <v>48</v>
      </c>
      <c r="D136" s="29" t="s">
        <v>13196</v>
      </c>
      <c r="E136" s="29" t="s">
        <v>4303</v>
      </c>
      <c r="J136" s="29" t="s">
        <v>13197</v>
      </c>
      <c r="K136" s="29" t="s">
        <v>13198</v>
      </c>
      <c r="M136" s="29" t="s">
        <v>13199</v>
      </c>
    </row>
    <row r="137" customFormat="false" ht="129" hidden="false" customHeight="false" outlineLevel="0" collapsed="false">
      <c r="A137" s="28" t="n">
        <v>44320</v>
      </c>
      <c r="B137" s="29" t="s">
        <v>1503</v>
      </c>
      <c r="C137" s="29" t="s">
        <v>48</v>
      </c>
      <c r="D137" s="29" t="s">
        <v>13200</v>
      </c>
      <c r="E137" s="29" t="s">
        <v>13130</v>
      </c>
      <c r="J137" s="29" t="s">
        <v>13197</v>
      </c>
      <c r="K137" s="29" t="s">
        <v>13201</v>
      </c>
      <c r="M137" s="29" t="s">
        <v>13202</v>
      </c>
    </row>
    <row r="138" customFormat="false" ht="72" hidden="false" customHeight="false" outlineLevel="0" collapsed="false">
      <c r="A138" s="28" t="n">
        <v>44326</v>
      </c>
      <c r="B138" s="29" t="s">
        <v>37</v>
      </c>
      <c r="C138" s="29" t="s">
        <v>48</v>
      </c>
      <c r="D138" s="29" t="s">
        <v>13204</v>
      </c>
      <c r="F138" s="30" t="n">
        <v>0.319444444444444</v>
      </c>
      <c r="G138" s="30" t="n">
        <v>0.370833333333333</v>
      </c>
      <c r="I138" s="31" t="n">
        <v>130</v>
      </c>
      <c r="J138" s="29" t="s">
        <v>13205</v>
      </c>
      <c r="K138" s="29" t="s">
        <v>13206</v>
      </c>
      <c r="M138" s="29" t="s">
        <v>13207</v>
      </c>
    </row>
    <row r="139" customFormat="false" ht="57" hidden="false" customHeight="false" outlineLevel="0" collapsed="false">
      <c r="A139" s="28" t="n">
        <v>44326</v>
      </c>
      <c r="B139" s="29" t="s">
        <v>39</v>
      </c>
      <c r="C139" s="29" t="s">
        <v>48</v>
      </c>
      <c r="D139" s="29" t="s">
        <v>13185</v>
      </c>
      <c r="F139" s="30" t="n">
        <v>0.496527777777778</v>
      </c>
      <c r="G139" s="30" t="n">
        <v>0.511111111111111</v>
      </c>
      <c r="I139" s="31" t="n">
        <v>70</v>
      </c>
      <c r="J139" s="29" t="s">
        <v>13208</v>
      </c>
      <c r="K139" s="29" t="s">
        <v>13209</v>
      </c>
      <c r="M139" s="29" t="s">
        <v>13210</v>
      </c>
    </row>
    <row r="140" customFormat="false" ht="42.75" hidden="false" customHeight="false" outlineLevel="0" collapsed="false">
      <c r="A140" s="28" t="n">
        <v>44330</v>
      </c>
      <c r="B140" s="29" t="s">
        <v>39</v>
      </c>
      <c r="C140" s="29" t="s">
        <v>48</v>
      </c>
      <c r="D140" s="29" t="s">
        <v>13212</v>
      </c>
      <c r="F140" s="30" t="n">
        <v>0.3125</v>
      </c>
      <c r="G140" s="30" t="n">
        <v>0.317361111111111</v>
      </c>
      <c r="I140" s="31" t="n">
        <v>24</v>
      </c>
      <c r="J140" s="29" t="s">
        <v>13213</v>
      </c>
      <c r="K140" s="29" t="s">
        <v>3545</v>
      </c>
      <c r="M140" s="29" t="s">
        <v>13214</v>
      </c>
    </row>
    <row r="141" customFormat="false" ht="57" hidden="false" customHeight="false" outlineLevel="0" collapsed="false">
      <c r="A141" s="28" t="n">
        <v>44329</v>
      </c>
      <c r="B141" s="29" t="s">
        <v>40</v>
      </c>
      <c r="C141" s="29" t="s">
        <v>48</v>
      </c>
      <c r="D141" s="29" t="s">
        <v>11036</v>
      </c>
      <c r="F141" s="30" t="n">
        <v>0.270833333333333</v>
      </c>
      <c r="G141" s="30" t="n">
        <v>0.283333333333333</v>
      </c>
      <c r="I141" s="31" t="n">
        <v>10</v>
      </c>
      <c r="J141" s="29" t="s">
        <v>13216</v>
      </c>
      <c r="K141" s="29" t="s">
        <v>13217</v>
      </c>
      <c r="M141" s="29" t="s">
        <v>13218</v>
      </c>
    </row>
    <row r="142" customFormat="false" ht="57" hidden="false" customHeight="false" outlineLevel="0" collapsed="false">
      <c r="A142" s="28" t="n">
        <v>44327</v>
      </c>
      <c r="B142" s="29" t="s">
        <v>40</v>
      </c>
      <c r="C142" s="29" t="s">
        <v>48</v>
      </c>
      <c r="D142" s="29" t="s">
        <v>8647</v>
      </c>
      <c r="F142" s="30" t="n">
        <v>0.260416666666667</v>
      </c>
      <c r="G142" s="30" t="n">
        <v>0.263888888888889</v>
      </c>
      <c r="I142" s="31" t="n">
        <v>60</v>
      </c>
      <c r="J142" s="29" t="s">
        <v>13220</v>
      </c>
      <c r="K142" s="29" t="s">
        <v>13221</v>
      </c>
      <c r="M142" s="29" t="s">
        <v>13222</v>
      </c>
    </row>
    <row r="143" customFormat="false" ht="172.5" hidden="false" customHeight="false" outlineLevel="0" collapsed="false">
      <c r="A143" s="28" t="n">
        <v>44330</v>
      </c>
      <c r="B143" s="29" t="s">
        <v>40</v>
      </c>
      <c r="C143" s="29" t="s">
        <v>48</v>
      </c>
      <c r="D143" s="29" t="s">
        <v>13223</v>
      </c>
      <c r="F143" s="30" t="n">
        <v>0.506944444444444</v>
      </c>
      <c r="G143" s="30" t="n">
        <v>0.509722222222222</v>
      </c>
      <c r="I143" s="31" t="n">
        <v>75</v>
      </c>
      <c r="J143" s="29" t="s">
        <v>13224</v>
      </c>
      <c r="K143" s="29" t="s">
        <v>13225</v>
      </c>
      <c r="M143" s="29" t="s">
        <v>13226</v>
      </c>
    </row>
    <row r="144" customFormat="false" ht="114.75" hidden="false" customHeight="false" outlineLevel="0" collapsed="false">
      <c r="A144" s="28" t="n">
        <v>44328</v>
      </c>
      <c r="B144" s="29" t="s">
        <v>42</v>
      </c>
      <c r="C144" s="29" t="s">
        <v>48</v>
      </c>
      <c r="D144" s="29" t="s">
        <v>13228</v>
      </c>
      <c r="F144" s="30" t="n">
        <v>0.391666666666667</v>
      </c>
      <c r="G144" s="30" t="n">
        <v>0.429861111111111</v>
      </c>
      <c r="I144" s="31" t="n">
        <v>231</v>
      </c>
      <c r="J144" s="29" t="s">
        <v>13229</v>
      </c>
      <c r="K144" s="29" t="s">
        <v>13230</v>
      </c>
      <c r="M144" s="29" t="s">
        <v>13231</v>
      </c>
    </row>
    <row r="145" customFormat="false" ht="100.5" hidden="false" customHeight="false" outlineLevel="0" collapsed="false">
      <c r="A145" s="28" t="n">
        <v>44333</v>
      </c>
      <c r="B145" s="29" t="s">
        <v>38</v>
      </c>
      <c r="C145" s="29" t="s">
        <v>48</v>
      </c>
      <c r="D145" s="29" t="s">
        <v>13233</v>
      </c>
      <c r="F145" s="30" t="n">
        <v>0.489583333333333</v>
      </c>
      <c r="G145" s="30" t="n">
        <v>0.517361111111111</v>
      </c>
      <c r="J145" s="29" t="s">
        <v>13234</v>
      </c>
      <c r="K145" s="29" t="s">
        <v>13235</v>
      </c>
      <c r="M145" s="29" t="s">
        <v>13236</v>
      </c>
    </row>
    <row r="146" customFormat="false" ht="86.25" hidden="false" customHeight="false" outlineLevel="0" collapsed="false">
      <c r="A146" s="28" t="n">
        <v>44333</v>
      </c>
      <c r="B146" s="29" t="s">
        <v>38</v>
      </c>
      <c r="C146" s="29" t="s">
        <v>49</v>
      </c>
      <c r="D146" s="29" t="s">
        <v>13237</v>
      </c>
      <c r="G146" s="30" t="n">
        <v>0.871527777777778</v>
      </c>
      <c r="J146" s="29" t="s">
        <v>13238</v>
      </c>
      <c r="K146" s="29" t="s">
        <v>13239</v>
      </c>
      <c r="M146" s="29" t="s">
        <v>13240</v>
      </c>
    </row>
    <row r="147" customFormat="false" ht="86.25" hidden="false" customHeight="false" outlineLevel="0" collapsed="false">
      <c r="A147" s="28" t="n">
        <v>44333</v>
      </c>
      <c r="B147" s="29" t="s">
        <v>39</v>
      </c>
      <c r="C147" s="29" t="s">
        <v>48</v>
      </c>
      <c r="D147" s="29" t="s">
        <v>13180</v>
      </c>
      <c r="F147" s="30" t="n">
        <v>0.25</v>
      </c>
      <c r="G147" s="30" t="n">
        <v>0.291666666666667</v>
      </c>
      <c r="J147" s="29" t="s">
        <v>13241</v>
      </c>
      <c r="K147" s="29" t="s">
        <v>13242</v>
      </c>
      <c r="M147" s="29" t="s">
        <v>13243</v>
      </c>
    </row>
    <row r="148" customFormat="false" ht="57" hidden="false" customHeight="false" outlineLevel="0" collapsed="false">
      <c r="A148" s="28" t="n">
        <v>44334</v>
      </c>
      <c r="B148" s="29" t="s">
        <v>39</v>
      </c>
      <c r="C148" s="29" t="s">
        <v>48</v>
      </c>
      <c r="D148" s="29" t="s">
        <v>13245</v>
      </c>
      <c r="F148" s="30" t="n">
        <v>0.270833333333333</v>
      </c>
      <c r="G148" s="30" t="n">
        <v>0.28125</v>
      </c>
      <c r="I148" s="31" t="n">
        <v>60</v>
      </c>
      <c r="J148" s="29" t="s">
        <v>13246</v>
      </c>
      <c r="K148" s="29" t="s">
        <v>13247</v>
      </c>
      <c r="M148" s="29" t="s">
        <v>13248</v>
      </c>
    </row>
    <row r="149" customFormat="false" ht="72" hidden="false" customHeight="false" outlineLevel="0" collapsed="false">
      <c r="A149" s="28" t="n">
        <v>44334</v>
      </c>
      <c r="B149" s="29" t="s">
        <v>37</v>
      </c>
      <c r="C149" s="29" t="s">
        <v>49</v>
      </c>
      <c r="D149" s="29" t="s">
        <v>13249</v>
      </c>
      <c r="F149" s="30" t="n">
        <v>0.6875</v>
      </c>
      <c r="G149" s="30" t="n">
        <v>0.711805555555555</v>
      </c>
      <c r="I149" s="31" t="n">
        <v>100</v>
      </c>
      <c r="J149" s="29" t="s">
        <v>13250</v>
      </c>
      <c r="K149" s="29" t="s">
        <v>13251</v>
      </c>
      <c r="M149" s="29" t="s">
        <v>13252</v>
      </c>
    </row>
    <row r="150" customFormat="false" ht="72" hidden="false" customHeight="false" outlineLevel="0" collapsed="false">
      <c r="A150" s="28" t="n">
        <v>44336</v>
      </c>
      <c r="B150" s="29" t="s">
        <v>37</v>
      </c>
      <c r="C150" s="29" t="s">
        <v>48</v>
      </c>
      <c r="D150" s="29" t="s">
        <v>13254</v>
      </c>
      <c r="F150" s="30" t="n">
        <v>0.236111111111111</v>
      </c>
      <c r="G150" s="30" t="n">
        <v>0.254861111111111</v>
      </c>
      <c r="I150" s="31" t="n">
        <v>97</v>
      </c>
      <c r="J150" s="29" t="s">
        <v>13255</v>
      </c>
      <c r="K150" s="29" t="s">
        <v>13256</v>
      </c>
      <c r="M150" s="29" t="s">
        <v>13257</v>
      </c>
    </row>
    <row r="151" customFormat="false" ht="72" hidden="false" customHeight="false" outlineLevel="0" collapsed="false">
      <c r="A151" s="28" t="n">
        <v>44336</v>
      </c>
      <c r="B151" s="29" t="s">
        <v>37</v>
      </c>
      <c r="C151" s="29" t="s">
        <v>49</v>
      </c>
      <c r="D151" s="29" t="s">
        <v>10357</v>
      </c>
      <c r="F151" s="30" t="n">
        <v>0.798611111111111</v>
      </c>
      <c r="G151" s="30" t="n">
        <v>0.831944444444444</v>
      </c>
      <c r="J151" s="29" t="s">
        <v>13258</v>
      </c>
      <c r="K151" s="29" t="s">
        <v>13259</v>
      </c>
      <c r="M151" s="29" t="s">
        <v>13260</v>
      </c>
    </row>
    <row r="152" customFormat="false" ht="100.5" hidden="false" customHeight="false" outlineLevel="0" collapsed="false">
      <c r="A152" s="28" t="n">
        <v>44336</v>
      </c>
      <c r="B152" s="29" t="s">
        <v>37</v>
      </c>
      <c r="C152" s="29" t="s">
        <v>49</v>
      </c>
      <c r="D152" s="29" t="s">
        <v>13261</v>
      </c>
      <c r="F152" s="30" t="n">
        <v>0.868055555555555</v>
      </c>
      <c r="G152" s="30" t="n">
        <v>0.881944444444444</v>
      </c>
      <c r="I152" s="31" t="n">
        <v>82</v>
      </c>
      <c r="J152" s="29" t="s">
        <v>13262</v>
      </c>
      <c r="K152" s="29" t="s">
        <v>13263</v>
      </c>
      <c r="M152" s="29" t="s">
        <v>13264</v>
      </c>
    </row>
    <row r="153" customFormat="false" ht="57" hidden="false" customHeight="false" outlineLevel="0" collapsed="false">
      <c r="A153" s="28" t="n">
        <v>44336</v>
      </c>
      <c r="B153" s="29" t="s">
        <v>40</v>
      </c>
      <c r="C153" s="29" t="s">
        <v>48</v>
      </c>
      <c r="D153" s="29" t="s">
        <v>13266</v>
      </c>
      <c r="F153" s="30" t="n">
        <v>0.236111111111111</v>
      </c>
      <c r="G153" s="30" t="n">
        <v>0.254861111111111</v>
      </c>
      <c r="I153" s="31" t="n">
        <v>200</v>
      </c>
      <c r="J153" s="29" t="s">
        <v>13267</v>
      </c>
      <c r="K153" s="29" t="s">
        <v>13268</v>
      </c>
      <c r="M153" s="29" t="s">
        <v>13269</v>
      </c>
    </row>
    <row r="154" customFormat="false" ht="100.5" hidden="false" customHeight="false" outlineLevel="0" collapsed="false">
      <c r="A154" s="28" t="n">
        <v>44340</v>
      </c>
      <c r="B154" s="29" t="s">
        <v>39</v>
      </c>
      <c r="C154" s="29" t="s">
        <v>48</v>
      </c>
      <c r="D154" s="29" t="s">
        <v>13271</v>
      </c>
      <c r="J154" s="29" t="s">
        <v>13272</v>
      </c>
      <c r="K154" s="29" t="s">
        <v>13273</v>
      </c>
      <c r="M154" s="29" t="s">
        <v>13274</v>
      </c>
    </row>
    <row r="155" customFormat="false" ht="57" hidden="false" customHeight="false" outlineLevel="0" collapsed="false">
      <c r="A155" s="28" t="n">
        <v>44341</v>
      </c>
      <c r="B155" s="29" t="s">
        <v>39</v>
      </c>
      <c r="C155" s="29" t="s">
        <v>48</v>
      </c>
      <c r="D155" s="29" t="s">
        <v>13276</v>
      </c>
      <c r="F155" s="30" t="n">
        <v>0.180555555555556</v>
      </c>
      <c r="G155" s="30" t="n">
        <v>0.25</v>
      </c>
      <c r="J155" s="29" t="s">
        <v>13277</v>
      </c>
      <c r="K155" s="29" t="s">
        <v>13278</v>
      </c>
      <c r="M155" s="29" t="s">
        <v>13279</v>
      </c>
    </row>
    <row r="156" customFormat="false" ht="42.75" hidden="false" customHeight="false" outlineLevel="0" collapsed="false">
      <c r="A156" s="28" t="n">
        <v>44341</v>
      </c>
      <c r="B156" s="29" t="s">
        <v>43</v>
      </c>
      <c r="C156" s="29" t="s">
        <v>48</v>
      </c>
      <c r="D156" s="29" t="s">
        <v>13006</v>
      </c>
      <c r="E156" s="29" t="s">
        <v>1569</v>
      </c>
      <c r="F156" s="30" t="n">
        <v>0.402777777777778</v>
      </c>
      <c r="G156" s="30" t="n">
        <v>0.420833333333333</v>
      </c>
      <c r="I156" s="31" t="n">
        <v>90</v>
      </c>
      <c r="J156" s="29" t="s">
        <v>13280</v>
      </c>
      <c r="K156" s="29" t="s">
        <v>13281</v>
      </c>
      <c r="M156" s="29" t="s">
        <v>13282</v>
      </c>
    </row>
    <row r="157" customFormat="false" ht="114.75" hidden="false" customHeight="false" outlineLevel="0" collapsed="false">
      <c r="A157" s="28" t="n">
        <v>44342</v>
      </c>
      <c r="B157" s="29" t="s">
        <v>37</v>
      </c>
      <c r="C157" s="29" t="s">
        <v>48</v>
      </c>
      <c r="D157" s="29" t="s">
        <v>13284</v>
      </c>
      <c r="F157" s="30" t="n">
        <v>0.371527777777778</v>
      </c>
      <c r="G157" s="30" t="n">
        <v>0.385416666666667</v>
      </c>
      <c r="I157" s="31" t="n">
        <v>0.140972222222222</v>
      </c>
      <c r="J157" s="29" t="s">
        <v>13285</v>
      </c>
      <c r="K157" s="29" t="s">
        <v>13286</v>
      </c>
      <c r="M157" s="29" t="s">
        <v>13287</v>
      </c>
    </row>
    <row r="158" customFormat="false" ht="100.5" hidden="false" customHeight="false" outlineLevel="0" collapsed="false">
      <c r="A158" s="28" t="n">
        <v>44344</v>
      </c>
      <c r="B158" s="29" t="s">
        <v>37</v>
      </c>
      <c r="C158" s="29" t="s">
        <v>48</v>
      </c>
      <c r="J158" s="29" t="s">
        <v>13289</v>
      </c>
      <c r="K158" s="29" t="s">
        <v>13290</v>
      </c>
      <c r="M158" s="29" t="s">
        <v>13291</v>
      </c>
    </row>
    <row r="159" customFormat="false" ht="72" hidden="false" customHeight="false" outlineLevel="0" collapsed="false">
      <c r="A159" s="28" t="n">
        <v>44341</v>
      </c>
      <c r="B159" s="29" t="s">
        <v>40</v>
      </c>
      <c r="C159" s="29" t="s">
        <v>48</v>
      </c>
      <c r="D159" s="29" t="s">
        <v>13292</v>
      </c>
      <c r="G159" s="30" t="n">
        <v>0.3</v>
      </c>
      <c r="J159" s="29" t="s">
        <v>13293</v>
      </c>
      <c r="K159" s="29" t="s">
        <v>13294</v>
      </c>
      <c r="M159" s="29" t="s">
        <v>13295</v>
      </c>
    </row>
    <row r="160" customFormat="false" ht="129" hidden="false" customHeight="false" outlineLevel="0" collapsed="false">
      <c r="A160" s="28" t="n">
        <v>44342</v>
      </c>
      <c r="B160" s="29" t="s">
        <v>40</v>
      </c>
      <c r="C160" s="29" t="s">
        <v>49</v>
      </c>
      <c r="D160" s="29" t="s">
        <v>13296</v>
      </c>
      <c r="F160" s="30" t="n">
        <v>0.777777777777778</v>
      </c>
      <c r="G160" s="30" t="n">
        <v>0.791666666666667</v>
      </c>
      <c r="I160" s="31" t="n">
        <v>86</v>
      </c>
      <c r="J160" s="29" t="s">
        <v>13297</v>
      </c>
      <c r="K160" s="29" t="s">
        <v>13298</v>
      </c>
      <c r="M160" s="29" t="s">
        <v>13299</v>
      </c>
    </row>
    <row r="161" customFormat="false" ht="72" hidden="false" customHeight="false" outlineLevel="0" collapsed="false">
      <c r="A161" s="28" t="n">
        <v>44344</v>
      </c>
      <c r="B161" s="29" t="s">
        <v>40</v>
      </c>
      <c r="C161" s="29" t="s">
        <v>48</v>
      </c>
      <c r="D161" s="29" t="s">
        <v>13300</v>
      </c>
      <c r="F161" s="30" t="n">
        <v>0.522222222222222</v>
      </c>
      <c r="G161" s="30" t="n">
        <v>0.527083333333333</v>
      </c>
      <c r="I161" s="31" t="n">
        <v>34</v>
      </c>
      <c r="J161" s="29" t="s">
        <v>13301</v>
      </c>
      <c r="K161" s="29" t="s">
        <v>13302</v>
      </c>
      <c r="M161" s="29" t="s">
        <v>13303</v>
      </c>
    </row>
    <row r="162" customFormat="false" ht="72" hidden="false" customHeight="false" outlineLevel="0" collapsed="false">
      <c r="A162" s="28" t="n">
        <v>44344</v>
      </c>
      <c r="B162" s="29" t="s">
        <v>40</v>
      </c>
      <c r="C162" s="29" t="s">
        <v>48</v>
      </c>
      <c r="D162" s="29" t="s">
        <v>13304</v>
      </c>
      <c r="F162" s="30" t="n">
        <v>0.546527777777778</v>
      </c>
      <c r="G162" s="30" t="n">
        <v>0.546527777777778</v>
      </c>
      <c r="I162" s="31" t="n">
        <v>56</v>
      </c>
      <c r="J162" s="29" t="s">
        <v>13305</v>
      </c>
      <c r="K162" s="29" t="s">
        <v>13306</v>
      </c>
      <c r="M162" s="29" t="s">
        <v>13307</v>
      </c>
    </row>
    <row r="163" customFormat="false" ht="100.5" hidden="false" customHeight="false" outlineLevel="0" collapsed="false">
      <c r="A163" s="28" t="n">
        <v>44342</v>
      </c>
      <c r="B163" s="29" t="s">
        <v>1503</v>
      </c>
      <c r="C163" s="29" t="s">
        <v>49</v>
      </c>
      <c r="D163" s="29" t="s">
        <v>13308</v>
      </c>
      <c r="E163" s="29" t="s">
        <v>1648</v>
      </c>
      <c r="G163" s="30" t="n">
        <v>0.677083333333333</v>
      </c>
      <c r="J163" s="29" t="s">
        <v>13309</v>
      </c>
      <c r="K163" s="29" t="s">
        <v>13310</v>
      </c>
      <c r="M163" s="29" t="s">
        <v>13311</v>
      </c>
    </row>
    <row r="164" customFormat="false" ht="100.5" hidden="false" customHeight="false" outlineLevel="0" collapsed="false">
      <c r="A164" s="28" t="n">
        <v>44347</v>
      </c>
      <c r="B164" s="29" t="s">
        <v>39</v>
      </c>
      <c r="C164" s="29" t="s">
        <v>48</v>
      </c>
      <c r="D164" s="29" t="s">
        <v>13313</v>
      </c>
      <c r="F164" s="30" t="n">
        <v>0.243055555555556</v>
      </c>
      <c r="G164" s="30" t="n">
        <v>0.277777777777778</v>
      </c>
      <c r="I164" s="31" t="n">
        <v>150</v>
      </c>
      <c r="J164" s="29" t="s">
        <v>13314</v>
      </c>
      <c r="K164" s="29" t="s">
        <v>13315</v>
      </c>
      <c r="M164" s="29" t="s">
        <v>13316</v>
      </c>
    </row>
    <row r="165" customFormat="false" ht="86.25" hidden="false" customHeight="false" outlineLevel="0" collapsed="false">
      <c r="A165" s="28" t="n">
        <v>44347</v>
      </c>
      <c r="B165" s="29" t="s">
        <v>39</v>
      </c>
      <c r="C165" s="29" t="s">
        <v>48</v>
      </c>
      <c r="D165" s="29" t="s">
        <v>13317</v>
      </c>
      <c r="F165" s="30" t="n">
        <v>0.5</v>
      </c>
      <c r="G165" s="30" t="n">
        <v>0.510416666666667</v>
      </c>
      <c r="I165" s="31" t="n">
        <v>120</v>
      </c>
      <c r="J165" s="29" t="s">
        <v>13318</v>
      </c>
      <c r="K165" s="29" t="s">
        <v>13319</v>
      </c>
      <c r="M165" s="29" t="s">
        <v>13320</v>
      </c>
    </row>
    <row r="166" customFormat="false" ht="86.25" hidden="false" customHeight="false" outlineLevel="0" collapsed="false">
      <c r="A166" s="28" t="n">
        <v>44347</v>
      </c>
      <c r="B166" s="29" t="s">
        <v>37</v>
      </c>
      <c r="C166" s="29" t="s">
        <v>49</v>
      </c>
      <c r="D166" s="29" t="s">
        <v>13284</v>
      </c>
      <c r="F166" s="30" t="n">
        <v>0.8875</v>
      </c>
      <c r="J166" s="29" t="s">
        <v>13285</v>
      </c>
      <c r="K166" s="29" t="s">
        <v>13321</v>
      </c>
      <c r="M166" s="29" t="s">
        <v>13322</v>
      </c>
    </row>
    <row r="167" customFormat="false" ht="100.5" hidden="false" customHeight="false" outlineLevel="0" collapsed="false">
      <c r="A167" s="28" t="n">
        <v>44347</v>
      </c>
      <c r="B167" s="29" t="s">
        <v>42</v>
      </c>
      <c r="C167" s="29" t="s">
        <v>48</v>
      </c>
      <c r="D167" s="29" t="s">
        <v>8718</v>
      </c>
      <c r="F167" s="30" t="n">
        <v>0.236111111111111</v>
      </c>
      <c r="G167" s="30" t="n">
        <v>0.247222222222222</v>
      </c>
      <c r="I167" s="31" t="n">
        <v>120</v>
      </c>
      <c r="J167" s="29" t="s">
        <v>13323</v>
      </c>
      <c r="K167" s="29" t="s">
        <v>13324</v>
      </c>
      <c r="M167" s="29" t="s">
        <v>13325</v>
      </c>
    </row>
    <row r="168" customFormat="false" ht="86.25" hidden="false" customHeight="false" outlineLevel="0" collapsed="false">
      <c r="A168" s="28" t="n">
        <v>44347</v>
      </c>
      <c r="B168" s="29" t="s">
        <v>40</v>
      </c>
      <c r="C168" s="29" t="s">
        <v>48</v>
      </c>
      <c r="D168" s="29" t="s">
        <v>13326</v>
      </c>
      <c r="F168" s="30" t="n">
        <v>0.243055555555556</v>
      </c>
      <c r="G168" s="30" t="n">
        <v>0.277777777777778</v>
      </c>
      <c r="I168" s="31" t="n">
        <v>150</v>
      </c>
      <c r="J168" s="29" t="s">
        <v>13327</v>
      </c>
      <c r="K168" s="29" t="s">
        <v>13328</v>
      </c>
      <c r="M168" s="29" t="s">
        <v>13329</v>
      </c>
    </row>
    <row r="169" customFormat="false" ht="57" hidden="false" customHeight="false" outlineLevel="0" collapsed="false">
      <c r="A169" s="28" t="n">
        <v>44350</v>
      </c>
      <c r="B169" s="29" t="s">
        <v>40</v>
      </c>
      <c r="C169" s="29" t="s">
        <v>48</v>
      </c>
      <c r="D169" s="29" t="s">
        <v>11452</v>
      </c>
      <c r="E169" s="29" t="s">
        <v>13331</v>
      </c>
      <c r="F169" s="30" t="n">
        <v>0.239583333333333</v>
      </c>
      <c r="G169" s="30" t="n">
        <v>0.254166666666667</v>
      </c>
      <c r="J169" s="29" t="s">
        <v>13332</v>
      </c>
      <c r="K169" s="29" t="s">
        <v>13333</v>
      </c>
      <c r="M169" s="29" t="s">
        <v>13334</v>
      </c>
    </row>
    <row r="170" customFormat="false" ht="42.75" hidden="false" customHeight="false" outlineLevel="0" collapsed="false">
      <c r="A170" s="28" t="n">
        <v>44354</v>
      </c>
      <c r="B170" s="29" t="s">
        <v>43</v>
      </c>
      <c r="C170" s="29" t="s">
        <v>48</v>
      </c>
      <c r="D170" s="29" t="s">
        <v>13336</v>
      </c>
      <c r="E170" s="29" t="s">
        <v>13337</v>
      </c>
      <c r="F170" s="30" t="n">
        <v>0.236111111111111</v>
      </c>
      <c r="G170" s="30" t="n">
        <v>0.277777777777778</v>
      </c>
      <c r="I170" s="31" t="n">
        <v>300</v>
      </c>
      <c r="J170" s="29" t="s">
        <v>13338</v>
      </c>
      <c r="K170" s="29" t="s">
        <v>13339</v>
      </c>
      <c r="M170" s="29" t="s">
        <v>13340</v>
      </c>
    </row>
    <row r="171" customFormat="false" ht="57" hidden="false" customHeight="false" outlineLevel="0" collapsed="false">
      <c r="A171" s="28" t="n">
        <v>44354</v>
      </c>
      <c r="B171" s="29" t="s">
        <v>37</v>
      </c>
      <c r="C171" s="29" t="s">
        <v>49</v>
      </c>
      <c r="D171" s="29" t="s">
        <v>2129</v>
      </c>
      <c r="E171" s="29" t="s">
        <v>13341</v>
      </c>
      <c r="F171" s="30" t="n">
        <v>0.958333333333333</v>
      </c>
      <c r="G171" s="30" t="n">
        <v>0.236111111111111</v>
      </c>
      <c r="I171" s="31" t="n">
        <v>80</v>
      </c>
      <c r="J171" s="29" t="s">
        <v>13342</v>
      </c>
      <c r="K171" s="29" t="s">
        <v>13343</v>
      </c>
      <c r="M171" s="29" t="s">
        <v>13344</v>
      </c>
    </row>
    <row r="172" customFormat="false" ht="72" hidden="false" customHeight="false" outlineLevel="0" collapsed="false">
      <c r="A172" s="28" t="n">
        <v>44355</v>
      </c>
      <c r="B172" s="29" t="s">
        <v>39</v>
      </c>
      <c r="C172" s="29" t="s">
        <v>48</v>
      </c>
      <c r="D172" s="29" t="s">
        <v>13346</v>
      </c>
      <c r="E172" s="29" t="s">
        <v>3583</v>
      </c>
      <c r="F172" s="30" t="n">
        <v>0.569444444444444</v>
      </c>
      <c r="G172" s="30" t="n">
        <v>0.576388888888889</v>
      </c>
      <c r="I172" s="31" t="n">
        <v>10</v>
      </c>
      <c r="J172" s="29" t="s">
        <v>13347</v>
      </c>
      <c r="K172" s="29" t="s">
        <v>13348</v>
      </c>
      <c r="M172" s="29" t="s">
        <v>13349</v>
      </c>
    </row>
    <row r="173" customFormat="false" ht="72" hidden="false" customHeight="false" outlineLevel="0" collapsed="false">
      <c r="A173" s="28" t="n">
        <v>44355</v>
      </c>
      <c r="B173" s="29" t="s">
        <v>39</v>
      </c>
      <c r="C173" s="29" t="s">
        <v>48</v>
      </c>
      <c r="D173" s="29" t="s">
        <v>13346</v>
      </c>
      <c r="E173" s="29" t="s">
        <v>3583</v>
      </c>
      <c r="F173" s="30" t="n">
        <v>0.569444444444444</v>
      </c>
      <c r="G173" s="30" t="n">
        <v>0.576388888888889</v>
      </c>
      <c r="I173" s="31" t="n">
        <v>10</v>
      </c>
      <c r="J173" s="29" t="s">
        <v>13347</v>
      </c>
      <c r="K173" s="29" t="s">
        <v>13348</v>
      </c>
      <c r="M173" s="29" t="s">
        <v>13350</v>
      </c>
    </row>
    <row r="174" customFormat="false" ht="57" hidden="false" customHeight="false" outlineLevel="0" collapsed="false">
      <c r="A174" s="28" t="n">
        <v>44354</v>
      </c>
      <c r="B174" s="29" t="s">
        <v>39</v>
      </c>
      <c r="C174" s="29" t="s">
        <v>48</v>
      </c>
      <c r="D174" s="29" t="s">
        <v>13351</v>
      </c>
      <c r="E174" s="29" t="s">
        <v>7876</v>
      </c>
      <c r="F174" s="30" t="n">
        <v>0.236111111111111</v>
      </c>
      <c r="G174" s="30" t="n">
        <v>0.236111111111111</v>
      </c>
      <c r="I174" s="31" t="n">
        <v>240</v>
      </c>
      <c r="J174" s="29" t="s">
        <v>13352</v>
      </c>
      <c r="K174" s="29" t="s">
        <v>13353</v>
      </c>
      <c r="M174" s="29" t="s">
        <v>13354</v>
      </c>
    </row>
    <row r="175" customFormat="false" ht="72" hidden="false" customHeight="false" outlineLevel="0" collapsed="false">
      <c r="A175" s="28" t="n">
        <v>44354</v>
      </c>
      <c r="B175" s="29" t="s">
        <v>40</v>
      </c>
      <c r="C175" s="29" t="s">
        <v>48</v>
      </c>
      <c r="D175" s="29" t="s">
        <v>13355</v>
      </c>
      <c r="E175" s="29" t="s">
        <v>1498</v>
      </c>
      <c r="F175" s="30" t="n">
        <v>0.236111111111111</v>
      </c>
      <c r="G175" s="30" t="n">
        <v>0.416666666666667</v>
      </c>
      <c r="J175" s="29" t="s">
        <v>13356</v>
      </c>
      <c r="K175" s="29" t="s">
        <v>13357</v>
      </c>
      <c r="M175" s="29" t="s">
        <v>13358</v>
      </c>
    </row>
    <row r="176" customFormat="false" ht="100.5" hidden="false" customHeight="false" outlineLevel="0" collapsed="false">
      <c r="A176" s="28" t="n">
        <v>44359</v>
      </c>
      <c r="B176" s="29" t="s">
        <v>40</v>
      </c>
      <c r="C176" s="29" t="s">
        <v>49</v>
      </c>
      <c r="D176" s="29" t="s">
        <v>13360</v>
      </c>
      <c r="E176" s="29" t="s">
        <v>13361</v>
      </c>
      <c r="F176" s="30" t="n">
        <v>0.743055555555555</v>
      </c>
      <c r="G176" s="30" t="n">
        <v>0.75</v>
      </c>
      <c r="I176" s="31" t="n">
        <v>150</v>
      </c>
      <c r="J176" s="29" t="s">
        <v>13362</v>
      </c>
      <c r="K176" s="29" t="s">
        <v>13363</v>
      </c>
      <c r="M176" s="29" t="s">
        <v>13364</v>
      </c>
    </row>
    <row r="177" customFormat="false" ht="57" hidden="false" customHeight="false" outlineLevel="0" collapsed="false">
      <c r="A177" s="28" t="n">
        <v>44354</v>
      </c>
      <c r="B177" s="29" t="s">
        <v>41</v>
      </c>
      <c r="C177" s="29" t="s">
        <v>48</v>
      </c>
      <c r="D177" s="29" t="s">
        <v>13365</v>
      </c>
      <c r="E177" s="29" t="s">
        <v>1564</v>
      </c>
      <c r="F177" s="30" t="n">
        <v>0.236111111111111</v>
      </c>
      <c r="G177" s="30" t="n">
        <v>0.236111111111111</v>
      </c>
      <c r="J177" s="29" t="s">
        <v>8098</v>
      </c>
      <c r="K177" s="29" t="s">
        <v>13366</v>
      </c>
      <c r="M177" s="29" t="s">
        <v>13367</v>
      </c>
    </row>
    <row r="178" customFormat="false" ht="114.75" hidden="false" customHeight="false" outlineLevel="0" collapsed="false">
      <c r="A178" s="28" t="n">
        <v>44359</v>
      </c>
      <c r="B178" s="29" t="s">
        <v>41</v>
      </c>
      <c r="C178" s="29" t="s">
        <v>48</v>
      </c>
      <c r="D178" s="29" t="s">
        <v>13368</v>
      </c>
      <c r="E178" s="29" t="s">
        <v>13369</v>
      </c>
      <c r="F178" s="30" t="n">
        <v>0.510416666666667</v>
      </c>
      <c r="G178" s="30" t="n">
        <v>0.517361111111111</v>
      </c>
      <c r="I178" s="31" t="n">
        <v>30</v>
      </c>
      <c r="J178" s="29" t="s">
        <v>13370</v>
      </c>
      <c r="K178" s="29" t="s">
        <v>13371</v>
      </c>
      <c r="M178" s="29" t="s">
        <v>13372</v>
      </c>
    </row>
    <row r="179" customFormat="false" ht="42.75" hidden="false" customHeight="false" outlineLevel="0" collapsed="false">
      <c r="A179" s="28" t="n">
        <v>44361</v>
      </c>
      <c r="B179" s="29" t="s">
        <v>39</v>
      </c>
      <c r="C179" s="29" t="s">
        <v>49</v>
      </c>
      <c r="D179" s="29" t="s">
        <v>13374</v>
      </c>
      <c r="E179" s="29" t="s">
        <v>4643</v>
      </c>
      <c r="F179" s="30" t="n">
        <v>0.604166666666667</v>
      </c>
      <c r="G179" s="30" t="n">
        <v>0.617361111111111</v>
      </c>
      <c r="J179" s="29" t="s">
        <v>13375</v>
      </c>
      <c r="K179" s="29" t="s">
        <v>13376</v>
      </c>
      <c r="M179" s="29" t="s">
        <v>13377</v>
      </c>
    </row>
    <row r="180" customFormat="false" ht="86.25" hidden="false" customHeight="false" outlineLevel="0" collapsed="false">
      <c r="A180" s="28" t="n">
        <v>44361</v>
      </c>
      <c r="B180" s="29" t="s">
        <v>37</v>
      </c>
      <c r="C180" s="29" t="s">
        <v>48</v>
      </c>
      <c r="D180" s="29" t="s">
        <v>13378</v>
      </c>
      <c r="E180" s="29" t="s">
        <v>13379</v>
      </c>
      <c r="F180" s="30" t="n">
        <v>0.236111111111111</v>
      </c>
      <c r="G180" s="30" t="n">
        <v>0.265972222222222</v>
      </c>
      <c r="I180" s="31" t="n">
        <v>80</v>
      </c>
      <c r="J180" s="29" t="s">
        <v>13380</v>
      </c>
      <c r="K180" s="29" t="s">
        <v>13381</v>
      </c>
      <c r="M180" s="29" t="s">
        <v>13382</v>
      </c>
    </row>
    <row r="181" customFormat="false" ht="86.25" hidden="false" customHeight="false" outlineLevel="0" collapsed="false">
      <c r="A181" s="28" t="n">
        <v>44361</v>
      </c>
      <c r="B181" s="29" t="s">
        <v>37</v>
      </c>
      <c r="C181" s="29" t="s">
        <v>48</v>
      </c>
      <c r="D181" s="29" t="s">
        <v>13383</v>
      </c>
      <c r="E181" s="29" t="s">
        <v>13384</v>
      </c>
      <c r="F181" s="30" t="n">
        <v>0.331944444444444</v>
      </c>
      <c r="G181" s="30" t="n">
        <v>0.331944444444444</v>
      </c>
      <c r="I181" s="31" t="n">
        <v>45</v>
      </c>
      <c r="J181" s="29" t="s">
        <v>13385</v>
      </c>
      <c r="K181" s="29" t="s">
        <v>13386</v>
      </c>
      <c r="M181" s="29" t="s">
        <v>13387</v>
      </c>
    </row>
    <row r="182" customFormat="false" ht="72" hidden="false" customHeight="false" outlineLevel="0" collapsed="false">
      <c r="A182" s="28" t="n">
        <v>44361</v>
      </c>
      <c r="B182" s="29" t="s">
        <v>37</v>
      </c>
      <c r="C182" s="29" t="s">
        <v>48</v>
      </c>
      <c r="D182" s="29" t="s">
        <v>13388</v>
      </c>
      <c r="E182" s="29" t="s">
        <v>12096</v>
      </c>
      <c r="F182" s="30" t="n">
        <v>0.295138888888889</v>
      </c>
      <c r="G182" s="30" t="n">
        <v>0.295138888888889</v>
      </c>
      <c r="I182" s="31" t="n">
        <v>8</v>
      </c>
      <c r="J182" s="29" t="s">
        <v>13389</v>
      </c>
      <c r="K182" s="29" t="s">
        <v>13390</v>
      </c>
      <c r="M182" s="29" t="s">
        <v>13391</v>
      </c>
    </row>
    <row r="183" customFormat="false" ht="86.25" hidden="false" customHeight="false" outlineLevel="0" collapsed="false">
      <c r="A183" s="28" t="n">
        <v>44361</v>
      </c>
      <c r="B183" s="29" t="s">
        <v>43</v>
      </c>
      <c r="C183" s="29" t="s">
        <v>48</v>
      </c>
      <c r="D183" s="29" t="s">
        <v>7858</v>
      </c>
      <c r="E183" s="29" t="s">
        <v>1569</v>
      </c>
      <c r="F183" s="30" t="n">
        <v>0.413194444444444</v>
      </c>
      <c r="G183" s="30" t="n">
        <v>0.4625</v>
      </c>
      <c r="J183" s="29" t="s">
        <v>13392</v>
      </c>
      <c r="K183" s="29" t="s">
        <v>13393</v>
      </c>
      <c r="M183" s="29" t="s">
        <v>13394</v>
      </c>
    </row>
    <row r="184" customFormat="false" ht="57" hidden="false" customHeight="false" outlineLevel="0" collapsed="false">
      <c r="A184" s="28" t="n">
        <v>44361</v>
      </c>
      <c r="B184" s="29" t="s">
        <v>41</v>
      </c>
      <c r="C184" s="29" t="s">
        <v>48</v>
      </c>
      <c r="D184" s="29" t="s">
        <v>13395</v>
      </c>
      <c r="E184" s="29" t="s">
        <v>13396</v>
      </c>
      <c r="F184" s="30" t="n">
        <v>0.236111111111111</v>
      </c>
      <c r="G184" s="30" t="n">
        <v>0.239583333333333</v>
      </c>
      <c r="I184" s="31" t="n">
        <v>120</v>
      </c>
      <c r="J184" s="29" t="s">
        <v>13397</v>
      </c>
      <c r="K184" s="29" t="s">
        <v>13398</v>
      </c>
      <c r="M184" s="29" t="s">
        <v>13399</v>
      </c>
    </row>
    <row r="185" customFormat="false" ht="72" hidden="false" customHeight="false" outlineLevel="0" collapsed="false">
      <c r="A185" s="28" t="n">
        <v>44364</v>
      </c>
      <c r="B185" s="29" t="s">
        <v>42</v>
      </c>
      <c r="C185" s="29" t="s">
        <v>48</v>
      </c>
      <c r="D185" s="29" t="s">
        <v>2464</v>
      </c>
      <c r="E185" s="29" t="s">
        <v>13401</v>
      </c>
      <c r="F185" s="30" t="n">
        <v>0.279166666666667</v>
      </c>
      <c r="G185" s="30" t="n">
        <v>0.263888888888889</v>
      </c>
      <c r="J185" s="29" t="s">
        <v>13402</v>
      </c>
      <c r="K185" s="29" t="s">
        <v>13403</v>
      </c>
      <c r="L185" s="29" t="s">
        <v>13404</v>
      </c>
      <c r="M185" s="29" t="s">
        <v>13405</v>
      </c>
    </row>
    <row r="186" customFormat="false" ht="28.5" hidden="false" customHeight="false" outlineLevel="0" collapsed="false">
      <c r="A186" s="28" t="n">
        <v>44368</v>
      </c>
      <c r="B186" s="29" t="s">
        <v>37</v>
      </c>
      <c r="C186" s="29" t="s">
        <v>48</v>
      </c>
      <c r="D186" s="29" t="s">
        <v>13407</v>
      </c>
      <c r="E186" s="29" t="s">
        <v>13408</v>
      </c>
      <c r="F186" s="30" t="n">
        <v>0.239583333333333</v>
      </c>
      <c r="G186" s="30" t="n">
        <v>0.252083333333333</v>
      </c>
      <c r="J186" s="29" t="s">
        <v>13409</v>
      </c>
      <c r="K186" s="29" t="s">
        <v>13410</v>
      </c>
      <c r="L186" s="29" t="s">
        <v>13411</v>
      </c>
      <c r="M186" s="29" t="s">
        <v>13412</v>
      </c>
    </row>
    <row r="187" customFormat="false" ht="86.25" hidden="false" customHeight="false" outlineLevel="0" collapsed="false">
      <c r="A187" s="28" t="n">
        <v>44369</v>
      </c>
      <c r="B187" s="29" t="s">
        <v>43</v>
      </c>
      <c r="C187" s="29" t="s">
        <v>48</v>
      </c>
      <c r="D187" s="29" t="s">
        <v>7858</v>
      </c>
      <c r="E187" s="29" t="s">
        <v>13337</v>
      </c>
      <c r="F187" s="30" t="n">
        <v>0.215277777777778</v>
      </c>
      <c r="G187" s="30" t="n">
        <v>0.252083333333333</v>
      </c>
      <c r="I187" s="31" t="n">
        <v>310</v>
      </c>
      <c r="J187" s="29" t="s">
        <v>13414</v>
      </c>
      <c r="K187" s="29" t="s">
        <v>13415</v>
      </c>
      <c r="L187" s="29" t="s">
        <v>13416</v>
      </c>
      <c r="M187" s="29" t="s">
        <v>13417</v>
      </c>
    </row>
    <row r="188" customFormat="false" ht="86.25" hidden="false" customHeight="false" outlineLevel="0" collapsed="false">
      <c r="A188" s="28" t="n">
        <v>44370</v>
      </c>
      <c r="B188" s="29" t="s">
        <v>38</v>
      </c>
      <c r="C188" s="29" t="s">
        <v>48</v>
      </c>
      <c r="D188" s="29" t="s">
        <v>13419</v>
      </c>
      <c r="E188" s="29" t="s">
        <v>13420</v>
      </c>
      <c r="F188" s="30" t="n">
        <v>0.350694444444444</v>
      </c>
      <c r="G188" s="30" t="n">
        <v>0.354166666666667</v>
      </c>
      <c r="I188" s="31" t="n">
        <v>35</v>
      </c>
      <c r="J188" s="29" t="s">
        <v>13421</v>
      </c>
      <c r="K188" s="29" t="s">
        <v>13422</v>
      </c>
      <c r="L188" s="29" t="s">
        <v>13423</v>
      </c>
      <c r="M188" s="29" t="s">
        <v>13424</v>
      </c>
    </row>
    <row r="189" customFormat="false" ht="57" hidden="false" customHeight="false" outlineLevel="0" collapsed="false">
      <c r="A189" s="28" t="n">
        <v>44370</v>
      </c>
      <c r="B189" s="29" t="s">
        <v>41</v>
      </c>
      <c r="C189" s="29" t="s">
        <v>49</v>
      </c>
      <c r="D189" s="29" t="s">
        <v>13425</v>
      </c>
      <c r="E189" s="29" t="s">
        <v>1498</v>
      </c>
      <c r="G189" s="30" t="n">
        <v>0.772916666666667</v>
      </c>
      <c r="J189" s="29" t="s">
        <v>13426</v>
      </c>
      <c r="K189" s="29" t="s">
        <v>13427</v>
      </c>
      <c r="M189" s="29" t="s">
        <v>13428</v>
      </c>
    </row>
    <row r="190" customFormat="false" ht="42.75" hidden="false" customHeight="false" outlineLevel="0" collapsed="false">
      <c r="A190" s="28" t="n">
        <v>44375</v>
      </c>
      <c r="B190" s="29" t="s">
        <v>37</v>
      </c>
      <c r="C190" s="29" t="s">
        <v>49</v>
      </c>
      <c r="D190" s="29" t="s">
        <v>13430</v>
      </c>
      <c r="E190" s="29" t="s">
        <v>13431</v>
      </c>
      <c r="J190" s="29" t="s">
        <v>13432</v>
      </c>
      <c r="K190" s="29" t="s">
        <v>13433</v>
      </c>
      <c r="L190" s="29" t="s">
        <v>13434</v>
      </c>
      <c r="M190" s="29" t="s">
        <v>13435</v>
      </c>
    </row>
    <row r="191" customFormat="false" ht="72" hidden="false" customHeight="false" outlineLevel="0" collapsed="false">
      <c r="A191" s="28" t="n">
        <v>44375</v>
      </c>
      <c r="B191" s="29" t="s">
        <v>39</v>
      </c>
      <c r="C191" s="29" t="s">
        <v>49</v>
      </c>
      <c r="D191" s="29" t="s">
        <v>8638</v>
      </c>
      <c r="E191" s="29" t="s">
        <v>13436</v>
      </c>
      <c r="F191" s="30" t="n">
        <v>0.801388888888889</v>
      </c>
      <c r="G191" s="30" t="n">
        <v>0.80625</v>
      </c>
      <c r="H191" s="31" t="n">
        <v>11</v>
      </c>
      <c r="I191" s="31" t="n">
        <v>15</v>
      </c>
      <c r="J191" s="29" t="s">
        <v>13437</v>
      </c>
      <c r="K191" s="29" t="s">
        <v>13438</v>
      </c>
      <c r="M191" s="29" t="s">
        <v>13439</v>
      </c>
    </row>
    <row r="192" customFormat="false" ht="86.25" hidden="false" customHeight="false" outlineLevel="0" collapsed="false">
      <c r="A192" s="28" t="n">
        <v>44376</v>
      </c>
      <c r="B192" s="29" t="s">
        <v>39</v>
      </c>
      <c r="C192" s="29" t="s">
        <v>48</v>
      </c>
      <c r="D192" s="29" t="s">
        <v>13441</v>
      </c>
      <c r="E192" s="29" t="s">
        <v>13442</v>
      </c>
      <c r="J192" s="29" t="s">
        <v>13443</v>
      </c>
      <c r="K192" s="29" t="s">
        <v>13444</v>
      </c>
      <c r="M192" s="29" t="s">
        <v>13445</v>
      </c>
    </row>
    <row r="193" customFormat="false" ht="86.25" hidden="false" customHeight="false" outlineLevel="0" collapsed="false">
      <c r="A193" s="28" t="n">
        <v>44376</v>
      </c>
      <c r="B193" s="29" t="s">
        <v>39</v>
      </c>
      <c r="C193" s="29" t="s">
        <v>49</v>
      </c>
      <c r="D193" s="29" t="s">
        <v>13446</v>
      </c>
      <c r="E193" s="29" t="s">
        <v>13442</v>
      </c>
      <c r="J193" s="29" t="s">
        <v>13447</v>
      </c>
      <c r="K193" s="29" t="s">
        <v>13448</v>
      </c>
      <c r="M193" s="29" t="s">
        <v>13449</v>
      </c>
    </row>
    <row r="194" customFormat="false" ht="86.25" hidden="false" customHeight="false" outlineLevel="0" collapsed="false">
      <c r="A194" s="28" t="n">
        <v>44377</v>
      </c>
      <c r="B194" s="29" t="s">
        <v>40</v>
      </c>
      <c r="C194" s="29" t="s">
        <v>49</v>
      </c>
      <c r="D194" s="29" t="s">
        <v>13451</v>
      </c>
      <c r="E194" s="29" t="s">
        <v>13452</v>
      </c>
      <c r="F194" s="30" t="n">
        <v>0.59375</v>
      </c>
      <c r="G194" s="30" t="n">
        <v>0.6375</v>
      </c>
      <c r="I194" s="31" t="n">
        <v>130</v>
      </c>
      <c r="J194" s="29" t="s">
        <v>13453</v>
      </c>
      <c r="K194" s="29" t="s">
        <v>13454</v>
      </c>
      <c r="L194" s="29" t="s">
        <v>13455</v>
      </c>
      <c r="M194" s="29" t="s">
        <v>13456</v>
      </c>
    </row>
    <row r="195" customFormat="false" ht="86.25" hidden="false" customHeight="false" outlineLevel="0" collapsed="false">
      <c r="A195" s="28" t="n">
        <v>44382</v>
      </c>
      <c r="B195" s="29" t="s">
        <v>40</v>
      </c>
      <c r="C195" s="29" t="s">
        <v>48</v>
      </c>
      <c r="D195" s="29" t="s">
        <v>13458</v>
      </c>
      <c r="E195" s="29" t="s">
        <v>13459</v>
      </c>
      <c r="F195" s="30" t="n">
        <v>0.239583333333333</v>
      </c>
      <c r="G195" s="30" t="n">
        <v>0.252083333333333</v>
      </c>
      <c r="I195" s="31" t="n">
        <v>80</v>
      </c>
      <c r="J195" s="29" t="s">
        <v>13460</v>
      </c>
      <c r="K195" s="29" t="s">
        <v>13461</v>
      </c>
      <c r="L195" s="29" t="s">
        <v>13462</v>
      </c>
      <c r="M195" s="29" t="s">
        <v>13463</v>
      </c>
    </row>
    <row r="196" customFormat="false" ht="57" hidden="false" customHeight="false" outlineLevel="0" collapsed="false">
      <c r="A196" s="28" t="n">
        <v>44382</v>
      </c>
      <c r="B196" s="29" t="s">
        <v>38</v>
      </c>
      <c r="C196" s="29" t="s">
        <v>48</v>
      </c>
      <c r="D196" s="29" t="s">
        <v>13464</v>
      </c>
      <c r="E196" s="29" t="s">
        <v>13465</v>
      </c>
      <c r="G196" s="30" t="n">
        <v>0.416666666666667</v>
      </c>
      <c r="J196" s="29" t="s">
        <v>13466</v>
      </c>
      <c r="K196" s="29" t="s">
        <v>13467</v>
      </c>
      <c r="L196" s="29" t="s">
        <v>13468</v>
      </c>
      <c r="M196" s="29" t="s">
        <v>13469</v>
      </c>
    </row>
    <row r="197" customFormat="false" ht="57" hidden="false" customHeight="false" outlineLevel="0" collapsed="false">
      <c r="A197" s="28" t="n">
        <v>44382</v>
      </c>
      <c r="B197" s="29" t="s">
        <v>37</v>
      </c>
      <c r="C197" s="29" t="s">
        <v>49</v>
      </c>
      <c r="D197" s="29" t="s">
        <v>13470</v>
      </c>
      <c r="E197" s="29" t="s">
        <v>13431</v>
      </c>
      <c r="F197" s="30" t="n">
        <v>0.624305555555556</v>
      </c>
      <c r="I197" s="31" t="n">
        <v>60</v>
      </c>
      <c r="J197" s="29" t="s">
        <v>13471</v>
      </c>
      <c r="K197" s="29" t="s">
        <v>13472</v>
      </c>
      <c r="L197" s="29" t="s">
        <v>13473</v>
      </c>
      <c r="M197" s="29" t="s">
        <v>13474</v>
      </c>
    </row>
    <row r="198" customFormat="false" ht="28.5" hidden="false" customHeight="false" outlineLevel="0" collapsed="false">
      <c r="A198" s="28" t="n">
        <v>44383</v>
      </c>
      <c r="B198" s="29" t="s">
        <v>40</v>
      </c>
      <c r="C198" s="29" t="s">
        <v>49</v>
      </c>
      <c r="D198" s="29" t="s">
        <v>9698</v>
      </c>
      <c r="E198" s="29" t="s">
        <v>13476</v>
      </c>
      <c r="G198" s="30" t="n">
        <v>0.645833333333333</v>
      </c>
      <c r="J198" s="29" t="s">
        <v>5804</v>
      </c>
      <c r="K198" s="29" t="s">
        <v>13477</v>
      </c>
      <c r="L198" s="29" t="s">
        <v>13478</v>
      </c>
      <c r="M198" s="29" t="s">
        <v>8474</v>
      </c>
    </row>
    <row r="199" customFormat="false" ht="72" hidden="false" customHeight="false" outlineLevel="0" collapsed="false">
      <c r="A199" s="28" t="n">
        <v>44384</v>
      </c>
      <c r="B199" s="29" t="s">
        <v>37</v>
      </c>
      <c r="C199" s="29" t="s">
        <v>49</v>
      </c>
      <c r="D199" s="29" t="s">
        <v>13480</v>
      </c>
      <c r="E199" s="29" t="s">
        <v>13481</v>
      </c>
      <c r="F199" s="30" t="n">
        <v>0.6875</v>
      </c>
      <c r="G199" s="30" t="n">
        <v>0.741666666666667</v>
      </c>
      <c r="H199" s="31" t="n">
        <v>65</v>
      </c>
      <c r="I199" s="31" t="n">
        <v>240</v>
      </c>
      <c r="J199" s="29" t="s">
        <v>13482</v>
      </c>
      <c r="K199" s="29" t="s">
        <v>13483</v>
      </c>
      <c r="L199" s="29" t="s">
        <v>13484</v>
      </c>
      <c r="M199" s="29" t="s">
        <v>13485</v>
      </c>
      <c r="N199" s="29" t="n">
        <v>1016171</v>
      </c>
    </row>
    <row r="200" customFormat="false" ht="86.25" hidden="false" customHeight="false" outlineLevel="0" collapsed="false">
      <c r="A200" s="28" t="n">
        <v>44377</v>
      </c>
      <c r="B200" s="29" t="s">
        <v>37</v>
      </c>
      <c r="C200" s="29" t="s">
        <v>48</v>
      </c>
      <c r="D200" s="29" t="s">
        <v>13486</v>
      </c>
      <c r="E200" s="29" t="s">
        <v>13487</v>
      </c>
      <c r="F200" s="30" t="n">
        <v>0.273611111111111</v>
      </c>
      <c r="G200" s="30" t="n">
        <v>0.282638888888889</v>
      </c>
      <c r="J200" s="29" t="s">
        <v>13488</v>
      </c>
      <c r="K200" s="29" t="s">
        <v>13489</v>
      </c>
      <c r="L200" s="29" t="s">
        <v>13490</v>
      </c>
      <c r="M200" s="29" t="s">
        <v>13491</v>
      </c>
    </row>
    <row r="201" customFormat="false" ht="42.75" hidden="false" customHeight="false" outlineLevel="0" collapsed="false">
      <c r="A201" s="28" t="n">
        <v>44386</v>
      </c>
      <c r="B201" s="29" t="s">
        <v>37</v>
      </c>
      <c r="C201" s="29" t="s">
        <v>48</v>
      </c>
      <c r="D201" s="29" t="s">
        <v>13493</v>
      </c>
      <c r="E201" s="29" t="s">
        <v>13494</v>
      </c>
      <c r="F201" s="30" t="n">
        <v>0.504861111111111</v>
      </c>
      <c r="G201" s="30" t="n">
        <v>0.541666666666667</v>
      </c>
      <c r="J201" s="29" t="s">
        <v>13495</v>
      </c>
      <c r="K201" s="29" t="s">
        <v>13496</v>
      </c>
      <c r="L201" s="29" t="s">
        <v>13497</v>
      </c>
      <c r="M201" s="29" t="s">
        <v>13498</v>
      </c>
    </row>
    <row r="202" customFormat="false" ht="86.25" hidden="false" customHeight="false" outlineLevel="0" collapsed="false">
      <c r="A202" s="28" t="n">
        <v>44386</v>
      </c>
      <c r="B202" s="29" t="s">
        <v>37</v>
      </c>
      <c r="C202" s="29" t="s">
        <v>49</v>
      </c>
      <c r="D202" s="29" t="s">
        <v>13499</v>
      </c>
      <c r="E202" s="29" t="s">
        <v>13500</v>
      </c>
      <c r="F202" s="30" t="n">
        <v>0.694444444444444</v>
      </c>
      <c r="G202" s="30" t="n">
        <v>0.708333333333333</v>
      </c>
      <c r="I202" s="31" t="n">
        <v>60</v>
      </c>
      <c r="J202" s="29" t="s">
        <v>13501</v>
      </c>
      <c r="K202" s="29" t="s">
        <v>13502</v>
      </c>
      <c r="L202" s="29" t="s">
        <v>13503</v>
      </c>
      <c r="M202" s="29" t="s">
        <v>13504</v>
      </c>
    </row>
    <row r="203" customFormat="false" ht="72" hidden="false" customHeight="false" outlineLevel="0" collapsed="false">
      <c r="A203" s="28" t="n">
        <v>44389</v>
      </c>
      <c r="B203" s="29" t="s">
        <v>40</v>
      </c>
      <c r="C203" s="29" t="s">
        <v>48</v>
      </c>
      <c r="D203" s="29" t="s">
        <v>1497</v>
      </c>
      <c r="E203" s="29" t="s">
        <v>13506</v>
      </c>
      <c r="F203" s="30" t="n">
        <v>0.241666666666667</v>
      </c>
      <c r="G203" s="30" t="n">
        <v>0.263888888888889</v>
      </c>
      <c r="H203" s="31" t="n">
        <v>0</v>
      </c>
      <c r="I203" s="31" t="n">
        <v>65</v>
      </c>
      <c r="J203" s="29" t="s">
        <v>13507</v>
      </c>
      <c r="K203" s="29" t="s">
        <v>13508</v>
      </c>
      <c r="L203" s="29" t="s">
        <v>13509</v>
      </c>
      <c r="M203" s="29" t="s">
        <v>13510</v>
      </c>
    </row>
    <row r="204" customFormat="false" ht="42.75" hidden="false" customHeight="false" outlineLevel="0" collapsed="false">
      <c r="A204" s="28" t="n">
        <v>44390</v>
      </c>
      <c r="B204" s="29" t="s">
        <v>43</v>
      </c>
      <c r="C204" s="29" t="s">
        <v>49</v>
      </c>
      <c r="D204" s="29" t="s">
        <v>13512</v>
      </c>
      <c r="E204" s="29" t="s">
        <v>13513</v>
      </c>
      <c r="F204" s="30" t="n">
        <v>0.770833333333333</v>
      </c>
      <c r="G204" s="30" t="n">
        <v>0.784722222222222</v>
      </c>
      <c r="I204" s="31" t="n">
        <v>55</v>
      </c>
      <c r="J204" s="29" t="s">
        <v>13514</v>
      </c>
      <c r="K204" s="29" t="s">
        <v>13515</v>
      </c>
      <c r="L204" s="29" t="s">
        <v>13516</v>
      </c>
      <c r="M204" s="29" t="s">
        <v>13517</v>
      </c>
    </row>
    <row r="205" customFormat="false" ht="57" hidden="false" customHeight="false" outlineLevel="0" collapsed="false">
      <c r="A205" s="28" t="n">
        <v>44391</v>
      </c>
      <c r="B205" s="29" t="s">
        <v>43</v>
      </c>
      <c r="C205" s="29" t="s">
        <v>48</v>
      </c>
      <c r="D205" s="29" t="s">
        <v>13336</v>
      </c>
      <c r="E205" s="29" t="s">
        <v>13519</v>
      </c>
      <c r="F205" s="30" t="n">
        <v>0.5</v>
      </c>
      <c r="J205" s="29" t="s">
        <v>13520</v>
      </c>
      <c r="K205" s="29" t="s">
        <v>13521</v>
      </c>
      <c r="L205" s="29" t="s">
        <v>13522</v>
      </c>
      <c r="M205" s="29" t="s">
        <v>13523</v>
      </c>
    </row>
    <row r="206" customFormat="false" ht="72" hidden="false" customHeight="false" outlineLevel="0" collapsed="false">
      <c r="A206" s="28" t="n">
        <v>44391</v>
      </c>
      <c r="B206" s="29" t="s">
        <v>1863</v>
      </c>
      <c r="C206" s="29" t="s">
        <v>49</v>
      </c>
      <c r="D206" s="29" t="s">
        <v>13524</v>
      </c>
      <c r="E206" s="29" t="s">
        <v>13525</v>
      </c>
      <c r="F206" s="30" t="n">
        <v>0.65</v>
      </c>
      <c r="G206" s="30" t="n">
        <v>0.668055555555556</v>
      </c>
      <c r="I206" s="31" t="n">
        <v>90</v>
      </c>
      <c r="J206" s="29" t="s">
        <v>13526</v>
      </c>
      <c r="K206" s="29" t="s">
        <v>13527</v>
      </c>
      <c r="L206" s="29" t="s">
        <v>13528</v>
      </c>
      <c r="M206" s="29" t="s">
        <v>13529</v>
      </c>
    </row>
    <row r="207" customFormat="false" ht="42.75" hidden="false" customHeight="false" outlineLevel="0" collapsed="false">
      <c r="A207" s="28" t="n">
        <v>44391</v>
      </c>
      <c r="B207" s="29" t="s">
        <v>37</v>
      </c>
      <c r="C207" s="29" t="s">
        <v>49</v>
      </c>
      <c r="D207" s="29" t="s">
        <v>13530</v>
      </c>
      <c r="E207" s="29" t="s">
        <v>3499</v>
      </c>
      <c r="F207" s="30" t="n">
        <v>0.916666666666667</v>
      </c>
      <c r="G207" s="30" t="n">
        <v>0.933333333333333</v>
      </c>
      <c r="I207" s="31" t="n">
        <v>42</v>
      </c>
      <c r="J207" s="29" t="s">
        <v>13531</v>
      </c>
      <c r="K207" s="29" t="s">
        <v>13532</v>
      </c>
      <c r="L207" s="29" t="s">
        <v>13533</v>
      </c>
      <c r="M207" s="29" t="s">
        <v>13534</v>
      </c>
    </row>
    <row r="208" customFormat="false" ht="72" hidden="false" customHeight="false" outlineLevel="0" collapsed="false">
      <c r="A208" s="28" t="n">
        <v>44393</v>
      </c>
      <c r="B208" s="29" t="s">
        <v>39</v>
      </c>
      <c r="C208" s="29" t="s">
        <v>48</v>
      </c>
      <c r="D208" s="29" t="s">
        <v>13536</v>
      </c>
      <c r="E208" s="29" t="s">
        <v>3559</v>
      </c>
      <c r="F208" s="30" t="n">
        <v>0.259027777777778</v>
      </c>
      <c r="G208" s="30" t="n">
        <v>0.272916666666667</v>
      </c>
      <c r="H208" s="31" t="n">
        <v>3</v>
      </c>
      <c r="I208" s="31" t="n">
        <v>99</v>
      </c>
      <c r="J208" s="29" t="s">
        <v>13537</v>
      </c>
      <c r="K208" s="29" t="s">
        <v>13538</v>
      </c>
      <c r="L208" s="29" t="s">
        <v>13539</v>
      </c>
      <c r="M208" s="29" t="s">
        <v>13540</v>
      </c>
    </row>
    <row r="209" customFormat="false" ht="86.25" hidden="false" customHeight="false" outlineLevel="0" collapsed="false">
      <c r="A209" s="28" t="n">
        <v>44397</v>
      </c>
      <c r="B209" s="29" t="s">
        <v>41</v>
      </c>
      <c r="C209" s="29" t="s">
        <v>48</v>
      </c>
      <c r="D209" s="29" t="s">
        <v>2884</v>
      </c>
      <c r="F209" s="30" t="n">
        <v>0.248611111111111</v>
      </c>
      <c r="G209" s="30" t="n">
        <v>0.256944444444444</v>
      </c>
      <c r="H209" s="31" t="n">
        <v>0</v>
      </c>
      <c r="I209" s="31" t="n">
        <v>180</v>
      </c>
      <c r="J209" s="29" t="s">
        <v>13542</v>
      </c>
      <c r="K209" s="29" t="s">
        <v>13543</v>
      </c>
      <c r="L209" s="29" t="s">
        <v>13544</v>
      </c>
      <c r="M209" s="29" t="s">
        <v>13545</v>
      </c>
    </row>
    <row r="210" customFormat="false" ht="28.5" hidden="false" customHeight="false" outlineLevel="0" collapsed="false">
      <c r="A210" s="28" t="n">
        <v>44397</v>
      </c>
      <c r="B210" s="29" t="s">
        <v>37</v>
      </c>
      <c r="C210" s="29" t="s">
        <v>48</v>
      </c>
      <c r="D210" s="29" t="s">
        <v>13546</v>
      </c>
      <c r="E210" s="29" t="s">
        <v>13547</v>
      </c>
      <c r="F210" s="30" t="n">
        <v>0.430555555555556</v>
      </c>
      <c r="G210" s="30" t="n">
        <v>0.451388888888889</v>
      </c>
      <c r="H210" s="31" t="n">
        <v>42</v>
      </c>
      <c r="I210" s="31" t="n">
        <v>75</v>
      </c>
      <c r="J210" s="29" t="s">
        <v>3504</v>
      </c>
      <c r="K210" s="29" t="s">
        <v>13548</v>
      </c>
      <c r="L210" s="29" t="s">
        <v>13549</v>
      </c>
      <c r="M210" s="29" t="s">
        <v>13550</v>
      </c>
    </row>
    <row r="211" customFormat="false" ht="42.75" hidden="false" customHeight="false" outlineLevel="0" collapsed="false">
      <c r="A211" s="28" t="n">
        <v>44398</v>
      </c>
      <c r="B211" s="29" t="s">
        <v>1503</v>
      </c>
      <c r="C211" s="29" t="s">
        <v>48</v>
      </c>
      <c r="D211" s="29" t="s">
        <v>8766</v>
      </c>
      <c r="E211" s="29" t="s">
        <v>13552</v>
      </c>
      <c r="F211" s="30" t="n">
        <v>0.25</v>
      </c>
      <c r="G211" s="30" t="n">
        <v>0.290277777777778</v>
      </c>
      <c r="I211" s="31" t="n">
        <v>80</v>
      </c>
      <c r="J211" s="29" t="s">
        <v>13553</v>
      </c>
      <c r="K211" s="29" t="s">
        <v>13554</v>
      </c>
      <c r="L211" s="29" t="s">
        <v>13555</v>
      </c>
      <c r="M211" s="29" t="s">
        <v>13556</v>
      </c>
    </row>
    <row r="212" customFormat="false" ht="42.75" hidden="false" customHeight="false" outlineLevel="0" collapsed="false">
      <c r="A212" s="28" t="n">
        <v>44399</v>
      </c>
      <c r="B212" s="29" t="s">
        <v>41</v>
      </c>
      <c r="C212" s="29" t="s">
        <v>48</v>
      </c>
      <c r="D212" s="29" t="s">
        <v>13558</v>
      </c>
      <c r="E212" s="29" t="s">
        <v>1498</v>
      </c>
      <c r="F212" s="30" t="n">
        <v>0.423611111111111</v>
      </c>
      <c r="G212" s="30" t="n">
        <v>0.444444444444444</v>
      </c>
      <c r="I212" s="31" t="n">
        <v>320</v>
      </c>
      <c r="J212" s="29" t="s">
        <v>13559</v>
      </c>
      <c r="K212" s="29" t="s">
        <v>13560</v>
      </c>
      <c r="L212" s="29" t="s">
        <v>13561</v>
      </c>
      <c r="M212" s="29" t="s">
        <v>13562</v>
      </c>
    </row>
    <row r="213" customFormat="false" ht="57" hidden="false" customHeight="false" outlineLevel="0" collapsed="false">
      <c r="A213" s="28" t="n">
        <v>44403</v>
      </c>
      <c r="B213" s="29" t="s">
        <v>43</v>
      </c>
      <c r="C213" s="29" t="s">
        <v>48</v>
      </c>
      <c r="D213" s="29" t="s">
        <v>10816</v>
      </c>
      <c r="E213" s="29" t="s">
        <v>1569</v>
      </c>
      <c r="F213" s="30" t="n">
        <v>0.274305555555555</v>
      </c>
      <c r="G213" s="30" t="n">
        <v>0.288194444444444</v>
      </c>
      <c r="I213" s="31" t="n">
        <v>100</v>
      </c>
      <c r="J213" s="29" t="s">
        <v>13564</v>
      </c>
      <c r="K213" s="29" t="s">
        <v>13565</v>
      </c>
      <c r="L213" s="29" t="s">
        <v>13566</v>
      </c>
      <c r="M213" s="29" t="s">
        <v>13567</v>
      </c>
    </row>
    <row r="214" customFormat="false" ht="72" hidden="false" customHeight="false" outlineLevel="0" collapsed="false">
      <c r="A214" s="28" t="n">
        <v>44404</v>
      </c>
      <c r="B214" s="29" t="s">
        <v>37</v>
      </c>
      <c r="C214" s="29" t="s">
        <v>48</v>
      </c>
      <c r="D214" s="29" t="s">
        <v>13569</v>
      </c>
      <c r="E214" s="29" t="s">
        <v>13570</v>
      </c>
      <c r="F214" s="30" t="n">
        <v>0.311805555555556</v>
      </c>
      <c r="G214" s="30" t="n">
        <v>0.334027777777778</v>
      </c>
      <c r="I214" s="31" t="n">
        <v>120</v>
      </c>
      <c r="J214" s="29" t="s">
        <v>13571</v>
      </c>
      <c r="K214" s="29" t="s">
        <v>13572</v>
      </c>
      <c r="L214" s="29" t="s">
        <v>13573</v>
      </c>
      <c r="M214" s="29" t="s">
        <v>13574</v>
      </c>
    </row>
    <row r="215" customFormat="false" ht="28.5" hidden="false" customHeight="false" outlineLevel="0" collapsed="false">
      <c r="A215" s="28" t="n">
        <v>44406</v>
      </c>
      <c r="B215" s="29" t="s">
        <v>40</v>
      </c>
      <c r="C215" s="29" t="s">
        <v>48</v>
      </c>
      <c r="E215" s="29" t="s">
        <v>13576</v>
      </c>
      <c r="F215" s="30" t="n">
        <v>0.541666666666667</v>
      </c>
      <c r="G215" s="30" t="n">
        <v>0.565972222222222</v>
      </c>
      <c r="I215" s="31" t="n">
        <v>53</v>
      </c>
      <c r="J215" s="29" t="s">
        <v>13577</v>
      </c>
      <c r="K215" s="29" t="s">
        <v>13578</v>
      </c>
      <c r="L215" s="29" t="s">
        <v>13579</v>
      </c>
      <c r="M215" s="29" t="s">
        <v>13580</v>
      </c>
    </row>
    <row r="216" customFormat="false" ht="72" hidden="false" customHeight="false" outlineLevel="0" collapsed="false">
      <c r="A216" s="28" t="n">
        <v>44417</v>
      </c>
      <c r="B216" s="29" t="s">
        <v>40</v>
      </c>
      <c r="C216" s="29" t="s">
        <v>48</v>
      </c>
      <c r="D216" s="29" t="s">
        <v>13582</v>
      </c>
      <c r="E216" s="29" t="s">
        <v>13583</v>
      </c>
      <c r="F216" s="30" t="n">
        <v>0.243055555555556</v>
      </c>
      <c r="G216" s="30" t="n">
        <v>0.25</v>
      </c>
      <c r="J216" s="29" t="s">
        <v>13584</v>
      </c>
      <c r="K216" s="29" t="s">
        <v>13585</v>
      </c>
      <c r="L216" s="29" t="s">
        <v>13586</v>
      </c>
      <c r="M216" s="29" t="s">
        <v>13587</v>
      </c>
    </row>
    <row r="217" customFormat="false" ht="57" hidden="false" customHeight="false" outlineLevel="0" collapsed="false">
      <c r="A217" s="28" t="n">
        <v>44417</v>
      </c>
      <c r="B217" s="29" t="s">
        <v>41</v>
      </c>
      <c r="C217" s="29" t="s">
        <v>48</v>
      </c>
      <c r="D217" s="29" t="s">
        <v>8605</v>
      </c>
      <c r="E217" s="29" t="s">
        <v>1564</v>
      </c>
      <c r="F217" s="30" t="n">
        <v>0.261805555555556</v>
      </c>
      <c r="G217" s="30" t="n">
        <v>0.329861111111111</v>
      </c>
      <c r="I217" s="31" t="n">
        <v>9</v>
      </c>
      <c r="J217" s="29" t="s">
        <v>13588</v>
      </c>
      <c r="K217" s="29" t="s">
        <v>13589</v>
      </c>
      <c r="L217" s="29" t="s">
        <v>13590</v>
      </c>
      <c r="M217" s="29" t="s">
        <v>13591</v>
      </c>
    </row>
    <row r="218" customFormat="false" ht="57" hidden="false" customHeight="false" outlineLevel="0" collapsed="false">
      <c r="A218" s="28" t="n">
        <v>44424</v>
      </c>
      <c r="B218" s="29" t="s">
        <v>37</v>
      </c>
      <c r="C218" s="29" t="s">
        <v>48</v>
      </c>
      <c r="D218" s="29" t="s">
        <v>13593</v>
      </c>
      <c r="E218" s="29" t="s">
        <v>13594</v>
      </c>
      <c r="J218" s="29" t="s">
        <v>13595</v>
      </c>
      <c r="K218" s="29" t="s">
        <v>13596</v>
      </c>
      <c r="L218" s="29" t="s">
        <v>13597</v>
      </c>
      <c r="M218" s="29" t="s">
        <v>13598</v>
      </c>
    </row>
    <row r="219" customFormat="false" ht="42.75" hidden="false" customHeight="false" outlineLevel="0" collapsed="false">
      <c r="A219" s="28" t="n">
        <v>44425</v>
      </c>
      <c r="B219" s="29" t="s">
        <v>43</v>
      </c>
      <c r="C219" s="29" t="s">
        <v>49</v>
      </c>
      <c r="D219" s="29" t="s">
        <v>10654</v>
      </c>
      <c r="E219" s="29" t="s">
        <v>13600</v>
      </c>
      <c r="F219" s="30" t="n">
        <v>0.895833333333333</v>
      </c>
      <c r="G219" s="30" t="n">
        <v>0.916666666666667</v>
      </c>
      <c r="I219" s="31" t="s">
        <v>13601</v>
      </c>
      <c r="J219" s="29" t="s">
        <v>13602</v>
      </c>
      <c r="K219" s="29" t="s">
        <v>13603</v>
      </c>
      <c r="L219" s="29" t="s">
        <v>4437</v>
      </c>
      <c r="M219" s="29" t="s">
        <v>13604</v>
      </c>
    </row>
    <row r="220" customFormat="false" ht="42.75" hidden="false" customHeight="false" outlineLevel="0" collapsed="false">
      <c r="A220" s="28" t="n">
        <v>44425</v>
      </c>
      <c r="B220" s="29" t="s">
        <v>42</v>
      </c>
      <c r="C220" s="29" t="s">
        <v>49</v>
      </c>
      <c r="D220" s="29" t="s">
        <v>13605</v>
      </c>
      <c r="E220" s="29" t="s">
        <v>13606</v>
      </c>
      <c r="F220" s="30" t="n">
        <v>0.645833333333333</v>
      </c>
      <c r="G220" s="30" t="n">
        <v>0.655555555555556</v>
      </c>
      <c r="I220" s="31" t="s">
        <v>13607</v>
      </c>
      <c r="J220" s="29" t="s">
        <v>13608</v>
      </c>
      <c r="K220" s="29" t="s">
        <v>13609</v>
      </c>
      <c r="L220" s="29" t="s">
        <v>11642</v>
      </c>
      <c r="M220" s="29" t="s">
        <v>13610</v>
      </c>
    </row>
    <row r="221" customFormat="false" ht="28.5" hidden="false" customHeight="false" outlineLevel="0" collapsed="false">
      <c r="A221" s="28" t="n">
        <v>44431</v>
      </c>
      <c r="B221" s="29" t="s">
        <v>43</v>
      </c>
      <c r="C221" s="29" t="s">
        <v>48</v>
      </c>
      <c r="D221" s="29" t="s">
        <v>13612</v>
      </c>
      <c r="E221" s="29" t="s">
        <v>1524</v>
      </c>
      <c r="F221" s="30" t="n">
        <v>0.270833333333333</v>
      </c>
      <c r="G221" s="30" t="n">
        <v>0.29375</v>
      </c>
      <c r="I221" s="31" t="n">
        <v>110</v>
      </c>
      <c r="J221" s="29" t="s">
        <v>13613</v>
      </c>
      <c r="K221" s="29" t="s">
        <v>13614</v>
      </c>
      <c r="L221" s="29" t="s">
        <v>13615</v>
      </c>
      <c r="M221" s="29" t="s">
        <v>13616</v>
      </c>
    </row>
    <row r="222" customFormat="false" ht="72" hidden="false" customHeight="false" outlineLevel="0" collapsed="false">
      <c r="A222" s="28" t="n">
        <v>44431</v>
      </c>
      <c r="B222" s="29" t="s">
        <v>1503</v>
      </c>
      <c r="C222" s="29" t="s">
        <v>49</v>
      </c>
      <c r="D222" s="29" t="s">
        <v>13617</v>
      </c>
      <c r="E222" s="29" t="s">
        <v>13618</v>
      </c>
      <c r="F222" s="30" t="n">
        <v>0.729166666666667</v>
      </c>
      <c r="G222" s="30" t="n">
        <v>0.757638888888889</v>
      </c>
      <c r="I222" s="31" t="n">
        <v>200</v>
      </c>
      <c r="J222" s="29" t="s">
        <v>13619</v>
      </c>
      <c r="K222" s="29" t="s">
        <v>13620</v>
      </c>
      <c r="L222" s="29" t="s">
        <v>13621</v>
      </c>
      <c r="M222" s="29" t="s">
        <v>13622</v>
      </c>
    </row>
    <row r="223" customFormat="false" ht="42.75" hidden="false" customHeight="false" outlineLevel="0" collapsed="false">
      <c r="A223" s="28" t="n">
        <v>44441</v>
      </c>
      <c r="B223" s="29" t="s">
        <v>43</v>
      </c>
      <c r="C223" s="29" t="s">
        <v>49</v>
      </c>
      <c r="D223" s="29" t="s">
        <v>13624</v>
      </c>
      <c r="E223" s="29" t="s">
        <v>1569</v>
      </c>
      <c r="J223" s="29" t="s">
        <v>13625</v>
      </c>
      <c r="K223" s="29" t="s">
        <v>13626</v>
      </c>
      <c r="L223" s="29" t="s">
        <v>13627</v>
      </c>
      <c r="M223" s="29" t="s">
        <v>13628</v>
      </c>
    </row>
    <row r="224" customFormat="false" ht="57" hidden="false" customHeight="false" outlineLevel="0" collapsed="false">
      <c r="A224" s="28" t="n">
        <v>44441</v>
      </c>
      <c r="B224" s="29" t="s">
        <v>37</v>
      </c>
      <c r="C224" s="29" t="s">
        <v>48</v>
      </c>
      <c r="D224" s="29" t="s">
        <v>13629</v>
      </c>
      <c r="E224" s="29" t="s">
        <v>13630</v>
      </c>
      <c r="J224" s="29" t="s">
        <v>13631</v>
      </c>
      <c r="K224" s="29" t="s">
        <v>13632</v>
      </c>
      <c r="L224" s="29" t="s">
        <v>13633</v>
      </c>
      <c r="M224" s="29" t="s">
        <v>13634</v>
      </c>
    </row>
    <row r="225" customFormat="false" ht="72" hidden="false" customHeight="false" outlineLevel="0" collapsed="false">
      <c r="A225" s="28" t="n">
        <v>44442</v>
      </c>
      <c r="B225" s="29" t="s">
        <v>40</v>
      </c>
      <c r="C225" s="29" t="s">
        <v>48</v>
      </c>
      <c r="D225" s="29" t="s">
        <v>13636</v>
      </c>
      <c r="E225" s="29" t="s">
        <v>13637</v>
      </c>
      <c r="F225" s="30" t="n">
        <v>0.4375</v>
      </c>
      <c r="G225" s="30" t="n">
        <v>0.452777777777778</v>
      </c>
      <c r="H225" s="31" t="n">
        <v>0</v>
      </c>
      <c r="I225" s="31" t="n">
        <v>40</v>
      </c>
      <c r="J225" s="29" t="s">
        <v>13638</v>
      </c>
      <c r="K225" s="29" t="s">
        <v>13639</v>
      </c>
      <c r="L225" s="29" t="s">
        <v>13640</v>
      </c>
      <c r="M225" s="29" t="s">
        <v>13641</v>
      </c>
    </row>
    <row r="226" customFormat="false" ht="86.25" hidden="false" customHeight="false" outlineLevel="0" collapsed="false">
      <c r="A226" s="28" t="n">
        <v>44447</v>
      </c>
      <c r="B226" s="29" t="s">
        <v>38</v>
      </c>
      <c r="C226" s="29" t="s">
        <v>49</v>
      </c>
      <c r="D226" s="29" t="s">
        <v>11605</v>
      </c>
      <c r="E226" s="29" t="s">
        <v>13643</v>
      </c>
      <c r="F226" s="30" t="n">
        <v>0.649305555555556</v>
      </c>
      <c r="I226" s="31" t="n">
        <v>110</v>
      </c>
      <c r="J226" s="29" t="s">
        <v>13644</v>
      </c>
      <c r="K226" s="29" t="s">
        <v>13645</v>
      </c>
      <c r="L226" s="29" t="s">
        <v>13646</v>
      </c>
      <c r="M226" s="29" t="s">
        <v>13647</v>
      </c>
      <c r="N226" s="29" t="n">
        <v>1016625</v>
      </c>
    </row>
    <row r="227" customFormat="false" ht="42.75" hidden="false" customHeight="false" outlineLevel="0" collapsed="false">
      <c r="A227" s="28" t="n">
        <v>44448</v>
      </c>
      <c r="B227" s="29" t="s">
        <v>38</v>
      </c>
      <c r="C227" s="29" t="s">
        <v>48</v>
      </c>
      <c r="D227" s="29" t="s">
        <v>11605</v>
      </c>
      <c r="E227" s="29" t="s">
        <v>13643</v>
      </c>
      <c r="F227" s="30" t="n">
        <v>0.236111111111111</v>
      </c>
      <c r="J227" s="29" t="s">
        <v>13649</v>
      </c>
      <c r="K227" s="29" t="s">
        <v>13650</v>
      </c>
      <c r="M227" s="29" t="s">
        <v>13651</v>
      </c>
    </row>
    <row r="228" customFormat="false" ht="57" hidden="false" customHeight="false" outlineLevel="0" collapsed="false">
      <c r="A228" s="28" t="n">
        <v>44448</v>
      </c>
      <c r="B228" s="29" t="s">
        <v>40</v>
      </c>
      <c r="C228" s="29" t="s">
        <v>49</v>
      </c>
      <c r="D228" s="29" t="s">
        <v>13652</v>
      </c>
      <c r="E228" s="29" t="s">
        <v>13653</v>
      </c>
      <c r="G228" s="30" t="n">
        <v>0.625</v>
      </c>
      <c r="J228" s="29" t="s">
        <v>13654</v>
      </c>
      <c r="K228" s="29" t="s">
        <v>13655</v>
      </c>
      <c r="L228" s="29" t="s">
        <v>13656</v>
      </c>
      <c r="M228" s="29" t="s">
        <v>13657</v>
      </c>
    </row>
    <row r="229" customFormat="false" ht="86.25" hidden="false" customHeight="false" outlineLevel="0" collapsed="false">
      <c r="A229" s="28" t="n">
        <v>44448</v>
      </c>
      <c r="B229" s="29" t="s">
        <v>37</v>
      </c>
      <c r="C229" s="29" t="s">
        <v>49</v>
      </c>
      <c r="D229" s="29" t="s">
        <v>9272</v>
      </c>
      <c r="E229" s="29" t="s">
        <v>13658</v>
      </c>
      <c r="F229" s="30" t="n">
        <v>0.670138888888889</v>
      </c>
      <c r="G229" s="30" t="n">
        <v>0.715277777777778</v>
      </c>
      <c r="I229" s="31" t="n">
        <v>60</v>
      </c>
      <c r="J229" s="29" t="s">
        <v>13659</v>
      </c>
      <c r="K229" s="29" t="s">
        <v>13660</v>
      </c>
      <c r="L229" s="29" t="s">
        <v>13661</v>
      </c>
      <c r="M229" s="29" t="s">
        <v>13662</v>
      </c>
    </row>
    <row r="230" customFormat="false" ht="57" hidden="false" customHeight="false" outlineLevel="0" collapsed="false">
      <c r="A230" s="28" t="n">
        <v>44449</v>
      </c>
      <c r="B230" s="29" t="s">
        <v>37</v>
      </c>
      <c r="C230" s="29" t="s">
        <v>49</v>
      </c>
      <c r="D230" s="29" t="s">
        <v>13664</v>
      </c>
      <c r="E230" s="29" t="s">
        <v>13665</v>
      </c>
      <c r="F230" s="30" t="n">
        <v>0.670138888888889</v>
      </c>
      <c r="G230" s="30" t="n">
        <v>0.68125</v>
      </c>
      <c r="I230" s="31" t="n">
        <v>135</v>
      </c>
      <c r="J230" s="29" t="s">
        <v>13666</v>
      </c>
      <c r="K230" s="29" t="s">
        <v>13667</v>
      </c>
      <c r="L230" s="29" t="s">
        <v>13668</v>
      </c>
      <c r="M230" s="29" t="s">
        <v>13669</v>
      </c>
      <c r="N230" s="29" t="n">
        <v>1016612</v>
      </c>
    </row>
    <row r="231" customFormat="false" ht="42.75" hidden="false" customHeight="false" outlineLevel="0" collapsed="false">
      <c r="A231" s="28" t="n">
        <v>44449</v>
      </c>
      <c r="B231" s="29" t="s">
        <v>39</v>
      </c>
      <c r="C231" s="29" t="s">
        <v>49</v>
      </c>
      <c r="D231" s="29" t="s">
        <v>8813</v>
      </c>
      <c r="E231" s="29" t="s">
        <v>13670</v>
      </c>
      <c r="G231" s="30" t="n">
        <v>0.710416666666667</v>
      </c>
      <c r="I231" s="31" t="n">
        <v>270</v>
      </c>
      <c r="J231" s="29" t="s">
        <v>13671</v>
      </c>
      <c r="K231" s="29" t="s">
        <v>13672</v>
      </c>
      <c r="L231" s="29" t="s">
        <v>13673</v>
      </c>
      <c r="M231" s="29" t="s">
        <v>13674</v>
      </c>
      <c r="N231" s="29" t="n">
        <v>1016611</v>
      </c>
    </row>
    <row r="232" customFormat="false" ht="57" hidden="false" customHeight="false" outlineLevel="0" collapsed="false">
      <c r="A232" s="28" t="n">
        <v>44452</v>
      </c>
      <c r="B232" s="29" t="s">
        <v>38</v>
      </c>
      <c r="C232" s="29" t="s">
        <v>48</v>
      </c>
      <c r="D232" s="29" t="s">
        <v>13676</v>
      </c>
      <c r="E232" s="29" t="s">
        <v>13396</v>
      </c>
      <c r="F232" s="30" t="n">
        <v>0.236111111111111</v>
      </c>
      <c r="G232" s="30" t="n">
        <v>0.241666666666667</v>
      </c>
      <c r="H232" s="31" t="n">
        <v>0</v>
      </c>
      <c r="J232" s="29" t="s">
        <v>13677</v>
      </c>
      <c r="K232" s="29" t="s">
        <v>13678</v>
      </c>
      <c r="L232" s="29" t="s">
        <v>13679</v>
      </c>
      <c r="M232" s="29" t="s">
        <v>13680</v>
      </c>
    </row>
    <row r="233" customFormat="false" ht="57" hidden="false" customHeight="false" outlineLevel="0" collapsed="false">
      <c r="A233" s="28" t="n">
        <v>44452</v>
      </c>
      <c r="B233" s="29" t="s">
        <v>43</v>
      </c>
      <c r="C233" s="29" t="s">
        <v>48</v>
      </c>
      <c r="D233" s="29" t="s">
        <v>13681</v>
      </c>
      <c r="E233" s="29" t="s">
        <v>10776</v>
      </c>
      <c r="F233" s="30" t="n">
        <v>0.3125</v>
      </c>
      <c r="G233" s="30" t="n">
        <v>0.425</v>
      </c>
      <c r="I233" s="31" t="n">
        <v>140</v>
      </c>
      <c r="J233" s="29" t="s">
        <v>13682</v>
      </c>
      <c r="K233" s="29" t="s">
        <v>13683</v>
      </c>
      <c r="L233" s="29" t="s">
        <v>13684</v>
      </c>
      <c r="M233" s="29" t="s">
        <v>13685</v>
      </c>
    </row>
    <row r="234" customFormat="false" ht="144" hidden="false" customHeight="false" outlineLevel="0" collapsed="false">
      <c r="A234" s="28" t="n">
        <v>44454</v>
      </c>
      <c r="B234" s="29" t="s">
        <v>39</v>
      </c>
      <c r="C234" s="29" t="s">
        <v>48</v>
      </c>
      <c r="D234" s="29" t="s">
        <v>13687</v>
      </c>
      <c r="F234" s="30" t="n">
        <v>0.511805555555555</v>
      </c>
      <c r="G234" s="30" t="n">
        <v>0.536111111111111</v>
      </c>
      <c r="J234" s="29" t="s">
        <v>13688</v>
      </c>
      <c r="K234" s="29" t="s">
        <v>13689</v>
      </c>
      <c r="L234" s="29" t="s">
        <v>13690</v>
      </c>
      <c r="M234" s="29" t="s">
        <v>13691</v>
      </c>
    </row>
    <row r="235" customFormat="false" ht="100.5" hidden="false" customHeight="false" outlineLevel="0" collapsed="false">
      <c r="A235" s="28" t="n">
        <v>44456</v>
      </c>
      <c r="B235" s="29" t="s">
        <v>1503</v>
      </c>
      <c r="C235" s="29" t="s">
        <v>48</v>
      </c>
      <c r="D235" s="29" t="s">
        <v>14292</v>
      </c>
      <c r="E235" s="29" t="s">
        <v>4303</v>
      </c>
      <c r="F235" s="30" t="n">
        <v>0.243055555555556</v>
      </c>
      <c r="G235" s="30" t="n">
        <v>0.4375</v>
      </c>
      <c r="J235" s="29" t="s">
        <v>13694</v>
      </c>
      <c r="K235" s="29" t="s">
        <v>13695</v>
      </c>
      <c r="L235" s="29" t="s">
        <v>13696</v>
      </c>
      <c r="M235" s="29" t="s">
        <v>13697</v>
      </c>
    </row>
    <row r="236" customFormat="false" ht="72" hidden="false" customHeight="false" outlineLevel="0" collapsed="false">
      <c r="A236" s="28" t="n">
        <v>44459</v>
      </c>
      <c r="B236" s="29" t="s">
        <v>40</v>
      </c>
      <c r="C236" s="29" t="s">
        <v>48</v>
      </c>
      <c r="D236" s="29" t="s">
        <v>13699</v>
      </c>
      <c r="E236" s="29" t="s">
        <v>13700</v>
      </c>
      <c r="F236" s="30" t="n">
        <v>0.438888888888889</v>
      </c>
      <c r="G236" s="30" t="n">
        <v>0.455555555555556</v>
      </c>
      <c r="I236" s="31" t="n">
        <v>30</v>
      </c>
      <c r="J236" s="29" t="s">
        <v>13701</v>
      </c>
      <c r="K236" s="29" t="s">
        <v>13702</v>
      </c>
      <c r="L236" s="29" t="s">
        <v>13703</v>
      </c>
      <c r="M236" s="29" t="s">
        <v>13704</v>
      </c>
    </row>
    <row r="237" customFormat="false" ht="100.5" hidden="false" customHeight="false" outlineLevel="0" collapsed="false">
      <c r="A237" s="28" t="n">
        <v>44461</v>
      </c>
      <c r="B237" s="29" t="s">
        <v>37</v>
      </c>
      <c r="C237" s="29" t="s">
        <v>48</v>
      </c>
      <c r="D237" s="29" t="s">
        <v>13706</v>
      </c>
      <c r="E237" s="29" t="s">
        <v>13707</v>
      </c>
      <c r="F237" s="30" t="n">
        <v>0.313888888888889</v>
      </c>
      <c r="G237" s="30" t="n">
        <v>0.325</v>
      </c>
      <c r="I237" s="31" t="n">
        <v>30</v>
      </c>
      <c r="J237" s="29" t="s">
        <v>13708</v>
      </c>
      <c r="K237" s="29" t="s">
        <v>13709</v>
      </c>
      <c r="L237" s="29" t="s">
        <v>13710</v>
      </c>
      <c r="M237" s="29" t="s">
        <v>13711</v>
      </c>
    </row>
    <row r="238" customFormat="false" ht="129" hidden="false" customHeight="false" outlineLevel="0" collapsed="false">
      <c r="A238" s="28" t="n">
        <v>44461</v>
      </c>
      <c r="B238" s="29" t="s">
        <v>43</v>
      </c>
      <c r="C238" s="29" t="s">
        <v>48</v>
      </c>
      <c r="D238" s="29" t="s">
        <v>13712</v>
      </c>
      <c r="E238" s="29" t="s">
        <v>13713</v>
      </c>
      <c r="G238" s="30" t="n">
        <v>0.379861111111111</v>
      </c>
      <c r="J238" s="29" t="s">
        <v>13714</v>
      </c>
      <c r="K238" s="29" t="s">
        <v>13715</v>
      </c>
      <c r="L238" s="29" t="s">
        <v>13716</v>
      </c>
      <c r="M238" s="29" t="s">
        <v>13717</v>
      </c>
    </row>
    <row r="239" customFormat="false" ht="100.5" hidden="false" customHeight="false" outlineLevel="0" collapsed="false">
      <c r="A239" s="28" t="n">
        <v>44461</v>
      </c>
      <c r="B239" s="29" t="s">
        <v>43</v>
      </c>
      <c r="C239" s="29" t="s">
        <v>48</v>
      </c>
      <c r="D239" s="29" t="s">
        <v>13718</v>
      </c>
      <c r="E239" s="29" t="s">
        <v>13713</v>
      </c>
      <c r="G239" s="30" t="n">
        <v>0.605555555555555</v>
      </c>
      <c r="J239" s="29" t="s">
        <v>13719</v>
      </c>
      <c r="K239" s="29" t="s">
        <v>13720</v>
      </c>
      <c r="L239" s="29" t="s">
        <v>14293</v>
      </c>
      <c r="M239" s="29" t="s">
        <v>13722</v>
      </c>
    </row>
    <row r="240" customFormat="false" ht="57" hidden="false" customHeight="false" outlineLevel="0" collapsed="false">
      <c r="A240" s="28" t="n">
        <v>44462</v>
      </c>
      <c r="B240" s="29" t="s">
        <v>43</v>
      </c>
      <c r="C240" s="29" t="s">
        <v>48</v>
      </c>
      <c r="D240" s="29" t="s">
        <v>13724</v>
      </c>
      <c r="E240" s="29" t="s">
        <v>13725</v>
      </c>
      <c r="G240" s="30" t="n">
        <v>0.472222222222222</v>
      </c>
      <c r="J240" s="29" t="s">
        <v>13726</v>
      </c>
      <c r="K240" s="29" t="s">
        <v>13727</v>
      </c>
      <c r="L240" s="29" t="s">
        <v>13728</v>
      </c>
    </row>
    <row r="241" customFormat="false" ht="72" hidden="false" customHeight="false" outlineLevel="0" collapsed="false">
      <c r="A241" s="28" t="n">
        <v>44462</v>
      </c>
      <c r="B241" s="29" t="s">
        <v>1863</v>
      </c>
      <c r="C241" s="29" t="s">
        <v>48</v>
      </c>
      <c r="D241" s="29" t="s">
        <v>13729</v>
      </c>
      <c r="E241" s="29" t="s">
        <v>13730</v>
      </c>
      <c r="F241" s="30" t="n">
        <v>0.519444444444444</v>
      </c>
      <c r="G241" s="30" t="n">
        <v>0.583333333333333</v>
      </c>
      <c r="I241" s="31" t="n">
        <v>90</v>
      </c>
      <c r="J241" s="29" t="s">
        <v>13731</v>
      </c>
      <c r="K241" s="29" t="s">
        <v>13732</v>
      </c>
      <c r="L241" s="29" t="s">
        <v>13733</v>
      </c>
      <c r="M241" s="29" t="s">
        <v>13734</v>
      </c>
    </row>
    <row r="242" customFormat="false" ht="86.25" hidden="false" customHeight="false" outlineLevel="0" collapsed="false">
      <c r="A242" s="28" t="n">
        <v>44462</v>
      </c>
      <c r="B242" s="29" t="s">
        <v>37</v>
      </c>
      <c r="C242" s="29" t="s">
        <v>49</v>
      </c>
      <c r="D242" s="29" t="s">
        <v>13735</v>
      </c>
      <c r="E242" s="29" t="s">
        <v>3806</v>
      </c>
      <c r="F242" s="30" t="n">
        <v>0.566666666666667</v>
      </c>
      <c r="G242" s="30" t="n">
        <v>0.607638888888889</v>
      </c>
      <c r="H242" s="31" t="n">
        <v>75</v>
      </c>
      <c r="I242" s="31" t="n">
        <v>180</v>
      </c>
      <c r="J242" s="29" t="s">
        <v>13736</v>
      </c>
      <c r="K242" s="29" t="s">
        <v>13737</v>
      </c>
      <c r="L242" s="29" t="s">
        <v>13738</v>
      </c>
      <c r="M242" s="29" t="s">
        <v>13739</v>
      </c>
      <c r="N242" s="29" t="n">
        <v>1016707</v>
      </c>
    </row>
    <row r="243" customFormat="false" ht="57" hidden="false" customHeight="false" outlineLevel="0" collapsed="false">
      <c r="A243" s="28" t="n">
        <v>44462</v>
      </c>
      <c r="B243" s="29" t="s">
        <v>43</v>
      </c>
      <c r="C243" s="29" t="s">
        <v>49</v>
      </c>
      <c r="D243" s="29" t="s">
        <v>13724</v>
      </c>
      <c r="E243" s="29" t="s">
        <v>13725</v>
      </c>
      <c r="F243" s="30" t="n">
        <v>0.4375</v>
      </c>
      <c r="G243" s="30" t="n">
        <v>0.472222222222222</v>
      </c>
      <c r="I243" s="31" t="n">
        <v>360</v>
      </c>
      <c r="J243" s="29" t="s">
        <v>13740</v>
      </c>
      <c r="K243" s="29" t="s">
        <v>13741</v>
      </c>
      <c r="L243" s="29" t="s">
        <v>13742</v>
      </c>
      <c r="M243" s="29" t="s">
        <v>13743</v>
      </c>
    </row>
    <row r="244" customFormat="false" ht="72" hidden="false" customHeight="false" outlineLevel="0" collapsed="false">
      <c r="A244" s="28" t="n">
        <v>44466</v>
      </c>
      <c r="B244" s="29" t="s">
        <v>39</v>
      </c>
      <c r="C244" s="29" t="s">
        <v>48</v>
      </c>
      <c r="D244" s="29" t="s">
        <v>13745</v>
      </c>
      <c r="E244" s="29" t="s">
        <v>13746</v>
      </c>
      <c r="F244" s="30" t="n">
        <v>0.239583333333333</v>
      </c>
      <c r="G244" s="30" t="n">
        <v>0.247222222222222</v>
      </c>
      <c r="H244" s="31" t="n">
        <v>4.6</v>
      </c>
      <c r="I244" s="31" t="n">
        <v>30</v>
      </c>
      <c r="J244" s="29" t="s">
        <v>13747</v>
      </c>
      <c r="K244" s="29" t="s">
        <v>13748</v>
      </c>
      <c r="L244" s="29" t="s">
        <v>13749</v>
      </c>
      <c r="M244" s="29" t="s">
        <v>13750</v>
      </c>
      <c r="N244" s="29" t="n">
        <v>1016714</v>
      </c>
    </row>
    <row r="245" customFormat="false" ht="72" hidden="false" customHeight="false" outlineLevel="0" collapsed="false">
      <c r="A245" s="28" t="n">
        <v>44466</v>
      </c>
      <c r="B245" s="29" t="s">
        <v>38</v>
      </c>
      <c r="C245" s="29" t="s">
        <v>48</v>
      </c>
      <c r="D245" s="29" t="s">
        <v>13751</v>
      </c>
      <c r="E245" s="29" t="s">
        <v>13752</v>
      </c>
      <c r="G245" s="30" t="n">
        <v>0.375</v>
      </c>
      <c r="I245" s="31" t="n">
        <v>6</v>
      </c>
      <c r="J245" s="29" t="s">
        <v>13753</v>
      </c>
      <c r="K245" s="29" t="s">
        <v>13754</v>
      </c>
      <c r="L245" s="29" t="s">
        <v>13755</v>
      </c>
      <c r="M245" s="29" t="s">
        <v>13756</v>
      </c>
    </row>
    <row r="246" customFormat="false" ht="42.75" hidden="false" customHeight="false" outlineLevel="0" collapsed="false">
      <c r="A246" s="28" t="n">
        <v>44466</v>
      </c>
      <c r="B246" s="29" t="s">
        <v>42</v>
      </c>
      <c r="C246" s="29" t="s">
        <v>48</v>
      </c>
      <c r="D246" s="29" t="s">
        <v>13757</v>
      </c>
      <c r="E246" s="29" t="s">
        <v>13758</v>
      </c>
      <c r="G246" s="30" t="n">
        <v>0.569444444444444</v>
      </c>
      <c r="J246" s="29" t="s">
        <v>13759</v>
      </c>
      <c r="K246" s="29" t="s">
        <v>13760</v>
      </c>
      <c r="L246" s="29" t="s">
        <v>13761</v>
      </c>
    </row>
    <row r="247" customFormat="false" ht="86.25" hidden="false" customHeight="false" outlineLevel="0" collapsed="false">
      <c r="A247" s="28" t="n">
        <v>44470</v>
      </c>
      <c r="B247" s="29" t="s">
        <v>39</v>
      </c>
      <c r="C247" s="29" t="s">
        <v>48</v>
      </c>
      <c r="D247" s="29" t="s">
        <v>13763</v>
      </c>
      <c r="E247" s="29" t="s">
        <v>13764</v>
      </c>
      <c r="J247" s="29" t="s">
        <v>13765</v>
      </c>
      <c r="K247" s="29" t="s">
        <v>13766</v>
      </c>
      <c r="L247" s="29" t="s">
        <v>13767</v>
      </c>
      <c r="M247" s="29" t="s">
        <v>13768</v>
      </c>
      <c r="N247" s="29" t="n">
        <v>1016814</v>
      </c>
    </row>
    <row r="248" customFormat="false" ht="42.75" hidden="false" customHeight="false" outlineLevel="0" collapsed="false">
      <c r="A248" s="28" t="n">
        <v>44470</v>
      </c>
      <c r="B248" s="29" t="s">
        <v>42</v>
      </c>
      <c r="C248" s="29" t="s">
        <v>49</v>
      </c>
      <c r="D248" s="29" t="s">
        <v>13769</v>
      </c>
      <c r="E248" s="29" t="s">
        <v>13770</v>
      </c>
      <c r="H248" s="31" t="n">
        <v>7</v>
      </c>
      <c r="J248" s="29" t="s">
        <v>13771</v>
      </c>
      <c r="K248" s="29" t="s">
        <v>13772</v>
      </c>
      <c r="L248" s="29" t="s">
        <v>13773</v>
      </c>
      <c r="M248" s="29" t="s">
        <v>13774</v>
      </c>
    </row>
    <row r="249" customFormat="false" ht="72" hidden="false" customHeight="false" outlineLevel="0" collapsed="false">
      <c r="A249" s="28" t="n">
        <v>44473</v>
      </c>
      <c r="B249" s="29" t="s">
        <v>37</v>
      </c>
      <c r="C249" s="29" t="s">
        <v>48</v>
      </c>
      <c r="D249" s="29" t="s">
        <v>13776</v>
      </c>
      <c r="E249" s="29" t="s">
        <v>13777</v>
      </c>
      <c r="F249" s="30" t="n">
        <v>0.243055555555556</v>
      </c>
      <c r="G249" s="30" t="n">
        <v>0.290972222222222</v>
      </c>
      <c r="I249" s="31" t="n">
        <v>70</v>
      </c>
      <c r="J249" s="29" t="s">
        <v>13778</v>
      </c>
      <c r="K249" s="29" t="s">
        <v>13779</v>
      </c>
      <c r="M249" s="29" t="s">
        <v>13780</v>
      </c>
    </row>
    <row r="250" customFormat="false" ht="57" hidden="false" customHeight="false" outlineLevel="0" collapsed="false">
      <c r="A250" s="28" t="n">
        <v>44473</v>
      </c>
      <c r="B250" s="29" t="s">
        <v>40</v>
      </c>
      <c r="C250" s="29" t="s">
        <v>48</v>
      </c>
      <c r="D250" s="29" t="s">
        <v>9698</v>
      </c>
      <c r="E250" s="29" t="s">
        <v>13781</v>
      </c>
      <c r="F250" s="30" t="n">
        <v>0.291666666666667</v>
      </c>
      <c r="G250" s="30" t="n">
        <v>0.349305555555556</v>
      </c>
      <c r="I250" s="31" t="n">
        <v>720</v>
      </c>
      <c r="J250" s="29" t="s">
        <v>13782</v>
      </c>
      <c r="K250" s="29" t="s">
        <v>13783</v>
      </c>
    </row>
    <row r="251" customFormat="false" ht="57" hidden="false" customHeight="false" outlineLevel="0" collapsed="false">
      <c r="A251" s="28" t="n">
        <v>44473</v>
      </c>
      <c r="B251" s="29" t="s">
        <v>40</v>
      </c>
      <c r="C251" s="29" t="s">
        <v>48</v>
      </c>
      <c r="D251" s="29" t="s">
        <v>13784</v>
      </c>
      <c r="E251" s="29" t="s">
        <v>13784</v>
      </c>
      <c r="F251" s="30" t="n">
        <v>0.291666666666667</v>
      </c>
      <c r="J251" s="29" t="s">
        <v>13785</v>
      </c>
      <c r="K251" s="29" t="s">
        <v>13786</v>
      </c>
      <c r="L251" s="29" t="s">
        <v>13787</v>
      </c>
      <c r="M251" s="29" t="s">
        <v>13788</v>
      </c>
    </row>
    <row r="252" customFormat="false" ht="114.75" hidden="false" customHeight="false" outlineLevel="0" collapsed="false">
      <c r="A252" s="28" t="n">
        <v>44473</v>
      </c>
      <c r="B252" s="29" t="s">
        <v>40</v>
      </c>
      <c r="C252" s="29" t="s">
        <v>49</v>
      </c>
      <c r="D252" s="29" t="s">
        <v>9698</v>
      </c>
      <c r="E252" s="29" t="s">
        <v>13781</v>
      </c>
      <c r="F252" s="30" t="n">
        <v>0.291666666666667</v>
      </c>
      <c r="G252" s="30" t="n">
        <v>0.349305555555556</v>
      </c>
      <c r="I252" s="31" t="n">
        <v>720</v>
      </c>
      <c r="J252" s="29" t="s">
        <v>13789</v>
      </c>
      <c r="K252" s="29" t="s">
        <v>13790</v>
      </c>
      <c r="L252" s="29" t="s">
        <v>13791</v>
      </c>
      <c r="M252" s="29" t="s">
        <v>13792</v>
      </c>
    </row>
    <row r="253" customFormat="false" ht="72" hidden="false" customHeight="false" outlineLevel="0" collapsed="false">
      <c r="A253" s="28" t="n">
        <v>44473</v>
      </c>
      <c r="B253" s="29" t="s">
        <v>39</v>
      </c>
      <c r="C253" s="29" t="s">
        <v>49</v>
      </c>
      <c r="D253" s="29" t="s">
        <v>3547</v>
      </c>
      <c r="E253" s="29" t="s">
        <v>13793</v>
      </c>
      <c r="F253" s="30" t="n">
        <v>0.868055555555555</v>
      </c>
      <c r="G253" s="30" t="n">
        <v>0.870833333333333</v>
      </c>
      <c r="I253" s="31" t="n">
        <v>25</v>
      </c>
      <c r="J253" s="29" t="s">
        <v>13794</v>
      </c>
      <c r="K253" s="29" t="s">
        <v>13795</v>
      </c>
      <c r="L253" s="29" t="s">
        <v>13796</v>
      </c>
      <c r="M253" s="29" t="s">
        <v>13797</v>
      </c>
    </row>
    <row r="254" customFormat="false" ht="42.75" hidden="false" customHeight="false" outlineLevel="0" collapsed="false">
      <c r="A254" s="28" t="n">
        <v>44474</v>
      </c>
      <c r="B254" s="29" t="s">
        <v>37</v>
      </c>
      <c r="C254" s="29" t="s">
        <v>48</v>
      </c>
      <c r="D254" s="29" t="s">
        <v>13799</v>
      </c>
      <c r="E254" s="29" t="s">
        <v>13800</v>
      </c>
      <c r="F254" s="30" t="n">
        <v>0.239583333333333</v>
      </c>
      <c r="G254" s="30" t="n">
        <v>0.253472222222222</v>
      </c>
      <c r="J254" s="29" t="s">
        <v>13801</v>
      </c>
      <c r="K254" s="29" t="s">
        <v>13802</v>
      </c>
      <c r="L254" s="29" t="s">
        <v>13803</v>
      </c>
      <c r="M254" s="29" t="s">
        <v>13804</v>
      </c>
    </row>
    <row r="255" customFormat="false" ht="72" hidden="false" customHeight="false" outlineLevel="0" collapsed="false">
      <c r="A255" s="28" t="n">
        <v>44474</v>
      </c>
      <c r="B255" s="29" t="s">
        <v>37</v>
      </c>
      <c r="C255" s="29" t="s">
        <v>49</v>
      </c>
      <c r="D255" s="29" t="s">
        <v>13805</v>
      </c>
      <c r="E255" s="29" t="s">
        <v>13806</v>
      </c>
      <c r="F255" s="30" t="n">
        <v>0.784722222222222</v>
      </c>
      <c r="G255" s="30" t="n">
        <v>0.784722222222222</v>
      </c>
      <c r="H255" s="31" t="n">
        <v>0</v>
      </c>
      <c r="J255" s="29" t="s">
        <v>13807</v>
      </c>
      <c r="K255" s="29" t="s">
        <v>4784</v>
      </c>
      <c r="L255" s="29" t="s">
        <v>13808</v>
      </c>
      <c r="M255" s="29" t="s">
        <v>13809</v>
      </c>
    </row>
    <row r="256" customFormat="false" ht="114.75" hidden="false" customHeight="false" outlineLevel="0" collapsed="false">
      <c r="A256" s="28" t="n">
        <v>44474</v>
      </c>
      <c r="B256" s="29" t="s">
        <v>39</v>
      </c>
      <c r="C256" s="29" t="s">
        <v>49</v>
      </c>
      <c r="D256" s="29" t="s">
        <v>13810</v>
      </c>
      <c r="E256" s="29" t="s">
        <v>1537</v>
      </c>
      <c r="F256" s="30" t="n">
        <v>0.868055555555555</v>
      </c>
      <c r="G256" s="30" t="n">
        <v>0.890277777777778</v>
      </c>
      <c r="J256" s="29" t="s">
        <v>13811</v>
      </c>
      <c r="K256" s="29" t="s">
        <v>13812</v>
      </c>
      <c r="L256" s="29" t="s">
        <v>13813</v>
      </c>
      <c r="M256" s="29" t="s">
        <v>13814</v>
      </c>
    </row>
    <row r="257" customFormat="false" ht="28.5" hidden="false" customHeight="false" outlineLevel="0" collapsed="false">
      <c r="A257" s="28" t="n">
        <v>44475</v>
      </c>
      <c r="B257" s="29" t="s">
        <v>39</v>
      </c>
      <c r="C257" s="29" t="s">
        <v>48</v>
      </c>
      <c r="D257" s="29" t="s">
        <v>13816</v>
      </c>
      <c r="E257" s="29" t="s">
        <v>1537</v>
      </c>
      <c r="J257" s="29" t="s">
        <v>13817</v>
      </c>
    </row>
    <row r="258" customFormat="false" ht="42.75" hidden="false" customHeight="false" outlineLevel="0" collapsed="false">
      <c r="A258" s="28" t="n">
        <v>44475</v>
      </c>
      <c r="B258" s="29" t="s">
        <v>37</v>
      </c>
      <c r="C258" s="29" t="s">
        <v>49</v>
      </c>
      <c r="D258" s="29" t="s">
        <v>13818</v>
      </c>
      <c r="E258" s="29" t="s">
        <v>13819</v>
      </c>
      <c r="F258" s="30" t="n">
        <v>0.876388888888889</v>
      </c>
      <c r="G258" s="30" t="n">
        <v>0.897916666666667</v>
      </c>
      <c r="H258" s="31" t="n">
        <v>15</v>
      </c>
      <c r="I258" s="31" t="n">
        <v>110</v>
      </c>
      <c r="J258" s="29" t="s">
        <v>13820</v>
      </c>
      <c r="K258" s="29" t="s">
        <v>13821</v>
      </c>
      <c r="L258" s="29" t="s">
        <v>13822</v>
      </c>
      <c r="M258" s="29" t="s">
        <v>13823</v>
      </c>
    </row>
    <row r="259" customFormat="false" ht="57" hidden="false" customHeight="false" outlineLevel="0" collapsed="false">
      <c r="A259" s="28" t="n">
        <v>44467</v>
      </c>
      <c r="B259" s="29" t="s">
        <v>39</v>
      </c>
      <c r="C259" s="29" t="s">
        <v>48</v>
      </c>
      <c r="D259" s="29" t="s">
        <v>13825</v>
      </c>
      <c r="E259" s="29" t="s">
        <v>13826</v>
      </c>
      <c r="J259" s="29" t="s">
        <v>13827</v>
      </c>
      <c r="K259" s="29" t="s">
        <v>13828</v>
      </c>
      <c r="L259" s="29" t="s">
        <v>13829</v>
      </c>
      <c r="M259" s="29" t="s">
        <v>13830</v>
      </c>
    </row>
    <row r="260" customFormat="false" ht="42.75" hidden="false" customHeight="false" outlineLevel="0" collapsed="false">
      <c r="A260" s="28" t="n">
        <v>44467</v>
      </c>
      <c r="B260" s="29" t="s">
        <v>40</v>
      </c>
      <c r="C260" s="29" t="s">
        <v>49</v>
      </c>
      <c r="D260" s="29" t="s">
        <v>10175</v>
      </c>
      <c r="E260" s="29" t="s">
        <v>13831</v>
      </c>
      <c r="G260" s="30" t="n">
        <v>0.692361111111111</v>
      </c>
      <c r="I260" s="31" t="n">
        <v>30</v>
      </c>
      <c r="J260" s="29" t="s">
        <v>13832</v>
      </c>
      <c r="K260" s="29" t="s">
        <v>13833</v>
      </c>
      <c r="L260" s="29" t="s">
        <v>13834</v>
      </c>
      <c r="M260" s="29" t="s">
        <v>13835</v>
      </c>
    </row>
    <row r="261" customFormat="false" ht="28.5" hidden="false" customHeight="false" outlineLevel="0" collapsed="false">
      <c r="A261" s="28" t="n">
        <v>44467</v>
      </c>
      <c r="B261" s="29" t="s">
        <v>38</v>
      </c>
      <c r="C261" s="29" t="s">
        <v>49</v>
      </c>
      <c r="D261" s="29" t="s">
        <v>13836</v>
      </c>
      <c r="E261" s="29" t="s">
        <v>2524</v>
      </c>
      <c r="G261" s="30" t="n">
        <v>0.875694444444444</v>
      </c>
      <c r="I261" s="31" t="n">
        <v>45</v>
      </c>
      <c r="J261" s="29" t="s">
        <v>13837</v>
      </c>
      <c r="K261" s="29" t="s">
        <v>13838</v>
      </c>
      <c r="L261" s="29" t="s">
        <v>13839</v>
      </c>
      <c r="M261" s="29" t="s">
        <v>13840</v>
      </c>
      <c r="N261" s="29" t="n">
        <v>1016825</v>
      </c>
    </row>
    <row r="262" customFormat="false" ht="42.75" hidden="false" customHeight="false" outlineLevel="0" collapsed="false">
      <c r="A262" s="28" t="n">
        <v>44467</v>
      </c>
      <c r="B262" s="29" t="s">
        <v>42</v>
      </c>
      <c r="C262" s="29" t="s">
        <v>49</v>
      </c>
      <c r="D262" s="29" t="s">
        <v>13841</v>
      </c>
      <c r="E262" s="29" t="s">
        <v>13769</v>
      </c>
      <c r="G262" s="30" t="n">
        <v>0.907638888888889</v>
      </c>
      <c r="I262" s="31" t="n">
        <v>45</v>
      </c>
      <c r="J262" s="29" t="s">
        <v>13842</v>
      </c>
      <c r="K262" s="29" t="s">
        <v>13843</v>
      </c>
      <c r="L262" s="29" t="s">
        <v>13844</v>
      </c>
      <c r="M262" s="29" t="s">
        <v>13845</v>
      </c>
      <c r="N262" s="29" t="n">
        <v>1016802</v>
      </c>
    </row>
    <row r="263" customFormat="false" ht="100.5" hidden="false" customHeight="false" outlineLevel="0" collapsed="false">
      <c r="A263" s="28" t="n">
        <v>44468</v>
      </c>
      <c r="B263" s="29" t="s">
        <v>37</v>
      </c>
      <c r="C263" s="29" t="s">
        <v>49</v>
      </c>
      <c r="D263" s="29" t="s">
        <v>12286</v>
      </c>
      <c r="E263" s="29" t="s">
        <v>4063</v>
      </c>
      <c r="F263" s="30" t="n">
        <v>0.675694444444444</v>
      </c>
      <c r="G263" s="30" t="n">
        <v>0.717361111111111</v>
      </c>
      <c r="J263" s="29" t="s">
        <v>13847</v>
      </c>
      <c r="K263" s="29" t="s">
        <v>13848</v>
      </c>
      <c r="L263" s="29" t="s">
        <v>13849</v>
      </c>
      <c r="M263" s="29" t="s">
        <v>13850</v>
      </c>
      <c r="N263" s="29" t="n">
        <v>1016749</v>
      </c>
    </row>
    <row r="264" customFormat="false" ht="57" hidden="false" customHeight="false" outlineLevel="0" collapsed="false">
      <c r="A264" s="28" t="n">
        <v>44468</v>
      </c>
      <c r="B264" s="29" t="s">
        <v>1648</v>
      </c>
      <c r="C264" s="29" t="s">
        <v>49</v>
      </c>
      <c r="D264" s="29" t="s">
        <v>13851</v>
      </c>
      <c r="E264" s="29" t="s">
        <v>13852</v>
      </c>
      <c r="F264" s="30" t="n">
        <v>0.361111111111111</v>
      </c>
      <c r="G264" s="30" t="n">
        <v>0.900694444444444</v>
      </c>
      <c r="J264" s="29" t="s">
        <v>13853</v>
      </c>
      <c r="K264" s="29" t="s">
        <v>13854</v>
      </c>
      <c r="L264" s="29" t="s">
        <v>13855</v>
      </c>
      <c r="M264" s="29" t="s">
        <v>13856</v>
      </c>
    </row>
    <row r="265" customFormat="false" ht="42.75" hidden="false" customHeight="false" outlineLevel="0" collapsed="false">
      <c r="A265" s="28" t="n">
        <v>44476</v>
      </c>
      <c r="B265" s="29" t="s">
        <v>42</v>
      </c>
      <c r="C265" s="29" t="s">
        <v>48</v>
      </c>
      <c r="D265" s="29" t="s">
        <v>13858</v>
      </c>
      <c r="E265" s="29" t="s">
        <v>13859</v>
      </c>
      <c r="F265" s="30" t="n">
        <v>0.284722222222222</v>
      </c>
      <c r="G265" s="30" t="n">
        <v>0.298611111111111</v>
      </c>
      <c r="I265" s="31" t="n">
        <v>222</v>
      </c>
      <c r="J265" s="29" t="s">
        <v>13860</v>
      </c>
      <c r="K265" s="29" t="s">
        <v>13861</v>
      </c>
      <c r="M265" s="29" t="s">
        <v>13862</v>
      </c>
    </row>
    <row r="266" customFormat="false" ht="42.75" hidden="false" customHeight="false" outlineLevel="0" collapsed="false">
      <c r="A266" s="28" t="n">
        <v>44477</v>
      </c>
      <c r="B266" s="29" t="s">
        <v>40</v>
      </c>
      <c r="C266" s="29" t="s">
        <v>48</v>
      </c>
      <c r="D266" s="29" t="s">
        <v>13864</v>
      </c>
      <c r="E266" s="29" t="s">
        <v>13865</v>
      </c>
      <c r="F266" s="30" t="n">
        <v>0.368055555555556</v>
      </c>
      <c r="G266" s="30" t="n">
        <v>0.386111111111111</v>
      </c>
      <c r="I266" s="31" t="n">
        <v>60</v>
      </c>
      <c r="J266" s="29" t="s">
        <v>13866</v>
      </c>
      <c r="K266" s="29" t="s">
        <v>13867</v>
      </c>
      <c r="L266" s="29" t="s">
        <v>13868</v>
      </c>
      <c r="M266" s="29" t="s">
        <v>13869</v>
      </c>
    </row>
    <row r="267" customFormat="false" ht="72" hidden="false" customHeight="false" outlineLevel="0" collapsed="false">
      <c r="A267" s="28" t="n">
        <v>44482</v>
      </c>
      <c r="B267" s="29" t="s">
        <v>37</v>
      </c>
      <c r="C267" s="29" t="s">
        <v>48</v>
      </c>
      <c r="D267" s="29" t="s">
        <v>13871</v>
      </c>
      <c r="E267" s="29" t="s">
        <v>13872</v>
      </c>
      <c r="F267" s="30" t="n">
        <v>0.28125</v>
      </c>
      <c r="G267" s="30" t="n">
        <v>0.304166666666667</v>
      </c>
      <c r="H267" s="31" t="n">
        <v>26</v>
      </c>
      <c r="I267" s="31" t="n">
        <v>138</v>
      </c>
      <c r="J267" s="29" t="s">
        <v>13873</v>
      </c>
      <c r="K267" s="29" t="s">
        <v>13874</v>
      </c>
      <c r="L267" s="29" t="s">
        <v>13875</v>
      </c>
      <c r="M267" s="29" t="s">
        <v>13876</v>
      </c>
      <c r="N267" s="29" t="n">
        <v>1016846</v>
      </c>
    </row>
    <row r="268" customFormat="false" ht="57" hidden="false" customHeight="false" outlineLevel="0" collapsed="false">
      <c r="A268" s="28" t="n">
        <v>44482</v>
      </c>
      <c r="B268" s="29" t="s">
        <v>39</v>
      </c>
      <c r="C268" s="29" t="s">
        <v>48</v>
      </c>
      <c r="D268" s="29" t="s">
        <v>13763</v>
      </c>
      <c r="E268" s="29" t="s">
        <v>13877</v>
      </c>
      <c r="F268" s="30" t="n">
        <v>0.240972222222222</v>
      </c>
      <c r="G268" s="30" t="n">
        <v>0.25625</v>
      </c>
      <c r="I268" s="31" t="n">
        <v>65</v>
      </c>
      <c r="J268" s="29" t="s">
        <v>13878</v>
      </c>
      <c r="K268" s="29" t="s">
        <v>13879</v>
      </c>
      <c r="L268" s="29" t="s">
        <v>13880</v>
      </c>
    </row>
    <row r="269" customFormat="false" ht="114.75" hidden="false" customHeight="false" outlineLevel="0" collapsed="false">
      <c r="A269" s="28" t="n">
        <v>44491</v>
      </c>
      <c r="B269" s="29" t="s">
        <v>37</v>
      </c>
      <c r="C269" s="29" t="s">
        <v>48</v>
      </c>
      <c r="D269" s="29" t="s">
        <v>10952</v>
      </c>
      <c r="E269" s="29" t="s">
        <v>13882</v>
      </c>
      <c r="F269" s="30" t="n">
        <v>0.423611111111111</v>
      </c>
      <c r="G269" s="30" t="n">
        <v>0.448611111111111</v>
      </c>
      <c r="I269" s="31" t="n">
        <v>55</v>
      </c>
      <c r="J269" s="29" t="s">
        <v>13883</v>
      </c>
      <c r="K269" s="29" t="s">
        <v>13884</v>
      </c>
      <c r="L269" s="29" t="s">
        <v>13885</v>
      </c>
      <c r="M269" s="29" t="s">
        <v>13886</v>
      </c>
    </row>
    <row r="270" customFormat="false" ht="42.75" hidden="false" customHeight="false" outlineLevel="0" collapsed="false">
      <c r="A270" s="28" t="n">
        <v>44496</v>
      </c>
      <c r="B270" s="29" t="s">
        <v>37</v>
      </c>
      <c r="C270" s="29" t="s">
        <v>48</v>
      </c>
      <c r="D270" s="29" t="s">
        <v>13888</v>
      </c>
      <c r="E270" s="29" t="s">
        <v>13889</v>
      </c>
      <c r="F270" s="30" t="n">
        <v>0.263888888888889</v>
      </c>
      <c r="G270" s="30" t="n">
        <v>0.309722222222222</v>
      </c>
      <c r="I270" s="31" t="n">
        <v>120</v>
      </c>
      <c r="J270" s="29" t="s">
        <v>13890</v>
      </c>
      <c r="K270" s="29" t="s">
        <v>13891</v>
      </c>
      <c r="M270" s="29" t="s">
        <v>13892</v>
      </c>
    </row>
    <row r="271" customFormat="false" ht="42.75" hidden="false" customHeight="false" outlineLevel="0" collapsed="false">
      <c r="A271" s="28" t="n">
        <v>44503</v>
      </c>
      <c r="B271" s="29" t="s">
        <v>38</v>
      </c>
      <c r="C271" s="29" t="s">
        <v>48</v>
      </c>
      <c r="D271" s="29" t="s">
        <v>13894</v>
      </c>
      <c r="E271" s="29" t="s">
        <v>2508</v>
      </c>
      <c r="G271" s="30" t="n">
        <v>0.281944444444444</v>
      </c>
      <c r="J271" s="29" t="s">
        <v>13895</v>
      </c>
      <c r="K271" s="29" t="s">
        <v>13896</v>
      </c>
      <c r="L271" s="29" t="s">
        <v>13897</v>
      </c>
      <c r="M271" s="29" t="s">
        <v>13898</v>
      </c>
    </row>
    <row r="272" customFormat="false" ht="42.75" hidden="false" customHeight="false" outlineLevel="0" collapsed="false">
      <c r="A272" s="28" t="n">
        <v>44503</v>
      </c>
      <c r="B272" s="29" t="s">
        <v>43</v>
      </c>
      <c r="C272" s="29" t="s">
        <v>48</v>
      </c>
      <c r="D272" s="29" t="s">
        <v>13899</v>
      </c>
      <c r="E272" s="29" t="s">
        <v>13600</v>
      </c>
      <c r="F272" s="30" t="n">
        <v>0.274305555555555</v>
      </c>
      <c r="G272" s="30" t="n">
        <v>0.359722222222222</v>
      </c>
      <c r="J272" s="29" t="s">
        <v>13900</v>
      </c>
      <c r="K272" s="29" t="s">
        <v>13901</v>
      </c>
      <c r="M272" s="29" t="s">
        <v>13902</v>
      </c>
    </row>
    <row r="273" customFormat="false" ht="57" hidden="false" customHeight="false" outlineLevel="0" collapsed="false">
      <c r="A273" s="28" t="n">
        <v>44503</v>
      </c>
      <c r="B273" s="29" t="s">
        <v>1503</v>
      </c>
      <c r="C273" s="29" t="s">
        <v>48</v>
      </c>
      <c r="D273" s="29" t="s">
        <v>13903</v>
      </c>
      <c r="E273" s="29" t="s">
        <v>13904</v>
      </c>
      <c r="F273" s="30" t="n">
        <v>0.354166666666667</v>
      </c>
      <c r="G273" s="30" t="n">
        <v>0.385416666666667</v>
      </c>
      <c r="I273" s="31" t="n">
        <v>120</v>
      </c>
      <c r="J273" s="29" t="s">
        <v>13905</v>
      </c>
      <c r="K273" s="29" t="s">
        <v>13906</v>
      </c>
      <c r="L273" s="29" t="s">
        <v>13907</v>
      </c>
      <c r="M273" s="29" t="s">
        <v>13908</v>
      </c>
    </row>
    <row r="274" customFormat="false" ht="100.5" hidden="false" customHeight="false" outlineLevel="0" collapsed="false">
      <c r="A274" s="28" t="n">
        <v>44503</v>
      </c>
      <c r="B274" s="29" t="s">
        <v>40</v>
      </c>
      <c r="C274" s="29" t="s">
        <v>48</v>
      </c>
      <c r="D274" s="29" t="s">
        <v>13909</v>
      </c>
      <c r="E274" s="29" t="s">
        <v>13910</v>
      </c>
      <c r="F274" s="30" t="n">
        <v>0.416666666666667</v>
      </c>
      <c r="G274" s="30" t="n">
        <v>0.419444444444444</v>
      </c>
      <c r="I274" s="31" t="n">
        <v>60</v>
      </c>
      <c r="J274" s="29" t="s">
        <v>13911</v>
      </c>
      <c r="K274" s="29" t="s">
        <v>13912</v>
      </c>
      <c r="M274" s="29" t="s">
        <v>13913</v>
      </c>
    </row>
    <row r="275" customFormat="false" ht="72" hidden="false" customHeight="false" outlineLevel="0" collapsed="false">
      <c r="A275" s="28" t="n">
        <v>44503</v>
      </c>
      <c r="B275" s="29" t="s">
        <v>39</v>
      </c>
      <c r="C275" s="29" t="s">
        <v>48</v>
      </c>
      <c r="D275" s="29" t="s">
        <v>13914</v>
      </c>
      <c r="E275" s="29" t="s">
        <v>13915</v>
      </c>
      <c r="J275" s="29" t="s">
        <v>13916</v>
      </c>
      <c r="K275" s="29" t="s">
        <v>13917</v>
      </c>
      <c r="M275" s="29" t="s">
        <v>13918</v>
      </c>
    </row>
    <row r="276" customFormat="false" ht="42.75" hidden="false" customHeight="false" outlineLevel="0" collapsed="false">
      <c r="A276" s="28" t="n">
        <v>44503</v>
      </c>
      <c r="B276" s="29" t="s">
        <v>39</v>
      </c>
      <c r="C276" s="29" t="s">
        <v>48</v>
      </c>
      <c r="D276" s="29" t="s">
        <v>13919</v>
      </c>
      <c r="E276" s="29" t="s">
        <v>13920</v>
      </c>
      <c r="G276" s="30" t="n">
        <v>0.458333333333333</v>
      </c>
      <c r="J276" s="29" t="s">
        <v>13921</v>
      </c>
      <c r="K276" s="29" t="s">
        <v>13922</v>
      </c>
      <c r="L276" s="29" t="s">
        <v>13923</v>
      </c>
      <c r="M276" s="29" t="s">
        <v>13924</v>
      </c>
    </row>
    <row r="277" customFormat="false" ht="42.75" hidden="false" customHeight="false" outlineLevel="0" collapsed="false">
      <c r="A277" s="28" t="n">
        <v>44504</v>
      </c>
      <c r="B277" s="29" t="s">
        <v>1863</v>
      </c>
      <c r="C277" s="29" t="s">
        <v>48</v>
      </c>
      <c r="D277" s="29" t="s">
        <v>13926</v>
      </c>
      <c r="E277" s="29" t="s">
        <v>13927</v>
      </c>
      <c r="G277" s="30" t="n">
        <v>0.333333333333333</v>
      </c>
      <c r="H277" s="31" t="n">
        <v>0</v>
      </c>
      <c r="J277" s="29" t="s">
        <v>13928</v>
      </c>
      <c r="K277" s="29" t="s">
        <v>13929</v>
      </c>
      <c r="L277" s="29" t="s">
        <v>13930</v>
      </c>
      <c r="M277" s="29" t="s">
        <v>13931</v>
      </c>
    </row>
    <row r="278" customFormat="false" ht="57" hidden="false" customHeight="false" outlineLevel="0" collapsed="false">
      <c r="A278" s="28" t="n">
        <v>44505</v>
      </c>
      <c r="B278" s="29" t="s">
        <v>41</v>
      </c>
      <c r="C278" s="29" t="s">
        <v>48</v>
      </c>
      <c r="D278" s="29" t="s">
        <v>13933</v>
      </c>
      <c r="E278" s="29" t="s">
        <v>13752</v>
      </c>
      <c r="G278" s="30" t="n">
        <v>0.447916666666667</v>
      </c>
      <c r="H278" s="31" t="n">
        <v>0</v>
      </c>
      <c r="I278" s="31" t="n">
        <v>0</v>
      </c>
      <c r="J278" s="29" t="s">
        <v>13934</v>
      </c>
      <c r="K278" s="29" t="s">
        <v>13935</v>
      </c>
      <c r="L278" s="29" t="s">
        <v>13936</v>
      </c>
      <c r="M278" s="29" t="s">
        <v>13937</v>
      </c>
    </row>
    <row r="279" customFormat="false" ht="42.75" hidden="false" customHeight="false" outlineLevel="0" collapsed="false">
      <c r="A279" s="28" t="n">
        <v>44505</v>
      </c>
      <c r="B279" s="29" t="s">
        <v>1503</v>
      </c>
      <c r="C279" s="29" t="s">
        <v>48</v>
      </c>
      <c r="D279" s="29" t="s">
        <v>13938</v>
      </c>
      <c r="E279" s="29" t="s">
        <v>13939</v>
      </c>
      <c r="G279" s="30" t="n">
        <v>0.559722222222222</v>
      </c>
      <c r="J279" s="29" t="s">
        <v>13940</v>
      </c>
      <c r="K279" s="29" t="s">
        <v>13941</v>
      </c>
      <c r="L279" s="29" t="s">
        <v>13942</v>
      </c>
      <c r="M279" s="29" t="s">
        <v>13943</v>
      </c>
    </row>
    <row r="280" customFormat="false" ht="72" hidden="false" customHeight="false" outlineLevel="0" collapsed="false">
      <c r="A280" s="28" t="n">
        <v>44505</v>
      </c>
      <c r="B280" s="29" t="s">
        <v>1503</v>
      </c>
      <c r="C280" s="29" t="s">
        <v>48</v>
      </c>
      <c r="D280" s="29" t="s">
        <v>13944</v>
      </c>
      <c r="E280" s="29" t="s">
        <v>4303</v>
      </c>
      <c r="G280" s="30" t="n">
        <v>0.503472222222222</v>
      </c>
      <c r="J280" s="29" t="s">
        <v>13945</v>
      </c>
      <c r="K280" s="29" t="s">
        <v>13946</v>
      </c>
      <c r="M280" s="29" t="s">
        <v>13947</v>
      </c>
    </row>
    <row r="281" customFormat="false" ht="28.5" hidden="false" customHeight="false" outlineLevel="0" collapsed="false">
      <c r="A281" s="28" t="n">
        <v>44506</v>
      </c>
      <c r="B281" s="29" t="s">
        <v>40</v>
      </c>
      <c r="C281" s="29" t="s">
        <v>48</v>
      </c>
      <c r="D281" s="29" t="s">
        <v>13699</v>
      </c>
      <c r="E281" s="29" t="s">
        <v>13700</v>
      </c>
      <c r="J281" s="29" t="s">
        <v>13949</v>
      </c>
    </row>
    <row r="282" customFormat="false" ht="114.75" hidden="false" customHeight="false" outlineLevel="0" collapsed="false">
      <c r="A282" s="28" t="n">
        <v>44508</v>
      </c>
      <c r="B282" s="29" t="s">
        <v>37</v>
      </c>
      <c r="C282" s="29" t="s">
        <v>48</v>
      </c>
      <c r="D282" s="29" t="s">
        <v>13951</v>
      </c>
      <c r="E282" s="29" t="s">
        <v>13630</v>
      </c>
      <c r="J282" s="29" t="s">
        <v>13952</v>
      </c>
      <c r="L282" s="29" t="s">
        <v>13953</v>
      </c>
      <c r="M282" s="29" t="s">
        <v>13954</v>
      </c>
    </row>
    <row r="283" customFormat="false" ht="42.75" hidden="false" customHeight="false" outlineLevel="0" collapsed="false">
      <c r="A283" s="28" t="n">
        <v>44508</v>
      </c>
      <c r="B283" s="29" t="s">
        <v>42</v>
      </c>
      <c r="C283" s="29" t="s">
        <v>49</v>
      </c>
      <c r="E283" s="29" t="s">
        <v>13955</v>
      </c>
      <c r="F283" s="30" t="n">
        <v>0.75</v>
      </c>
      <c r="G283" s="30" t="n">
        <v>0.773611111111111</v>
      </c>
      <c r="I283" s="31" t="n">
        <v>20</v>
      </c>
      <c r="J283" s="29" t="s">
        <v>13956</v>
      </c>
      <c r="K283" s="29" t="s">
        <v>13957</v>
      </c>
      <c r="M283" s="29" t="s">
        <v>13958</v>
      </c>
    </row>
    <row r="284" customFormat="false" ht="86.25" hidden="false" customHeight="false" outlineLevel="0" collapsed="false">
      <c r="A284" s="28" t="n">
        <v>44509</v>
      </c>
      <c r="B284" s="29" t="s">
        <v>42</v>
      </c>
      <c r="C284" s="29" t="s">
        <v>49</v>
      </c>
      <c r="D284" s="29" t="s">
        <v>13960</v>
      </c>
      <c r="E284" s="29" t="s">
        <v>13961</v>
      </c>
      <c r="F284" s="30" t="n">
        <v>0.628472222222222</v>
      </c>
      <c r="G284" s="30" t="n">
        <v>0.645138888888889</v>
      </c>
      <c r="H284" s="31" t="n">
        <v>3</v>
      </c>
      <c r="J284" s="29" t="s">
        <v>13962</v>
      </c>
      <c r="K284" s="29" t="s">
        <v>13963</v>
      </c>
      <c r="M284" s="29" t="s">
        <v>13964</v>
      </c>
    </row>
    <row r="285" customFormat="false" ht="28.5" hidden="false" customHeight="false" outlineLevel="0" collapsed="false">
      <c r="A285" s="28" t="n">
        <v>44510</v>
      </c>
      <c r="B285" s="29" t="s">
        <v>40</v>
      </c>
      <c r="C285" s="29" t="s">
        <v>49</v>
      </c>
      <c r="D285" s="29" t="s">
        <v>13966</v>
      </c>
      <c r="E285" s="29" t="s">
        <v>5031</v>
      </c>
      <c r="J285" s="29" t="s">
        <v>13967</v>
      </c>
      <c r="K285" s="29" t="s">
        <v>13968</v>
      </c>
      <c r="L285" s="29" t="s">
        <v>13969</v>
      </c>
      <c r="M285" s="29" t="s">
        <v>13970</v>
      </c>
    </row>
    <row r="286" customFormat="false" ht="72" hidden="false" customHeight="false" outlineLevel="0" collapsed="false">
      <c r="A286" s="28" t="n">
        <v>44511</v>
      </c>
      <c r="B286" s="29" t="s">
        <v>42</v>
      </c>
      <c r="C286" s="29" t="s">
        <v>48</v>
      </c>
      <c r="D286" s="29" t="s">
        <v>13972</v>
      </c>
      <c r="E286" s="29" t="s">
        <v>13973</v>
      </c>
      <c r="G286" s="30" t="n">
        <v>0.263888888888889</v>
      </c>
      <c r="H286" s="31" t="n">
        <v>1</v>
      </c>
      <c r="I286" s="31" t="n">
        <v>28</v>
      </c>
      <c r="J286" s="29" t="s">
        <v>13974</v>
      </c>
      <c r="K286" s="29" t="s">
        <v>13975</v>
      </c>
      <c r="L286" s="29" t="s">
        <v>13976</v>
      </c>
      <c r="M286" s="29" t="s">
        <v>13977</v>
      </c>
    </row>
    <row r="287" customFormat="false" ht="129" hidden="false" customHeight="false" outlineLevel="0" collapsed="false">
      <c r="A287" s="28" t="n">
        <v>44512</v>
      </c>
      <c r="B287" s="29" t="s">
        <v>39</v>
      </c>
      <c r="C287" s="29" t="s">
        <v>48</v>
      </c>
      <c r="D287" s="29" t="s">
        <v>13979</v>
      </c>
      <c r="E287" s="29" t="s">
        <v>3583</v>
      </c>
      <c r="G287" s="30" t="n">
        <v>0.357638888888889</v>
      </c>
      <c r="J287" s="29" t="s">
        <v>13980</v>
      </c>
      <c r="K287" s="29" t="s">
        <v>13981</v>
      </c>
      <c r="L287" s="29" t="s">
        <v>13982</v>
      </c>
      <c r="M287" s="29" t="s">
        <v>13983</v>
      </c>
    </row>
    <row r="288" customFormat="false" ht="72" hidden="false" customHeight="false" outlineLevel="0" collapsed="false">
      <c r="A288" s="28" t="n">
        <v>44512</v>
      </c>
      <c r="B288" s="29" t="s">
        <v>39</v>
      </c>
      <c r="C288" s="29" t="s">
        <v>48</v>
      </c>
      <c r="D288" s="29" t="s">
        <v>13984</v>
      </c>
      <c r="E288" s="29" t="s">
        <v>13985</v>
      </c>
      <c r="J288" s="29" t="s">
        <v>13986</v>
      </c>
      <c r="K288" s="29" t="s">
        <v>13987</v>
      </c>
      <c r="L288" s="29" t="s">
        <v>13988</v>
      </c>
      <c r="M288" s="29" t="s">
        <v>13989</v>
      </c>
    </row>
    <row r="289" customFormat="false" ht="114.75" hidden="false" customHeight="false" outlineLevel="0" collapsed="false">
      <c r="A289" s="28" t="n">
        <v>44512</v>
      </c>
      <c r="B289" s="29" t="s">
        <v>39</v>
      </c>
      <c r="C289" s="29" t="s">
        <v>49</v>
      </c>
      <c r="D289" s="29" t="s">
        <v>13990</v>
      </c>
      <c r="E289" s="29" t="s">
        <v>13991</v>
      </c>
      <c r="G289" s="30" t="n">
        <v>0.625</v>
      </c>
      <c r="H289" s="31" t="n">
        <v>0</v>
      </c>
      <c r="J289" s="29" t="s">
        <v>13992</v>
      </c>
      <c r="K289" s="29" t="s">
        <v>13993</v>
      </c>
      <c r="L289" s="29" t="s">
        <v>13994</v>
      </c>
      <c r="M289" s="29" t="s">
        <v>13995</v>
      </c>
    </row>
    <row r="290" customFormat="false" ht="172.5" hidden="false" customHeight="false" outlineLevel="0" collapsed="false">
      <c r="A290" s="28" t="n">
        <v>44512</v>
      </c>
      <c r="B290" s="29" t="s">
        <v>37</v>
      </c>
      <c r="C290" s="29" t="s">
        <v>49</v>
      </c>
      <c r="D290" s="29" t="s">
        <v>13996</v>
      </c>
      <c r="E290" s="29" t="s">
        <v>13997</v>
      </c>
      <c r="F290" s="30" t="n">
        <v>0.791666666666667</v>
      </c>
      <c r="G290" s="30" t="n">
        <v>0.814583333333333</v>
      </c>
      <c r="H290" s="31" t="n">
        <v>0</v>
      </c>
      <c r="I290" s="31" t="n">
        <v>200</v>
      </c>
      <c r="J290" s="29" t="s">
        <v>13998</v>
      </c>
      <c r="K290" s="29" t="s">
        <v>13999</v>
      </c>
      <c r="L290" s="29" t="s">
        <v>14000</v>
      </c>
      <c r="M290" s="29" t="s">
        <v>14001</v>
      </c>
    </row>
    <row r="291" customFormat="false" ht="144" hidden="false" customHeight="false" outlineLevel="0" collapsed="false">
      <c r="A291" s="28" t="n">
        <v>44515</v>
      </c>
      <c r="B291" s="29" t="s">
        <v>39</v>
      </c>
      <c r="C291" s="29" t="s">
        <v>48</v>
      </c>
      <c r="D291" s="29" t="s">
        <v>14003</v>
      </c>
      <c r="E291" s="29" t="s">
        <v>1537</v>
      </c>
      <c r="F291" s="30" t="n">
        <v>0.236111111111111</v>
      </c>
      <c r="G291" s="30" t="n">
        <v>0.2375</v>
      </c>
      <c r="H291" s="31" t="s">
        <v>14004</v>
      </c>
      <c r="I291" s="31" t="n">
        <v>22</v>
      </c>
      <c r="J291" s="29" t="s">
        <v>14005</v>
      </c>
      <c r="K291" s="29" t="s">
        <v>14006</v>
      </c>
      <c r="L291" s="29" t="s">
        <v>14007</v>
      </c>
      <c r="M291" s="29" t="s">
        <v>14008</v>
      </c>
    </row>
    <row r="292" customFormat="false" ht="100.5" hidden="false" customHeight="false" outlineLevel="0" collapsed="false">
      <c r="A292" s="28" t="n">
        <v>44516</v>
      </c>
      <c r="B292" s="29" t="s">
        <v>1503</v>
      </c>
      <c r="C292" s="29" t="s">
        <v>48</v>
      </c>
      <c r="D292" s="29" t="s">
        <v>12687</v>
      </c>
      <c r="E292" s="29" t="s">
        <v>14010</v>
      </c>
      <c r="J292" s="29" t="s">
        <v>14011</v>
      </c>
      <c r="K292" s="29" t="s">
        <v>14012</v>
      </c>
      <c r="M292" s="29" t="s">
        <v>14013</v>
      </c>
    </row>
    <row r="293" customFormat="false" ht="72" hidden="false" customHeight="false" outlineLevel="0" collapsed="false">
      <c r="A293" s="28" t="n">
        <v>44516</v>
      </c>
      <c r="B293" s="29" t="s">
        <v>39</v>
      </c>
      <c r="C293" s="29" t="s">
        <v>49</v>
      </c>
      <c r="D293" s="29" t="s">
        <v>6146</v>
      </c>
      <c r="E293" s="29" t="s">
        <v>11586</v>
      </c>
      <c r="J293" s="29" t="s">
        <v>14014</v>
      </c>
      <c r="K293" s="29" t="s">
        <v>14015</v>
      </c>
      <c r="M293" s="29" t="s">
        <v>14016</v>
      </c>
    </row>
    <row r="294" customFormat="false" ht="86.25" hidden="false" customHeight="false" outlineLevel="0" collapsed="false">
      <c r="A294" s="28" t="n">
        <v>44517</v>
      </c>
      <c r="B294" s="29" t="s">
        <v>38</v>
      </c>
      <c r="C294" s="29" t="s">
        <v>48</v>
      </c>
      <c r="D294" s="29" t="s">
        <v>14018</v>
      </c>
      <c r="E294" s="29" t="s">
        <v>14019</v>
      </c>
      <c r="J294" s="29" t="s">
        <v>14020</v>
      </c>
      <c r="K294" s="29" t="s">
        <v>14021</v>
      </c>
      <c r="L294" s="29" t="s">
        <v>14022</v>
      </c>
      <c r="M294" s="29" t="s">
        <v>14023</v>
      </c>
    </row>
    <row r="295" customFormat="false" ht="72" hidden="false" customHeight="false" outlineLevel="0" collapsed="false">
      <c r="A295" s="28" t="n">
        <v>44517</v>
      </c>
      <c r="B295" s="29" t="s">
        <v>42</v>
      </c>
      <c r="C295" s="29" t="s">
        <v>48</v>
      </c>
      <c r="D295" s="29" t="s">
        <v>14024</v>
      </c>
      <c r="E295" s="29" t="s">
        <v>14025</v>
      </c>
      <c r="F295" s="30" t="n">
        <v>0.625</v>
      </c>
      <c r="J295" s="29" t="s">
        <v>14026</v>
      </c>
      <c r="K295" s="29" t="s">
        <v>14027</v>
      </c>
      <c r="L295" s="29" t="s">
        <v>14028</v>
      </c>
      <c r="M295" s="29" t="s">
        <v>14029</v>
      </c>
    </row>
    <row r="296" customFormat="false" ht="244.5" hidden="false" customHeight="false" outlineLevel="0" collapsed="false">
      <c r="A296" s="28" t="n">
        <v>44517</v>
      </c>
      <c r="B296" s="29" t="s">
        <v>38</v>
      </c>
      <c r="C296" s="29" t="s">
        <v>49</v>
      </c>
      <c r="D296" s="29" t="s">
        <v>14030</v>
      </c>
      <c r="E296" s="29" t="s">
        <v>10372</v>
      </c>
      <c r="F296" s="30" t="n">
        <v>0.763888888888889</v>
      </c>
      <c r="G296" s="30" t="n">
        <v>0.774305555555555</v>
      </c>
      <c r="I296" s="31" t="n">
        <v>210</v>
      </c>
      <c r="J296" s="29" t="s">
        <v>14031</v>
      </c>
      <c r="K296" s="29" t="s">
        <v>14032</v>
      </c>
      <c r="L296" s="29" t="s">
        <v>14033</v>
      </c>
      <c r="M296" s="29" t="s">
        <v>14034</v>
      </c>
    </row>
    <row r="297" customFormat="false" ht="86.25" hidden="false" customHeight="false" outlineLevel="0" collapsed="false">
      <c r="A297" s="28" t="n">
        <v>44518</v>
      </c>
      <c r="B297" s="29" t="s">
        <v>39</v>
      </c>
      <c r="C297" s="29" t="s">
        <v>48</v>
      </c>
      <c r="D297" s="29" t="s">
        <v>7872</v>
      </c>
      <c r="E297" s="29" t="s">
        <v>11586</v>
      </c>
      <c r="G297" s="30" t="n">
        <v>0.541666666666667</v>
      </c>
      <c r="J297" s="29" t="s">
        <v>14036</v>
      </c>
      <c r="K297" s="29" t="s">
        <v>14015</v>
      </c>
      <c r="L297" s="29" t="s">
        <v>14037</v>
      </c>
      <c r="M297" s="29" t="s">
        <v>14038</v>
      </c>
    </row>
    <row r="298" customFormat="false" ht="72" hidden="false" customHeight="false" outlineLevel="0" collapsed="false">
      <c r="A298" s="28" t="n">
        <v>44519</v>
      </c>
      <c r="B298" s="29" t="s">
        <v>42</v>
      </c>
      <c r="C298" s="29" t="s">
        <v>48</v>
      </c>
      <c r="D298" s="29" t="s">
        <v>14040</v>
      </c>
      <c r="E298" s="29" t="s">
        <v>14025</v>
      </c>
      <c r="F298" s="30" t="n">
        <v>0.583333333333333</v>
      </c>
      <c r="J298" s="29" t="s">
        <v>14026</v>
      </c>
      <c r="K298" s="29" t="s">
        <v>14027</v>
      </c>
      <c r="L298" s="29" t="s">
        <v>14041</v>
      </c>
      <c r="M298" s="29" t="s">
        <v>14042</v>
      </c>
    </row>
    <row r="299" customFormat="false" ht="86.25" hidden="false" customHeight="false" outlineLevel="0" collapsed="false">
      <c r="A299" s="28" t="n">
        <v>44522</v>
      </c>
      <c r="B299" s="29" t="s">
        <v>42</v>
      </c>
      <c r="C299" s="29" t="s">
        <v>48</v>
      </c>
      <c r="D299" s="29" t="s">
        <v>14044</v>
      </c>
      <c r="E299" s="29" t="s">
        <v>1537</v>
      </c>
      <c r="G299" s="30" t="n">
        <v>0.254861111111111</v>
      </c>
      <c r="J299" s="29" t="s">
        <v>14045</v>
      </c>
      <c r="K299" s="29" t="s">
        <v>14046</v>
      </c>
      <c r="M299" s="29" t="s">
        <v>14047</v>
      </c>
    </row>
    <row r="300" customFormat="false" ht="28.5" hidden="false" customHeight="false" outlineLevel="0" collapsed="false">
      <c r="A300" s="28" t="n">
        <v>44522</v>
      </c>
      <c r="B300" s="29" t="s">
        <v>43</v>
      </c>
      <c r="C300" s="29" t="s">
        <v>49</v>
      </c>
      <c r="D300" s="29" t="s">
        <v>3328</v>
      </c>
      <c r="E300" s="29" t="s">
        <v>1524</v>
      </c>
      <c r="F300" s="30" t="n">
        <v>0.583333333333333</v>
      </c>
      <c r="G300" s="30" t="n">
        <v>0.654166666666667</v>
      </c>
      <c r="J300" s="29" t="s">
        <v>14048</v>
      </c>
      <c r="K300" s="29" t="s">
        <v>14049</v>
      </c>
      <c r="L300" s="29" t="s">
        <v>12735</v>
      </c>
      <c r="M300" s="29" t="s">
        <v>14050</v>
      </c>
    </row>
    <row r="301" customFormat="false" ht="230.25" hidden="false" customHeight="false" outlineLevel="0" collapsed="false">
      <c r="A301" s="28" t="n">
        <v>44522</v>
      </c>
      <c r="B301" s="29" t="s">
        <v>39</v>
      </c>
      <c r="C301" s="29" t="s">
        <v>49</v>
      </c>
      <c r="D301" s="29" t="s">
        <v>14051</v>
      </c>
      <c r="E301" s="29" t="s">
        <v>4643</v>
      </c>
      <c r="F301" s="30" t="n">
        <v>0.701388888888889</v>
      </c>
      <c r="G301" s="30" t="n">
        <v>0.719444444444444</v>
      </c>
      <c r="I301" s="31" t="n">
        <v>180</v>
      </c>
      <c r="J301" s="29" t="s">
        <v>14052</v>
      </c>
      <c r="K301" s="29" t="s">
        <v>14053</v>
      </c>
      <c r="L301" s="29" t="s">
        <v>14054</v>
      </c>
      <c r="M301" s="29" t="s">
        <v>14055</v>
      </c>
    </row>
    <row r="302" customFormat="false" ht="100.5" hidden="false" customHeight="false" outlineLevel="0" collapsed="false">
      <c r="A302" s="28" t="n">
        <v>44523</v>
      </c>
      <c r="B302" s="29" t="s">
        <v>41</v>
      </c>
      <c r="C302" s="29" t="s">
        <v>49</v>
      </c>
      <c r="D302" s="29" t="s">
        <v>14057</v>
      </c>
      <c r="E302" s="29" t="s">
        <v>1498</v>
      </c>
      <c r="F302" s="30" t="n">
        <v>0.833333333333333</v>
      </c>
      <c r="G302" s="30" t="n">
        <v>0.885416666666667</v>
      </c>
      <c r="J302" s="29" t="s">
        <v>14058</v>
      </c>
      <c r="K302" s="29" t="s">
        <v>14059</v>
      </c>
      <c r="M302" s="29" t="s">
        <v>14060</v>
      </c>
    </row>
    <row r="303" customFormat="false" ht="186.75" hidden="false" customHeight="false" outlineLevel="0" collapsed="false">
      <c r="A303" s="28" t="n">
        <v>44524</v>
      </c>
      <c r="B303" s="29" t="s">
        <v>41</v>
      </c>
      <c r="C303" s="29" t="s">
        <v>48</v>
      </c>
      <c r="D303" s="29" t="s">
        <v>14062</v>
      </c>
      <c r="E303" s="29" t="s">
        <v>1498</v>
      </c>
      <c r="J303" s="29" t="s">
        <v>14063</v>
      </c>
      <c r="K303" s="29" t="s">
        <v>4784</v>
      </c>
      <c r="M303" s="29" t="s">
        <v>14064</v>
      </c>
    </row>
    <row r="304" customFormat="false" ht="57" hidden="false" customHeight="false" outlineLevel="0" collapsed="false">
      <c r="A304" s="28" t="n">
        <v>44524</v>
      </c>
      <c r="B304" s="29" t="s">
        <v>39</v>
      </c>
      <c r="C304" s="29" t="s">
        <v>48</v>
      </c>
      <c r="D304" s="29" t="s">
        <v>7872</v>
      </c>
      <c r="E304" s="29" t="s">
        <v>11586</v>
      </c>
      <c r="G304" s="30" t="n">
        <v>0.541666666666667</v>
      </c>
      <c r="J304" s="29" t="s">
        <v>14036</v>
      </c>
      <c r="K304" s="29" t="s">
        <v>14065</v>
      </c>
      <c r="L304" s="29" t="s">
        <v>14037</v>
      </c>
      <c r="M304" s="29" t="s">
        <v>14066</v>
      </c>
    </row>
    <row r="305" customFormat="false" ht="100.5" hidden="false" customHeight="false" outlineLevel="0" collapsed="false">
      <c r="A305" s="28" t="n">
        <v>44524</v>
      </c>
      <c r="B305" s="29" t="s">
        <v>40</v>
      </c>
      <c r="C305" s="29" t="s">
        <v>49</v>
      </c>
      <c r="D305" s="29" t="s">
        <v>11367</v>
      </c>
      <c r="E305" s="29" t="s">
        <v>14067</v>
      </c>
      <c r="G305" s="30" t="n">
        <v>0.694444444444444</v>
      </c>
      <c r="J305" s="29" t="s">
        <v>14068</v>
      </c>
      <c r="K305" s="29" t="s">
        <v>14069</v>
      </c>
      <c r="L305" s="29" t="s">
        <v>14070</v>
      </c>
      <c r="M305" s="29" t="s">
        <v>14071</v>
      </c>
    </row>
    <row r="306" customFormat="false" ht="86.25" hidden="false" customHeight="false" outlineLevel="0" collapsed="false">
      <c r="A306" s="28" t="n">
        <v>44525</v>
      </c>
      <c r="B306" s="29" t="s">
        <v>41</v>
      </c>
      <c r="C306" s="29" t="s">
        <v>49</v>
      </c>
      <c r="D306" s="29" t="s">
        <v>1497</v>
      </c>
      <c r="E306" s="29" t="s">
        <v>1498</v>
      </c>
      <c r="F306" s="30" t="n">
        <v>0.649305555555556</v>
      </c>
      <c r="G306" s="30" t="n">
        <v>0.651388888888889</v>
      </c>
      <c r="J306" s="29" t="s">
        <v>14073</v>
      </c>
      <c r="K306" s="29" t="s">
        <v>14074</v>
      </c>
      <c r="L306" s="29" t="s">
        <v>14075</v>
      </c>
      <c r="M306" s="29" t="s">
        <v>14076</v>
      </c>
    </row>
    <row r="307" customFormat="false" ht="42.75" hidden="false" customHeight="false" outlineLevel="0" collapsed="false">
      <c r="A307" s="28" t="n">
        <v>44525</v>
      </c>
      <c r="B307" s="29" t="s">
        <v>40</v>
      </c>
      <c r="C307" s="29" t="s">
        <v>49</v>
      </c>
      <c r="D307" s="29" t="s">
        <v>14077</v>
      </c>
      <c r="E307" s="29" t="s">
        <v>14078</v>
      </c>
      <c r="F307" s="30" t="n">
        <v>0.684027777777778</v>
      </c>
      <c r="G307" s="30" t="n">
        <v>0.708333333333333</v>
      </c>
      <c r="H307" s="31" t="n">
        <v>20</v>
      </c>
      <c r="I307" s="31" t="n">
        <v>129</v>
      </c>
      <c r="J307" s="29" t="s">
        <v>14079</v>
      </c>
      <c r="K307" s="29" t="s">
        <v>14080</v>
      </c>
      <c r="L307" s="29" t="s">
        <v>14081</v>
      </c>
      <c r="M307" s="29" t="s">
        <v>14082</v>
      </c>
    </row>
    <row r="308" customFormat="false" ht="114.75" hidden="false" customHeight="false" outlineLevel="0" collapsed="false">
      <c r="A308" s="28" t="n">
        <v>44526</v>
      </c>
      <c r="B308" s="29" t="s">
        <v>41</v>
      </c>
      <c r="C308" s="29" t="s">
        <v>48</v>
      </c>
      <c r="D308" s="29" t="s">
        <v>13582</v>
      </c>
      <c r="E308" s="29" t="s">
        <v>1498</v>
      </c>
      <c r="G308" s="30" t="n">
        <v>0.236111111111111</v>
      </c>
      <c r="J308" s="29" t="s">
        <v>14073</v>
      </c>
      <c r="K308" s="29" t="s">
        <v>14074</v>
      </c>
      <c r="L308" s="29" t="s">
        <v>14084</v>
      </c>
      <c r="M308" s="29" t="s">
        <v>14085</v>
      </c>
    </row>
    <row r="309" customFormat="false" ht="100.5" hidden="false" customHeight="false" outlineLevel="0" collapsed="false">
      <c r="A309" s="28" t="n">
        <v>44529</v>
      </c>
      <c r="B309" s="29" t="s">
        <v>41</v>
      </c>
      <c r="C309" s="29" t="s">
        <v>48</v>
      </c>
      <c r="D309" s="29" t="s">
        <v>14087</v>
      </c>
      <c r="E309" s="29" t="s">
        <v>1564</v>
      </c>
      <c r="F309" s="30" t="n">
        <v>0.25</v>
      </c>
      <c r="G309" s="30" t="n">
        <v>0.256944444444444</v>
      </c>
      <c r="I309" s="31" t="n">
        <v>56</v>
      </c>
      <c r="J309" s="29" t="s">
        <v>14088</v>
      </c>
      <c r="K309" s="29" t="s">
        <v>14089</v>
      </c>
      <c r="L309" s="29" t="s">
        <v>14090</v>
      </c>
      <c r="M309" s="29" t="s">
        <v>14091</v>
      </c>
    </row>
    <row r="310" customFormat="false" ht="72" hidden="false" customHeight="false" outlineLevel="0" collapsed="false">
      <c r="A310" s="28" t="n">
        <v>44529</v>
      </c>
      <c r="B310" s="29" t="s">
        <v>41</v>
      </c>
      <c r="C310" s="29" t="s">
        <v>48</v>
      </c>
      <c r="D310" s="29" t="s">
        <v>14092</v>
      </c>
      <c r="E310" s="29" t="s">
        <v>1564</v>
      </c>
      <c r="F310" s="30" t="n">
        <v>0.283333333333333</v>
      </c>
      <c r="G310" s="30" t="n">
        <v>0.283333333333333</v>
      </c>
      <c r="I310" s="31" t="n">
        <v>9</v>
      </c>
      <c r="J310" s="29" t="s">
        <v>14093</v>
      </c>
      <c r="K310" s="29" t="s">
        <v>14094</v>
      </c>
      <c r="L310" s="29" t="s">
        <v>14095</v>
      </c>
      <c r="M310" s="29" t="s">
        <v>14096</v>
      </c>
    </row>
    <row r="311" customFormat="false" ht="100.5" hidden="false" customHeight="false" outlineLevel="0" collapsed="false">
      <c r="A311" s="28" t="n">
        <v>44530</v>
      </c>
      <c r="B311" s="29" t="s">
        <v>43</v>
      </c>
      <c r="C311" s="29" t="s">
        <v>48</v>
      </c>
      <c r="D311" s="29" t="s">
        <v>7858</v>
      </c>
      <c r="E311" s="29" t="s">
        <v>1569</v>
      </c>
      <c r="F311" s="30" t="n">
        <v>0.368055555555556</v>
      </c>
      <c r="G311" s="30" t="n">
        <v>0.399305555555556</v>
      </c>
      <c r="J311" s="29" t="s">
        <v>14098</v>
      </c>
      <c r="K311" s="29" t="s">
        <v>14099</v>
      </c>
      <c r="L311" s="29" t="s">
        <v>14100</v>
      </c>
      <c r="M311" s="29" t="s">
        <v>14101</v>
      </c>
    </row>
    <row r="312" customFormat="false" ht="186.75" hidden="false" customHeight="false" outlineLevel="0" collapsed="false">
      <c r="A312" s="28" t="n">
        <v>44530</v>
      </c>
      <c r="B312" s="29" t="s">
        <v>43</v>
      </c>
      <c r="C312" s="29" t="s">
        <v>49</v>
      </c>
      <c r="D312" s="29" t="s">
        <v>7858</v>
      </c>
      <c r="E312" s="29" t="s">
        <v>13725</v>
      </c>
      <c r="F312" s="30" t="n">
        <v>0.416666666666667</v>
      </c>
      <c r="G312" s="30" t="n">
        <v>0.645833333333333</v>
      </c>
      <c r="J312" s="29" t="s">
        <v>14098</v>
      </c>
      <c r="K312" s="29" t="s">
        <v>14102</v>
      </c>
      <c r="L312" s="29" t="s">
        <v>14103</v>
      </c>
      <c r="M312" s="29" t="s">
        <v>14104</v>
      </c>
    </row>
    <row r="313" customFormat="false" ht="57" hidden="false" customHeight="false" outlineLevel="0" collapsed="false">
      <c r="A313" s="28" t="n">
        <v>44532</v>
      </c>
      <c r="B313" s="29" t="s">
        <v>40</v>
      </c>
      <c r="C313" s="29" t="s">
        <v>48</v>
      </c>
      <c r="D313" s="29" t="s">
        <v>14106</v>
      </c>
      <c r="E313" s="29" t="s">
        <v>14107</v>
      </c>
      <c r="F313" s="30" t="n">
        <v>0.281944444444444</v>
      </c>
      <c r="G313" s="30" t="n">
        <v>0.289583333333333</v>
      </c>
      <c r="I313" s="31" t="n">
        <v>42</v>
      </c>
      <c r="J313" s="29" t="s">
        <v>14108</v>
      </c>
      <c r="K313" s="29" t="s">
        <v>14109</v>
      </c>
      <c r="L313" s="29" t="s">
        <v>14110</v>
      </c>
      <c r="M313" s="29" t="s">
        <v>14111</v>
      </c>
    </row>
    <row r="314" customFormat="false" ht="114.75" hidden="false" customHeight="false" outlineLevel="0" collapsed="false">
      <c r="A314" s="28" t="n">
        <v>44534</v>
      </c>
      <c r="B314" s="29" t="s">
        <v>38</v>
      </c>
      <c r="C314" s="29" t="s">
        <v>49</v>
      </c>
      <c r="D314" s="29" t="s">
        <v>14113</v>
      </c>
      <c r="E314" s="29" t="s">
        <v>14114</v>
      </c>
      <c r="F314" s="30" t="n">
        <v>0.524305555555556</v>
      </c>
      <c r="G314" s="30" t="n">
        <v>0.527777777777778</v>
      </c>
      <c r="H314" s="31" t="n">
        <v>4</v>
      </c>
      <c r="I314" s="31" t="n">
        <v>70</v>
      </c>
      <c r="J314" s="29" t="s">
        <v>14115</v>
      </c>
      <c r="K314" s="29" t="s">
        <v>14116</v>
      </c>
      <c r="L314" s="29" t="s">
        <v>14117</v>
      </c>
      <c r="M314" s="29" t="s">
        <v>14118</v>
      </c>
    </row>
    <row r="315" customFormat="false" ht="72" hidden="false" customHeight="false" outlineLevel="0" collapsed="false">
      <c r="A315" s="28" t="n">
        <v>44536</v>
      </c>
      <c r="B315" s="29" t="s">
        <v>43</v>
      </c>
      <c r="C315" s="29" t="s">
        <v>48</v>
      </c>
      <c r="D315" s="29" t="s">
        <v>14120</v>
      </c>
      <c r="E315" s="29" t="s">
        <v>13725</v>
      </c>
      <c r="F315" s="30" t="n">
        <v>0.322916666666667</v>
      </c>
      <c r="G315" s="30" t="n">
        <v>0.322916666666667</v>
      </c>
      <c r="J315" s="29" t="s">
        <v>14121</v>
      </c>
      <c r="K315" s="29" t="s">
        <v>4434</v>
      </c>
      <c r="L315" s="29" t="s">
        <v>4434</v>
      </c>
    </row>
    <row r="316" customFormat="false" ht="57" hidden="false" customHeight="false" outlineLevel="0" collapsed="false">
      <c r="A316" s="28" t="n">
        <v>44536</v>
      </c>
      <c r="B316" s="29" t="s">
        <v>43</v>
      </c>
      <c r="C316" s="29" t="s">
        <v>48</v>
      </c>
      <c r="D316" s="29" t="s">
        <v>14122</v>
      </c>
      <c r="E316" s="29" t="s">
        <v>1524</v>
      </c>
      <c r="F316" s="30" t="n">
        <v>0.300694444444444</v>
      </c>
      <c r="G316" s="30" t="n">
        <v>0.451388888888889</v>
      </c>
      <c r="I316" s="31" t="n">
        <v>190</v>
      </c>
      <c r="J316" s="29" t="s">
        <v>14123</v>
      </c>
      <c r="K316" s="29" t="s">
        <v>14124</v>
      </c>
      <c r="L316" s="29" t="s">
        <v>14125</v>
      </c>
      <c r="M316" s="29" t="s">
        <v>14126</v>
      </c>
    </row>
    <row r="317" customFormat="false" ht="216" hidden="false" customHeight="false" outlineLevel="0" collapsed="false">
      <c r="A317" s="28" t="n">
        <v>44537</v>
      </c>
      <c r="B317" s="29" t="s">
        <v>37</v>
      </c>
      <c r="C317" s="29" t="s">
        <v>49</v>
      </c>
      <c r="D317" s="29" t="s">
        <v>14128</v>
      </c>
      <c r="E317" s="29" t="s">
        <v>14129</v>
      </c>
      <c r="F317" s="30" t="n">
        <v>0.795138888888889</v>
      </c>
      <c r="G317" s="30" t="n">
        <v>0.834722222222222</v>
      </c>
      <c r="I317" s="31" t="n">
        <v>120</v>
      </c>
      <c r="J317" s="29" t="s">
        <v>14130</v>
      </c>
      <c r="K317" s="29" t="s">
        <v>14131</v>
      </c>
      <c r="L317" s="29" t="s">
        <v>8797</v>
      </c>
      <c r="M317" s="29" t="s">
        <v>14132</v>
      </c>
    </row>
    <row r="318" customFormat="false" ht="57" hidden="false" customHeight="false" outlineLevel="0" collapsed="false">
      <c r="A318" s="28" t="n">
        <v>44538</v>
      </c>
      <c r="B318" s="29" t="s">
        <v>1503</v>
      </c>
      <c r="C318" s="29" t="s">
        <v>48</v>
      </c>
      <c r="D318" s="29" t="s">
        <v>14134</v>
      </c>
      <c r="E318" s="29" t="s">
        <v>13904</v>
      </c>
      <c r="F318" s="30" t="n">
        <v>0.236111111111111</v>
      </c>
      <c r="G318" s="30" t="n">
        <v>0.274305555555555</v>
      </c>
      <c r="I318" s="31" t="n">
        <v>100</v>
      </c>
      <c r="J318" s="29" t="s">
        <v>14135</v>
      </c>
      <c r="K318" s="29" t="s">
        <v>14136</v>
      </c>
      <c r="L318" s="29" t="s">
        <v>14137</v>
      </c>
      <c r="M318" s="29" t="s">
        <v>14138</v>
      </c>
    </row>
    <row r="319" customFormat="false" ht="57" hidden="false" customHeight="false" outlineLevel="0" collapsed="false">
      <c r="A319" s="28" t="n">
        <v>44538</v>
      </c>
      <c r="B319" s="29" t="s">
        <v>40</v>
      </c>
      <c r="C319" s="29" t="s">
        <v>48</v>
      </c>
      <c r="D319" s="29" t="s">
        <v>1954</v>
      </c>
      <c r="E319" s="29" t="s">
        <v>14139</v>
      </c>
      <c r="F319" s="30" t="n">
        <v>0.597916666666667</v>
      </c>
      <c r="G319" s="30" t="n">
        <v>0.597916666666667</v>
      </c>
      <c r="I319" s="31" t="n">
        <v>18</v>
      </c>
      <c r="J319" s="29" t="s">
        <v>14140</v>
      </c>
      <c r="K319" s="29" t="s">
        <v>14141</v>
      </c>
      <c r="L319" s="29" t="s">
        <v>14142</v>
      </c>
      <c r="M319" s="29" t="s">
        <v>14143</v>
      </c>
    </row>
    <row r="320" customFormat="false" ht="42.75" hidden="false" customHeight="false" outlineLevel="0" collapsed="false">
      <c r="A320" s="28" t="n">
        <v>44539</v>
      </c>
      <c r="B320" s="29" t="s">
        <v>43</v>
      </c>
      <c r="C320" s="29" t="s">
        <v>48</v>
      </c>
      <c r="D320" s="29" t="s">
        <v>14145</v>
      </c>
      <c r="E320" s="29" t="s">
        <v>1569</v>
      </c>
      <c r="F320" s="30" t="n">
        <v>0.395833333333333</v>
      </c>
      <c r="G320" s="30" t="n">
        <v>0.4125</v>
      </c>
      <c r="I320" s="31" t="n">
        <v>180</v>
      </c>
      <c r="J320" s="29" t="s">
        <v>14146</v>
      </c>
      <c r="K320" s="29" t="s">
        <v>14147</v>
      </c>
      <c r="L320" s="29" t="s">
        <v>14148</v>
      </c>
      <c r="M320" s="29" t="s">
        <v>14149</v>
      </c>
    </row>
    <row r="321" customFormat="false" ht="42.75" hidden="false" customHeight="false" outlineLevel="0" collapsed="false">
      <c r="A321" s="28" t="n">
        <v>44539</v>
      </c>
      <c r="B321" s="29" t="s">
        <v>43</v>
      </c>
      <c r="C321" s="29" t="s">
        <v>48</v>
      </c>
      <c r="D321" s="29" t="s">
        <v>14145</v>
      </c>
      <c r="E321" s="29" t="s">
        <v>3559</v>
      </c>
      <c r="F321" s="30" t="n">
        <v>0.368055555555556</v>
      </c>
      <c r="G321" s="30" t="n">
        <v>0.4125</v>
      </c>
      <c r="I321" s="31" t="n">
        <v>130</v>
      </c>
      <c r="J321" s="29" t="s">
        <v>14150</v>
      </c>
      <c r="K321" s="29" t="s">
        <v>14151</v>
      </c>
      <c r="L321" s="29" t="s">
        <v>14152</v>
      </c>
      <c r="M321" s="29" t="s">
        <v>14153</v>
      </c>
    </row>
    <row r="322" customFormat="false" ht="100.5" hidden="false" customHeight="false" outlineLevel="0" collapsed="false">
      <c r="A322" s="28" t="n">
        <v>44539</v>
      </c>
      <c r="B322" s="29" t="s">
        <v>40</v>
      </c>
      <c r="C322" s="29" t="s">
        <v>49</v>
      </c>
      <c r="D322" s="29" t="s">
        <v>14154</v>
      </c>
      <c r="E322" s="29" t="s">
        <v>14155</v>
      </c>
      <c r="F322" s="30" t="n">
        <v>0.685416666666667</v>
      </c>
      <c r="G322" s="30" t="n">
        <v>0.708333333333333</v>
      </c>
      <c r="I322" s="31" t="n">
        <v>40</v>
      </c>
      <c r="J322" s="29" t="s">
        <v>14156</v>
      </c>
      <c r="K322" s="29" t="s">
        <v>14157</v>
      </c>
      <c r="L322" s="29" t="s">
        <v>14158</v>
      </c>
      <c r="M322" s="29" t="s">
        <v>14159</v>
      </c>
    </row>
    <row r="323" customFormat="false" ht="42.75" hidden="false" customHeight="false" outlineLevel="0" collapsed="false">
      <c r="A323" s="28" t="n">
        <v>44540</v>
      </c>
      <c r="B323" s="29" t="s">
        <v>40</v>
      </c>
      <c r="C323" s="29" t="s">
        <v>48</v>
      </c>
      <c r="D323" s="29" t="s">
        <v>14161</v>
      </c>
      <c r="E323" s="29" t="s">
        <v>14162</v>
      </c>
      <c r="F323" s="30" t="n">
        <v>0.305555555555555</v>
      </c>
      <c r="G323" s="30" t="n">
        <v>0.326388888888889</v>
      </c>
      <c r="I323" s="31" t="n">
        <v>60</v>
      </c>
      <c r="J323" s="29" t="s">
        <v>14163</v>
      </c>
      <c r="K323" s="29" t="s">
        <v>14164</v>
      </c>
      <c r="L323" s="29" t="s">
        <v>14165</v>
      </c>
      <c r="M323" s="29" t="s">
        <v>14166</v>
      </c>
    </row>
    <row r="324" customFormat="false" ht="42.75" hidden="false" customHeight="false" outlineLevel="0" collapsed="false">
      <c r="A324" s="28" t="n">
        <v>44540</v>
      </c>
      <c r="B324" s="29" t="s">
        <v>38</v>
      </c>
      <c r="C324" s="29" t="s">
        <v>48</v>
      </c>
      <c r="D324" s="29" t="s">
        <v>14167</v>
      </c>
      <c r="E324" s="29" t="s">
        <v>1864</v>
      </c>
      <c r="F324" s="30" t="n">
        <v>0.409722222222222</v>
      </c>
      <c r="G324" s="30" t="n">
        <v>0.421527777777778</v>
      </c>
      <c r="J324" s="29" t="s">
        <v>14168</v>
      </c>
      <c r="K324" s="29" t="s">
        <v>14169</v>
      </c>
      <c r="L324" s="29" t="s">
        <v>14170</v>
      </c>
      <c r="M324" s="29" t="s">
        <v>14171</v>
      </c>
    </row>
    <row r="325" customFormat="false" ht="86.25" hidden="false" customHeight="false" outlineLevel="0" collapsed="false">
      <c r="A325" s="28" t="n">
        <v>44540</v>
      </c>
      <c r="B325" s="29" t="s">
        <v>1503</v>
      </c>
      <c r="C325" s="29" t="s">
        <v>48</v>
      </c>
      <c r="D325" s="29" t="s">
        <v>14172</v>
      </c>
      <c r="E325" s="29" t="s">
        <v>13904</v>
      </c>
      <c r="F325" s="30" t="n">
        <v>0.506944444444444</v>
      </c>
      <c r="G325" s="30" t="n">
        <v>0.527777777777778</v>
      </c>
      <c r="I325" s="31" t="n">
        <v>60</v>
      </c>
      <c r="J325" s="29" t="s">
        <v>14173</v>
      </c>
      <c r="K325" s="29" t="s">
        <v>14136</v>
      </c>
      <c r="L325" s="29" t="s">
        <v>14174</v>
      </c>
      <c r="M325" s="29" t="s">
        <v>14175</v>
      </c>
    </row>
    <row r="326" customFormat="false" ht="42.75" hidden="false" customHeight="false" outlineLevel="0" collapsed="false">
      <c r="A326" s="28" t="n">
        <v>44540</v>
      </c>
      <c r="B326" s="29" t="s">
        <v>38</v>
      </c>
      <c r="C326" s="29" t="s">
        <v>48</v>
      </c>
      <c r="D326" s="29" t="s">
        <v>9059</v>
      </c>
      <c r="E326" s="29" t="s">
        <v>14176</v>
      </c>
      <c r="F326" s="30" t="n">
        <v>0.5</v>
      </c>
      <c r="G326" s="30" t="n">
        <v>0.509027777777778</v>
      </c>
      <c r="I326" s="31" t="n">
        <v>210</v>
      </c>
      <c r="J326" s="29" t="s">
        <v>14177</v>
      </c>
      <c r="K326" s="29" t="s">
        <v>14178</v>
      </c>
      <c r="L326" s="29" t="s">
        <v>14179</v>
      </c>
      <c r="M326" s="29" t="s">
        <v>14180</v>
      </c>
    </row>
    <row r="327" customFormat="false" ht="288" hidden="false" customHeight="false" outlineLevel="0" collapsed="false">
      <c r="A327" s="28" t="n">
        <v>44540</v>
      </c>
      <c r="B327" s="29" t="s">
        <v>37</v>
      </c>
      <c r="C327" s="29" t="s">
        <v>49</v>
      </c>
      <c r="D327" s="29" t="s">
        <v>14181</v>
      </c>
      <c r="E327" s="29" t="s">
        <v>14182</v>
      </c>
      <c r="F327" s="30" t="n">
        <v>0.600694444444444</v>
      </c>
      <c r="G327" s="30" t="n">
        <v>0.625</v>
      </c>
      <c r="H327" s="31" t="n">
        <v>10</v>
      </c>
      <c r="I327" s="31" t="n">
        <v>60</v>
      </c>
      <c r="J327" s="29" t="s">
        <v>14183</v>
      </c>
      <c r="K327" s="29" t="s">
        <v>14184</v>
      </c>
      <c r="L327" s="29" t="s">
        <v>14185</v>
      </c>
      <c r="M327" s="29" t="s">
        <v>14186</v>
      </c>
    </row>
    <row r="328" customFormat="false" ht="100.5" hidden="false" customHeight="false" outlineLevel="0" collapsed="false">
      <c r="A328" s="28" t="n">
        <v>44540</v>
      </c>
      <c r="B328" s="29" t="s">
        <v>37</v>
      </c>
      <c r="C328" s="29" t="s">
        <v>49</v>
      </c>
      <c r="D328" s="29" t="s">
        <v>14187</v>
      </c>
      <c r="E328" s="29" t="s">
        <v>14188</v>
      </c>
      <c r="F328" s="30" t="n">
        <v>0.805555555555555</v>
      </c>
      <c r="G328" s="30" t="n">
        <v>0.859027777777778</v>
      </c>
      <c r="I328" s="31" t="n">
        <v>60</v>
      </c>
      <c r="J328" s="29" t="s">
        <v>14189</v>
      </c>
      <c r="K328" s="29" t="s">
        <v>14190</v>
      </c>
      <c r="L328" s="29" t="s">
        <v>14191</v>
      </c>
      <c r="M328" s="29" t="s">
        <v>14192</v>
      </c>
    </row>
    <row r="329" customFormat="false" ht="100.5" hidden="false" customHeight="false" outlineLevel="0" collapsed="false">
      <c r="A329" s="28" t="n">
        <v>44543</v>
      </c>
      <c r="B329" s="29" t="s">
        <v>43</v>
      </c>
      <c r="C329" s="29" t="s">
        <v>48</v>
      </c>
      <c r="D329" s="29" t="s">
        <v>1568</v>
      </c>
      <c r="E329" s="29" t="s">
        <v>1569</v>
      </c>
      <c r="F329" s="30" t="n">
        <v>0.260416666666667</v>
      </c>
      <c r="G329" s="30" t="n">
        <v>0.294444444444444</v>
      </c>
      <c r="I329" s="31" t="n">
        <v>260</v>
      </c>
      <c r="J329" s="29" t="s">
        <v>14194</v>
      </c>
      <c r="K329" s="29" t="s">
        <v>14195</v>
      </c>
      <c r="L329" s="29" t="s">
        <v>14196</v>
      </c>
      <c r="M329" s="29" t="s">
        <v>14197</v>
      </c>
    </row>
    <row r="330" customFormat="false" ht="42.75" hidden="false" customHeight="false" outlineLevel="0" collapsed="false">
      <c r="A330" s="28" t="n">
        <v>44543</v>
      </c>
      <c r="B330" s="29" t="s">
        <v>43</v>
      </c>
      <c r="C330" s="29" t="s">
        <v>48</v>
      </c>
      <c r="D330" s="29" t="s">
        <v>14122</v>
      </c>
      <c r="E330" s="29" t="s">
        <v>1524</v>
      </c>
      <c r="F330" s="30" t="n">
        <v>0.40625</v>
      </c>
      <c r="G330" s="30" t="n">
        <v>0.413194444444444</v>
      </c>
      <c r="I330" s="31" t="n">
        <v>30</v>
      </c>
      <c r="J330" s="29" t="s">
        <v>14198</v>
      </c>
      <c r="K330" s="29" t="s">
        <v>14199</v>
      </c>
      <c r="M330" s="29" t="s">
        <v>14200</v>
      </c>
    </row>
    <row r="331" customFormat="false" ht="86.25" hidden="false" customHeight="false" outlineLevel="0" collapsed="false">
      <c r="A331" s="28" t="n">
        <v>44543</v>
      </c>
      <c r="B331" s="29" t="s">
        <v>38</v>
      </c>
      <c r="C331" s="29" t="s">
        <v>48</v>
      </c>
      <c r="D331" s="29" t="s">
        <v>14201</v>
      </c>
      <c r="E331" s="29" t="s">
        <v>14202</v>
      </c>
      <c r="F331" s="30" t="n">
        <v>0.243055555555556</v>
      </c>
      <c r="G331" s="30" t="n">
        <v>0.329861111111111</v>
      </c>
      <c r="J331" s="29" t="s">
        <v>14203</v>
      </c>
      <c r="K331" s="29" t="s">
        <v>14204</v>
      </c>
      <c r="M331" s="29" t="s">
        <v>14205</v>
      </c>
    </row>
    <row r="332" customFormat="false" ht="57" hidden="false" customHeight="false" outlineLevel="0" collapsed="false">
      <c r="A332" s="28" t="n">
        <v>44543</v>
      </c>
      <c r="B332" s="29" t="s">
        <v>37</v>
      </c>
      <c r="C332" s="29" t="s">
        <v>49</v>
      </c>
      <c r="D332" s="29" t="s">
        <v>14206</v>
      </c>
      <c r="E332" s="29" t="s">
        <v>14207</v>
      </c>
      <c r="F332" s="30" t="n">
        <v>0.625</v>
      </c>
      <c r="G332" s="30" t="n">
        <v>0.658333333333333</v>
      </c>
      <c r="I332" s="31" t="n">
        <v>50</v>
      </c>
      <c r="J332" s="29" t="s">
        <v>14208</v>
      </c>
      <c r="K332" s="29" t="s">
        <v>14209</v>
      </c>
      <c r="L332" s="29" t="s">
        <v>11642</v>
      </c>
      <c r="M332" s="29" t="s">
        <v>14210</v>
      </c>
    </row>
    <row r="333" customFormat="false" ht="258.75" hidden="false" customHeight="false" outlineLevel="0" collapsed="false">
      <c r="A333" s="28" t="n">
        <v>44543</v>
      </c>
      <c r="B333" s="29" t="s">
        <v>38</v>
      </c>
      <c r="C333" s="29" t="s">
        <v>49</v>
      </c>
      <c r="D333" s="29" t="s">
        <v>14211</v>
      </c>
      <c r="E333" s="29" t="s">
        <v>14212</v>
      </c>
      <c r="F333" s="30" t="n">
        <v>0.756944444444444</v>
      </c>
      <c r="G333" s="30" t="n">
        <v>0.7625</v>
      </c>
      <c r="H333" s="31" t="n">
        <v>4</v>
      </c>
      <c r="I333" s="31" t="n">
        <v>8</v>
      </c>
      <c r="J333" s="29" t="s">
        <v>14213</v>
      </c>
      <c r="K333" s="29" t="s">
        <v>14214</v>
      </c>
      <c r="L333" s="29" t="s">
        <v>14215</v>
      </c>
      <c r="M333" s="29" t="s">
        <v>14216</v>
      </c>
    </row>
    <row r="334" customFormat="false" ht="57" hidden="false" customHeight="false" outlineLevel="0" collapsed="false">
      <c r="A334" s="28" t="n">
        <v>44544</v>
      </c>
      <c r="B334" s="29" t="s">
        <v>38</v>
      </c>
      <c r="C334" s="29" t="s">
        <v>48</v>
      </c>
      <c r="D334" s="29" t="s">
        <v>14218</v>
      </c>
      <c r="E334" s="29" t="s">
        <v>14218</v>
      </c>
      <c r="F334" s="30" t="n">
        <v>0.243055555555556</v>
      </c>
      <c r="G334" s="30" t="n">
        <v>0.354166666666667</v>
      </c>
      <c r="J334" s="29" t="s">
        <v>14219</v>
      </c>
      <c r="K334" s="29" t="s">
        <v>14220</v>
      </c>
      <c r="L334" s="29" t="s">
        <v>14221</v>
      </c>
      <c r="M334" s="29" t="s">
        <v>14222</v>
      </c>
    </row>
    <row r="335" customFormat="false" ht="57" hidden="false" customHeight="false" outlineLevel="0" collapsed="false">
      <c r="A335" s="28" t="n">
        <v>44544</v>
      </c>
      <c r="B335" s="29" t="s">
        <v>41</v>
      </c>
      <c r="C335" s="29" t="s">
        <v>49</v>
      </c>
      <c r="D335" s="29" t="s">
        <v>14223</v>
      </c>
      <c r="E335" s="29" t="s">
        <v>14224</v>
      </c>
      <c r="F335" s="30" t="n">
        <v>0.668055555555556</v>
      </c>
      <c r="G335" s="30" t="n">
        <v>0.675694444444444</v>
      </c>
      <c r="H335" s="31" t="n">
        <v>3</v>
      </c>
      <c r="I335" s="31" t="n">
        <v>40</v>
      </c>
      <c r="J335" s="29" t="s">
        <v>14225</v>
      </c>
      <c r="K335" s="29" t="s">
        <v>14226</v>
      </c>
      <c r="L335" s="29" t="s">
        <v>14059</v>
      </c>
      <c r="M335" s="29" t="s">
        <v>14227</v>
      </c>
    </row>
    <row r="336" customFormat="false" ht="72" hidden="false" customHeight="false" outlineLevel="0" collapsed="false">
      <c r="A336" s="28" t="n">
        <v>44546</v>
      </c>
      <c r="B336" s="29" t="s">
        <v>38</v>
      </c>
      <c r="C336" s="29" t="s">
        <v>48</v>
      </c>
      <c r="D336" s="29" t="s">
        <v>14229</v>
      </c>
      <c r="E336" s="29" t="s">
        <v>1564</v>
      </c>
      <c r="G336" s="30" t="n">
        <v>0.204861111111111</v>
      </c>
      <c r="I336" s="31" t="n">
        <v>150</v>
      </c>
      <c r="J336" s="29" t="s">
        <v>14230</v>
      </c>
      <c r="K336" s="29" t="s">
        <v>14231</v>
      </c>
      <c r="L336" s="29" t="s">
        <v>14232</v>
      </c>
      <c r="M336" s="29" t="s">
        <v>14233</v>
      </c>
    </row>
    <row r="337" customFormat="false" ht="57" hidden="false" customHeight="false" outlineLevel="0" collapsed="false">
      <c r="A337" s="28" t="n">
        <v>44546</v>
      </c>
      <c r="B337" s="29" t="s">
        <v>43</v>
      </c>
      <c r="C337" s="29" t="s">
        <v>48</v>
      </c>
      <c r="D337" s="29" t="s">
        <v>14234</v>
      </c>
      <c r="E337" s="29" t="s">
        <v>14235</v>
      </c>
      <c r="G337" s="30" t="n">
        <v>0.40625</v>
      </c>
      <c r="J337" s="29" t="s">
        <v>14236</v>
      </c>
      <c r="K337" s="29" t="s">
        <v>14237</v>
      </c>
      <c r="L337" s="29" t="s">
        <v>14238</v>
      </c>
      <c r="M337" s="29" t="s">
        <v>14239</v>
      </c>
    </row>
    <row r="338" customFormat="false" ht="42.75" hidden="false" customHeight="false" outlineLevel="0" collapsed="false">
      <c r="A338" s="28" t="n">
        <v>44550</v>
      </c>
      <c r="B338" s="29" t="s">
        <v>37</v>
      </c>
      <c r="C338" s="29" t="s">
        <v>49</v>
      </c>
      <c r="D338" s="29" t="s">
        <v>14241</v>
      </c>
      <c r="E338" s="29" t="s">
        <v>6447</v>
      </c>
      <c r="F338" s="30" t="n">
        <v>0.395833333333333</v>
      </c>
      <c r="G338" s="30" t="n">
        <v>0.673611111111111</v>
      </c>
      <c r="J338" s="29" t="s">
        <v>14242</v>
      </c>
      <c r="K338" s="29" t="s">
        <v>14243</v>
      </c>
      <c r="L338" s="29" t="s">
        <v>14244</v>
      </c>
      <c r="M338" s="29" t="s">
        <v>14245</v>
      </c>
    </row>
    <row r="339" customFormat="false" ht="86.25" hidden="false" customHeight="false" outlineLevel="0" collapsed="false">
      <c r="A339" s="28" t="n">
        <v>44551</v>
      </c>
      <c r="B339" s="29" t="s">
        <v>43</v>
      </c>
      <c r="C339" s="29" t="s">
        <v>48</v>
      </c>
      <c r="D339" s="29" t="s">
        <v>1568</v>
      </c>
      <c r="E339" s="29" t="s">
        <v>1524</v>
      </c>
      <c r="F339" s="30" t="n">
        <v>0.260416666666667</v>
      </c>
      <c r="G339" s="30" t="n">
        <v>0.482638888888889</v>
      </c>
      <c r="I339" s="31" t="n">
        <v>260</v>
      </c>
      <c r="J339" s="29" t="s">
        <v>14247</v>
      </c>
      <c r="K339" s="29" t="s">
        <v>14248</v>
      </c>
      <c r="M339" s="29" t="s">
        <v>14249</v>
      </c>
    </row>
    <row r="340" customFormat="false" ht="42.75" hidden="false" customHeight="false" outlineLevel="0" collapsed="false">
      <c r="A340" s="28" t="n">
        <v>44551</v>
      </c>
      <c r="B340" s="29" t="s">
        <v>40</v>
      </c>
      <c r="C340" s="29" t="s">
        <v>48</v>
      </c>
      <c r="D340" s="29" t="s">
        <v>14250</v>
      </c>
      <c r="E340" s="29" t="s">
        <v>14251</v>
      </c>
      <c r="F340" s="30" t="n">
        <v>0.486111111111111</v>
      </c>
      <c r="G340" s="30" t="n">
        <v>0.506944444444444</v>
      </c>
      <c r="J340" s="29" t="s">
        <v>14252</v>
      </c>
      <c r="K340" s="29" t="s">
        <v>14253</v>
      </c>
      <c r="L340" s="29" t="s">
        <v>14254</v>
      </c>
      <c r="M340" s="29" t="s">
        <v>14255</v>
      </c>
    </row>
    <row r="341" customFormat="false" ht="42.75" hidden="false" customHeight="false" outlineLevel="0" collapsed="false">
      <c r="A341" s="28" t="n">
        <v>44551</v>
      </c>
      <c r="B341" s="29" t="s">
        <v>37</v>
      </c>
      <c r="C341" s="29" t="s">
        <v>49</v>
      </c>
      <c r="D341" s="29" t="s">
        <v>14256</v>
      </c>
      <c r="E341" s="29" t="s">
        <v>14257</v>
      </c>
      <c r="F341" s="30" t="n">
        <v>0.609722222222222</v>
      </c>
      <c r="G341" s="30" t="n">
        <v>0.645138888888889</v>
      </c>
      <c r="H341" s="31" t="n">
        <v>0</v>
      </c>
      <c r="I341" s="31" t="n">
        <v>108</v>
      </c>
      <c r="J341" s="29" t="s">
        <v>14258</v>
      </c>
      <c r="K341" s="29" t="s">
        <v>14259</v>
      </c>
      <c r="L341" s="29" t="s">
        <v>14260</v>
      </c>
      <c r="M341" s="29" t="s">
        <v>14261</v>
      </c>
    </row>
    <row r="342" customFormat="false" ht="42.75" hidden="false" customHeight="false" outlineLevel="0" collapsed="false">
      <c r="A342" s="28" t="n">
        <v>44552</v>
      </c>
      <c r="B342" s="29" t="s">
        <v>37</v>
      </c>
      <c r="C342" s="29" t="s">
        <v>48</v>
      </c>
      <c r="D342" s="29" t="s">
        <v>14263</v>
      </c>
      <c r="E342" s="29" t="s">
        <v>14264</v>
      </c>
      <c r="G342" s="30" t="n">
        <v>0.235416666666667</v>
      </c>
      <c r="I342" s="31" t="n">
        <v>40</v>
      </c>
      <c r="J342" s="29" t="s">
        <v>14265</v>
      </c>
      <c r="K342" s="29" t="s">
        <v>14266</v>
      </c>
      <c r="L342" s="29" t="s">
        <v>14267</v>
      </c>
      <c r="M342" s="29" t="s">
        <v>14268</v>
      </c>
    </row>
    <row r="343" customFormat="false" ht="86.25" hidden="false" customHeight="false" outlineLevel="0" collapsed="false">
      <c r="A343" s="28" t="n">
        <v>44552</v>
      </c>
      <c r="B343" s="29" t="s">
        <v>43</v>
      </c>
      <c r="C343" s="29" t="s">
        <v>48</v>
      </c>
      <c r="D343" s="29" t="s">
        <v>14269</v>
      </c>
      <c r="E343" s="29" t="s">
        <v>1524</v>
      </c>
      <c r="F343" s="30" t="n">
        <v>0.305555555555555</v>
      </c>
      <c r="G343" s="30" t="n">
        <v>0.3375</v>
      </c>
      <c r="J343" s="29" t="s">
        <v>14270</v>
      </c>
      <c r="K343" s="29" t="s">
        <v>14271</v>
      </c>
      <c r="L343" s="29" t="s">
        <v>14272</v>
      </c>
      <c r="M343" s="29" t="s">
        <v>14273</v>
      </c>
    </row>
    <row r="344" customFormat="false" ht="42.75" hidden="false" customHeight="false" outlineLevel="0" collapsed="false">
      <c r="A344" s="28" t="n">
        <v>44552</v>
      </c>
      <c r="B344" s="29" t="s">
        <v>40</v>
      </c>
      <c r="C344" s="29" t="s">
        <v>48</v>
      </c>
      <c r="D344" s="29" t="s">
        <v>14274</v>
      </c>
      <c r="E344" s="29" t="s">
        <v>14275</v>
      </c>
      <c r="J344" s="29" t="s">
        <v>14276</v>
      </c>
      <c r="K344" s="29" t="s">
        <v>14277</v>
      </c>
      <c r="M344" s="29" t="s">
        <v>14278</v>
      </c>
    </row>
    <row r="345" customFormat="false" ht="72" hidden="false" customHeight="false" outlineLevel="0" collapsed="false">
      <c r="A345" s="28" t="n">
        <v>44574</v>
      </c>
      <c r="B345" s="29" t="s">
        <v>43</v>
      </c>
      <c r="C345" s="29" t="s">
        <v>48</v>
      </c>
      <c r="D345" s="29" t="s">
        <v>1481</v>
      </c>
      <c r="E345" s="29" t="s">
        <v>1482</v>
      </c>
      <c r="G345" s="30" t="n">
        <v>0.290277777777778</v>
      </c>
      <c r="J345" s="29" t="s">
        <v>1483</v>
      </c>
      <c r="K345" s="29" t="s">
        <v>1484</v>
      </c>
      <c r="L345" s="29" t="s">
        <v>1485</v>
      </c>
      <c r="M345" s="29" t="s">
        <v>1486</v>
      </c>
    </row>
    <row r="346" customFormat="false" ht="57" hidden="false" customHeight="false" outlineLevel="0" collapsed="false">
      <c r="A346" s="28" t="n">
        <v>44574</v>
      </c>
      <c r="B346" s="29" t="s">
        <v>37</v>
      </c>
      <c r="C346" s="29" t="s">
        <v>49</v>
      </c>
      <c r="D346" s="29" t="s">
        <v>1489</v>
      </c>
      <c r="E346" s="29" t="s">
        <v>1490</v>
      </c>
      <c r="F346" s="30" t="n">
        <v>0.736111111111111</v>
      </c>
      <c r="G346" s="30" t="n">
        <v>0.758333333333333</v>
      </c>
      <c r="I346" s="31" t="n">
        <v>55</v>
      </c>
      <c r="J346" s="29" t="s">
        <v>1491</v>
      </c>
      <c r="K346" s="29" t="s">
        <v>1492</v>
      </c>
      <c r="L346" s="29" t="s">
        <v>1493</v>
      </c>
      <c r="M346" s="29" t="s">
        <v>1494</v>
      </c>
    </row>
    <row r="347" customFormat="false" ht="57" hidden="false" customHeight="false" outlineLevel="0" collapsed="false">
      <c r="A347" s="28" t="n">
        <v>44574</v>
      </c>
      <c r="B347" s="29" t="s">
        <v>41</v>
      </c>
      <c r="C347" s="29" t="s">
        <v>49</v>
      </c>
      <c r="D347" s="29" t="s">
        <v>1497</v>
      </c>
      <c r="E347" s="29" t="s">
        <v>1498</v>
      </c>
      <c r="F347" s="30" t="n">
        <v>0.772222222222222</v>
      </c>
      <c r="G347" s="30" t="n">
        <v>0.778472222222222</v>
      </c>
      <c r="I347" s="31" t="n">
        <v>33</v>
      </c>
      <c r="J347" s="29" t="s">
        <v>1499</v>
      </c>
      <c r="K347" s="29" t="s">
        <v>1500</v>
      </c>
      <c r="L347" s="29" t="s">
        <v>1501</v>
      </c>
      <c r="M347" s="29" t="s">
        <v>1502</v>
      </c>
    </row>
    <row r="348" customFormat="false" ht="57" hidden="false" customHeight="false" outlineLevel="0" collapsed="false">
      <c r="A348" s="28" t="n">
        <v>44578</v>
      </c>
      <c r="B348" s="29" t="s">
        <v>45</v>
      </c>
      <c r="C348" s="29" t="s">
        <v>48</v>
      </c>
      <c r="D348" s="29" t="s">
        <v>1505</v>
      </c>
      <c r="E348" s="29" t="s">
        <v>1506</v>
      </c>
      <c r="J348" s="29" t="s">
        <v>1507</v>
      </c>
      <c r="K348" s="29" t="s">
        <v>1508</v>
      </c>
      <c r="L348" s="29" t="s">
        <v>1509</v>
      </c>
      <c r="M348" s="29" t="s">
        <v>1510</v>
      </c>
    </row>
    <row r="349" customFormat="false" ht="42.75" hidden="false" customHeight="false" outlineLevel="0" collapsed="false">
      <c r="A349" s="28" t="n">
        <v>44578</v>
      </c>
      <c r="B349" s="29" t="s">
        <v>38</v>
      </c>
      <c r="C349" s="29" t="s">
        <v>48</v>
      </c>
      <c r="D349" s="29" t="s">
        <v>1511</v>
      </c>
      <c r="E349" s="29" t="s">
        <v>1512</v>
      </c>
      <c r="G349" s="30" t="n">
        <v>0.326388888888889</v>
      </c>
      <c r="J349" s="29" t="s">
        <v>1513</v>
      </c>
      <c r="K349" s="29" t="s">
        <v>1514</v>
      </c>
      <c r="L349" s="29" t="s">
        <v>1515</v>
      </c>
      <c r="M349" s="29" t="s">
        <v>1516</v>
      </c>
    </row>
    <row r="350" customFormat="false" ht="42.75" hidden="false" customHeight="false" outlineLevel="0" collapsed="false">
      <c r="A350" s="28" t="n">
        <v>44578</v>
      </c>
      <c r="B350" s="29" t="s">
        <v>45</v>
      </c>
      <c r="C350" s="29" t="s">
        <v>48</v>
      </c>
      <c r="D350" s="29" t="s">
        <v>1517</v>
      </c>
      <c r="E350" s="29" t="s">
        <v>1518</v>
      </c>
      <c r="G350" s="30" t="n">
        <v>0.451388888888889</v>
      </c>
      <c r="J350" s="29" t="s">
        <v>1519</v>
      </c>
      <c r="K350" s="29" t="s">
        <v>1520</v>
      </c>
      <c r="L350" s="29" t="s">
        <v>1521</v>
      </c>
      <c r="M350" s="29" t="s">
        <v>1522</v>
      </c>
    </row>
    <row r="351" customFormat="false" ht="57" hidden="false" customHeight="false" outlineLevel="0" collapsed="false">
      <c r="A351" s="28" t="n">
        <v>44579</v>
      </c>
      <c r="B351" s="29" t="s">
        <v>43</v>
      </c>
      <c r="C351" s="29" t="s">
        <v>48</v>
      </c>
      <c r="D351" s="29" t="s">
        <v>1523</v>
      </c>
      <c r="E351" s="29" t="s">
        <v>1524</v>
      </c>
      <c r="F351" s="30" t="n">
        <v>0.774305555555555</v>
      </c>
      <c r="I351" s="31" t="s">
        <v>1525</v>
      </c>
      <c r="J351" s="29" t="s">
        <v>1526</v>
      </c>
      <c r="K351" s="29" t="s">
        <v>1527</v>
      </c>
      <c r="L351" s="29" t="s">
        <v>1528</v>
      </c>
      <c r="M351" s="29" t="s">
        <v>1529</v>
      </c>
    </row>
    <row r="352" customFormat="false" ht="42.75" hidden="false" customHeight="false" outlineLevel="0" collapsed="false">
      <c r="A352" s="28" t="n">
        <v>44579</v>
      </c>
      <c r="B352" s="29" t="s">
        <v>43</v>
      </c>
      <c r="C352" s="29" t="s">
        <v>48</v>
      </c>
      <c r="D352" s="29" t="s">
        <v>1530</v>
      </c>
      <c r="E352" s="29" t="s">
        <v>1524</v>
      </c>
      <c r="I352" s="31" t="s">
        <v>1525</v>
      </c>
      <c r="J352" s="29" t="s">
        <v>1531</v>
      </c>
      <c r="K352" s="29" t="s">
        <v>1532</v>
      </c>
      <c r="L352" s="29" t="s">
        <v>1533</v>
      </c>
      <c r="M352" s="29" t="s">
        <v>1534</v>
      </c>
    </row>
    <row r="353" customFormat="false" ht="42.75" hidden="false" customHeight="false" outlineLevel="0" collapsed="false">
      <c r="A353" s="28" t="n">
        <v>44579</v>
      </c>
      <c r="B353" s="29" t="s">
        <v>39</v>
      </c>
      <c r="C353" s="29" t="s">
        <v>49</v>
      </c>
      <c r="D353" s="29" t="s">
        <v>1536</v>
      </c>
      <c r="E353" s="29" t="s">
        <v>1537</v>
      </c>
      <c r="F353" s="30" t="n">
        <v>0.774305555555555</v>
      </c>
      <c r="G353" s="30" t="n">
        <v>0.776388888888889</v>
      </c>
      <c r="H353" s="31" t="n">
        <v>5</v>
      </c>
      <c r="I353" s="31" t="n">
        <v>15</v>
      </c>
      <c r="J353" s="29" t="s">
        <v>1538</v>
      </c>
      <c r="K353" s="29" t="s">
        <v>1539</v>
      </c>
      <c r="L353" s="29" t="s">
        <v>1533</v>
      </c>
      <c r="M353" s="29" t="s">
        <v>1534</v>
      </c>
    </row>
    <row r="354" customFormat="false" ht="114.75" hidden="false" customHeight="false" outlineLevel="0" collapsed="false">
      <c r="A354" s="28" t="n">
        <v>44579</v>
      </c>
      <c r="B354" s="29" t="s">
        <v>40</v>
      </c>
      <c r="C354" s="29" t="s">
        <v>49</v>
      </c>
      <c r="D354" s="29" t="s">
        <v>1540</v>
      </c>
      <c r="E354" s="29" t="s">
        <v>1541</v>
      </c>
      <c r="F354" s="30" t="n">
        <v>0.885416666666667</v>
      </c>
      <c r="G354" s="30" t="n">
        <v>0.899305555555555</v>
      </c>
      <c r="H354" s="31" t="s">
        <v>1542</v>
      </c>
      <c r="I354" s="31" t="s">
        <v>1543</v>
      </c>
      <c r="J354" s="29" t="s">
        <v>1544</v>
      </c>
      <c r="K354" s="29" t="s">
        <v>1545</v>
      </c>
      <c r="L354" s="29" t="s">
        <v>1546</v>
      </c>
      <c r="M354" s="29" t="s">
        <v>1547</v>
      </c>
    </row>
    <row r="355" customFormat="false" ht="72" hidden="false" customHeight="false" outlineLevel="0" collapsed="false">
      <c r="A355" s="28" t="n">
        <v>44581</v>
      </c>
      <c r="B355" s="29" t="s">
        <v>41</v>
      </c>
      <c r="C355" s="29" t="s">
        <v>48</v>
      </c>
      <c r="D355" s="29" t="s">
        <v>1497</v>
      </c>
      <c r="E355" s="29" t="s">
        <v>1498</v>
      </c>
      <c r="F355" s="30" t="n">
        <v>0.772222222222222</v>
      </c>
      <c r="G355" s="30" t="n">
        <v>0.778472222222222</v>
      </c>
      <c r="I355" s="31" t="s">
        <v>1548</v>
      </c>
      <c r="J355" s="29" t="s">
        <v>1549</v>
      </c>
      <c r="K355" s="29" t="s">
        <v>1550</v>
      </c>
      <c r="L355" s="29" t="s">
        <v>1551</v>
      </c>
      <c r="M355" s="29" t="s">
        <v>1552</v>
      </c>
    </row>
    <row r="356" customFormat="false" ht="57" hidden="false" customHeight="false" outlineLevel="0" collapsed="false">
      <c r="A356" s="28" t="n">
        <v>44583</v>
      </c>
      <c r="B356" s="29" t="s">
        <v>43</v>
      </c>
      <c r="C356" s="29" t="s">
        <v>48</v>
      </c>
      <c r="D356" s="29" t="s">
        <v>1553</v>
      </c>
      <c r="E356" s="29" t="s">
        <v>1524</v>
      </c>
      <c r="F356" s="30" t="n">
        <v>0.291666666666667</v>
      </c>
      <c r="G356" s="30" t="n">
        <v>0.322916666666667</v>
      </c>
      <c r="J356" s="29" t="s">
        <v>1555</v>
      </c>
      <c r="K356" s="29" t="s">
        <v>1556</v>
      </c>
    </row>
    <row r="357" customFormat="false" ht="28.5" hidden="false" customHeight="false" outlineLevel="0" collapsed="false">
      <c r="A357" s="28" t="n">
        <v>44585</v>
      </c>
      <c r="B357" s="29" t="s">
        <v>39</v>
      </c>
      <c r="C357" s="29" t="s">
        <v>48</v>
      </c>
      <c r="D357" s="29" t="s">
        <v>1557</v>
      </c>
      <c r="E357" s="29" t="s">
        <v>1558</v>
      </c>
      <c r="F357" s="30" t="n">
        <v>0.375</v>
      </c>
      <c r="G357" s="30" t="n">
        <v>0.388888888888889</v>
      </c>
      <c r="H357" s="31" t="s">
        <v>1559</v>
      </c>
      <c r="J357" s="29" t="s">
        <v>1560</v>
      </c>
      <c r="K357" s="29" t="s">
        <v>1561</v>
      </c>
      <c r="M357" s="29" t="s">
        <v>1562</v>
      </c>
    </row>
    <row r="358" customFormat="false" ht="42.75" hidden="false" customHeight="false" outlineLevel="0" collapsed="false">
      <c r="A358" s="28" t="n">
        <v>44585</v>
      </c>
      <c r="B358" s="29" t="s">
        <v>41</v>
      </c>
      <c r="C358" s="29" t="s">
        <v>48</v>
      </c>
      <c r="D358" s="29" t="s">
        <v>1563</v>
      </c>
      <c r="E358" s="29" t="s">
        <v>1564</v>
      </c>
      <c r="G358" s="30" t="n">
        <v>0.388888888888889</v>
      </c>
      <c r="H358" s="31" t="s">
        <v>1559</v>
      </c>
      <c r="J358" s="29" t="s">
        <v>1565</v>
      </c>
      <c r="K358" s="29" t="s">
        <v>1566</v>
      </c>
      <c r="L358" s="29" t="s">
        <v>1567</v>
      </c>
      <c r="M358" s="29" t="s">
        <v>1562</v>
      </c>
    </row>
    <row r="359" customFormat="false" ht="42.75" hidden="false" customHeight="false" outlineLevel="0" collapsed="false">
      <c r="A359" s="28" t="n">
        <v>44585</v>
      </c>
      <c r="B359" s="29" t="s">
        <v>43</v>
      </c>
      <c r="C359" s="29" t="s">
        <v>48</v>
      </c>
      <c r="D359" s="29" t="s">
        <v>1568</v>
      </c>
      <c r="E359" s="29" t="s">
        <v>1569</v>
      </c>
      <c r="G359" s="30" t="n">
        <v>0.552083333333333</v>
      </c>
      <c r="H359" s="31" t="s">
        <v>1559</v>
      </c>
      <c r="J359" s="29" t="s">
        <v>1570</v>
      </c>
      <c r="K359" s="29" t="s">
        <v>1571</v>
      </c>
      <c r="L359" s="29" t="s">
        <v>1572</v>
      </c>
      <c r="M359" s="29" t="s">
        <v>1573</v>
      </c>
    </row>
    <row r="360" customFormat="false" ht="42.75" hidden="false" customHeight="false" outlineLevel="0" collapsed="false">
      <c r="A360" s="28" t="n">
        <v>44585</v>
      </c>
      <c r="B360" s="29" t="s">
        <v>43</v>
      </c>
      <c r="C360" s="29" t="s">
        <v>49</v>
      </c>
      <c r="D360" s="29" t="s">
        <v>1568</v>
      </c>
      <c r="E360" s="29" t="s">
        <v>1569</v>
      </c>
      <c r="H360" s="31" t="s">
        <v>1559</v>
      </c>
      <c r="J360" s="29" t="s">
        <v>1574</v>
      </c>
      <c r="K360" s="29" t="s">
        <v>1571</v>
      </c>
      <c r="L360" s="29" t="s">
        <v>1572</v>
      </c>
      <c r="M360" s="29" t="s">
        <v>1575</v>
      </c>
    </row>
    <row r="361" customFormat="false" ht="72" hidden="false" customHeight="false" outlineLevel="0" collapsed="false">
      <c r="A361" s="28" t="n">
        <v>44585</v>
      </c>
      <c r="B361" s="29" t="s">
        <v>37</v>
      </c>
      <c r="C361" s="29" t="s">
        <v>49</v>
      </c>
      <c r="D361" s="29" t="s">
        <v>1576</v>
      </c>
      <c r="E361" s="29" t="s">
        <v>1577</v>
      </c>
      <c r="F361" s="30" t="n">
        <v>0.756944444444444</v>
      </c>
      <c r="G361" s="30" t="n">
        <v>0.791666666666667</v>
      </c>
      <c r="H361" s="31" t="n">
        <v>0</v>
      </c>
      <c r="I361" s="31" t="s">
        <v>1578</v>
      </c>
      <c r="J361" s="29" t="s">
        <v>1579</v>
      </c>
      <c r="K361" s="29" t="s">
        <v>1580</v>
      </c>
      <c r="L361" s="29" t="s">
        <v>1581</v>
      </c>
      <c r="M361" s="29" t="s">
        <v>1582</v>
      </c>
    </row>
    <row r="362" customFormat="false" ht="86.25" hidden="false" customHeight="false" outlineLevel="0" collapsed="false">
      <c r="A362" s="28" t="n">
        <v>44586</v>
      </c>
      <c r="B362" s="29" t="s">
        <v>39</v>
      </c>
      <c r="C362" s="29" t="s">
        <v>48</v>
      </c>
      <c r="D362" s="29" t="s">
        <v>1583</v>
      </c>
      <c r="E362" s="29" t="s">
        <v>1584</v>
      </c>
      <c r="F362" s="30" t="n">
        <v>0.263888888888889</v>
      </c>
      <c r="G362" s="30" t="n">
        <v>0.277777777777778</v>
      </c>
      <c r="J362" s="29" t="s">
        <v>1585</v>
      </c>
      <c r="K362" s="29" t="s">
        <v>1586</v>
      </c>
      <c r="L362" s="29" t="s">
        <v>1587</v>
      </c>
      <c r="M362" s="29" t="s">
        <v>1588</v>
      </c>
    </row>
    <row r="363" customFormat="false" ht="42.75" hidden="false" customHeight="false" outlineLevel="0" collapsed="false">
      <c r="A363" s="28" t="n">
        <v>44586</v>
      </c>
      <c r="B363" s="29" t="s">
        <v>39</v>
      </c>
      <c r="C363" s="29" t="s">
        <v>48</v>
      </c>
      <c r="D363" s="29" t="s">
        <v>1589</v>
      </c>
      <c r="E363" s="29" t="s">
        <v>1590</v>
      </c>
      <c r="F363" s="30" t="n">
        <v>0.263888888888889</v>
      </c>
      <c r="G363" s="30" t="n">
        <v>0.333333333333333</v>
      </c>
      <c r="J363" s="29" t="s">
        <v>1591</v>
      </c>
      <c r="K363" s="29" t="s">
        <v>1592</v>
      </c>
    </row>
    <row r="364" customFormat="false" ht="42.75" hidden="false" customHeight="false" outlineLevel="0" collapsed="false">
      <c r="A364" s="28" t="n">
        <v>44586</v>
      </c>
      <c r="B364" s="29" t="s">
        <v>1503</v>
      </c>
      <c r="C364" s="29" t="s">
        <v>48</v>
      </c>
      <c r="D364" s="29" t="s">
        <v>1593</v>
      </c>
      <c r="E364" s="29" t="s">
        <v>1594</v>
      </c>
      <c r="F364" s="30" t="n">
        <v>0.277777777777778</v>
      </c>
      <c r="G364" s="30" t="n">
        <v>0.324305555555556</v>
      </c>
      <c r="I364" s="31" t="s">
        <v>1595</v>
      </c>
      <c r="J364" s="29" t="s">
        <v>1596</v>
      </c>
      <c r="K364" s="29" t="s">
        <v>1597</v>
      </c>
      <c r="L364" s="29" t="s">
        <v>1598</v>
      </c>
      <c r="M364" s="29" t="s">
        <v>1599</v>
      </c>
    </row>
    <row r="365" customFormat="false" ht="86.25" hidden="false" customHeight="false" outlineLevel="0" collapsed="false">
      <c r="A365" s="28" t="n">
        <v>44563</v>
      </c>
      <c r="B365" s="29" t="s">
        <v>1488</v>
      </c>
      <c r="C365" s="29" t="s">
        <v>1601</v>
      </c>
      <c r="D365" s="29" t="s">
        <v>1629</v>
      </c>
      <c r="E365" s="29" t="s">
        <v>1630</v>
      </c>
      <c r="F365" s="30" t="s">
        <v>1631</v>
      </c>
      <c r="G365" s="30" t="s">
        <v>1632</v>
      </c>
      <c r="H365" s="31" t="s">
        <v>1633</v>
      </c>
      <c r="I365" s="31" t="s">
        <v>1634</v>
      </c>
      <c r="J365" s="29" t="s">
        <v>1635</v>
      </c>
      <c r="K365" s="29" t="s">
        <v>1636</v>
      </c>
      <c r="L365" s="29" t="s">
        <v>1637</v>
      </c>
      <c r="M365" s="29" t="s">
        <v>1638</v>
      </c>
    </row>
    <row r="366" customFormat="false" ht="42.75" hidden="false" customHeight="false" outlineLevel="0" collapsed="false">
      <c r="A366" s="28" t="n">
        <v>44594</v>
      </c>
      <c r="B366" s="29" t="s">
        <v>1639</v>
      </c>
      <c r="C366" s="29" t="s">
        <v>1601</v>
      </c>
      <c r="D366" s="29" t="s">
        <v>1640</v>
      </c>
      <c r="E366" s="29" t="s">
        <v>1641</v>
      </c>
      <c r="F366" s="30" t="s">
        <v>1606</v>
      </c>
      <c r="G366" s="30" t="s">
        <v>1606</v>
      </c>
      <c r="H366" s="31" t="s">
        <v>1606</v>
      </c>
      <c r="I366" s="31" t="s">
        <v>1606</v>
      </c>
      <c r="J366" s="29" t="s">
        <v>1642</v>
      </c>
      <c r="K366" s="29" t="s">
        <v>1643</v>
      </c>
      <c r="L366" s="29" t="s">
        <v>1644</v>
      </c>
      <c r="M366" s="29" t="s">
        <v>1645</v>
      </c>
    </row>
    <row r="367" customFormat="false" ht="57" hidden="false" customHeight="false" outlineLevel="0" collapsed="false">
      <c r="A367" s="28" t="n">
        <v>44622</v>
      </c>
      <c r="B367" s="29" t="s">
        <v>1639</v>
      </c>
      <c r="C367" s="29" t="s">
        <v>1601</v>
      </c>
      <c r="D367" s="29" t="s">
        <v>1640</v>
      </c>
      <c r="E367" s="29" t="s">
        <v>1641</v>
      </c>
      <c r="F367" s="30" t="s">
        <v>1606</v>
      </c>
      <c r="G367" s="30" t="s">
        <v>1606</v>
      </c>
      <c r="H367" s="31" t="s">
        <v>1606</v>
      </c>
      <c r="I367" s="31" t="s">
        <v>1606</v>
      </c>
      <c r="J367" s="29" t="s">
        <v>1642</v>
      </c>
      <c r="K367" s="29" t="s">
        <v>1643</v>
      </c>
      <c r="L367" s="29" t="s">
        <v>1646</v>
      </c>
      <c r="M367" s="29" t="s">
        <v>1647</v>
      </c>
    </row>
    <row r="368" customFormat="false" ht="42.75" hidden="false" customHeight="false" outlineLevel="0" collapsed="false">
      <c r="A368" s="28" t="n">
        <v>44622</v>
      </c>
      <c r="B368" s="29" t="s">
        <v>1648</v>
      </c>
      <c r="C368" s="29" t="s">
        <v>1612</v>
      </c>
      <c r="D368" s="29" t="s">
        <v>1649</v>
      </c>
      <c r="E368" s="29" t="s">
        <v>1650</v>
      </c>
      <c r="F368" s="30" t="s">
        <v>1651</v>
      </c>
      <c r="G368" s="30" t="s">
        <v>1651</v>
      </c>
      <c r="H368" s="31" t="s">
        <v>1606</v>
      </c>
      <c r="I368" s="31" t="s">
        <v>1606</v>
      </c>
      <c r="J368" s="29" t="s">
        <v>1652</v>
      </c>
      <c r="K368" s="29" t="s">
        <v>1653</v>
      </c>
      <c r="L368" s="29" t="s">
        <v>1654</v>
      </c>
      <c r="M368" s="29" t="s">
        <v>1655</v>
      </c>
    </row>
    <row r="369" customFormat="false" ht="72" hidden="false" customHeight="false" outlineLevel="0" collapsed="false">
      <c r="A369" s="28" t="n">
        <v>44622</v>
      </c>
      <c r="B369" s="29" t="s">
        <v>1656</v>
      </c>
      <c r="C369" s="29" t="s">
        <v>1612</v>
      </c>
      <c r="D369" s="29" t="s">
        <v>1657</v>
      </c>
      <c r="E369" s="29" t="s">
        <v>1658</v>
      </c>
      <c r="F369" s="30" t="s">
        <v>1651</v>
      </c>
      <c r="G369" s="30" t="s">
        <v>1659</v>
      </c>
      <c r="H369" s="31" t="s">
        <v>1606</v>
      </c>
      <c r="I369" s="31" t="s">
        <v>1651</v>
      </c>
      <c r="J369" s="29" t="s">
        <v>1660</v>
      </c>
      <c r="K369" s="29" t="s">
        <v>1661</v>
      </c>
      <c r="L369" s="29" t="s">
        <v>1662</v>
      </c>
      <c r="M369" s="29" t="s">
        <v>1663</v>
      </c>
    </row>
    <row r="370" customFormat="false" ht="100.5" hidden="false" customHeight="false" outlineLevel="0" collapsed="false">
      <c r="A370" s="28" t="n">
        <v>44653</v>
      </c>
      <c r="B370" s="29" t="s">
        <v>1664</v>
      </c>
      <c r="C370" s="29" t="s">
        <v>1601</v>
      </c>
      <c r="D370" s="29" t="s">
        <v>1665</v>
      </c>
      <c r="E370" s="29" t="s">
        <v>1666</v>
      </c>
      <c r="F370" s="30" t="s">
        <v>1667</v>
      </c>
      <c r="G370" s="30" t="s">
        <v>1668</v>
      </c>
      <c r="H370" s="31" t="s">
        <v>1606</v>
      </c>
      <c r="I370" s="31" t="s">
        <v>1606</v>
      </c>
      <c r="J370" s="29" t="s">
        <v>1669</v>
      </c>
      <c r="K370" s="29" t="s">
        <v>1670</v>
      </c>
      <c r="L370" s="29" t="s">
        <v>1606</v>
      </c>
      <c r="M370" s="29" t="s">
        <v>1671</v>
      </c>
    </row>
    <row r="371" customFormat="false" ht="114.75" hidden="false" customHeight="false" outlineLevel="0" collapsed="false">
      <c r="A371" s="28" t="n">
        <v>44653</v>
      </c>
      <c r="B371" s="29" t="s">
        <v>1672</v>
      </c>
      <c r="C371" s="29" t="s">
        <v>1601</v>
      </c>
      <c r="D371" s="29" t="s">
        <v>1673</v>
      </c>
      <c r="E371" s="29" t="s">
        <v>1674</v>
      </c>
      <c r="F371" s="30" t="s">
        <v>1675</v>
      </c>
      <c r="G371" s="30" t="s">
        <v>1676</v>
      </c>
      <c r="H371" s="31" t="s">
        <v>1677</v>
      </c>
      <c r="J371" s="29" t="s">
        <v>1678</v>
      </c>
      <c r="K371" s="29" t="s">
        <v>1670</v>
      </c>
      <c r="L371" s="29" t="s">
        <v>1606</v>
      </c>
      <c r="M371" s="29" t="s">
        <v>1679</v>
      </c>
    </row>
    <row r="372" customFormat="false" ht="114.75" hidden="false" customHeight="false" outlineLevel="0" collapsed="false">
      <c r="A372" s="28" t="n">
        <v>44653</v>
      </c>
      <c r="B372" s="29" t="s">
        <v>1680</v>
      </c>
      <c r="C372" s="29" t="s">
        <v>1601</v>
      </c>
      <c r="D372" s="29" t="s">
        <v>1681</v>
      </c>
      <c r="E372" s="29" t="s">
        <v>1682</v>
      </c>
      <c r="F372" s="30" t="s">
        <v>1675</v>
      </c>
      <c r="G372" s="30" t="s">
        <v>1676</v>
      </c>
      <c r="H372" s="31" t="s">
        <v>1677</v>
      </c>
      <c r="J372" s="29" t="s">
        <v>1683</v>
      </c>
      <c r="K372" s="29" t="s">
        <v>1684</v>
      </c>
      <c r="L372" s="29" t="s">
        <v>1685</v>
      </c>
      <c r="M372" s="29" t="s">
        <v>1686</v>
      </c>
    </row>
    <row r="373" customFormat="false" ht="42.75" hidden="false" customHeight="false" outlineLevel="0" collapsed="false">
      <c r="A373" s="28" t="n">
        <v>44744</v>
      </c>
      <c r="B373" s="29" t="s">
        <v>1639</v>
      </c>
      <c r="C373" s="29" t="s">
        <v>1601</v>
      </c>
      <c r="D373" s="29" t="s">
        <v>1687</v>
      </c>
      <c r="E373" s="29" t="s">
        <v>1688</v>
      </c>
      <c r="F373" s="30" t="s">
        <v>1689</v>
      </c>
      <c r="G373" s="30" t="s">
        <v>1690</v>
      </c>
      <c r="H373" s="31" t="s">
        <v>1691</v>
      </c>
      <c r="I373" s="31" t="s">
        <v>1692</v>
      </c>
      <c r="J373" s="29" t="s">
        <v>1693</v>
      </c>
      <c r="K373" s="29" t="s">
        <v>1694</v>
      </c>
      <c r="L373" s="29" t="s">
        <v>1695</v>
      </c>
      <c r="M373" s="29" t="s">
        <v>1696</v>
      </c>
    </row>
    <row r="374" customFormat="false" ht="72" hidden="false" customHeight="false" outlineLevel="0" collapsed="false">
      <c r="A374" s="28" t="n">
        <v>44744</v>
      </c>
      <c r="B374" s="29" t="s">
        <v>1503</v>
      </c>
      <c r="C374" s="29" t="s">
        <v>1601</v>
      </c>
      <c r="D374" s="29" t="s">
        <v>1697</v>
      </c>
      <c r="E374" s="29" t="s">
        <v>1698</v>
      </c>
      <c r="F374" s="30" t="s">
        <v>1667</v>
      </c>
      <c r="G374" s="30" t="s">
        <v>1699</v>
      </c>
      <c r="H374" s="31" t="s">
        <v>1606</v>
      </c>
      <c r="I374" s="31" t="s">
        <v>1700</v>
      </c>
      <c r="J374" s="29" t="s">
        <v>1701</v>
      </c>
      <c r="K374" s="29" t="s">
        <v>1702</v>
      </c>
      <c r="L374" s="29" t="s">
        <v>1703</v>
      </c>
      <c r="M374" s="29" t="s">
        <v>1704</v>
      </c>
    </row>
    <row r="375" customFormat="false" ht="42.75" hidden="false" customHeight="false" outlineLevel="0" collapsed="false">
      <c r="A375" s="28" t="n">
        <v>44744</v>
      </c>
      <c r="B375" s="29" t="s">
        <v>1648</v>
      </c>
      <c r="C375" s="29" t="s">
        <v>1601</v>
      </c>
      <c r="D375" s="29" t="s">
        <v>1705</v>
      </c>
      <c r="E375" s="29" t="s">
        <v>1650</v>
      </c>
      <c r="F375" s="30" t="s">
        <v>1651</v>
      </c>
      <c r="G375" s="30" t="s">
        <v>1706</v>
      </c>
      <c r="H375" s="31" t="s">
        <v>1606</v>
      </c>
      <c r="I375" s="31" t="s">
        <v>1606</v>
      </c>
      <c r="J375" s="29" t="s">
        <v>1652</v>
      </c>
      <c r="K375" s="29" t="s">
        <v>1653</v>
      </c>
      <c r="L375" s="29" t="s">
        <v>1654</v>
      </c>
      <c r="M375" s="29" t="s">
        <v>1655</v>
      </c>
    </row>
    <row r="376" customFormat="false" ht="72" hidden="false" customHeight="false" outlineLevel="0" collapsed="false">
      <c r="A376" s="28" t="n">
        <v>44744</v>
      </c>
      <c r="B376" s="29" t="s">
        <v>1600</v>
      </c>
      <c r="C376" s="29" t="s">
        <v>1601</v>
      </c>
      <c r="D376" s="29" t="s">
        <v>1707</v>
      </c>
      <c r="E376" s="29" t="s">
        <v>1708</v>
      </c>
      <c r="F376" s="30" t="s">
        <v>1606</v>
      </c>
      <c r="G376" s="30" t="s">
        <v>1709</v>
      </c>
      <c r="H376" s="31" t="s">
        <v>1710</v>
      </c>
      <c r="J376" s="29" t="s">
        <v>1683</v>
      </c>
      <c r="K376" s="29" t="s">
        <v>1684</v>
      </c>
      <c r="L376" s="29" t="s">
        <v>1606</v>
      </c>
      <c r="M376" s="29" t="s">
        <v>1711</v>
      </c>
    </row>
    <row r="377" customFormat="false" ht="186.75" hidden="false" customHeight="false" outlineLevel="0" collapsed="false">
      <c r="A377" s="28" t="n">
        <v>44744</v>
      </c>
      <c r="B377" s="29" t="s">
        <v>1712</v>
      </c>
      <c r="C377" s="29" t="s">
        <v>1612</v>
      </c>
      <c r="D377" s="29" t="s">
        <v>1713</v>
      </c>
      <c r="E377" s="29" t="s">
        <v>1714</v>
      </c>
      <c r="F377" s="30" t="s">
        <v>1715</v>
      </c>
      <c r="G377" s="30" t="s">
        <v>1716</v>
      </c>
      <c r="H377" s="31" t="n">
        <v>0</v>
      </c>
      <c r="I377" s="31" t="s">
        <v>1717</v>
      </c>
      <c r="J377" s="29" t="s">
        <v>1718</v>
      </c>
      <c r="K377" s="29" t="s">
        <v>1719</v>
      </c>
      <c r="L377" s="29" t="s">
        <v>1720</v>
      </c>
      <c r="M377" s="29" t="s">
        <v>1721</v>
      </c>
    </row>
    <row r="378" customFormat="false" ht="172.5" hidden="false" customHeight="false" outlineLevel="0" collapsed="false">
      <c r="A378" s="28" t="n">
        <v>44744</v>
      </c>
      <c r="B378" s="29" t="s">
        <v>1722</v>
      </c>
      <c r="C378" s="29" t="s">
        <v>1612</v>
      </c>
      <c r="D378" s="29" t="s">
        <v>1723</v>
      </c>
      <c r="E378" s="29" t="s">
        <v>1724</v>
      </c>
      <c r="F378" s="30" t="s">
        <v>1725</v>
      </c>
      <c r="G378" s="30" t="s">
        <v>1726</v>
      </c>
      <c r="H378" s="31" t="n">
        <v>10</v>
      </c>
      <c r="I378" s="31" t="s">
        <v>1727</v>
      </c>
      <c r="J378" s="29" t="s">
        <v>1728</v>
      </c>
      <c r="K378" s="29" t="s">
        <v>1729</v>
      </c>
      <c r="L378" s="29" t="s">
        <v>1730</v>
      </c>
      <c r="M378" s="29" t="s">
        <v>1731</v>
      </c>
    </row>
    <row r="379" customFormat="false" ht="273" hidden="false" customHeight="false" outlineLevel="0" collapsed="false">
      <c r="A379" s="28" t="n">
        <v>44744</v>
      </c>
      <c r="B379" s="29" t="s">
        <v>1732</v>
      </c>
      <c r="C379" s="29" t="s">
        <v>1612</v>
      </c>
      <c r="D379" s="29" t="s">
        <v>1733</v>
      </c>
      <c r="E379" s="29" t="s">
        <v>1734</v>
      </c>
      <c r="F379" s="30" t="s">
        <v>1735</v>
      </c>
      <c r="G379" s="30" t="s">
        <v>1736</v>
      </c>
      <c r="H379" s="31" t="n">
        <v>7</v>
      </c>
      <c r="I379" s="31" t="s">
        <v>1737</v>
      </c>
      <c r="J379" s="29" t="s">
        <v>1738</v>
      </c>
      <c r="K379" s="29" t="s">
        <v>1739</v>
      </c>
      <c r="L379" s="29" t="s">
        <v>1740</v>
      </c>
      <c r="M379" s="29" t="s">
        <v>1741</v>
      </c>
    </row>
    <row r="380" customFormat="false" ht="86.25" hidden="false" customHeight="false" outlineLevel="0" collapsed="false">
      <c r="A380" s="28" t="n">
        <v>44775</v>
      </c>
      <c r="B380" s="29" t="s">
        <v>1503</v>
      </c>
      <c r="C380" s="29" t="s">
        <v>1601</v>
      </c>
      <c r="D380" s="29" t="s">
        <v>1697</v>
      </c>
      <c r="E380" s="29" t="s">
        <v>1698</v>
      </c>
      <c r="F380" s="30" t="s">
        <v>1667</v>
      </c>
      <c r="G380" s="30" t="s">
        <v>1699</v>
      </c>
      <c r="H380" s="31" t="s">
        <v>1606</v>
      </c>
      <c r="I380" s="31" t="s">
        <v>1700</v>
      </c>
      <c r="J380" s="29" t="s">
        <v>1701</v>
      </c>
      <c r="K380" s="29" t="s">
        <v>1702</v>
      </c>
      <c r="L380" s="29" t="s">
        <v>1742</v>
      </c>
      <c r="M380" s="29" t="s">
        <v>1743</v>
      </c>
    </row>
    <row r="381" customFormat="false" ht="144" hidden="false" customHeight="false" outlineLevel="0" collapsed="false">
      <c r="A381" s="28" t="n">
        <v>44775</v>
      </c>
      <c r="B381" s="29" t="s">
        <v>1600</v>
      </c>
      <c r="C381" s="29" t="s">
        <v>1612</v>
      </c>
      <c r="D381" s="29" t="s">
        <v>1744</v>
      </c>
      <c r="E381" s="29" t="s">
        <v>1745</v>
      </c>
      <c r="F381" s="30" t="s">
        <v>1746</v>
      </c>
      <c r="G381" s="30" t="s">
        <v>1747</v>
      </c>
      <c r="H381" s="31" t="s">
        <v>1606</v>
      </c>
      <c r="I381" s="31" t="s">
        <v>1748</v>
      </c>
      <c r="J381" s="29" t="s">
        <v>1749</v>
      </c>
      <c r="K381" s="29" t="s">
        <v>1750</v>
      </c>
      <c r="L381" s="29" t="s">
        <v>1751</v>
      </c>
      <c r="M381" s="29" t="s">
        <v>1752</v>
      </c>
    </row>
    <row r="382" customFormat="false" ht="129" hidden="false" customHeight="false" outlineLevel="0" collapsed="false">
      <c r="A382" s="28" t="n">
        <v>44775</v>
      </c>
      <c r="B382" s="29" t="s">
        <v>1722</v>
      </c>
      <c r="C382" s="29" t="s">
        <v>1612</v>
      </c>
      <c r="D382" s="29" t="s">
        <v>1753</v>
      </c>
      <c r="E382" s="29" t="s">
        <v>1641</v>
      </c>
      <c r="F382" s="30" t="s">
        <v>1754</v>
      </c>
      <c r="G382" s="30" t="s">
        <v>1755</v>
      </c>
      <c r="H382" s="31" t="n">
        <v>1</v>
      </c>
      <c r="I382" s="31" t="s">
        <v>1756</v>
      </c>
      <c r="J382" s="29" t="s">
        <v>1757</v>
      </c>
      <c r="K382" s="29" t="s">
        <v>1758</v>
      </c>
      <c r="L382" s="29" t="s">
        <v>1759</v>
      </c>
      <c r="M382" s="29" t="s">
        <v>1760</v>
      </c>
    </row>
    <row r="383" customFormat="false" ht="72" hidden="false" customHeight="false" outlineLevel="0" collapsed="false">
      <c r="A383" s="28" t="n">
        <v>44806</v>
      </c>
      <c r="B383" s="29" t="s">
        <v>1656</v>
      </c>
      <c r="C383" s="29" t="s">
        <v>1601</v>
      </c>
      <c r="D383" s="29" t="s">
        <v>1761</v>
      </c>
      <c r="E383" s="29" t="s">
        <v>1762</v>
      </c>
      <c r="F383" s="30" t="s">
        <v>1763</v>
      </c>
      <c r="G383" s="30" t="s">
        <v>1606</v>
      </c>
      <c r="H383" s="31" t="s">
        <v>1606</v>
      </c>
      <c r="I383" s="31" t="s">
        <v>1606</v>
      </c>
      <c r="J383" s="29" t="s">
        <v>1764</v>
      </c>
      <c r="K383" s="29" t="s">
        <v>1765</v>
      </c>
      <c r="L383" s="29" t="s">
        <v>1766</v>
      </c>
      <c r="M383" s="29" t="s">
        <v>1767</v>
      </c>
    </row>
    <row r="384" customFormat="false" ht="72" hidden="false" customHeight="false" outlineLevel="0" collapsed="false">
      <c r="A384" s="28" t="n">
        <v>44806</v>
      </c>
      <c r="B384" s="29" t="s">
        <v>1600</v>
      </c>
      <c r="C384" s="29" t="s">
        <v>1601</v>
      </c>
      <c r="D384" s="29" t="s">
        <v>1744</v>
      </c>
      <c r="E384" s="29" t="s">
        <v>1745</v>
      </c>
      <c r="F384" s="30" t="s">
        <v>1768</v>
      </c>
      <c r="G384" s="30" t="s">
        <v>1769</v>
      </c>
      <c r="H384" s="31" t="s">
        <v>1606</v>
      </c>
      <c r="J384" s="29" t="s">
        <v>1770</v>
      </c>
      <c r="K384" s="29" t="s">
        <v>1771</v>
      </c>
      <c r="M384" s="29" t="s">
        <v>1772</v>
      </c>
    </row>
    <row r="385" customFormat="false" ht="129" hidden="false" customHeight="false" outlineLevel="0" collapsed="false">
      <c r="A385" s="28" t="n">
        <v>44836</v>
      </c>
      <c r="B385" s="29" t="s">
        <v>1656</v>
      </c>
      <c r="C385" s="29" t="s">
        <v>1601</v>
      </c>
      <c r="D385" s="29" t="s">
        <v>1773</v>
      </c>
      <c r="E385" s="29" t="s">
        <v>1774</v>
      </c>
      <c r="F385" s="30" t="s">
        <v>1775</v>
      </c>
      <c r="G385" s="30" t="s">
        <v>1776</v>
      </c>
      <c r="H385" s="31" t="s">
        <v>1777</v>
      </c>
      <c r="I385" s="31" t="s">
        <v>1778</v>
      </c>
      <c r="J385" s="29" t="s">
        <v>1779</v>
      </c>
      <c r="K385" s="29" t="s">
        <v>1780</v>
      </c>
      <c r="L385" s="29" t="s">
        <v>1781</v>
      </c>
      <c r="M385" s="29" t="s">
        <v>1782</v>
      </c>
    </row>
    <row r="386" customFormat="false" ht="42.75" hidden="false" customHeight="false" outlineLevel="0" collapsed="false">
      <c r="A386" s="28" t="n">
        <v>44836</v>
      </c>
      <c r="B386" s="29" t="s">
        <v>14294</v>
      </c>
      <c r="C386" s="29" t="s">
        <v>1612</v>
      </c>
      <c r="D386" s="29" t="s">
        <v>1783</v>
      </c>
      <c r="E386" s="29" t="s">
        <v>1784</v>
      </c>
      <c r="F386" s="30" t="n">
        <v>0.833333333333333</v>
      </c>
      <c r="G386" s="30" t="s">
        <v>1785</v>
      </c>
      <c r="H386" s="31" t="s">
        <v>1606</v>
      </c>
      <c r="I386" s="31" t="s">
        <v>1786</v>
      </c>
      <c r="J386" s="29" t="s">
        <v>1787</v>
      </c>
      <c r="K386" s="29" t="s">
        <v>1788</v>
      </c>
      <c r="L386" s="29" t="s">
        <v>1789</v>
      </c>
      <c r="M386" s="29" t="s">
        <v>1790</v>
      </c>
    </row>
    <row r="387" customFormat="false" ht="42.75" hidden="false" customHeight="false" outlineLevel="0" collapsed="false">
      <c r="A387" s="28" t="n">
        <v>44595</v>
      </c>
      <c r="B387" s="29" t="s">
        <v>1488</v>
      </c>
      <c r="C387" s="29" t="s">
        <v>1601</v>
      </c>
      <c r="D387" s="29" t="s">
        <v>1968</v>
      </c>
      <c r="E387" s="29" t="s">
        <v>1969</v>
      </c>
      <c r="G387" s="30" t="s">
        <v>1970</v>
      </c>
      <c r="J387" s="29" t="s">
        <v>1971</v>
      </c>
      <c r="K387" s="29" t="s">
        <v>1972</v>
      </c>
      <c r="M387" s="29" t="s">
        <v>1973</v>
      </c>
    </row>
    <row r="388" customFormat="false" ht="42.75" hidden="false" customHeight="false" outlineLevel="0" collapsed="false">
      <c r="A388" s="28" t="n">
        <v>44595</v>
      </c>
      <c r="B388" s="29" t="s">
        <v>1488</v>
      </c>
      <c r="C388" s="29" t="s">
        <v>1601</v>
      </c>
      <c r="D388" s="29" t="s">
        <v>1974</v>
      </c>
      <c r="E388" s="29" t="s">
        <v>1784</v>
      </c>
      <c r="G388" s="30" t="s">
        <v>1970</v>
      </c>
      <c r="I388" s="31" t="s">
        <v>1975</v>
      </c>
      <c r="J388" s="29" t="s">
        <v>1976</v>
      </c>
      <c r="K388" s="29" t="s">
        <v>1977</v>
      </c>
      <c r="M388" s="29" t="s">
        <v>1978</v>
      </c>
    </row>
    <row r="389" customFormat="false" ht="72" hidden="false" customHeight="false" outlineLevel="0" collapsed="false">
      <c r="A389" s="28" t="n">
        <v>44595</v>
      </c>
      <c r="B389" s="29" t="s">
        <v>1979</v>
      </c>
      <c r="C389" s="29" t="s">
        <v>1601</v>
      </c>
      <c r="D389" s="29" t="s">
        <v>1980</v>
      </c>
      <c r="E389" s="29" t="s">
        <v>1666</v>
      </c>
      <c r="F389" s="30" t="s">
        <v>1981</v>
      </c>
      <c r="G389" s="30" t="s">
        <v>1982</v>
      </c>
      <c r="I389" s="31" t="s">
        <v>1975</v>
      </c>
      <c r="J389" s="29" t="s">
        <v>1983</v>
      </c>
      <c r="K389" s="29" t="s">
        <v>1984</v>
      </c>
      <c r="L389" s="29" t="s">
        <v>1985</v>
      </c>
      <c r="M389" s="29" t="s">
        <v>1986</v>
      </c>
    </row>
    <row r="390" customFormat="false" ht="72" hidden="false" customHeight="false" outlineLevel="0" collapsed="false">
      <c r="A390" s="28" t="n">
        <v>44623</v>
      </c>
      <c r="B390" s="29" t="s">
        <v>1979</v>
      </c>
      <c r="C390" s="29" t="s">
        <v>1601</v>
      </c>
      <c r="D390" s="29" t="s">
        <v>1987</v>
      </c>
      <c r="E390" s="29" t="s">
        <v>1988</v>
      </c>
      <c r="F390" s="30" t="s">
        <v>1989</v>
      </c>
      <c r="G390" s="30" t="s">
        <v>1990</v>
      </c>
      <c r="J390" s="29" t="s">
        <v>1991</v>
      </c>
      <c r="K390" s="29" t="s">
        <v>1992</v>
      </c>
      <c r="L390" s="29" t="s">
        <v>1993</v>
      </c>
      <c r="M390" s="29" t="s">
        <v>1994</v>
      </c>
    </row>
    <row r="391" customFormat="false" ht="57" hidden="false" customHeight="false" outlineLevel="0" collapsed="false">
      <c r="A391" s="28" t="n">
        <v>44623</v>
      </c>
      <c r="B391" s="29" t="s">
        <v>1979</v>
      </c>
      <c r="C391" s="29" t="s">
        <v>1601</v>
      </c>
      <c r="D391" s="29" t="s">
        <v>1995</v>
      </c>
      <c r="E391" s="29" t="s">
        <v>1901</v>
      </c>
      <c r="F391" s="30" t="s">
        <v>1996</v>
      </c>
      <c r="G391" s="30" t="s">
        <v>1990</v>
      </c>
      <c r="I391" s="31" t="s">
        <v>1997</v>
      </c>
      <c r="J391" s="29" t="s">
        <v>1998</v>
      </c>
      <c r="K391" s="29" t="s">
        <v>1992</v>
      </c>
      <c r="L391" s="29" t="s">
        <v>1993</v>
      </c>
      <c r="M391" s="29" t="s">
        <v>1999</v>
      </c>
    </row>
    <row r="392" customFormat="false" ht="57" hidden="false" customHeight="false" outlineLevel="0" collapsed="false">
      <c r="A392" s="28" t="n">
        <v>44654</v>
      </c>
      <c r="B392" s="29" t="s">
        <v>1648</v>
      </c>
      <c r="C392" s="29" t="s">
        <v>1601</v>
      </c>
      <c r="D392" s="29" t="s">
        <v>2000</v>
      </c>
      <c r="E392" s="29" t="s">
        <v>2001</v>
      </c>
      <c r="F392" s="30" t="s">
        <v>2002</v>
      </c>
      <c r="G392" s="30" t="s">
        <v>2003</v>
      </c>
      <c r="H392" s="31" t="s">
        <v>2004</v>
      </c>
      <c r="I392" s="31" t="s">
        <v>2004</v>
      </c>
      <c r="J392" s="29" t="s">
        <v>2005</v>
      </c>
      <c r="K392" s="29" t="s">
        <v>2006</v>
      </c>
      <c r="M392" s="29" t="s">
        <v>2007</v>
      </c>
    </row>
    <row r="393" customFormat="false" ht="42.75" hidden="false" customHeight="false" outlineLevel="0" collapsed="false">
      <c r="A393" s="28" t="n">
        <v>44745</v>
      </c>
      <c r="B393" s="29" t="s">
        <v>1680</v>
      </c>
      <c r="C393" s="29" t="s">
        <v>1601</v>
      </c>
      <c r="D393" s="29" t="s">
        <v>2008</v>
      </c>
      <c r="E393" s="29" t="s">
        <v>2009</v>
      </c>
      <c r="J393" s="29" t="s">
        <v>2010</v>
      </c>
      <c r="K393" s="29" t="s">
        <v>2011</v>
      </c>
      <c r="M393" s="29" t="s">
        <v>2012</v>
      </c>
    </row>
    <row r="394" customFormat="false" ht="72" hidden="false" customHeight="false" outlineLevel="0" collapsed="false">
      <c r="A394" s="28" t="n">
        <v>44776</v>
      </c>
      <c r="B394" s="29" t="s">
        <v>1619</v>
      </c>
      <c r="C394" s="29" t="s">
        <v>1601</v>
      </c>
      <c r="D394" s="29" t="s">
        <v>2013</v>
      </c>
      <c r="E394" s="29" t="s">
        <v>2014</v>
      </c>
      <c r="F394" s="30" t="s">
        <v>2015</v>
      </c>
      <c r="G394" s="30" t="s">
        <v>1867</v>
      </c>
      <c r="I394" s="31" t="s">
        <v>2016</v>
      </c>
      <c r="J394" s="29" t="s">
        <v>2017</v>
      </c>
      <c r="K394" s="29" t="s">
        <v>2018</v>
      </c>
      <c r="L394" s="29" t="s">
        <v>2019</v>
      </c>
      <c r="M394" s="29" t="s">
        <v>2020</v>
      </c>
    </row>
    <row r="395" customFormat="false" ht="57" hidden="false" customHeight="false" outlineLevel="0" collapsed="false">
      <c r="A395" s="28" t="n">
        <v>44776</v>
      </c>
      <c r="B395" s="29" t="s">
        <v>1639</v>
      </c>
      <c r="C395" s="29" t="s">
        <v>1601</v>
      </c>
      <c r="D395" s="29" t="s">
        <v>2021</v>
      </c>
      <c r="E395" s="29" t="s">
        <v>2022</v>
      </c>
      <c r="F395" s="30" t="s">
        <v>2015</v>
      </c>
      <c r="G395" s="30" t="s">
        <v>2023</v>
      </c>
      <c r="J395" s="29" t="s">
        <v>2024</v>
      </c>
      <c r="K395" s="29" t="s">
        <v>2025</v>
      </c>
      <c r="L395" s="29" t="s">
        <v>2026</v>
      </c>
      <c r="M395" s="29" t="s">
        <v>2027</v>
      </c>
    </row>
    <row r="396" customFormat="false" ht="42.75" hidden="false" customHeight="false" outlineLevel="0" collapsed="false">
      <c r="A396" s="28" t="n">
        <v>44807</v>
      </c>
      <c r="B396" s="29" t="s">
        <v>1664</v>
      </c>
      <c r="C396" s="29" t="s">
        <v>1601</v>
      </c>
      <c r="D396" s="29" t="s">
        <v>2028</v>
      </c>
      <c r="E396" s="29" t="s">
        <v>1988</v>
      </c>
      <c r="F396" s="30" t="s">
        <v>1709</v>
      </c>
      <c r="G396" s="30" t="s">
        <v>2029</v>
      </c>
      <c r="I396" s="31" t="s">
        <v>2030</v>
      </c>
      <c r="J396" s="29" t="s">
        <v>2031</v>
      </c>
      <c r="K396" s="29" t="s">
        <v>2032</v>
      </c>
      <c r="L396" s="29" t="s">
        <v>2033</v>
      </c>
      <c r="M396" s="29" t="s">
        <v>2034</v>
      </c>
    </row>
    <row r="397" customFormat="false" ht="114.75" hidden="false" customHeight="false" outlineLevel="0" collapsed="false">
      <c r="A397" s="28" t="n">
        <v>44837</v>
      </c>
      <c r="B397" s="29" t="s">
        <v>1639</v>
      </c>
      <c r="C397" s="29" t="s">
        <v>1601</v>
      </c>
      <c r="D397" s="29" t="s">
        <v>2035</v>
      </c>
      <c r="E397" s="29" t="s">
        <v>1688</v>
      </c>
      <c r="F397" s="30" t="s">
        <v>2036</v>
      </c>
      <c r="G397" s="30" t="s">
        <v>1818</v>
      </c>
      <c r="H397" s="31" t="s">
        <v>2037</v>
      </c>
      <c r="J397" s="29" t="s">
        <v>2038</v>
      </c>
      <c r="K397" s="29" t="s">
        <v>2039</v>
      </c>
      <c r="L397" s="29" t="s">
        <v>2040</v>
      </c>
      <c r="M397" s="29" t="s">
        <v>2041</v>
      </c>
    </row>
    <row r="398" customFormat="false" ht="42.75" hidden="false" customHeight="false" outlineLevel="0" collapsed="false">
      <c r="A398" s="28" t="n">
        <v>44837</v>
      </c>
      <c r="B398" s="29" t="s">
        <v>38</v>
      </c>
      <c r="C398" s="29" t="s">
        <v>1612</v>
      </c>
      <c r="D398" s="29" t="s">
        <v>2042</v>
      </c>
      <c r="E398" s="29" t="s">
        <v>2043</v>
      </c>
      <c r="F398" s="30" t="s">
        <v>1716</v>
      </c>
      <c r="G398" s="30" t="s">
        <v>2044</v>
      </c>
      <c r="I398" s="31" t="s">
        <v>1895</v>
      </c>
      <c r="J398" s="29" t="s">
        <v>2045</v>
      </c>
      <c r="K398" s="29" t="s">
        <v>2046</v>
      </c>
      <c r="M398" s="29" t="s">
        <v>2047</v>
      </c>
    </row>
  </sheetData>
  <autoFilter ref="A1:N1"/>
  <printOptions headings="false" gridLines="false" gridLinesSet="true" horizontalCentered="false" verticalCentered="false"/>
  <pageMargins left="0.511805555555556" right="0.511805555555556" top="0.7875" bottom="0.7875" header="0.511811023622047" footer="0.315277777777778"/>
  <pageSetup paperSize="9" scale="100" fitToWidth="1" fitToHeight="1" pageOrder="downThenOver" orientation="portrait" blackAndWhite="false" draft="false" cellComments="none" horizontalDpi="300" verticalDpi="300" copies="1"/>
  <headerFooter differentFirst="false" differentOddEven="false">
    <oddHeader/>
    <oddFooter>&amp;R&amp;1#&amp;"Arial,Regular"&amp;10Confidential C</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3" ySplit="3" topLeftCell="N43" activePane="bottomRight" state="frozen"/>
      <selection pane="topLeft" activeCell="A1" activeCellId="0" sqref="A1"/>
      <selection pane="topRight" activeCell="N1" activeCellId="0" sqref="N1"/>
      <selection pane="bottomLeft" activeCell="A43" activeCellId="0" sqref="A43"/>
      <selection pane="bottomRight" activeCell="Q46" activeCellId="0" sqref="Q46"/>
    </sheetView>
  </sheetViews>
  <sheetFormatPr defaultColWidth="8.54296875" defaultRowHeight="14.25" zeroHeight="false" outlineLevelRow="0" outlineLevelCol="0"/>
  <cols>
    <col collapsed="false" customWidth="true" hidden="false" outlineLevel="0" max="2" min="2" style="0" width="10.71"/>
    <col collapsed="false" customWidth="true" hidden="false" outlineLevel="0" max="3" min="3" style="0" width="10"/>
    <col collapsed="false" customWidth="true" hidden="false" outlineLevel="0" max="5" min="5" style="0" width="10.71"/>
    <col collapsed="false" customWidth="true" hidden="false" outlineLevel="0" max="7" min="7" style="0" width="10"/>
    <col collapsed="false" customWidth="true" hidden="false" outlineLevel="0" max="9" min="9" style="0" width="10.71"/>
    <col collapsed="false" customWidth="true" hidden="false" outlineLevel="0" max="14" min="14" style="0" width="9.85"/>
  </cols>
  <sheetData>
    <row r="1" customFormat="false" ht="15" hidden="false" customHeight="false" outlineLevel="0" collapsed="false">
      <c r="A1" s="37" t="s">
        <v>14295</v>
      </c>
      <c r="B1" s="37"/>
      <c r="C1" s="37"/>
      <c r="D1" s="37"/>
      <c r="E1" s="37"/>
      <c r="F1" s="37"/>
      <c r="G1" s="37"/>
      <c r="H1" s="37"/>
      <c r="I1" s="37"/>
      <c r="J1" s="37"/>
      <c r="K1" s="37"/>
      <c r="L1" s="37"/>
      <c r="M1" s="37"/>
      <c r="N1" s="37"/>
    </row>
    <row r="2" customFormat="false" ht="14.25" hidden="false" customHeight="false" outlineLevel="0" collapsed="false">
      <c r="A2" s="38"/>
      <c r="B2" s="39" t="s">
        <v>1479</v>
      </c>
      <c r="C2" s="39"/>
      <c r="D2" s="39"/>
      <c r="E2" s="39"/>
      <c r="F2" s="38"/>
      <c r="G2" s="39" t="s">
        <v>1495</v>
      </c>
      <c r="H2" s="39"/>
      <c r="I2" s="39"/>
      <c r="J2" s="38"/>
      <c r="K2" s="39" t="s">
        <v>1503</v>
      </c>
      <c r="L2" s="39"/>
      <c r="M2" s="39"/>
      <c r="N2" s="39"/>
    </row>
    <row r="3" customFormat="false" ht="14.25" hidden="false" customHeight="false" outlineLevel="0" collapsed="false">
      <c r="A3" s="40"/>
      <c r="B3" s="41" t="s">
        <v>1600</v>
      </c>
      <c r="C3" s="41" t="s">
        <v>14296</v>
      </c>
      <c r="D3" s="41" t="s">
        <v>14019</v>
      </c>
      <c r="E3" s="41" t="s">
        <v>10235</v>
      </c>
      <c r="F3" s="38"/>
      <c r="G3" s="41" t="s">
        <v>14296</v>
      </c>
      <c r="H3" s="41" t="s">
        <v>14019</v>
      </c>
      <c r="I3" s="41" t="s">
        <v>10235</v>
      </c>
      <c r="J3" s="38"/>
      <c r="K3" s="41" t="s">
        <v>4303</v>
      </c>
      <c r="L3" s="41" t="s">
        <v>13130</v>
      </c>
      <c r="M3" s="42" t="s">
        <v>1648</v>
      </c>
      <c r="N3" s="41" t="s">
        <v>12687</v>
      </c>
    </row>
    <row r="4" customFormat="false" ht="14.25" hidden="false" customHeight="false" outlineLevel="0" collapsed="false">
      <c r="A4" s="39" t="s">
        <v>14297</v>
      </c>
      <c r="B4" s="40" t="n">
        <v>2</v>
      </c>
      <c r="C4" s="40" t="n">
        <v>0</v>
      </c>
      <c r="D4" s="40" t="n">
        <v>0</v>
      </c>
      <c r="E4" s="40" t="n">
        <v>1</v>
      </c>
      <c r="F4" s="38"/>
      <c r="G4" s="40" t="n">
        <v>0</v>
      </c>
      <c r="H4" s="40" t="n">
        <v>1</v>
      </c>
      <c r="I4" s="40" t="n">
        <v>0</v>
      </c>
      <c r="J4" s="38"/>
      <c r="K4" s="40" t="n">
        <v>0</v>
      </c>
      <c r="L4" s="40" t="n">
        <v>0</v>
      </c>
      <c r="M4" s="43" t="n">
        <v>0</v>
      </c>
      <c r="N4" s="40" t="n">
        <v>0</v>
      </c>
    </row>
    <row r="5" customFormat="false" ht="14.25" hidden="false" customHeight="false" outlineLevel="0" collapsed="false">
      <c r="A5" s="39" t="s">
        <v>14298</v>
      </c>
      <c r="B5" s="40" t="n">
        <v>2</v>
      </c>
      <c r="C5" s="40" t="n">
        <v>1</v>
      </c>
      <c r="D5" s="40" t="n">
        <v>1</v>
      </c>
      <c r="E5" s="40" t="n">
        <v>2</v>
      </c>
      <c r="F5" s="38"/>
      <c r="G5" s="40" t="n">
        <v>0</v>
      </c>
      <c r="H5" s="40" t="n">
        <v>0</v>
      </c>
      <c r="I5" s="40" t="n">
        <v>1</v>
      </c>
      <c r="J5" s="38"/>
      <c r="K5" s="44" t="n">
        <v>0</v>
      </c>
      <c r="L5" s="44" t="n">
        <v>0</v>
      </c>
      <c r="M5" s="45" t="n">
        <v>0</v>
      </c>
      <c r="N5" s="44" t="n">
        <v>1</v>
      </c>
    </row>
    <row r="6" customFormat="false" ht="14.25" hidden="false" customHeight="false" outlineLevel="0" collapsed="false">
      <c r="A6" s="39" t="s">
        <v>14299</v>
      </c>
      <c r="B6" s="40" t="n">
        <v>2</v>
      </c>
      <c r="C6" s="40" t="n">
        <v>1</v>
      </c>
      <c r="D6" s="40" t="n">
        <v>1</v>
      </c>
      <c r="E6" s="40" t="n">
        <v>2</v>
      </c>
      <c r="F6" s="38"/>
      <c r="G6" s="40" t="n">
        <v>1</v>
      </c>
      <c r="H6" s="40" t="n">
        <v>0</v>
      </c>
      <c r="I6" s="40" t="n">
        <v>1</v>
      </c>
      <c r="J6" s="38"/>
      <c r="K6" s="44" t="n">
        <v>1</v>
      </c>
      <c r="L6" s="44" t="n">
        <v>0</v>
      </c>
      <c r="M6" s="45" t="n">
        <v>0</v>
      </c>
      <c r="N6" s="44" t="n">
        <v>3</v>
      </c>
    </row>
    <row r="7" customFormat="false" ht="14.25" hidden="false" customHeight="false" outlineLevel="0" collapsed="false">
      <c r="A7" s="39" t="s">
        <v>14300</v>
      </c>
      <c r="B7" s="40" t="n">
        <v>0</v>
      </c>
      <c r="C7" s="40" t="n">
        <v>3</v>
      </c>
      <c r="D7" s="40" t="n">
        <v>1</v>
      </c>
      <c r="E7" s="40" t="n">
        <v>2</v>
      </c>
      <c r="F7" s="38"/>
      <c r="G7" s="40" t="n">
        <v>1</v>
      </c>
      <c r="H7" s="40" t="n">
        <v>0</v>
      </c>
      <c r="I7" s="40" t="n">
        <v>0</v>
      </c>
      <c r="J7" s="38"/>
      <c r="K7" s="40" t="n">
        <v>0</v>
      </c>
      <c r="L7" s="40" t="n">
        <v>0</v>
      </c>
      <c r="M7" s="43" t="n">
        <v>0</v>
      </c>
      <c r="N7" s="40" t="n">
        <v>0</v>
      </c>
    </row>
    <row r="8" customFormat="false" ht="14.25" hidden="false" customHeight="false" outlineLevel="0" collapsed="false">
      <c r="A8" s="39" t="s">
        <v>14301</v>
      </c>
      <c r="B8" s="40" t="n">
        <v>2</v>
      </c>
      <c r="C8" s="40" t="n">
        <v>1</v>
      </c>
      <c r="D8" s="40" t="n">
        <v>0</v>
      </c>
      <c r="E8" s="40" t="n">
        <v>3</v>
      </c>
      <c r="F8" s="38"/>
      <c r="G8" s="40" t="n">
        <v>1</v>
      </c>
      <c r="H8" s="40" t="n">
        <v>0</v>
      </c>
      <c r="I8" s="40" t="n">
        <v>0</v>
      </c>
      <c r="J8" s="38"/>
      <c r="K8" s="40" t="n">
        <v>0</v>
      </c>
      <c r="L8" s="40" t="n">
        <v>1</v>
      </c>
      <c r="M8" s="43" t="n">
        <v>0</v>
      </c>
      <c r="N8" s="40" t="n">
        <v>6</v>
      </c>
    </row>
    <row r="9" customFormat="false" ht="14.25" hidden="false" customHeight="false" outlineLevel="0" collapsed="false">
      <c r="A9" s="39" t="s">
        <v>14302</v>
      </c>
      <c r="B9" s="40" t="n">
        <v>0</v>
      </c>
      <c r="C9" s="40" t="n">
        <v>0</v>
      </c>
      <c r="D9" s="40" t="n">
        <v>0</v>
      </c>
      <c r="E9" s="40" t="n">
        <v>1</v>
      </c>
      <c r="F9" s="38"/>
      <c r="G9" s="40" t="n">
        <v>0</v>
      </c>
      <c r="H9" s="40" t="n">
        <v>0</v>
      </c>
      <c r="I9" s="40" t="n">
        <v>0</v>
      </c>
      <c r="J9" s="38"/>
      <c r="K9" s="40" t="n">
        <v>0</v>
      </c>
      <c r="L9" s="40" t="n">
        <v>1</v>
      </c>
      <c r="M9" s="43" t="n">
        <v>0</v>
      </c>
      <c r="N9" s="40" t="n">
        <v>0</v>
      </c>
    </row>
    <row r="10" customFormat="false" ht="14.25" hidden="false" customHeight="false" outlineLevel="0" collapsed="false">
      <c r="A10" s="39" t="s">
        <v>14303</v>
      </c>
      <c r="B10" s="40" t="n">
        <v>0</v>
      </c>
      <c r="C10" s="40" t="n">
        <v>1</v>
      </c>
      <c r="D10" s="40" t="n">
        <v>0</v>
      </c>
      <c r="E10" s="40" t="n">
        <v>2</v>
      </c>
      <c r="F10" s="38"/>
      <c r="G10" s="40" t="n">
        <v>1</v>
      </c>
      <c r="H10" s="40" t="n">
        <v>0</v>
      </c>
      <c r="I10" s="40" t="n">
        <v>1</v>
      </c>
      <c r="J10" s="38"/>
      <c r="K10" s="44" t="n">
        <v>0</v>
      </c>
      <c r="L10" s="44" t="n">
        <v>0</v>
      </c>
      <c r="M10" s="45" t="n">
        <v>0</v>
      </c>
      <c r="N10" s="44" t="n">
        <v>3</v>
      </c>
    </row>
    <row r="11" customFormat="false" ht="14.25" hidden="false" customHeight="false" outlineLevel="0" collapsed="false">
      <c r="A11" s="39" t="s">
        <v>14304</v>
      </c>
      <c r="B11" s="40" t="n">
        <v>0</v>
      </c>
      <c r="C11" s="40" t="n">
        <v>0</v>
      </c>
      <c r="D11" s="40" t="n">
        <v>4</v>
      </c>
      <c r="E11" s="40" t="n">
        <v>1</v>
      </c>
      <c r="F11" s="38"/>
      <c r="G11" s="40" t="n">
        <v>2</v>
      </c>
      <c r="H11" s="40" t="n">
        <v>0</v>
      </c>
      <c r="I11" s="40" t="n">
        <v>0</v>
      </c>
      <c r="J11" s="38"/>
      <c r="K11" s="44" t="n">
        <v>0</v>
      </c>
      <c r="L11" s="44" t="n">
        <v>0</v>
      </c>
      <c r="M11" s="45" t="n">
        <v>0</v>
      </c>
      <c r="N11" s="44" t="n">
        <v>2</v>
      </c>
    </row>
    <row r="12" customFormat="false" ht="14.25" hidden="false" customHeight="false" outlineLevel="0" collapsed="false">
      <c r="A12" s="39" t="s">
        <v>14305</v>
      </c>
      <c r="B12" s="40" t="n">
        <v>0</v>
      </c>
      <c r="C12" s="40" t="n">
        <v>3</v>
      </c>
      <c r="D12" s="40" t="n">
        <v>2</v>
      </c>
      <c r="E12" s="40" t="n">
        <v>2</v>
      </c>
      <c r="F12" s="38"/>
      <c r="G12" s="40" t="n">
        <v>2</v>
      </c>
      <c r="H12" s="40" t="n">
        <v>0</v>
      </c>
      <c r="I12" s="40" t="n">
        <v>1</v>
      </c>
      <c r="J12" s="38"/>
      <c r="K12" s="40" t="n">
        <v>0</v>
      </c>
      <c r="L12" s="40" t="n">
        <v>0</v>
      </c>
      <c r="M12" s="43" t="n">
        <v>0</v>
      </c>
      <c r="N12" s="40" t="n">
        <v>1</v>
      </c>
    </row>
    <row r="13" customFormat="false" ht="14.25" hidden="false" customHeight="false" outlineLevel="0" collapsed="false">
      <c r="A13" s="39" t="s">
        <v>14306</v>
      </c>
      <c r="B13" s="40" t="n">
        <v>1</v>
      </c>
      <c r="C13" s="40" t="n">
        <v>0</v>
      </c>
      <c r="D13" s="40" t="n">
        <v>2</v>
      </c>
      <c r="E13" s="40" t="n">
        <v>1</v>
      </c>
      <c r="F13" s="38"/>
      <c r="G13" s="40" t="n">
        <v>0</v>
      </c>
      <c r="H13" s="40" t="n">
        <v>3</v>
      </c>
      <c r="I13" s="40" t="n">
        <v>1</v>
      </c>
      <c r="J13" s="38"/>
      <c r="K13" s="40" t="n">
        <v>0</v>
      </c>
      <c r="L13" s="40" t="n">
        <v>0</v>
      </c>
      <c r="M13" s="43" t="n">
        <v>0</v>
      </c>
      <c r="N13" s="40" t="n">
        <v>0</v>
      </c>
    </row>
    <row r="14" customFormat="false" ht="14.25" hidden="false" customHeight="false" outlineLevel="0" collapsed="false">
      <c r="A14" s="39" t="s">
        <v>14307</v>
      </c>
      <c r="B14" s="40" t="n">
        <v>4</v>
      </c>
      <c r="C14" s="40" t="n">
        <v>2</v>
      </c>
      <c r="D14" s="40" t="n">
        <v>0</v>
      </c>
      <c r="E14" s="40" t="n">
        <v>2</v>
      </c>
      <c r="F14" s="38"/>
      <c r="G14" s="40" t="n">
        <v>0</v>
      </c>
      <c r="H14" s="40" t="n">
        <v>3</v>
      </c>
      <c r="I14" s="40" t="n">
        <v>0</v>
      </c>
      <c r="J14" s="38"/>
      <c r="K14" s="40" t="n">
        <v>1</v>
      </c>
      <c r="L14" s="40" t="n">
        <v>0</v>
      </c>
      <c r="M14" s="43" t="n">
        <v>0</v>
      </c>
      <c r="N14" s="40" t="n">
        <v>1</v>
      </c>
    </row>
    <row r="15" customFormat="false" ht="14.25" hidden="false" customHeight="false" outlineLevel="0" collapsed="false">
      <c r="A15" s="39" t="s">
        <v>14308</v>
      </c>
      <c r="B15" s="40" t="n">
        <v>1</v>
      </c>
      <c r="C15" s="40" t="n">
        <v>1</v>
      </c>
      <c r="D15" s="40" t="n">
        <v>1</v>
      </c>
      <c r="E15" s="40" t="n">
        <v>1</v>
      </c>
      <c r="F15" s="38"/>
      <c r="G15" s="40" t="n">
        <v>3</v>
      </c>
      <c r="H15" s="40" t="n">
        <v>0</v>
      </c>
      <c r="I15" s="40" t="n">
        <v>0</v>
      </c>
      <c r="J15" s="38"/>
      <c r="K15" s="40" t="n">
        <v>0</v>
      </c>
      <c r="L15" s="40" t="n">
        <v>0</v>
      </c>
      <c r="M15" s="43" t="n">
        <v>0</v>
      </c>
      <c r="N15" s="40" t="n">
        <v>0</v>
      </c>
    </row>
    <row r="16" customFormat="false" ht="14.25" hidden="false" customHeight="false" outlineLevel="0" collapsed="false">
      <c r="A16" s="39" t="s">
        <v>14309</v>
      </c>
      <c r="B16" s="40" t="s">
        <v>14310</v>
      </c>
      <c r="C16" s="40" t="s">
        <v>14310</v>
      </c>
      <c r="D16" s="40" t="s">
        <v>14310</v>
      </c>
      <c r="E16" s="40" t="s">
        <v>14310</v>
      </c>
      <c r="F16" s="38"/>
      <c r="G16" s="40" t="s">
        <v>14310</v>
      </c>
      <c r="H16" s="40" t="s">
        <v>14310</v>
      </c>
      <c r="I16" s="40" t="s">
        <v>14310</v>
      </c>
      <c r="J16" s="38"/>
      <c r="K16" s="40" t="s">
        <v>14310</v>
      </c>
      <c r="L16" s="40" t="s">
        <v>14310</v>
      </c>
      <c r="M16" s="43" t="s">
        <v>14310</v>
      </c>
      <c r="N16" s="40" t="s">
        <v>14310</v>
      </c>
    </row>
    <row r="17" customFormat="false" ht="14.25" hidden="false" customHeight="false" outlineLevel="0" collapsed="false">
      <c r="A17" s="39" t="s">
        <v>14311</v>
      </c>
      <c r="B17" s="40" t="n">
        <v>1</v>
      </c>
      <c r="C17" s="40" t="n">
        <v>0</v>
      </c>
      <c r="D17" s="40" t="n">
        <v>2</v>
      </c>
      <c r="E17" s="40" t="n">
        <v>2</v>
      </c>
      <c r="F17" s="38"/>
      <c r="G17" s="40" t="n">
        <v>0</v>
      </c>
      <c r="H17" s="40" t="n">
        <v>0</v>
      </c>
      <c r="I17" s="40" t="n">
        <v>0</v>
      </c>
      <c r="J17" s="38"/>
      <c r="K17" s="40" t="n">
        <v>0</v>
      </c>
      <c r="L17" s="40" t="n">
        <v>0</v>
      </c>
      <c r="M17" s="43" t="n">
        <v>0</v>
      </c>
      <c r="N17" s="40" t="n">
        <v>2</v>
      </c>
    </row>
    <row r="18" customFormat="false" ht="14.25" hidden="false" customHeight="false" outlineLevel="0" collapsed="false">
      <c r="A18" s="39" t="s">
        <v>14312</v>
      </c>
      <c r="B18" s="40" t="n">
        <v>0</v>
      </c>
      <c r="C18" s="40" t="n">
        <v>1</v>
      </c>
      <c r="D18" s="40" t="n">
        <v>1</v>
      </c>
      <c r="E18" s="40" t="n">
        <v>2</v>
      </c>
      <c r="F18" s="38"/>
      <c r="G18" s="40" t="n">
        <v>1</v>
      </c>
      <c r="H18" s="40" t="n">
        <v>0</v>
      </c>
      <c r="I18" s="40" t="n">
        <v>2</v>
      </c>
      <c r="J18" s="38"/>
      <c r="K18" s="40" t="n">
        <v>0</v>
      </c>
      <c r="L18" s="40" t="n">
        <v>1</v>
      </c>
      <c r="M18" s="43" t="n">
        <v>0</v>
      </c>
      <c r="N18" s="40" t="n">
        <v>0</v>
      </c>
    </row>
    <row r="19" customFormat="false" ht="14.25" hidden="false" customHeight="false" outlineLevel="0" collapsed="false">
      <c r="A19" s="39" t="s">
        <v>14313</v>
      </c>
      <c r="B19" s="40" t="n">
        <v>0</v>
      </c>
      <c r="C19" s="40" t="n">
        <v>4</v>
      </c>
      <c r="D19" s="40" t="n">
        <v>0</v>
      </c>
      <c r="E19" s="40" t="n">
        <v>2</v>
      </c>
      <c r="F19" s="38"/>
      <c r="G19" s="40" t="n">
        <v>0</v>
      </c>
      <c r="H19" s="40" t="n">
        <v>0</v>
      </c>
      <c r="I19" s="40" t="n">
        <v>0</v>
      </c>
      <c r="J19" s="38"/>
      <c r="K19" s="40" t="n">
        <v>0</v>
      </c>
      <c r="L19" s="40" t="n">
        <v>0</v>
      </c>
      <c r="M19" s="43" t="n">
        <v>0</v>
      </c>
      <c r="N19" s="40" t="n">
        <v>0</v>
      </c>
    </row>
    <row r="20" customFormat="false" ht="14.25" hidden="false" customHeight="false" outlineLevel="0" collapsed="false">
      <c r="A20" s="39" t="s">
        <v>14314</v>
      </c>
      <c r="B20" s="40" t="n">
        <v>0</v>
      </c>
      <c r="C20" s="40" t="n">
        <v>0</v>
      </c>
      <c r="D20" s="40" t="n">
        <v>1</v>
      </c>
      <c r="E20" s="40" t="n">
        <v>3</v>
      </c>
      <c r="F20" s="38"/>
      <c r="G20" s="40" t="n">
        <v>2</v>
      </c>
      <c r="H20" s="40" t="n">
        <v>0</v>
      </c>
      <c r="I20" s="40" t="n">
        <v>0</v>
      </c>
      <c r="J20" s="38"/>
      <c r="K20" s="40" t="n">
        <v>0</v>
      </c>
      <c r="L20" s="40" t="n">
        <v>1</v>
      </c>
      <c r="M20" s="43" t="n">
        <v>0</v>
      </c>
      <c r="N20" s="40" t="n">
        <v>1</v>
      </c>
    </row>
    <row r="21" customFormat="false" ht="14.25" hidden="false" customHeight="false" outlineLevel="0" collapsed="false">
      <c r="A21" s="39" t="s">
        <v>14315</v>
      </c>
      <c r="B21" s="40" t="n">
        <v>0</v>
      </c>
      <c r="C21" s="40" t="n">
        <v>0</v>
      </c>
      <c r="D21" s="40" t="n">
        <v>1</v>
      </c>
      <c r="E21" s="40" t="n">
        <v>3</v>
      </c>
      <c r="F21" s="38"/>
      <c r="G21" s="40" t="n">
        <v>0</v>
      </c>
      <c r="H21" s="40" t="n">
        <v>1</v>
      </c>
      <c r="I21" s="40" t="n">
        <v>0</v>
      </c>
      <c r="J21" s="38"/>
      <c r="K21" s="40" t="n">
        <v>1</v>
      </c>
      <c r="L21" s="40" t="n">
        <v>1</v>
      </c>
      <c r="M21" s="43" t="n">
        <v>0</v>
      </c>
      <c r="N21" s="40" t="n">
        <v>0</v>
      </c>
    </row>
    <row r="22" customFormat="false" ht="14.25" hidden="false" customHeight="false" outlineLevel="0" collapsed="false">
      <c r="A22" s="39" t="s">
        <v>14316</v>
      </c>
      <c r="B22" s="40" t="n">
        <v>0</v>
      </c>
      <c r="C22" s="40" t="n">
        <v>1</v>
      </c>
      <c r="D22" s="40" t="n">
        <v>0</v>
      </c>
      <c r="E22" s="40" t="n">
        <v>2</v>
      </c>
      <c r="F22" s="38"/>
      <c r="G22" s="40" t="n">
        <v>3</v>
      </c>
      <c r="H22" s="40" t="n">
        <v>0</v>
      </c>
      <c r="I22" s="40" t="n">
        <v>1</v>
      </c>
      <c r="J22" s="38"/>
      <c r="K22" s="40" t="n">
        <v>0</v>
      </c>
      <c r="L22" s="40" t="n">
        <v>0</v>
      </c>
      <c r="M22" s="43" t="n">
        <v>0</v>
      </c>
      <c r="N22" s="40" t="n">
        <v>0</v>
      </c>
    </row>
    <row r="23" customFormat="false" ht="14.25" hidden="false" customHeight="false" outlineLevel="0" collapsed="false">
      <c r="A23" s="39" t="s">
        <v>14317</v>
      </c>
      <c r="B23" s="40" t="n">
        <v>0</v>
      </c>
      <c r="C23" s="40" t="n">
        <v>4</v>
      </c>
      <c r="D23" s="40" t="n">
        <v>2</v>
      </c>
      <c r="E23" s="40" t="n">
        <v>2</v>
      </c>
      <c r="F23" s="38"/>
      <c r="G23" s="40" t="n">
        <v>1</v>
      </c>
      <c r="H23" s="40" t="n">
        <v>0</v>
      </c>
      <c r="I23" s="40" t="n">
        <v>0</v>
      </c>
      <c r="J23" s="38"/>
      <c r="K23" s="40" t="n">
        <v>0</v>
      </c>
      <c r="L23" s="40" t="n">
        <v>0</v>
      </c>
      <c r="M23" s="43" t="n">
        <v>0</v>
      </c>
      <c r="N23" s="40" t="n">
        <v>0</v>
      </c>
    </row>
    <row r="24" customFormat="false" ht="14.25" hidden="false" customHeight="false" outlineLevel="0" collapsed="false">
      <c r="A24" s="39" t="s">
        <v>14318</v>
      </c>
      <c r="B24" s="40" t="n">
        <v>1</v>
      </c>
      <c r="C24" s="40" t="n">
        <v>2</v>
      </c>
      <c r="D24" s="40" t="n">
        <v>0</v>
      </c>
      <c r="E24" s="40" t="n">
        <v>2</v>
      </c>
      <c r="F24" s="38"/>
      <c r="G24" s="40" t="n">
        <v>4</v>
      </c>
      <c r="H24" s="40" t="n">
        <v>0</v>
      </c>
      <c r="I24" s="40" t="n">
        <v>0</v>
      </c>
      <c r="J24" s="38"/>
      <c r="K24" s="40" t="n">
        <v>0</v>
      </c>
      <c r="L24" s="40" t="n">
        <v>0</v>
      </c>
      <c r="M24" s="43" t="n">
        <v>1</v>
      </c>
      <c r="N24" s="40" t="n">
        <v>0</v>
      </c>
    </row>
    <row r="25" customFormat="false" ht="14.25" hidden="false" customHeight="false" outlineLevel="0" collapsed="false">
      <c r="A25" s="39" t="s">
        <v>14319</v>
      </c>
      <c r="B25" s="40" t="n">
        <v>0</v>
      </c>
      <c r="C25" s="40" t="n">
        <v>1</v>
      </c>
      <c r="D25" s="40" t="n">
        <v>0</v>
      </c>
      <c r="E25" s="40" t="n">
        <v>2</v>
      </c>
      <c r="F25" s="38"/>
      <c r="G25" s="40" t="n">
        <v>2</v>
      </c>
      <c r="H25" s="40" t="n">
        <v>0</v>
      </c>
      <c r="I25" s="40" t="n">
        <v>1</v>
      </c>
      <c r="J25" s="38"/>
      <c r="K25" s="40" t="n">
        <v>0</v>
      </c>
      <c r="L25" s="40" t="n">
        <v>0</v>
      </c>
      <c r="M25" s="43" t="n">
        <v>0</v>
      </c>
      <c r="N25" s="40" t="n">
        <v>0</v>
      </c>
    </row>
    <row r="26" customFormat="false" ht="14.25" hidden="false" customHeight="false" outlineLevel="0" collapsed="false">
      <c r="A26" s="39" t="s">
        <v>14320</v>
      </c>
      <c r="B26" s="40" t="n">
        <v>1</v>
      </c>
      <c r="C26" s="40" t="n">
        <v>1</v>
      </c>
      <c r="D26" s="40" t="n">
        <v>0</v>
      </c>
      <c r="E26" s="40" t="n">
        <v>3</v>
      </c>
      <c r="F26" s="38"/>
      <c r="G26" s="40" t="n">
        <v>2</v>
      </c>
      <c r="H26" s="40" t="n">
        <v>2</v>
      </c>
      <c r="I26" s="40" t="n">
        <v>0</v>
      </c>
      <c r="J26" s="38"/>
      <c r="K26" s="40" t="n">
        <v>0</v>
      </c>
      <c r="L26" s="40" t="n">
        <v>0</v>
      </c>
      <c r="M26" s="43" t="n">
        <v>0</v>
      </c>
      <c r="N26" s="40" t="n">
        <v>0</v>
      </c>
    </row>
    <row r="27" customFormat="false" ht="14.25" hidden="false" customHeight="false" outlineLevel="0" collapsed="false">
      <c r="A27" s="39" t="s">
        <v>14321</v>
      </c>
      <c r="B27" s="40" t="n">
        <v>1</v>
      </c>
      <c r="C27" s="40" t="n">
        <v>3</v>
      </c>
      <c r="D27" s="40" t="n">
        <v>0</v>
      </c>
      <c r="E27" s="40" t="n">
        <v>1</v>
      </c>
      <c r="F27" s="38"/>
      <c r="G27" s="40" t="n">
        <v>0</v>
      </c>
      <c r="H27" s="40" t="n">
        <v>1</v>
      </c>
      <c r="I27" s="40" t="n">
        <v>1</v>
      </c>
      <c r="J27" s="38"/>
      <c r="K27" s="40" t="n">
        <v>0</v>
      </c>
      <c r="L27" s="40" t="n">
        <v>0</v>
      </c>
      <c r="M27" s="43" t="n">
        <v>0</v>
      </c>
      <c r="N27" s="40" t="n">
        <v>0</v>
      </c>
    </row>
    <row r="28" customFormat="false" ht="14.25" hidden="false" customHeight="false" outlineLevel="0" collapsed="false">
      <c r="A28" s="39" t="s">
        <v>14322</v>
      </c>
      <c r="B28" s="40" t="n">
        <v>1</v>
      </c>
      <c r="C28" s="40" t="n">
        <v>1</v>
      </c>
      <c r="D28" s="40" t="n">
        <v>1</v>
      </c>
      <c r="E28" s="40" t="n">
        <v>0</v>
      </c>
      <c r="F28" s="38"/>
      <c r="G28" s="40" t="n">
        <v>0</v>
      </c>
      <c r="H28" s="40" t="n">
        <v>1</v>
      </c>
      <c r="I28" s="40" t="n">
        <v>0</v>
      </c>
      <c r="J28" s="38"/>
      <c r="K28" s="40" t="n">
        <v>0</v>
      </c>
      <c r="L28" s="40" t="n">
        <v>0</v>
      </c>
      <c r="M28" s="43" t="n">
        <v>0</v>
      </c>
      <c r="N28" s="40" t="n">
        <v>0</v>
      </c>
    </row>
    <row r="29" customFormat="false" ht="14.25" hidden="false" customHeight="false" outlineLevel="0" collapsed="false">
      <c r="A29" s="39" t="s">
        <v>14323</v>
      </c>
      <c r="B29" s="40" t="n">
        <v>0</v>
      </c>
      <c r="C29" s="40" t="n">
        <v>2</v>
      </c>
      <c r="D29" s="40" t="n">
        <v>0</v>
      </c>
      <c r="E29" s="40" t="n">
        <v>3</v>
      </c>
      <c r="F29" s="38"/>
      <c r="G29" s="40" t="n">
        <v>1</v>
      </c>
      <c r="H29" s="40" t="n">
        <v>0</v>
      </c>
      <c r="I29" s="40" t="n">
        <v>0</v>
      </c>
      <c r="J29" s="38"/>
      <c r="K29" s="40" t="n">
        <v>0</v>
      </c>
      <c r="L29" s="40" t="n">
        <v>0</v>
      </c>
      <c r="M29" s="43" t="n">
        <v>0</v>
      </c>
      <c r="N29" s="40" t="n">
        <v>0</v>
      </c>
    </row>
    <row r="30" customFormat="false" ht="14.25" hidden="false" customHeight="false" outlineLevel="0" collapsed="false">
      <c r="A30" s="39" t="s">
        <v>14324</v>
      </c>
      <c r="B30" s="40" t="n">
        <v>0</v>
      </c>
      <c r="C30" s="40" t="n">
        <v>4</v>
      </c>
      <c r="D30" s="40" t="n">
        <v>1</v>
      </c>
      <c r="E30" s="40" t="n">
        <v>0</v>
      </c>
      <c r="F30" s="38"/>
      <c r="G30" s="40" t="n">
        <v>2</v>
      </c>
      <c r="H30" s="40" t="n">
        <v>0</v>
      </c>
      <c r="I30" s="40" t="n">
        <v>0</v>
      </c>
      <c r="J30" s="38"/>
      <c r="K30" s="40" t="n">
        <v>0</v>
      </c>
      <c r="L30" s="40" t="n">
        <v>0</v>
      </c>
      <c r="M30" s="43" t="n">
        <v>0</v>
      </c>
      <c r="N30" s="40" t="n">
        <v>0</v>
      </c>
    </row>
    <row r="31" customFormat="false" ht="14.25" hidden="false" customHeight="false" outlineLevel="0" collapsed="false">
      <c r="A31" s="39" t="s">
        <v>14325</v>
      </c>
      <c r="B31" s="40" t="n">
        <v>2</v>
      </c>
      <c r="C31" s="40" t="n">
        <v>1</v>
      </c>
      <c r="D31" s="40" t="n">
        <v>1</v>
      </c>
      <c r="E31" s="40" t="n">
        <v>1</v>
      </c>
      <c r="F31" s="38"/>
      <c r="G31" s="40" t="n">
        <v>1</v>
      </c>
      <c r="H31" s="40" t="n">
        <v>0</v>
      </c>
      <c r="I31" s="40" t="n">
        <v>0</v>
      </c>
      <c r="J31" s="38"/>
      <c r="K31" s="40" t="n">
        <v>0</v>
      </c>
      <c r="L31" s="40" t="n">
        <v>0</v>
      </c>
      <c r="M31" s="43" t="n">
        <v>0</v>
      </c>
      <c r="N31" s="40" t="n">
        <v>0</v>
      </c>
    </row>
    <row r="32" customFormat="false" ht="14.25" hidden="false" customHeight="false" outlineLevel="0" collapsed="false">
      <c r="A32" s="39" t="s">
        <v>14326</v>
      </c>
      <c r="B32" s="40" t="n">
        <v>0</v>
      </c>
      <c r="C32" s="40" t="n">
        <v>1</v>
      </c>
      <c r="D32" s="40" t="n">
        <v>0</v>
      </c>
      <c r="E32" s="40" t="n">
        <v>0</v>
      </c>
      <c r="F32" s="38"/>
      <c r="G32" s="40" t="n">
        <v>0</v>
      </c>
      <c r="H32" s="40" t="n">
        <v>2</v>
      </c>
      <c r="I32" s="40" t="n">
        <v>0</v>
      </c>
      <c r="J32" s="38"/>
      <c r="K32" s="40" t="n">
        <v>1</v>
      </c>
      <c r="L32" s="40" t="n">
        <v>0</v>
      </c>
      <c r="M32" s="43" t="n">
        <v>0</v>
      </c>
      <c r="N32" s="40" t="n">
        <v>0</v>
      </c>
    </row>
    <row r="33" customFormat="false" ht="14.25" hidden="false" customHeight="false" outlineLevel="0" collapsed="false">
      <c r="A33" s="39" t="s">
        <v>14327</v>
      </c>
      <c r="B33" s="40" t="n">
        <v>1</v>
      </c>
      <c r="C33" s="40" t="n">
        <v>1</v>
      </c>
      <c r="D33" s="40" t="n">
        <v>0</v>
      </c>
      <c r="E33" s="40" t="n">
        <v>0</v>
      </c>
      <c r="F33" s="38"/>
      <c r="G33" s="40" t="n">
        <v>1</v>
      </c>
      <c r="H33" s="40" t="n">
        <v>0</v>
      </c>
      <c r="I33" s="40" t="n">
        <v>0</v>
      </c>
      <c r="J33" s="38"/>
      <c r="K33" s="40" t="n">
        <v>0</v>
      </c>
      <c r="L33" s="40" t="n">
        <v>0</v>
      </c>
      <c r="M33" s="43" t="n">
        <v>0</v>
      </c>
      <c r="N33" s="40" t="n">
        <v>0</v>
      </c>
    </row>
    <row r="34" customFormat="false" ht="14.25" hidden="false" customHeight="false" outlineLevel="0" collapsed="false">
      <c r="A34" s="39" t="s">
        <v>14328</v>
      </c>
      <c r="B34" s="40" t="n">
        <v>0</v>
      </c>
      <c r="C34" s="40" t="n">
        <v>0</v>
      </c>
      <c r="D34" s="40" t="n">
        <v>0</v>
      </c>
      <c r="E34" s="40" t="n">
        <v>0</v>
      </c>
      <c r="F34" s="38"/>
      <c r="G34" s="40" t="n">
        <v>0</v>
      </c>
      <c r="H34" s="40" t="n">
        <v>0</v>
      </c>
      <c r="I34" s="40" t="n">
        <v>0</v>
      </c>
      <c r="J34" s="38"/>
      <c r="K34" s="40" t="n">
        <v>0</v>
      </c>
      <c r="L34" s="40" t="n">
        <v>0</v>
      </c>
      <c r="M34" s="43" t="n">
        <v>0</v>
      </c>
      <c r="N34" s="40" t="n">
        <v>0</v>
      </c>
    </row>
    <row r="35" customFormat="false" ht="14.25" hidden="false" customHeight="false" outlineLevel="0" collapsed="false">
      <c r="A35" s="39" t="s">
        <v>14329</v>
      </c>
      <c r="B35" s="40" t="n">
        <v>0</v>
      </c>
      <c r="C35" s="40" t="n">
        <v>0</v>
      </c>
      <c r="D35" s="40" t="n">
        <v>0</v>
      </c>
      <c r="E35" s="40" t="n">
        <v>0</v>
      </c>
      <c r="F35" s="38"/>
      <c r="G35" s="40" t="n">
        <v>1</v>
      </c>
      <c r="H35" s="40" t="n">
        <v>1</v>
      </c>
      <c r="I35" s="40" t="n">
        <v>0</v>
      </c>
      <c r="J35" s="38"/>
      <c r="K35" s="40" t="n">
        <v>0</v>
      </c>
      <c r="L35" s="40" t="n">
        <v>0</v>
      </c>
      <c r="M35" s="43" t="n">
        <v>0</v>
      </c>
      <c r="N35" s="40" t="n">
        <v>0</v>
      </c>
    </row>
    <row r="36" customFormat="false" ht="14.25" hidden="false" customHeight="false" outlineLevel="0" collapsed="false">
      <c r="A36" s="39" t="s">
        <v>14330</v>
      </c>
      <c r="B36" s="40" t="n">
        <v>1</v>
      </c>
      <c r="C36" s="40" t="n">
        <v>1</v>
      </c>
      <c r="D36" s="40" t="n">
        <v>0</v>
      </c>
      <c r="E36" s="40" t="n">
        <v>0</v>
      </c>
      <c r="F36" s="38"/>
      <c r="G36" s="40" t="n">
        <v>0</v>
      </c>
      <c r="H36" s="40" t="n">
        <v>0</v>
      </c>
      <c r="I36" s="40" t="n">
        <v>1</v>
      </c>
      <c r="J36" s="38"/>
      <c r="K36" s="40" t="n">
        <v>0</v>
      </c>
      <c r="L36" s="40" t="n">
        <v>0</v>
      </c>
      <c r="M36" s="43" t="n">
        <v>0</v>
      </c>
      <c r="N36" s="40" t="n">
        <v>0</v>
      </c>
    </row>
    <row r="37" customFormat="false" ht="14.25" hidden="false" customHeight="false" outlineLevel="0" collapsed="false">
      <c r="A37" s="39" t="s">
        <v>14331</v>
      </c>
      <c r="B37" s="40" t="n">
        <v>1</v>
      </c>
      <c r="C37" s="40" t="n">
        <v>0</v>
      </c>
      <c r="D37" s="40" t="n">
        <v>0</v>
      </c>
      <c r="E37" s="40" t="n">
        <v>0</v>
      </c>
      <c r="F37" s="38"/>
      <c r="G37" s="40" t="n">
        <v>0</v>
      </c>
      <c r="H37" s="40" t="n">
        <v>0</v>
      </c>
      <c r="I37" s="40" t="n">
        <v>0</v>
      </c>
      <c r="J37" s="38"/>
      <c r="K37" s="40" t="n">
        <v>1</v>
      </c>
      <c r="L37" s="40" t="n">
        <v>0</v>
      </c>
      <c r="M37" s="43" t="n">
        <v>0</v>
      </c>
      <c r="N37" s="40" t="n">
        <v>0</v>
      </c>
    </row>
    <row r="38" customFormat="false" ht="14.25" hidden="false" customHeight="false" outlineLevel="0" collapsed="false">
      <c r="A38" s="39" t="s">
        <v>14332</v>
      </c>
      <c r="B38" s="40" t="n">
        <v>1</v>
      </c>
      <c r="C38" s="40" t="n">
        <v>1</v>
      </c>
      <c r="D38" s="40" t="n">
        <v>0</v>
      </c>
      <c r="E38" s="40" t="n">
        <v>0</v>
      </c>
      <c r="F38" s="38"/>
      <c r="G38" s="40" t="n">
        <v>1</v>
      </c>
      <c r="H38" s="40" t="n">
        <v>0</v>
      </c>
      <c r="I38" s="40" t="n">
        <v>0</v>
      </c>
      <c r="J38" s="38"/>
      <c r="K38" s="40" t="n">
        <v>0</v>
      </c>
      <c r="L38" s="40" t="n">
        <v>0</v>
      </c>
      <c r="M38" s="43" t="n">
        <v>0</v>
      </c>
      <c r="N38" s="40" t="n">
        <v>0</v>
      </c>
    </row>
    <row r="39" customFormat="false" ht="14.25" hidden="false" customHeight="false" outlineLevel="0" collapsed="false">
      <c r="A39" s="39" t="s">
        <v>14333</v>
      </c>
      <c r="B39" s="40" t="n">
        <v>0</v>
      </c>
      <c r="C39" s="40" t="n">
        <v>2</v>
      </c>
      <c r="D39" s="40" t="n">
        <v>2</v>
      </c>
      <c r="E39" s="40" t="n">
        <v>1</v>
      </c>
      <c r="F39" s="38"/>
      <c r="G39" s="40" t="n">
        <v>1</v>
      </c>
      <c r="H39" s="40" t="n">
        <v>0</v>
      </c>
      <c r="I39" s="40" t="n">
        <v>0</v>
      </c>
      <c r="J39" s="38"/>
      <c r="K39" s="40" t="n">
        <v>0</v>
      </c>
      <c r="L39" s="40" t="n">
        <v>0</v>
      </c>
      <c r="M39" s="43" t="n">
        <v>0</v>
      </c>
      <c r="N39" s="40" t="n">
        <v>0</v>
      </c>
    </row>
    <row r="40" customFormat="false" ht="14.25" hidden="false" customHeight="false" outlineLevel="0" collapsed="false">
      <c r="A40" s="39" t="s">
        <v>14334</v>
      </c>
      <c r="B40" s="40" t="n">
        <v>1</v>
      </c>
      <c r="C40" s="40" t="n">
        <v>0</v>
      </c>
      <c r="D40" s="40" t="n">
        <v>1</v>
      </c>
      <c r="E40" s="40" t="n">
        <v>1</v>
      </c>
      <c r="F40" s="38"/>
      <c r="G40" s="40" t="n">
        <v>0</v>
      </c>
      <c r="H40" s="40" t="n">
        <v>0</v>
      </c>
      <c r="I40" s="40" t="n">
        <v>0</v>
      </c>
      <c r="J40" s="38"/>
      <c r="K40" s="40" t="n">
        <v>0</v>
      </c>
      <c r="L40" s="40" t="n">
        <v>0</v>
      </c>
      <c r="M40" s="43" t="n">
        <v>0</v>
      </c>
      <c r="N40" s="40" t="n">
        <v>0</v>
      </c>
    </row>
    <row r="41" customFormat="false" ht="14.25" hidden="false" customHeight="false" outlineLevel="0" collapsed="false">
      <c r="A41" s="39" t="s">
        <v>14335</v>
      </c>
      <c r="B41" s="40" t="n">
        <v>4</v>
      </c>
      <c r="C41" s="40" t="n">
        <v>2</v>
      </c>
      <c r="D41" s="40" t="n">
        <v>1</v>
      </c>
      <c r="E41" s="40" t="n">
        <v>0</v>
      </c>
      <c r="F41" s="38"/>
      <c r="G41" s="40" t="n">
        <v>1</v>
      </c>
      <c r="H41" s="40" t="n">
        <v>0</v>
      </c>
      <c r="I41" s="40" t="n">
        <v>0</v>
      </c>
      <c r="J41" s="38"/>
      <c r="K41" s="40" t="n">
        <v>0</v>
      </c>
      <c r="L41" s="40" t="n">
        <v>0</v>
      </c>
      <c r="M41" s="43" t="n">
        <v>0</v>
      </c>
      <c r="N41" s="40" t="n">
        <v>0</v>
      </c>
    </row>
    <row r="42" customFormat="false" ht="14.25" hidden="false" customHeight="false" outlineLevel="0" collapsed="false">
      <c r="A42" s="39" t="s">
        <v>14336</v>
      </c>
      <c r="B42" s="40" t="n">
        <v>0</v>
      </c>
      <c r="C42" s="40" t="n">
        <v>1</v>
      </c>
      <c r="D42" s="40" t="n">
        <v>2</v>
      </c>
      <c r="E42" s="40" t="n">
        <v>3</v>
      </c>
      <c r="F42" s="38"/>
      <c r="G42" s="40" t="n">
        <v>1</v>
      </c>
      <c r="H42" s="40" t="n">
        <v>0</v>
      </c>
      <c r="I42" s="40" t="n">
        <v>3</v>
      </c>
      <c r="J42" s="38"/>
      <c r="K42" s="40" t="n">
        <v>0</v>
      </c>
      <c r="L42" s="40" t="n">
        <v>0</v>
      </c>
      <c r="M42" s="43" t="n">
        <v>1</v>
      </c>
      <c r="N42" s="40" t="n">
        <v>0</v>
      </c>
    </row>
    <row r="43" customFormat="false" ht="14.25" hidden="false" customHeight="false" outlineLevel="0" collapsed="false">
      <c r="A43" s="39" t="s">
        <v>14337</v>
      </c>
      <c r="B43" s="40" t="n">
        <v>0</v>
      </c>
      <c r="C43" s="40" t="n">
        <v>4</v>
      </c>
      <c r="D43" s="40" t="n">
        <v>0</v>
      </c>
      <c r="E43" s="40" t="n">
        <v>3</v>
      </c>
      <c r="F43" s="38"/>
      <c r="G43" s="40" t="n">
        <v>4</v>
      </c>
      <c r="H43" s="40" t="n">
        <v>0</v>
      </c>
      <c r="I43" s="40" t="n">
        <v>1</v>
      </c>
      <c r="J43" s="38"/>
      <c r="K43" s="40" t="n">
        <v>0</v>
      </c>
      <c r="L43" s="40" t="n">
        <v>0</v>
      </c>
      <c r="M43" s="43" t="n">
        <v>0</v>
      </c>
      <c r="N43" s="40" t="n">
        <v>0</v>
      </c>
    </row>
    <row r="44" customFormat="false" ht="14.25" hidden="false" customHeight="false" outlineLevel="0" collapsed="false">
      <c r="A44" s="39" t="s">
        <v>14338</v>
      </c>
      <c r="B44" s="40" t="n">
        <v>0</v>
      </c>
      <c r="C44" s="40" t="n">
        <v>4</v>
      </c>
      <c r="D44" s="40" t="n">
        <v>0</v>
      </c>
      <c r="E44" s="40" t="n">
        <v>3</v>
      </c>
      <c r="F44" s="38"/>
      <c r="G44" s="40" t="n">
        <v>0</v>
      </c>
      <c r="H44" s="40" t="n">
        <v>0</v>
      </c>
      <c r="I44" s="40" t="n">
        <v>0</v>
      </c>
      <c r="J44" s="38"/>
      <c r="K44" s="40" t="n">
        <v>0</v>
      </c>
      <c r="L44" s="40" t="n">
        <v>0</v>
      </c>
      <c r="M44" s="43" t="n">
        <v>0</v>
      </c>
      <c r="N44" s="40" t="n">
        <v>0</v>
      </c>
    </row>
    <row r="45" customFormat="false" ht="14.25" hidden="false" customHeight="false" outlineLevel="0" collapsed="false">
      <c r="A45" s="39" t="s">
        <v>14339</v>
      </c>
      <c r="B45" s="40" t="n">
        <v>0</v>
      </c>
      <c r="C45" s="40" t="n">
        <v>1</v>
      </c>
      <c r="D45" s="40" t="n">
        <v>0</v>
      </c>
      <c r="E45" s="40" t="n">
        <v>0</v>
      </c>
      <c r="F45" s="38"/>
      <c r="G45" s="40" t="n">
        <v>0</v>
      </c>
      <c r="H45" s="40" t="n">
        <v>0</v>
      </c>
      <c r="I45" s="40" t="n">
        <v>0</v>
      </c>
      <c r="J45" s="38"/>
      <c r="K45" s="40" t="n">
        <v>0</v>
      </c>
      <c r="L45" s="40" t="n">
        <v>0</v>
      </c>
      <c r="M45" s="43" t="n">
        <v>0</v>
      </c>
      <c r="N45" s="40" t="n">
        <v>0</v>
      </c>
    </row>
    <row r="46" customFormat="false" ht="14.25" hidden="false" customHeight="false" outlineLevel="0" collapsed="false">
      <c r="A46" s="39" t="s">
        <v>14340</v>
      </c>
      <c r="B46" s="40" t="n">
        <v>0</v>
      </c>
      <c r="C46" s="40" t="n">
        <v>1</v>
      </c>
      <c r="D46" s="40" t="n">
        <v>0</v>
      </c>
      <c r="E46" s="40" t="n">
        <v>0</v>
      </c>
      <c r="F46" s="38"/>
      <c r="G46" s="40" t="n">
        <v>0</v>
      </c>
      <c r="H46" s="40" t="n">
        <v>0</v>
      </c>
      <c r="I46" s="40" t="n">
        <v>0</v>
      </c>
      <c r="J46" s="38"/>
      <c r="K46" s="40" t="n">
        <v>0</v>
      </c>
      <c r="L46" s="40" t="n">
        <v>0</v>
      </c>
      <c r="M46" s="43" t="n">
        <v>0</v>
      </c>
      <c r="N46" s="40" t="n">
        <v>0</v>
      </c>
    </row>
    <row r="47" customFormat="false" ht="14.25" hidden="false" customHeight="false" outlineLevel="0" collapsed="false">
      <c r="A47" s="39" t="s">
        <v>14341</v>
      </c>
      <c r="B47" s="40" t="n">
        <v>1</v>
      </c>
      <c r="C47" s="40" t="n">
        <v>0</v>
      </c>
      <c r="D47" s="40" t="n">
        <v>2</v>
      </c>
      <c r="E47" s="40" t="n">
        <v>2</v>
      </c>
      <c r="F47" s="38"/>
      <c r="G47" s="40" t="n">
        <v>2</v>
      </c>
      <c r="H47" s="40" t="n">
        <v>1</v>
      </c>
      <c r="I47" s="40" t="n">
        <v>0</v>
      </c>
      <c r="J47" s="38"/>
      <c r="K47" s="40" t="n">
        <v>1</v>
      </c>
      <c r="L47" s="40" t="n">
        <v>0</v>
      </c>
      <c r="M47" s="43" t="n">
        <v>0</v>
      </c>
      <c r="N47" s="40" t="n">
        <v>2</v>
      </c>
    </row>
    <row r="48" customFormat="false" ht="14.25" hidden="false" customHeight="false" outlineLevel="0" collapsed="false">
      <c r="A48" s="39" t="s">
        <v>14342</v>
      </c>
      <c r="B48" s="40" t="n">
        <v>0</v>
      </c>
      <c r="C48" s="40" t="n">
        <v>2</v>
      </c>
      <c r="D48" s="40" t="n">
        <v>0</v>
      </c>
      <c r="E48" s="40" t="n">
        <v>2</v>
      </c>
      <c r="F48" s="38"/>
      <c r="G48" s="40" t="n">
        <v>1</v>
      </c>
      <c r="H48" s="40" t="n">
        <v>0</v>
      </c>
      <c r="I48" s="40" t="n">
        <v>3</v>
      </c>
      <c r="J48" s="38"/>
      <c r="K48" s="40" t="n">
        <v>0</v>
      </c>
      <c r="L48" s="40" t="n">
        <v>0</v>
      </c>
      <c r="M48" s="43" t="n">
        <v>0</v>
      </c>
      <c r="N48" s="40" t="n">
        <v>0</v>
      </c>
    </row>
    <row r="49" customFormat="false" ht="14.25" hidden="false" customHeight="false" outlineLevel="0" collapsed="false">
      <c r="A49" s="39" t="s">
        <v>14343</v>
      </c>
      <c r="B49" s="40" t="n">
        <v>0</v>
      </c>
      <c r="C49" s="40" t="n">
        <v>0</v>
      </c>
      <c r="D49" s="40" t="n">
        <v>2</v>
      </c>
      <c r="E49" s="40" t="n">
        <v>3</v>
      </c>
      <c r="F49" s="38"/>
      <c r="G49" s="40" t="n">
        <v>0</v>
      </c>
      <c r="H49" s="40" t="n">
        <v>0</v>
      </c>
      <c r="I49" s="40" t="n">
        <v>2</v>
      </c>
      <c r="J49" s="38"/>
      <c r="K49" s="40" t="n">
        <v>0</v>
      </c>
      <c r="L49" s="40" t="n">
        <v>0</v>
      </c>
      <c r="M49" s="43" t="n">
        <v>0</v>
      </c>
      <c r="N49" s="40" t="n">
        <v>1</v>
      </c>
    </row>
    <row r="50" customFormat="false" ht="14.25" hidden="false" customHeight="false" outlineLevel="0" collapsed="false">
      <c r="A50" s="39" t="s">
        <v>14344</v>
      </c>
      <c r="B50" s="40" t="n">
        <v>1</v>
      </c>
      <c r="C50" s="40" t="n">
        <v>0</v>
      </c>
      <c r="D50" s="40" t="n">
        <v>0</v>
      </c>
      <c r="E50" s="40" t="n">
        <v>2</v>
      </c>
      <c r="F50" s="38"/>
      <c r="G50" s="40" t="n">
        <v>2</v>
      </c>
      <c r="H50" s="40" t="n">
        <v>4</v>
      </c>
      <c r="I50" s="40" t="n">
        <v>1</v>
      </c>
      <c r="J50" s="38"/>
      <c r="K50" s="40" t="n">
        <v>0</v>
      </c>
      <c r="L50" s="40" t="n">
        <v>0</v>
      </c>
      <c r="M50" s="43" t="n">
        <v>0</v>
      </c>
      <c r="N50" s="40" t="n">
        <v>0</v>
      </c>
    </row>
    <row r="51" customFormat="false" ht="14.25" hidden="false" customHeight="false" outlineLevel="0" collapsed="false">
      <c r="A51" s="39" t="s">
        <v>14345</v>
      </c>
      <c r="B51" s="40" t="n">
        <v>2</v>
      </c>
      <c r="C51" s="40" t="n">
        <v>0</v>
      </c>
      <c r="D51" s="40" t="n">
        <v>1</v>
      </c>
      <c r="E51" s="40" t="n">
        <v>0</v>
      </c>
      <c r="F51" s="38"/>
      <c r="G51" s="40" t="n">
        <v>1</v>
      </c>
      <c r="H51" s="40" t="n">
        <v>2</v>
      </c>
      <c r="I51" s="40" t="n">
        <v>0</v>
      </c>
      <c r="J51" s="38"/>
      <c r="K51" s="40" t="n">
        <v>0</v>
      </c>
      <c r="L51" s="40" t="n">
        <v>0</v>
      </c>
      <c r="M51" s="43" t="n">
        <v>0</v>
      </c>
      <c r="N51" s="40" t="n">
        <v>0</v>
      </c>
    </row>
    <row r="52" customFormat="false" ht="14.25" hidden="false" customHeight="false" outlineLevel="0" collapsed="false">
      <c r="A52" s="39" t="s">
        <v>14346</v>
      </c>
      <c r="B52" s="40" t="n">
        <v>4</v>
      </c>
      <c r="C52" s="40" t="n">
        <v>1</v>
      </c>
      <c r="D52" s="40" t="n">
        <v>2</v>
      </c>
      <c r="E52" s="40" t="n">
        <v>0</v>
      </c>
      <c r="F52" s="38"/>
      <c r="G52" s="40" t="n">
        <v>3</v>
      </c>
      <c r="H52" s="40" t="n">
        <v>0</v>
      </c>
      <c r="I52" s="40" t="n">
        <v>0</v>
      </c>
      <c r="J52" s="38"/>
      <c r="K52" s="40" t="n">
        <v>0</v>
      </c>
      <c r="L52" s="40" t="n">
        <v>0</v>
      </c>
      <c r="M52" s="43" t="n">
        <v>0</v>
      </c>
      <c r="N52" s="40" t="n">
        <v>2</v>
      </c>
    </row>
    <row r="53" customFormat="false" ht="14.25" hidden="false" customHeight="false" outlineLevel="0" collapsed="false">
      <c r="A53" s="39" t="s">
        <v>14347</v>
      </c>
      <c r="B53" s="40" t="n">
        <v>3</v>
      </c>
      <c r="C53" s="40" t="n">
        <v>3</v>
      </c>
      <c r="D53" s="40" t="n">
        <v>5</v>
      </c>
      <c r="E53" s="40" t="n">
        <v>0</v>
      </c>
      <c r="F53" s="38"/>
      <c r="G53" s="40" t="n">
        <v>0</v>
      </c>
      <c r="H53" s="40" t="n">
        <v>1</v>
      </c>
      <c r="I53" s="40" t="n">
        <v>0</v>
      </c>
      <c r="J53" s="38"/>
      <c r="K53" s="40" t="n">
        <v>0</v>
      </c>
      <c r="L53" s="40" t="n">
        <v>0</v>
      </c>
      <c r="M53" s="43" t="n">
        <v>0</v>
      </c>
      <c r="N53" s="40" t="n">
        <v>0</v>
      </c>
    </row>
    <row r="54" customFormat="false" ht="14.25" hidden="false" customHeight="false" outlineLevel="0" collapsed="false">
      <c r="A54" s="39" t="s">
        <v>14348</v>
      </c>
      <c r="B54" s="40" t="n">
        <v>2</v>
      </c>
      <c r="C54" s="40" t="n">
        <v>3</v>
      </c>
      <c r="D54" s="40" t="n">
        <v>0</v>
      </c>
      <c r="E54" s="40" t="n">
        <v>0</v>
      </c>
      <c r="F54" s="38"/>
      <c r="G54" s="40" t="n">
        <v>2</v>
      </c>
      <c r="H54" s="40" t="n">
        <v>0</v>
      </c>
      <c r="I54" s="40" t="n">
        <v>0</v>
      </c>
      <c r="J54" s="38"/>
      <c r="K54" s="40" t="n">
        <v>0</v>
      </c>
      <c r="L54" s="40" t="n">
        <v>0</v>
      </c>
      <c r="M54" s="43" t="n">
        <v>0</v>
      </c>
      <c r="N54" s="40" t="n">
        <v>0</v>
      </c>
    </row>
    <row r="57" customFormat="false" ht="14.25" hidden="false" customHeight="false" outlineLevel="0" collapsed="false">
      <c r="B57" s="39" t="s">
        <v>1479</v>
      </c>
      <c r="C57" s="39"/>
      <c r="D57" s="39"/>
      <c r="E57" s="39"/>
      <c r="F57" s="39" t="s">
        <v>1495</v>
      </c>
      <c r="G57" s="39"/>
      <c r="H57" s="39"/>
      <c r="I57" s="39" t="s">
        <v>1503</v>
      </c>
      <c r="J57" s="39"/>
      <c r="K57" s="39"/>
      <c r="L57" s="39"/>
    </row>
    <row r="58" customFormat="false" ht="14.25" hidden="false" customHeight="false" outlineLevel="0" collapsed="false">
      <c r="B58" s="41" t="s">
        <v>1600</v>
      </c>
      <c r="C58" s="41" t="s">
        <v>14296</v>
      </c>
      <c r="D58" s="41" t="s">
        <v>14019</v>
      </c>
      <c r="E58" s="41" t="s">
        <v>10235</v>
      </c>
      <c r="F58" s="41" t="s">
        <v>14296</v>
      </c>
      <c r="G58" s="41" t="s">
        <v>14019</v>
      </c>
      <c r="H58" s="41" t="s">
        <v>10235</v>
      </c>
      <c r="I58" s="46" t="s">
        <v>4303</v>
      </c>
      <c r="J58" s="46" t="s">
        <v>13130</v>
      </c>
      <c r="K58" s="47" t="s">
        <v>1648</v>
      </c>
      <c r="L58" s="46" t="s">
        <v>12687</v>
      </c>
    </row>
    <row r="59" customFormat="false" ht="14.25" hidden="false" customHeight="false" outlineLevel="0" collapsed="false">
      <c r="B59" s="48" t="n">
        <f aca="false">SUM(B4:B54)</f>
        <v>43</v>
      </c>
      <c r="C59" s="48" t="n">
        <f aca="false">SUM(C4:C54)</f>
        <v>66</v>
      </c>
      <c r="D59" s="48" t="n">
        <f aca="false">SUM(D4:D54)</f>
        <v>40</v>
      </c>
      <c r="E59" s="48" t="n">
        <f aca="false">SUM(E4:E54)</f>
        <v>68</v>
      </c>
      <c r="F59" s="48" t="n">
        <f aca="false">SUM(G4:G54)</f>
        <v>51</v>
      </c>
      <c r="G59" s="48" t="n">
        <f aca="false">SUM(H4:H54)</f>
        <v>23</v>
      </c>
      <c r="H59" s="48" t="n">
        <f aca="false">SUM(I4:I54)</f>
        <v>21</v>
      </c>
      <c r="I59" s="48" t="n">
        <f aca="false">SUM(K4:K54)</f>
        <v>6</v>
      </c>
      <c r="J59" s="48" t="n">
        <f aca="false">SUM(L4:L54)</f>
        <v>5</v>
      </c>
      <c r="K59" s="48" t="n">
        <f aca="false">SUM(M4:M54)</f>
        <v>2</v>
      </c>
      <c r="L59" s="48" t="n">
        <f aca="false">SUM(N4:N54)</f>
        <v>25</v>
      </c>
      <c r="M59" s="49" t="n">
        <f aca="false">SUM(B59:L59)</f>
        <v>350</v>
      </c>
    </row>
  </sheetData>
  <mergeCells count="7">
    <mergeCell ref="A1:N1"/>
    <mergeCell ref="B2:E2"/>
    <mergeCell ref="G2:I2"/>
    <mergeCell ref="K2:N2"/>
    <mergeCell ref="B57:E57"/>
    <mergeCell ref="F57:H57"/>
    <mergeCell ref="I57:L57"/>
  </mergeCells>
  <printOptions headings="false" gridLines="false" gridLinesSet="true" horizontalCentered="false" verticalCentered="false"/>
  <pageMargins left="0.511805555555556" right="0.511805555555556" top="0.7875" bottom="0.7875" header="0.511811023622047" footer="0.315277777777778"/>
  <pageSetup paperSize="9" scale="100" fitToWidth="1" fitToHeight="1" pageOrder="downThenOver" orientation="portrait" blackAndWhite="false" draft="false" cellComments="none" horizontalDpi="300" verticalDpi="300" copies="1"/>
  <headerFooter differentFirst="false" differentOddEven="false">
    <oddHeader/>
    <oddFooter>&amp;R&amp;1#&amp;"Arial,Regular"&amp;10Confidential C</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5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3" ySplit="3" topLeftCell="N4" activePane="bottomRight" state="frozen"/>
      <selection pane="topLeft" activeCell="A1" activeCellId="0" sqref="A1"/>
      <selection pane="topRight" activeCell="N1" activeCellId="0" sqref="N1"/>
      <selection pane="bottomLeft" activeCell="A4" activeCellId="0" sqref="A4"/>
      <selection pane="bottomRight" activeCell="I13" activeCellId="0" sqref="I13"/>
    </sheetView>
  </sheetViews>
  <sheetFormatPr defaultColWidth="8.54296875" defaultRowHeight="14.25" zeroHeight="false" outlineLevelRow="0" outlineLevelCol="0"/>
  <cols>
    <col collapsed="false" customWidth="true" hidden="false" outlineLevel="0" max="2" min="2" style="0" width="10.71"/>
    <col collapsed="false" customWidth="true" hidden="false" outlineLevel="0" max="3" min="3" style="0" width="10"/>
    <col collapsed="false" customWidth="true" hidden="false" outlineLevel="0" max="5" min="5" style="0" width="10.71"/>
    <col collapsed="false" customWidth="true" hidden="false" outlineLevel="0" max="7" min="7" style="0" width="10"/>
    <col collapsed="false" customWidth="true" hidden="false" outlineLevel="0" max="9" min="9" style="0" width="10.71"/>
    <col collapsed="false" customWidth="true" hidden="false" outlineLevel="0" max="14" min="14" style="0" width="9.85"/>
  </cols>
  <sheetData>
    <row r="1" customFormat="false" ht="15" hidden="false" customHeight="false" outlineLevel="0" collapsed="false">
      <c r="A1" s="37" t="s">
        <v>14349</v>
      </c>
      <c r="B1" s="37"/>
      <c r="C1" s="37"/>
      <c r="D1" s="37"/>
      <c r="E1" s="37"/>
      <c r="F1" s="37"/>
      <c r="G1" s="37"/>
      <c r="H1" s="37"/>
      <c r="I1" s="37"/>
      <c r="J1" s="37"/>
      <c r="K1" s="37"/>
      <c r="L1" s="37"/>
      <c r="M1" s="37"/>
      <c r="N1" s="37"/>
    </row>
    <row r="2" customFormat="false" ht="14.25" hidden="false" customHeight="false" outlineLevel="0" collapsed="false">
      <c r="A2" s="38"/>
      <c r="B2" s="39" t="s">
        <v>1479</v>
      </c>
      <c r="C2" s="39"/>
      <c r="D2" s="39"/>
      <c r="E2" s="39"/>
      <c r="F2" s="38"/>
      <c r="G2" s="39" t="s">
        <v>1495</v>
      </c>
      <c r="H2" s="39"/>
      <c r="I2" s="39"/>
      <c r="J2" s="38"/>
      <c r="K2" s="39" t="s">
        <v>1503</v>
      </c>
      <c r="L2" s="39"/>
      <c r="M2" s="39"/>
      <c r="N2" s="39"/>
    </row>
    <row r="3" customFormat="false" ht="14.25" hidden="false" customHeight="false" outlineLevel="0" collapsed="false">
      <c r="A3" s="40"/>
      <c r="B3" s="41" t="s">
        <v>1600</v>
      </c>
      <c r="C3" s="41" t="s">
        <v>14296</v>
      </c>
      <c r="D3" s="41" t="s">
        <v>14019</v>
      </c>
      <c r="E3" s="41" t="s">
        <v>10235</v>
      </c>
      <c r="F3" s="38"/>
      <c r="G3" s="41" t="s">
        <v>14296</v>
      </c>
      <c r="H3" s="41" t="s">
        <v>14019</v>
      </c>
      <c r="I3" s="41" t="s">
        <v>10235</v>
      </c>
      <c r="J3" s="38"/>
      <c r="K3" s="41" t="s">
        <v>4303</v>
      </c>
      <c r="L3" s="41" t="s">
        <v>13130</v>
      </c>
      <c r="M3" s="42" t="s">
        <v>1648</v>
      </c>
      <c r="N3" s="41" t="s">
        <v>12687</v>
      </c>
    </row>
    <row r="4" customFormat="false" ht="14.25" hidden="false" customHeight="false" outlineLevel="0" collapsed="false">
      <c r="A4" s="39" t="s">
        <v>14297</v>
      </c>
      <c r="B4" s="40"/>
      <c r="C4" s="40"/>
      <c r="D4" s="40"/>
      <c r="E4" s="40"/>
      <c r="F4" s="38"/>
      <c r="G4" s="40"/>
      <c r="H4" s="40"/>
      <c r="I4" s="40"/>
      <c r="J4" s="38"/>
      <c r="K4" s="40"/>
      <c r="L4" s="40"/>
      <c r="M4" s="43"/>
      <c r="N4" s="40"/>
    </row>
    <row r="5" customFormat="false" ht="14.25" hidden="false" customHeight="false" outlineLevel="0" collapsed="false">
      <c r="A5" s="39" t="s">
        <v>14298</v>
      </c>
      <c r="B5" s="40" t="n">
        <v>1</v>
      </c>
      <c r="C5" s="40" t="n">
        <v>1</v>
      </c>
      <c r="D5" s="40" t="n">
        <v>0</v>
      </c>
      <c r="E5" s="40" t="n">
        <v>0</v>
      </c>
      <c r="F5" s="38"/>
      <c r="G5" s="40" t="n">
        <v>0</v>
      </c>
      <c r="H5" s="40" t="n">
        <v>1</v>
      </c>
      <c r="I5" s="40" t="n">
        <v>0</v>
      </c>
      <c r="J5" s="38"/>
      <c r="K5" s="40" t="n">
        <v>0</v>
      </c>
      <c r="L5" s="40" t="n">
        <v>0</v>
      </c>
      <c r="M5" s="43" t="n">
        <v>0</v>
      </c>
      <c r="N5" s="40" t="n">
        <v>0</v>
      </c>
    </row>
    <row r="6" customFormat="false" ht="14.25" hidden="false" customHeight="false" outlineLevel="0" collapsed="false">
      <c r="A6" s="39" t="s">
        <v>14299</v>
      </c>
      <c r="B6" s="40" t="n">
        <v>3</v>
      </c>
      <c r="C6" s="40" t="n">
        <v>0</v>
      </c>
      <c r="D6" s="40" t="n">
        <v>1</v>
      </c>
      <c r="E6" s="40" t="n">
        <v>1</v>
      </c>
      <c r="F6" s="38"/>
      <c r="G6" s="40" t="n">
        <v>1</v>
      </c>
      <c r="H6" s="40" t="n">
        <v>1</v>
      </c>
      <c r="I6" s="40" t="n">
        <v>0</v>
      </c>
      <c r="J6" s="38"/>
      <c r="K6" s="44" t="n">
        <v>0</v>
      </c>
      <c r="L6" s="44" t="n">
        <v>0</v>
      </c>
      <c r="M6" s="45" t="n">
        <v>0</v>
      </c>
      <c r="N6" s="44" t="n">
        <v>2</v>
      </c>
    </row>
    <row r="7" customFormat="false" ht="14.25" hidden="false" customHeight="false" outlineLevel="0" collapsed="false">
      <c r="A7" s="39" t="s">
        <v>14300</v>
      </c>
      <c r="B7" s="40"/>
      <c r="C7" s="40"/>
      <c r="D7" s="40"/>
      <c r="E7" s="40"/>
      <c r="F7" s="38"/>
      <c r="G7" s="40"/>
      <c r="H7" s="40"/>
      <c r="I7" s="40"/>
      <c r="J7" s="38"/>
      <c r="K7" s="40"/>
      <c r="L7" s="40"/>
      <c r="M7" s="43"/>
      <c r="N7" s="40"/>
    </row>
    <row r="8" customFormat="false" ht="14.25" hidden="false" customHeight="false" outlineLevel="0" collapsed="false">
      <c r="A8" s="39" t="s">
        <v>14301</v>
      </c>
      <c r="B8" s="40"/>
      <c r="C8" s="40"/>
      <c r="D8" s="40"/>
      <c r="E8" s="40"/>
      <c r="F8" s="38"/>
      <c r="G8" s="40"/>
      <c r="H8" s="40"/>
      <c r="I8" s="40"/>
      <c r="J8" s="38"/>
      <c r="K8" s="40"/>
      <c r="L8" s="40"/>
      <c r="M8" s="43"/>
      <c r="N8" s="40"/>
    </row>
    <row r="9" customFormat="false" ht="14.25" hidden="false" customHeight="false" outlineLevel="0" collapsed="false">
      <c r="A9" s="39" t="s">
        <v>14302</v>
      </c>
      <c r="B9" s="40"/>
      <c r="C9" s="40"/>
      <c r="D9" s="40"/>
      <c r="E9" s="40"/>
      <c r="F9" s="38"/>
      <c r="G9" s="40"/>
      <c r="H9" s="40"/>
      <c r="I9" s="40"/>
      <c r="J9" s="38"/>
      <c r="K9" s="40"/>
      <c r="L9" s="40"/>
      <c r="M9" s="43"/>
      <c r="N9" s="40"/>
    </row>
    <row r="10" customFormat="false" ht="14.25" hidden="false" customHeight="false" outlineLevel="0" collapsed="false">
      <c r="A10" s="39" t="s">
        <v>14303</v>
      </c>
      <c r="B10" s="40"/>
      <c r="C10" s="40"/>
      <c r="D10" s="40"/>
      <c r="E10" s="40"/>
      <c r="F10" s="38"/>
      <c r="G10" s="40"/>
      <c r="H10" s="40"/>
      <c r="I10" s="40"/>
      <c r="J10" s="38"/>
      <c r="K10" s="44"/>
      <c r="L10" s="44"/>
      <c r="M10" s="45"/>
      <c r="N10" s="44"/>
    </row>
    <row r="11" customFormat="false" ht="14.25" hidden="false" customHeight="false" outlineLevel="0" collapsed="false">
      <c r="A11" s="39" t="s">
        <v>14304</v>
      </c>
      <c r="B11" s="40"/>
      <c r="C11" s="40"/>
      <c r="D11" s="40"/>
      <c r="E11" s="40"/>
      <c r="F11" s="38"/>
      <c r="G11" s="40"/>
      <c r="H11" s="40"/>
      <c r="I11" s="40"/>
      <c r="J11" s="38"/>
      <c r="K11" s="44"/>
      <c r="L11" s="44"/>
      <c r="M11" s="45"/>
      <c r="N11" s="44"/>
    </row>
    <row r="12" customFormat="false" ht="14.25" hidden="false" customHeight="false" outlineLevel="0" collapsed="false">
      <c r="A12" s="39" t="s">
        <v>14305</v>
      </c>
      <c r="B12" s="40"/>
      <c r="C12" s="40"/>
      <c r="D12" s="40"/>
      <c r="E12" s="40"/>
      <c r="F12" s="38"/>
      <c r="G12" s="40"/>
      <c r="H12" s="40"/>
      <c r="I12" s="40"/>
      <c r="J12" s="38"/>
      <c r="K12" s="40"/>
      <c r="L12" s="40"/>
      <c r="M12" s="43"/>
      <c r="N12" s="40"/>
    </row>
    <row r="13" customFormat="false" ht="14.25" hidden="false" customHeight="false" outlineLevel="0" collapsed="false">
      <c r="A13" s="39" t="s">
        <v>14306</v>
      </c>
      <c r="B13" s="40"/>
      <c r="C13" s="40"/>
      <c r="D13" s="40"/>
      <c r="E13" s="40"/>
      <c r="F13" s="38"/>
      <c r="G13" s="40"/>
      <c r="H13" s="40"/>
      <c r="I13" s="40"/>
      <c r="J13" s="38"/>
      <c r="K13" s="40"/>
      <c r="L13" s="40"/>
      <c r="M13" s="43"/>
      <c r="N13" s="40"/>
    </row>
    <row r="14" customFormat="false" ht="14.25" hidden="false" customHeight="false" outlineLevel="0" collapsed="false">
      <c r="A14" s="39" t="s">
        <v>14307</v>
      </c>
      <c r="B14" s="40"/>
      <c r="C14" s="40"/>
      <c r="D14" s="40"/>
      <c r="E14" s="40"/>
      <c r="F14" s="38"/>
      <c r="G14" s="40"/>
      <c r="H14" s="40"/>
      <c r="I14" s="40"/>
      <c r="J14" s="38"/>
      <c r="K14" s="40"/>
      <c r="L14" s="40"/>
      <c r="M14" s="43"/>
      <c r="N14" s="40"/>
    </row>
    <row r="15" customFormat="false" ht="14.25" hidden="false" customHeight="false" outlineLevel="0" collapsed="false">
      <c r="A15" s="39" t="s">
        <v>14308</v>
      </c>
      <c r="B15" s="40"/>
      <c r="C15" s="40"/>
      <c r="D15" s="40"/>
      <c r="E15" s="40"/>
      <c r="F15" s="38"/>
      <c r="G15" s="40"/>
      <c r="H15" s="40"/>
      <c r="I15" s="40"/>
      <c r="J15" s="38"/>
      <c r="K15" s="40"/>
      <c r="L15" s="40"/>
      <c r="M15" s="43"/>
      <c r="N15" s="40"/>
    </row>
    <row r="16" customFormat="false" ht="14.25" hidden="false" customHeight="false" outlineLevel="0" collapsed="false">
      <c r="A16" s="39" t="s">
        <v>14309</v>
      </c>
      <c r="B16" s="40"/>
      <c r="C16" s="40"/>
      <c r="D16" s="40"/>
      <c r="E16" s="40"/>
      <c r="F16" s="38"/>
      <c r="G16" s="40"/>
      <c r="H16" s="40"/>
      <c r="I16" s="40"/>
      <c r="J16" s="38"/>
      <c r="K16" s="40"/>
      <c r="L16" s="40"/>
      <c r="M16" s="43"/>
      <c r="N16" s="40"/>
    </row>
    <row r="17" customFormat="false" ht="14.25" hidden="false" customHeight="false" outlineLevel="0" collapsed="false">
      <c r="A17" s="39" t="s">
        <v>14311</v>
      </c>
      <c r="B17" s="40"/>
      <c r="C17" s="40"/>
      <c r="D17" s="40"/>
      <c r="E17" s="40"/>
      <c r="F17" s="38"/>
      <c r="G17" s="40"/>
      <c r="H17" s="40"/>
      <c r="I17" s="40"/>
      <c r="J17" s="38"/>
      <c r="K17" s="40"/>
      <c r="L17" s="40"/>
      <c r="M17" s="43"/>
      <c r="N17" s="40"/>
    </row>
    <row r="18" customFormat="false" ht="14.25" hidden="false" customHeight="false" outlineLevel="0" collapsed="false">
      <c r="A18" s="39" t="s">
        <v>14312</v>
      </c>
      <c r="B18" s="40"/>
      <c r="C18" s="40"/>
      <c r="D18" s="40"/>
      <c r="E18" s="40"/>
      <c r="F18" s="38"/>
      <c r="G18" s="40"/>
      <c r="H18" s="40"/>
      <c r="I18" s="40"/>
      <c r="J18" s="38"/>
      <c r="K18" s="40"/>
      <c r="L18" s="40"/>
      <c r="M18" s="43"/>
      <c r="N18" s="40"/>
    </row>
    <row r="19" customFormat="false" ht="14.25" hidden="false" customHeight="false" outlineLevel="0" collapsed="false">
      <c r="A19" s="39" t="s">
        <v>14313</v>
      </c>
      <c r="B19" s="40"/>
      <c r="C19" s="40"/>
      <c r="D19" s="40"/>
      <c r="E19" s="40"/>
      <c r="F19" s="38"/>
      <c r="G19" s="40"/>
      <c r="H19" s="40"/>
      <c r="I19" s="40"/>
      <c r="J19" s="38"/>
      <c r="K19" s="40"/>
      <c r="L19" s="40"/>
      <c r="M19" s="43"/>
      <c r="N19" s="40"/>
    </row>
    <row r="20" customFormat="false" ht="14.25" hidden="false" customHeight="false" outlineLevel="0" collapsed="false">
      <c r="A20" s="39" t="s">
        <v>14314</v>
      </c>
      <c r="B20" s="40"/>
      <c r="C20" s="40"/>
      <c r="D20" s="40"/>
      <c r="E20" s="40"/>
      <c r="F20" s="38"/>
      <c r="G20" s="40"/>
      <c r="H20" s="40"/>
      <c r="I20" s="40"/>
      <c r="J20" s="38"/>
      <c r="K20" s="40"/>
      <c r="L20" s="40"/>
      <c r="M20" s="43"/>
      <c r="N20" s="40"/>
    </row>
    <row r="21" customFormat="false" ht="14.25" hidden="false" customHeight="false" outlineLevel="0" collapsed="false">
      <c r="A21" s="39" t="s">
        <v>14315</v>
      </c>
      <c r="B21" s="40"/>
      <c r="C21" s="40"/>
      <c r="D21" s="40"/>
      <c r="E21" s="40"/>
      <c r="F21" s="38"/>
      <c r="G21" s="40"/>
      <c r="H21" s="40"/>
      <c r="I21" s="40"/>
      <c r="J21" s="38"/>
      <c r="K21" s="40"/>
      <c r="L21" s="40"/>
      <c r="M21" s="43"/>
      <c r="N21" s="40"/>
    </row>
    <row r="22" customFormat="false" ht="14.25" hidden="false" customHeight="false" outlineLevel="0" collapsed="false">
      <c r="A22" s="39" t="s">
        <v>14316</v>
      </c>
      <c r="B22" s="40"/>
      <c r="C22" s="40"/>
      <c r="D22" s="40"/>
      <c r="E22" s="40"/>
      <c r="F22" s="38"/>
      <c r="G22" s="40"/>
      <c r="H22" s="40"/>
      <c r="I22" s="40"/>
      <c r="J22" s="38"/>
      <c r="K22" s="40"/>
      <c r="L22" s="40"/>
      <c r="M22" s="43"/>
      <c r="N22" s="40"/>
    </row>
    <row r="23" customFormat="false" ht="14.25" hidden="false" customHeight="false" outlineLevel="0" collapsed="false">
      <c r="A23" s="39" t="s">
        <v>14317</v>
      </c>
      <c r="B23" s="40"/>
      <c r="C23" s="40"/>
      <c r="D23" s="40"/>
      <c r="E23" s="40"/>
      <c r="F23" s="38"/>
      <c r="G23" s="40"/>
      <c r="H23" s="40"/>
      <c r="I23" s="40"/>
      <c r="J23" s="38"/>
      <c r="K23" s="40"/>
      <c r="L23" s="40"/>
      <c r="M23" s="43"/>
      <c r="N23" s="40"/>
    </row>
    <row r="24" customFormat="false" ht="14.25" hidden="false" customHeight="false" outlineLevel="0" collapsed="false">
      <c r="A24" s="39" t="s">
        <v>14318</v>
      </c>
      <c r="B24" s="40"/>
      <c r="C24" s="40"/>
      <c r="D24" s="40"/>
      <c r="E24" s="40"/>
      <c r="F24" s="38"/>
      <c r="G24" s="40"/>
      <c r="H24" s="40"/>
      <c r="I24" s="40"/>
      <c r="J24" s="38"/>
      <c r="K24" s="40"/>
      <c r="L24" s="40"/>
      <c r="M24" s="43"/>
      <c r="N24" s="40"/>
    </row>
    <row r="25" customFormat="false" ht="14.25" hidden="false" customHeight="false" outlineLevel="0" collapsed="false">
      <c r="A25" s="39" t="s">
        <v>14319</v>
      </c>
      <c r="B25" s="40"/>
      <c r="C25" s="40"/>
      <c r="D25" s="40"/>
      <c r="E25" s="40"/>
      <c r="F25" s="38"/>
      <c r="G25" s="40"/>
      <c r="H25" s="40"/>
      <c r="I25" s="40"/>
      <c r="J25" s="38"/>
      <c r="K25" s="40"/>
      <c r="L25" s="40"/>
      <c r="M25" s="43"/>
      <c r="N25" s="40"/>
    </row>
    <row r="26" customFormat="false" ht="14.25" hidden="false" customHeight="false" outlineLevel="0" collapsed="false">
      <c r="A26" s="39" t="s">
        <v>14320</v>
      </c>
      <c r="B26" s="40"/>
      <c r="C26" s="40"/>
      <c r="D26" s="40"/>
      <c r="E26" s="40"/>
      <c r="F26" s="38"/>
      <c r="G26" s="40"/>
      <c r="H26" s="40"/>
      <c r="I26" s="40"/>
      <c r="J26" s="38"/>
      <c r="K26" s="40"/>
      <c r="L26" s="40"/>
      <c r="M26" s="43"/>
      <c r="N26" s="40"/>
    </row>
    <row r="27" customFormat="false" ht="14.25" hidden="false" customHeight="false" outlineLevel="0" collapsed="false">
      <c r="A27" s="39" t="s">
        <v>14321</v>
      </c>
      <c r="B27" s="40"/>
      <c r="C27" s="40"/>
      <c r="D27" s="40"/>
      <c r="E27" s="40"/>
      <c r="F27" s="38"/>
      <c r="G27" s="40"/>
      <c r="H27" s="40"/>
      <c r="I27" s="40"/>
      <c r="J27" s="38"/>
      <c r="K27" s="40"/>
      <c r="L27" s="40"/>
      <c r="M27" s="43"/>
      <c r="N27" s="40"/>
    </row>
    <row r="28" customFormat="false" ht="14.25" hidden="false" customHeight="false" outlineLevel="0" collapsed="false">
      <c r="A28" s="39" t="s">
        <v>14322</v>
      </c>
      <c r="B28" s="40"/>
      <c r="C28" s="40"/>
      <c r="D28" s="40"/>
      <c r="E28" s="40"/>
      <c r="F28" s="38"/>
      <c r="G28" s="40"/>
      <c r="H28" s="40"/>
      <c r="I28" s="40"/>
      <c r="J28" s="38"/>
      <c r="K28" s="40"/>
      <c r="L28" s="40"/>
      <c r="M28" s="43"/>
      <c r="N28" s="40"/>
    </row>
    <row r="29" customFormat="false" ht="14.25" hidden="false" customHeight="false" outlineLevel="0" collapsed="false">
      <c r="A29" s="39" t="s">
        <v>14323</v>
      </c>
      <c r="B29" s="40"/>
      <c r="C29" s="40"/>
      <c r="D29" s="40"/>
      <c r="E29" s="40"/>
      <c r="F29" s="38"/>
      <c r="G29" s="40"/>
      <c r="H29" s="40"/>
      <c r="I29" s="40"/>
      <c r="J29" s="38"/>
      <c r="K29" s="40"/>
      <c r="L29" s="40"/>
      <c r="M29" s="43"/>
      <c r="N29" s="40"/>
    </row>
    <row r="30" customFormat="false" ht="14.25" hidden="false" customHeight="false" outlineLevel="0" collapsed="false">
      <c r="A30" s="39" t="s">
        <v>14324</v>
      </c>
      <c r="B30" s="40"/>
      <c r="C30" s="40"/>
      <c r="D30" s="40"/>
      <c r="E30" s="40"/>
      <c r="F30" s="38"/>
      <c r="G30" s="40"/>
      <c r="H30" s="40"/>
      <c r="I30" s="40"/>
      <c r="J30" s="38"/>
      <c r="K30" s="40"/>
      <c r="L30" s="40"/>
      <c r="M30" s="43"/>
      <c r="N30" s="40"/>
    </row>
    <row r="31" customFormat="false" ht="14.25" hidden="false" customHeight="false" outlineLevel="0" collapsed="false">
      <c r="A31" s="39" t="s">
        <v>14325</v>
      </c>
      <c r="B31" s="40"/>
      <c r="C31" s="40"/>
      <c r="D31" s="40"/>
      <c r="E31" s="40"/>
      <c r="F31" s="38"/>
      <c r="G31" s="40"/>
      <c r="H31" s="40"/>
      <c r="I31" s="40"/>
      <c r="J31" s="38"/>
      <c r="K31" s="40"/>
      <c r="L31" s="40"/>
      <c r="M31" s="43"/>
      <c r="N31" s="40"/>
    </row>
    <row r="32" customFormat="false" ht="14.25" hidden="false" customHeight="false" outlineLevel="0" collapsed="false">
      <c r="A32" s="39" t="s">
        <v>14326</v>
      </c>
      <c r="B32" s="40"/>
      <c r="C32" s="40"/>
      <c r="D32" s="40"/>
      <c r="E32" s="40"/>
      <c r="F32" s="38"/>
      <c r="G32" s="40"/>
      <c r="H32" s="40"/>
      <c r="I32" s="40"/>
      <c r="J32" s="38"/>
      <c r="K32" s="40"/>
      <c r="L32" s="40"/>
      <c r="M32" s="43"/>
      <c r="N32" s="40"/>
    </row>
    <row r="33" customFormat="false" ht="14.25" hidden="false" customHeight="false" outlineLevel="0" collapsed="false">
      <c r="A33" s="39" t="s">
        <v>14327</v>
      </c>
      <c r="B33" s="40"/>
      <c r="C33" s="40"/>
      <c r="D33" s="40"/>
      <c r="E33" s="40"/>
      <c r="F33" s="38"/>
      <c r="G33" s="40"/>
      <c r="H33" s="40"/>
      <c r="I33" s="40"/>
      <c r="J33" s="38"/>
      <c r="K33" s="40"/>
      <c r="L33" s="40"/>
      <c r="M33" s="43"/>
      <c r="N33" s="40"/>
    </row>
    <row r="34" customFormat="false" ht="14.25" hidden="false" customHeight="false" outlineLevel="0" collapsed="false">
      <c r="A34" s="39" t="s">
        <v>14328</v>
      </c>
      <c r="B34" s="40"/>
      <c r="C34" s="40"/>
      <c r="D34" s="40"/>
      <c r="E34" s="40"/>
      <c r="F34" s="38"/>
      <c r="G34" s="40"/>
      <c r="H34" s="40"/>
      <c r="I34" s="40"/>
      <c r="J34" s="38"/>
      <c r="K34" s="40"/>
      <c r="L34" s="40"/>
      <c r="M34" s="43"/>
      <c r="N34" s="40"/>
    </row>
    <row r="35" customFormat="false" ht="14.25" hidden="false" customHeight="false" outlineLevel="0" collapsed="false">
      <c r="A35" s="39" t="s">
        <v>14329</v>
      </c>
      <c r="B35" s="40"/>
      <c r="C35" s="40"/>
      <c r="D35" s="40"/>
      <c r="E35" s="40"/>
      <c r="F35" s="38"/>
      <c r="G35" s="40"/>
      <c r="H35" s="40"/>
      <c r="I35" s="40"/>
      <c r="J35" s="38"/>
      <c r="K35" s="40"/>
      <c r="L35" s="40"/>
      <c r="M35" s="43"/>
      <c r="N35" s="40"/>
    </row>
    <row r="36" customFormat="false" ht="14.25" hidden="false" customHeight="false" outlineLevel="0" collapsed="false">
      <c r="A36" s="39" t="s">
        <v>14330</v>
      </c>
      <c r="B36" s="40"/>
      <c r="C36" s="40"/>
      <c r="D36" s="40"/>
      <c r="E36" s="40"/>
      <c r="F36" s="38"/>
      <c r="G36" s="40"/>
      <c r="H36" s="40"/>
      <c r="I36" s="40"/>
      <c r="J36" s="38"/>
      <c r="K36" s="40"/>
      <c r="L36" s="40"/>
      <c r="M36" s="43"/>
      <c r="N36" s="40"/>
    </row>
    <row r="37" customFormat="false" ht="14.25" hidden="false" customHeight="false" outlineLevel="0" collapsed="false">
      <c r="A37" s="39" t="s">
        <v>14331</v>
      </c>
      <c r="B37" s="40"/>
      <c r="C37" s="40"/>
      <c r="D37" s="40"/>
      <c r="E37" s="40"/>
      <c r="F37" s="38"/>
      <c r="G37" s="40"/>
      <c r="H37" s="40"/>
      <c r="I37" s="40"/>
      <c r="J37" s="38"/>
      <c r="K37" s="40"/>
      <c r="L37" s="40"/>
      <c r="M37" s="43"/>
      <c r="N37" s="40"/>
    </row>
    <row r="38" customFormat="false" ht="14.25" hidden="false" customHeight="false" outlineLevel="0" collapsed="false">
      <c r="A38" s="39" t="s">
        <v>14332</v>
      </c>
      <c r="B38" s="40"/>
      <c r="C38" s="40"/>
      <c r="D38" s="40"/>
      <c r="E38" s="40"/>
      <c r="F38" s="38"/>
      <c r="G38" s="40"/>
      <c r="H38" s="40"/>
      <c r="I38" s="40"/>
      <c r="J38" s="38"/>
      <c r="K38" s="40"/>
      <c r="L38" s="40"/>
      <c r="M38" s="43"/>
      <c r="N38" s="40"/>
    </row>
    <row r="39" customFormat="false" ht="14.25" hidden="false" customHeight="false" outlineLevel="0" collapsed="false">
      <c r="A39" s="39" t="s">
        <v>14333</v>
      </c>
      <c r="B39" s="40"/>
      <c r="C39" s="40"/>
      <c r="D39" s="40"/>
      <c r="E39" s="40"/>
      <c r="F39" s="38"/>
      <c r="G39" s="40"/>
      <c r="H39" s="40"/>
      <c r="I39" s="40"/>
      <c r="J39" s="38"/>
      <c r="K39" s="40"/>
      <c r="L39" s="40"/>
      <c r="M39" s="43"/>
      <c r="N39" s="40"/>
    </row>
    <row r="40" customFormat="false" ht="14.25" hidden="false" customHeight="false" outlineLevel="0" collapsed="false">
      <c r="A40" s="39" t="s">
        <v>14334</v>
      </c>
      <c r="B40" s="40"/>
      <c r="C40" s="40"/>
      <c r="D40" s="40"/>
      <c r="E40" s="40"/>
      <c r="F40" s="38"/>
      <c r="G40" s="40"/>
      <c r="H40" s="40"/>
      <c r="I40" s="40"/>
      <c r="J40" s="38"/>
      <c r="K40" s="40"/>
      <c r="L40" s="40"/>
      <c r="M40" s="43"/>
      <c r="N40" s="40"/>
    </row>
    <row r="41" customFormat="false" ht="14.25" hidden="false" customHeight="false" outlineLevel="0" collapsed="false">
      <c r="A41" s="39" t="s">
        <v>14335</v>
      </c>
      <c r="B41" s="40"/>
      <c r="C41" s="40"/>
      <c r="D41" s="40"/>
      <c r="E41" s="40"/>
      <c r="F41" s="38"/>
      <c r="G41" s="40"/>
      <c r="H41" s="40"/>
      <c r="I41" s="40"/>
      <c r="J41" s="38"/>
      <c r="K41" s="40"/>
      <c r="L41" s="40"/>
      <c r="M41" s="43"/>
      <c r="N41" s="40"/>
    </row>
    <row r="42" customFormat="false" ht="14.25" hidden="false" customHeight="false" outlineLevel="0" collapsed="false">
      <c r="A42" s="39" t="s">
        <v>14336</v>
      </c>
      <c r="B42" s="40"/>
      <c r="C42" s="40"/>
      <c r="D42" s="40"/>
      <c r="E42" s="40"/>
      <c r="F42" s="38"/>
      <c r="G42" s="40"/>
      <c r="H42" s="40"/>
      <c r="I42" s="40"/>
      <c r="J42" s="38"/>
      <c r="K42" s="40"/>
      <c r="L42" s="40"/>
      <c r="M42" s="43"/>
      <c r="N42" s="40"/>
    </row>
    <row r="43" customFormat="false" ht="14.25" hidden="false" customHeight="false" outlineLevel="0" collapsed="false">
      <c r="A43" s="39" t="s">
        <v>14337</v>
      </c>
      <c r="B43" s="40"/>
      <c r="C43" s="40"/>
      <c r="D43" s="40"/>
      <c r="E43" s="40"/>
      <c r="F43" s="38"/>
      <c r="G43" s="40"/>
      <c r="H43" s="40"/>
      <c r="I43" s="40"/>
      <c r="J43" s="38"/>
      <c r="K43" s="40"/>
      <c r="L43" s="40"/>
      <c r="M43" s="43"/>
      <c r="N43" s="40"/>
    </row>
    <row r="44" customFormat="false" ht="14.25" hidden="false" customHeight="false" outlineLevel="0" collapsed="false">
      <c r="A44" s="39" t="s">
        <v>14338</v>
      </c>
      <c r="B44" s="40"/>
      <c r="C44" s="40"/>
      <c r="D44" s="40"/>
      <c r="E44" s="40"/>
      <c r="F44" s="38"/>
      <c r="G44" s="40"/>
      <c r="H44" s="40"/>
      <c r="I44" s="40"/>
      <c r="J44" s="38"/>
      <c r="K44" s="40"/>
      <c r="L44" s="40"/>
      <c r="M44" s="43"/>
      <c r="N44" s="40"/>
    </row>
    <row r="45" customFormat="false" ht="14.25" hidden="false" customHeight="false" outlineLevel="0" collapsed="false">
      <c r="A45" s="39" t="s">
        <v>14339</v>
      </c>
      <c r="B45" s="40"/>
      <c r="C45" s="40"/>
      <c r="D45" s="40"/>
      <c r="E45" s="40"/>
      <c r="F45" s="38"/>
      <c r="G45" s="40"/>
      <c r="H45" s="40"/>
      <c r="I45" s="40"/>
      <c r="J45" s="38"/>
      <c r="K45" s="40"/>
      <c r="L45" s="40"/>
      <c r="M45" s="43"/>
      <c r="N45" s="40"/>
    </row>
    <row r="46" customFormat="false" ht="14.25" hidden="false" customHeight="false" outlineLevel="0" collapsed="false">
      <c r="A46" s="39" t="s">
        <v>14340</v>
      </c>
      <c r="B46" s="40"/>
      <c r="C46" s="40"/>
      <c r="D46" s="40"/>
      <c r="E46" s="40"/>
      <c r="F46" s="38"/>
      <c r="G46" s="40"/>
      <c r="H46" s="40"/>
      <c r="I46" s="40"/>
      <c r="J46" s="38"/>
      <c r="K46" s="40"/>
      <c r="L46" s="40"/>
      <c r="M46" s="43"/>
      <c r="N46" s="40"/>
    </row>
    <row r="47" customFormat="false" ht="14.25" hidden="false" customHeight="false" outlineLevel="0" collapsed="false">
      <c r="A47" s="39" t="s">
        <v>14341</v>
      </c>
      <c r="B47" s="40"/>
      <c r="C47" s="40"/>
      <c r="D47" s="40"/>
      <c r="E47" s="40"/>
      <c r="F47" s="38"/>
      <c r="G47" s="40"/>
      <c r="H47" s="40"/>
      <c r="I47" s="40"/>
      <c r="J47" s="38"/>
      <c r="K47" s="40"/>
      <c r="L47" s="40"/>
      <c r="M47" s="43"/>
      <c r="N47" s="40"/>
    </row>
    <row r="48" customFormat="false" ht="14.25" hidden="false" customHeight="false" outlineLevel="0" collapsed="false">
      <c r="A48" s="39" t="s">
        <v>14342</v>
      </c>
      <c r="B48" s="40"/>
      <c r="C48" s="40"/>
      <c r="D48" s="40"/>
      <c r="E48" s="40"/>
      <c r="F48" s="38"/>
      <c r="G48" s="40"/>
      <c r="H48" s="40"/>
      <c r="I48" s="40"/>
      <c r="J48" s="38"/>
      <c r="K48" s="40"/>
      <c r="L48" s="40"/>
      <c r="M48" s="43"/>
      <c r="N48" s="40"/>
    </row>
    <row r="49" customFormat="false" ht="14.25" hidden="false" customHeight="false" outlineLevel="0" collapsed="false">
      <c r="A49" s="39" t="s">
        <v>14343</v>
      </c>
      <c r="B49" s="40"/>
      <c r="C49" s="40"/>
      <c r="D49" s="40"/>
      <c r="E49" s="40"/>
      <c r="F49" s="38"/>
      <c r="G49" s="40"/>
      <c r="H49" s="40"/>
      <c r="I49" s="40"/>
      <c r="J49" s="38"/>
      <c r="K49" s="40"/>
      <c r="L49" s="40"/>
      <c r="M49" s="43"/>
      <c r="N49" s="40"/>
    </row>
    <row r="50" customFormat="false" ht="14.25" hidden="false" customHeight="false" outlineLevel="0" collapsed="false">
      <c r="A50" s="39" t="s">
        <v>14344</v>
      </c>
      <c r="B50" s="40"/>
      <c r="C50" s="40"/>
      <c r="D50" s="40"/>
      <c r="E50" s="40"/>
      <c r="F50" s="38"/>
      <c r="G50" s="40"/>
      <c r="H50" s="40"/>
      <c r="I50" s="40"/>
      <c r="J50" s="38"/>
      <c r="K50" s="40"/>
      <c r="L50" s="40"/>
      <c r="M50" s="43"/>
      <c r="N50" s="40"/>
    </row>
    <row r="51" customFormat="false" ht="14.25" hidden="false" customHeight="false" outlineLevel="0" collapsed="false">
      <c r="A51" s="39" t="s">
        <v>14345</v>
      </c>
      <c r="B51" s="40"/>
      <c r="C51" s="40"/>
      <c r="D51" s="40"/>
      <c r="E51" s="40"/>
      <c r="F51" s="38"/>
      <c r="G51" s="40"/>
      <c r="H51" s="40"/>
      <c r="I51" s="40"/>
      <c r="J51" s="38"/>
      <c r="K51" s="40"/>
      <c r="L51" s="40"/>
      <c r="M51" s="43"/>
      <c r="N51" s="40"/>
    </row>
    <row r="52" customFormat="false" ht="14.25" hidden="false" customHeight="false" outlineLevel="0" collapsed="false">
      <c r="A52" s="39" t="s">
        <v>14346</v>
      </c>
      <c r="B52" s="40"/>
      <c r="C52" s="40"/>
      <c r="D52" s="40"/>
      <c r="E52" s="40"/>
      <c r="F52" s="38"/>
      <c r="G52" s="40"/>
      <c r="H52" s="40"/>
      <c r="I52" s="40"/>
      <c r="J52" s="38"/>
      <c r="K52" s="40"/>
      <c r="L52" s="40"/>
      <c r="M52" s="43"/>
      <c r="N52" s="40"/>
    </row>
    <row r="53" customFormat="false" ht="14.25" hidden="false" customHeight="false" outlineLevel="0" collapsed="false">
      <c r="A53" s="39" t="s">
        <v>14347</v>
      </c>
      <c r="B53" s="40"/>
      <c r="C53" s="40"/>
      <c r="D53" s="40"/>
      <c r="E53" s="40"/>
      <c r="F53" s="38"/>
      <c r="G53" s="40"/>
      <c r="H53" s="40"/>
      <c r="I53" s="40"/>
      <c r="J53" s="38"/>
      <c r="K53" s="40"/>
      <c r="L53" s="40"/>
      <c r="M53" s="43"/>
      <c r="N53" s="40"/>
    </row>
    <row r="54" customFormat="false" ht="14.25" hidden="false" customHeight="false" outlineLevel="0" collapsed="false">
      <c r="A54" s="39" t="s">
        <v>14348</v>
      </c>
      <c r="B54" s="40"/>
      <c r="C54" s="40"/>
      <c r="D54" s="40"/>
      <c r="E54" s="40"/>
      <c r="F54" s="38"/>
      <c r="G54" s="40"/>
      <c r="H54" s="40"/>
      <c r="I54" s="40"/>
      <c r="J54" s="38"/>
      <c r="K54" s="40"/>
      <c r="L54" s="40"/>
      <c r="M54" s="43"/>
      <c r="N54" s="40"/>
    </row>
  </sheetData>
  <mergeCells count="4">
    <mergeCell ref="A1:N1"/>
    <mergeCell ref="B2:E2"/>
    <mergeCell ref="G2:I2"/>
    <mergeCell ref="K2:N2"/>
  </mergeCells>
  <printOptions headings="false" gridLines="false" gridLinesSet="true" horizontalCentered="false" verticalCentered="false"/>
  <pageMargins left="0.511805555555556" right="0.511805555555556" top="0.7875" bottom="0.7875" header="0.511811023622047" footer="0.315277777777778"/>
  <pageSetup paperSize="9" scale="100" fitToWidth="1" fitToHeight="1" pageOrder="downThenOver" orientation="portrait" blackAndWhite="false" draft="false" cellComments="none" horizontalDpi="300" verticalDpi="300" copies="1"/>
  <headerFooter differentFirst="false" differentOddEven="false">
    <oddHeader/>
    <oddFooter>&amp;R&amp;1#&amp;"Arial,Regular"&amp;10Confidential C</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2:K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S15" activeCellId="0" sqref="S15"/>
    </sheetView>
  </sheetViews>
  <sheetFormatPr defaultColWidth="8.54296875" defaultRowHeight="14.25" zeroHeight="false" outlineLevelRow="0" outlineLevelCol="0"/>
  <cols>
    <col collapsed="false" customWidth="true" hidden="false" outlineLevel="0" max="2" min="2" style="0" width="10.43"/>
  </cols>
  <sheetData>
    <row r="2" customFormat="false" ht="14.25" hidden="false" customHeight="false" outlineLevel="0" collapsed="false">
      <c r="B2" s="50" t="s">
        <v>14350</v>
      </c>
      <c r="C2" s="51" t="s">
        <v>14351</v>
      </c>
      <c r="D2" s="51" t="s">
        <v>14352</v>
      </c>
      <c r="E2" s="51" t="s">
        <v>14353</v>
      </c>
      <c r="F2" s="51" t="s">
        <v>14354</v>
      </c>
      <c r="G2" s="51" t="s">
        <v>14355</v>
      </c>
      <c r="H2" s="51" t="s">
        <v>14356</v>
      </c>
      <c r="I2" s="51" t="s">
        <v>14357</v>
      </c>
      <c r="J2" s="50" t="s">
        <v>14358</v>
      </c>
    </row>
    <row r="3" customFormat="false" ht="14.25" hidden="false" customHeight="false" outlineLevel="0" collapsed="false">
      <c r="B3" s="52" t="s">
        <v>2163</v>
      </c>
      <c r="E3" s="0" t="n">
        <v>1</v>
      </c>
      <c r="J3" s="0" t="n">
        <v>1</v>
      </c>
    </row>
    <row r="4" customFormat="false" ht="14.25" hidden="false" customHeight="false" outlineLevel="0" collapsed="false">
      <c r="B4" s="52" t="s">
        <v>1503</v>
      </c>
      <c r="C4" s="0" t="n">
        <v>4</v>
      </c>
      <c r="D4" s="0" t="n">
        <v>5</v>
      </c>
      <c r="E4" s="0" t="n">
        <v>10</v>
      </c>
      <c r="F4" s="0" t="n">
        <v>12</v>
      </c>
      <c r="G4" s="0" t="n">
        <v>3</v>
      </c>
      <c r="H4" s="0" t="n">
        <v>7</v>
      </c>
      <c r="I4" s="0" t="n">
        <v>9</v>
      </c>
      <c r="J4" s="0" t="n">
        <v>50</v>
      </c>
      <c r="K4" s="53" t="n">
        <f aca="false">J4/J7</f>
        <v>0.173010380622837</v>
      </c>
    </row>
    <row r="5" customFormat="false" ht="14.25" hidden="false" customHeight="false" outlineLevel="0" collapsed="false">
      <c r="B5" s="52" t="s">
        <v>1479</v>
      </c>
      <c r="C5" s="0" t="n">
        <v>19</v>
      </c>
      <c r="D5" s="0" t="n">
        <v>21</v>
      </c>
      <c r="E5" s="0" t="n">
        <v>27</v>
      </c>
      <c r="F5" s="0" t="n">
        <v>29</v>
      </c>
      <c r="G5" s="0" t="n">
        <v>11</v>
      </c>
      <c r="H5" s="0" t="n">
        <v>24</v>
      </c>
      <c r="I5" s="0" t="n">
        <v>30</v>
      </c>
      <c r="J5" s="0" t="n">
        <v>161</v>
      </c>
      <c r="K5" s="53" t="n">
        <f aca="false">J5/J7</f>
        <v>0.557093425605536</v>
      </c>
    </row>
    <row r="6" customFormat="false" ht="14.25" hidden="false" customHeight="false" outlineLevel="0" collapsed="false">
      <c r="B6" s="52" t="s">
        <v>1495</v>
      </c>
      <c r="C6" s="0" t="n">
        <v>8</v>
      </c>
      <c r="D6" s="0" t="n">
        <v>11</v>
      </c>
      <c r="E6" s="0" t="n">
        <v>15</v>
      </c>
      <c r="F6" s="0" t="n">
        <v>18</v>
      </c>
      <c r="G6" s="0" t="n">
        <v>8</v>
      </c>
      <c r="H6" s="0" t="n">
        <v>7</v>
      </c>
      <c r="I6" s="0" t="n">
        <v>10</v>
      </c>
      <c r="J6" s="0" t="n">
        <v>77</v>
      </c>
      <c r="K6" s="53" t="n">
        <f aca="false">J6/J7</f>
        <v>0.266435986159169</v>
      </c>
    </row>
    <row r="7" customFormat="false" ht="14.25" hidden="false" customHeight="false" outlineLevel="0" collapsed="false">
      <c r="B7" s="54" t="s">
        <v>14358</v>
      </c>
      <c r="C7" s="55" t="n">
        <v>31</v>
      </c>
      <c r="D7" s="55" t="n">
        <v>37</v>
      </c>
      <c r="E7" s="55" t="n">
        <v>53</v>
      </c>
      <c r="F7" s="55" t="n">
        <v>59</v>
      </c>
      <c r="G7" s="55" t="n">
        <v>22</v>
      </c>
      <c r="H7" s="55" t="n">
        <v>38</v>
      </c>
      <c r="I7" s="55" t="n">
        <v>49</v>
      </c>
      <c r="J7" s="55" t="n">
        <v>289</v>
      </c>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M128"/>
  <sheetViews>
    <sheetView showFormulas="false" showGridLines="true" showRowColHeaders="true" showZeros="true" rightToLeft="false" tabSelected="false" showOutlineSymbols="true" defaultGridColor="true" view="normal" topLeftCell="A28" colorId="64" zoomScale="100" zoomScaleNormal="100" zoomScalePageLayoutView="100" workbookViewId="0">
      <selection pane="topLeft" activeCell="B13" activeCellId="0" sqref="B13"/>
    </sheetView>
  </sheetViews>
  <sheetFormatPr defaultColWidth="9.14453125" defaultRowHeight="12.75" zeroHeight="false" outlineLevelRow="0" outlineLevelCol="0"/>
  <cols>
    <col collapsed="false" customWidth="true" hidden="false" outlineLevel="0" max="1" min="1" style="56" width="6.28"/>
    <col collapsed="false" customWidth="true" hidden="false" outlineLevel="0" max="2" min="2" style="56" width="7.28"/>
    <col collapsed="false" customWidth="true" hidden="false" outlineLevel="0" max="3" min="3" style="56" width="9.7"/>
    <col collapsed="false" customWidth="true" hidden="false" outlineLevel="0" max="5" min="4" style="56" width="7.7"/>
    <col collapsed="false" customWidth="true" hidden="false" outlineLevel="0" max="6" min="6" style="56" width="7.28"/>
    <col collapsed="false" customWidth="true" hidden="false" outlineLevel="0" max="7" min="7" style="56" width="9.7"/>
    <col collapsed="false" customWidth="true" hidden="false" outlineLevel="0" max="8" min="8" style="56" width="8.14"/>
    <col collapsed="false" customWidth="true" hidden="false" outlineLevel="0" max="9" min="9" style="56" width="7.7"/>
    <col collapsed="false" customWidth="true" hidden="false" outlineLevel="0" max="10" min="10" style="56" width="7.28"/>
    <col collapsed="false" customWidth="true" hidden="false" outlineLevel="0" max="11" min="11" style="56" width="9.7"/>
    <col collapsed="false" customWidth="true" hidden="false" outlineLevel="0" max="12" min="12" style="56" width="7.28"/>
    <col collapsed="false" customWidth="true" hidden="false" outlineLevel="0" max="13" min="13" style="56" width="7.7"/>
    <col collapsed="false" customWidth="false" hidden="false" outlineLevel="0" max="18" min="14" style="56" width="9.14"/>
    <col collapsed="false" customWidth="true" hidden="false" outlineLevel="0" max="19" min="19" style="56" width="11.71"/>
    <col collapsed="false" customWidth="false" hidden="false" outlineLevel="0" max="256" min="20" style="56" width="9.14"/>
    <col collapsed="false" customWidth="true" hidden="false" outlineLevel="0" max="257" min="257" style="56" width="7.7"/>
    <col collapsed="false" customWidth="true" hidden="false" outlineLevel="0" max="258" min="258" style="56" width="11.85"/>
    <col collapsed="false" customWidth="true" hidden="false" outlineLevel="0" max="259" min="259" style="56" width="9.7"/>
    <col collapsed="false" customWidth="true" hidden="false" outlineLevel="0" max="269" min="260" style="56" width="7.7"/>
    <col collapsed="false" customWidth="false" hidden="false" outlineLevel="0" max="274" min="270" style="56" width="9.14"/>
    <col collapsed="false" customWidth="true" hidden="false" outlineLevel="0" max="275" min="275" style="56" width="11.71"/>
    <col collapsed="false" customWidth="false" hidden="false" outlineLevel="0" max="512" min="276" style="56" width="9.14"/>
    <col collapsed="false" customWidth="true" hidden="false" outlineLevel="0" max="513" min="513" style="56" width="7.7"/>
    <col collapsed="false" customWidth="true" hidden="false" outlineLevel="0" max="514" min="514" style="56" width="11.85"/>
    <col collapsed="false" customWidth="true" hidden="false" outlineLevel="0" max="515" min="515" style="56" width="9.7"/>
    <col collapsed="false" customWidth="true" hidden="false" outlineLevel="0" max="525" min="516" style="56" width="7.7"/>
    <col collapsed="false" customWidth="false" hidden="false" outlineLevel="0" max="530" min="526" style="56" width="9.14"/>
    <col collapsed="false" customWidth="true" hidden="false" outlineLevel="0" max="531" min="531" style="56" width="11.71"/>
    <col collapsed="false" customWidth="false" hidden="false" outlineLevel="0" max="768" min="532" style="56" width="9.14"/>
    <col collapsed="false" customWidth="true" hidden="false" outlineLevel="0" max="769" min="769" style="56" width="7.7"/>
    <col collapsed="false" customWidth="true" hidden="false" outlineLevel="0" max="770" min="770" style="56" width="11.85"/>
    <col collapsed="false" customWidth="true" hidden="false" outlineLevel="0" max="771" min="771" style="56" width="9.7"/>
    <col collapsed="false" customWidth="true" hidden="false" outlineLevel="0" max="781" min="772" style="56" width="7.7"/>
    <col collapsed="false" customWidth="false" hidden="false" outlineLevel="0" max="786" min="782" style="56" width="9.14"/>
    <col collapsed="false" customWidth="true" hidden="false" outlineLevel="0" max="787" min="787" style="56" width="11.71"/>
    <col collapsed="false" customWidth="false" hidden="false" outlineLevel="0" max="1024" min="788" style="56" width="9.14"/>
  </cols>
  <sheetData>
    <row r="1" customFormat="false" ht="12.75" hidden="false" customHeight="true" outlineLevel="0" collapsed="false">
      <c r="A1" s="57" t="s">
        <v>1</v>
      </c>
      <c r="B1" s="57"/>
      <c r="C1" s="57"/>
      <c r="D1" s="58" t="s">
        <v>14359</v>
      </c>
      <c r="E1" s="58"/>
      <c r="F1" s="58"/>
      <c r="G1" s="58"/>
      <c r="H1" s="58"/>
      <c r="I1" s="58"/>
      <c r="J1" s="58"/>
      <c r="K1" s="58"/>
      <c r="L1" s="59"/>
      <c r="M1" s="60"/>
    </row>
    <row r="2" customFormat="false" ht="12.75" hidden="false" customHeight="true" outlineLevel="0" collapsed="false">
      <c r="A2" s="57"/>
      <c r="B2" s="57"/>
      <c r="C2" s="57"/>
      <c r="D2" s="58"/>
      <c r="E2" s="58"/>
      <c r="F2" s="58"/>
      <c r="G2" s="58"/>
      <c r="H2" s="58"/>
      <c r="I2" s="58"/>
      <c r="J2" s="58"/>
      <c r="K2" s="58"/>
      <c r="L2" s="61"/>
      <c r="M2" s="62"/>
    </row>
    <row r="3" customFormat="false" ht="15" hidden="false" customHeight="true" outlineLevel="0" collapsed="false">
      <c r="A3" s="63"/>
      <c r="B3" s="63"/>
      <c r="C3" s="63"/>
      <c r="D3" s="58"/>
      <c r="E3" s="58"/>
      <c r="F3" s="58"/>
      <c r="G3" s="58"/>
      <c r="H3" s="58"/>
      <c r="I3" s="58"/>
      <c r="J3" s="58"/>
      <c r="K3" s="58"/>
      <c r="L3" s="61"/>
      <c r="M3" s="62"/>
    </row>
    <row r="4" customFormat="false" ht="15" hidden="false" customHeight="true" outlineLevel="0" collapsed="false">
      <c r="A4" s="63"/>
      <c r="B4" s="63"/>
      <c r="C4" s="63"/>
      <c r="D4" s="58"/>
      <c r="E4" s="58"/>
      <c r="F4" s="58"/>
      <c r="G4" s="58"/>
      <c r="H4" s="58"/>
      <c r="I4" s="58"/>
      <c r="J4" s="58"/>
      <c r="K4" s="58"/>
      <c r="L4" s="61"/>
      <c r="M4" s="62"/>
    </row>
    <row r="5" customFormat="false" ht="15.75" hidden="false" customHeight="true" outlineLevel="0" collapsed="false">
      <c r="A5" s="63"/>
      <c r="B5" s="63"/>
      <c r="C5" s="63"/>
      <c r="D5" s="58"/>
      <c r="E5" s="58"/>
      <c r="F5" s="58"/>
      <c r="G5" s="58"/>
      <c r="H5" s="58"/>
      <c r="I5" s="58"/>
      <c r="J5" s="58"/>
      <c r="K5" s="58"/>
      <c r="L5" s="64"/>
      <c r="M5" s="65"/>
    </row>
    <row r="6" customFormat="false" ht="15" hidden="false" customHeight="false" outlineLevel="0" collapsed="false">
      <c r="A6" s="66" t="s">
        <v>14360</v>
      </c>
      <c r="B6" s="66"/>
      <c r="C6" s="66"/>
      <c r="D6" s="66"/>
      <c r="E6" s="66"/>
      <c r="F6" s="66"/>
      <c r="G6" s="66"/>
      <c r="H6" s="66"/>
      <c r="I6" s="66"/>
      <c r="J6" s="66"/>
      <c r="K6" s="66"/>
      <c r="L6" s="66"/>
      <c r="M6" s="66"/>
    </row>
    <row r="7" customFormat="false" ht="15" hidden="false" customHeight="false" outlineLevel="0" collapsed="false">
      <c r="A7" s="67"/>
      <c r="B7" s="68" t="s">
        <v>14361</v>
      </c>
      <c r="C7" s="68"/>
      <c r="D7" s="68"/>
      <c r="E7" s="68"/>
      <c r="F7" s="68" t="s">
        <v>14362</v>
      </c>
      <c r="G7" s="68"/>
      <c r="H7" s="68"/>
      <c r="I7" s="68"/>
      <c r="J7" s="68" t="s">
        <v>14363</v>
      </c>
      <c r="K7" s="68"/>
      <c r="L7" s="68"/>
      <c r="M7" s="68"/>
    </row>
    <row r="8" customFormat="false" ht="13.5" hidden="false" customHeight="false" outlineLevel="0" collapsed="false">
      <c r="A8" s="69" t="s">
        <v>47</v>
      </c>
      <c r="B8" s="70" t="s">
        <v>14364</v>
      </c>
      <c r="C8" s="71" t="s">
        <v>14360</v>
      </c>
      <c r="D8" s="72" t="s">
        <v>14365</v>
      </c>
      <c r="E8" s="72"/>
      <c r="F8" s="70" t="s">
        <v>14364</v>
      </c>
      <c r="G8" s="71" t="s">
        <v>14360</v>
      </c>
      <c r="H8" s="72" t="s">
        <v>14365</v>
      </c>
      <c r="I8" s="72"/>
      <c r="J8" s="70" t="s">
        <v>14364</v>
      </c>
      <c r="K8" s="71" t="s">
        <v>14360</v>
      </c>
      <c r="L8" s="72" t="s">
        <v>14366</v>
      </c>
      <c r="M8" s="72"/>
    </row>
    <row r="9" customFormat="false" ht="14.25" hidden="false" customHeight="false" outlineLevel="0" collapsed="false">
      <c r="A9" s="73" t="s">
        <v>14367</v>
      </c>
      <c r="B9" s="74"/>
      <c r="C9" s="75"/>
      <c r="D9" s="76"/>
      <c r="E9" s="76"/>
      <c r="F9" s="74"/>
      <c r="G9" s="75"/>
      <c r="H9" s="76"/>
      <c r="I9" s="76"/>
      <c r="J9" s="74"/>
      <c r="K9" s="75"/>
      <c r="L9" s="76"/>
      <c r="M9" s="76"/>
    </row>
    <row r="10" customFormat="false" ht="14.25" hidden="false" customHeight="false" outlineLevel="0" collapsed="false">
      <c r="A10" s="77" t="s">
        <v>14368</v>
      </c>
      <c r="B10" s="78"/>
      <c r="C10" s="79"/>
      <c r="D10" s="80"/>
      <c r="E10" s="80"/>
      <c r="F10" s="78"/>
      <c r="G10" s="79"/>
      <c r="H10" s="80"/>
      <c r="I10" s="80"/>
      <c r="J10" s="78"/>
      <c r="K10" s="79"/>
      <c r="L10" s="80"/>
      <c r="M10" s="80"/>
    </row>
    <row r="11" customFormat="false" ht="15" hidden="false" customHeight="false" outlineLevel="0" collapsed="false">
      <c r="A11" s="81" t="s">
        <v>14369</v>
      </c>
      <c r="B11" s="82"/>
      <c r="C11" s="83"/>
      <c r="D11" s="84"/>
      <c r="E11" s="84"/>
      <c r="F11" s="82"/>
      <c r="G11" s="83"/>
      <c r="H11" s="84"/>
      <c r="I11" s="84"/>
      <c r="J11" s="82"/>
      <c r="K11" s="83"/>
      <c r="L11" s="84"/>
      <c r="M11" s="84"/>
    </row>
    <row r="12" customFormat="false" ht="15" hidden="false" customHeight="false" outlineLevel="0" collapsed="false">
      <c r="A12" s="85" t="s">
        <v>14370</v>
      </c>
      <c r="B12" s="86"/>
      <c r="C12" s="87"/>
      <c r="D12" s="88"/>
      <c r="E12" s="88"/>
      <c r="F12" s="86"/>
      <c r="G12" s="87"/>
      <c r="H12" s="88"/>
      <c r="I12" s="88"/>
      <c r="J12" s="86"/>
      <c r="K12" s="87"/>
      <c r="L12" s="88"/>
      <c r="M12" s="88"/>
    </row>
    <row r="13" customFormat="false" ht="15" hidden="false" customHeight="false" outlineLevel="0" collapsed="false">
      <c r="A13" s="67"/>
      <c r="B13" s="68" t="s">
        <v>14371</v>
      </c>
      <c r="C13" s="68"/>
      <c r="D13" s="68"/>
      <c r="E13" s="68"/>
      <c r="F13" s="68" t="s">
        <v>14372</v>
      </c>
      <c r="G13" s="68"/>
      <c r="H13" s="68"/>
      <c r="I13" s="68"/>
      <c r="J13" s="68" t="s">
        <v>14373</v>
      </c>
      <c r="K13" s="68"/>
      <c r="L13" s="68"/>
      <c r="M13" s="68"/>
    </row>
    <row r="14" customFormat="false" ht="13.5" hidden="false" customHeight="false" outlineLevel="0" collapsed="false">
      <c r="A14" s="69" t="s">
        <v>47</v>
      </c>
      <c r="B14" s="70" t="s">
        <v>14364</v>
      </c>
      <c r="C14" s="71" t="s">
        <v>14360</v>
      </c>
      <c r="D14" s="72" t="s">
        <v>14366</v>
      </c>
      <c r="E14" s="72"/>
      <c r="F14" s="70" t="s">
        <v>14364</v>
      </c>
      <c r="G14" s="71" t="s">
        <v>14360</v>
      </c>
      <c r="H14" s="72" t="s">
        <v>14366</v>
      </c>
      <c r="I14" s="72"/>
      <c r="J14" s="70" t="s">
        <v>14364</v>
      </c>
      <c r="K14" s="71" t="s">
        <v>14360</v>
      </c>
      <c r="L14" s="72" t="s">
        <v>14366</v>
      </c>
      <c r="M14" s="72"/>
    </row>
    <row r="15" customFormat="false" ht="14.25" hidden="false" customHeight="false" outlineLevel="0" collapsed="false">
      <c r="A15" s="73" t="s">
        <v>14367</v>
      </c>
      <c r="B15" s="74"/>
      <c r="C15" s="75"/>
      <c r="D15" s="76"/>
      <c r="E15" s="76"/>
      <c r="F15" s="74"/>
      <c r="G15" s="75"/>
      <c r="H15" s="76"/>
      <c r="I15" s="76"/>
      <c r="J15" s="74"/>
      <c r="K15" s="75"/>
      <c r="L15" s="76"/>
      <c r="M15" s="76"/>
    </row>
    <row r="16" customFormat="false" ht="14.25" hidden="false" customHeight="false" outlineLevel="0" collapsed="false">
      <c r="A16" s="77" t="s">
        <v>14368</v>
      </c>
      <c r="B16" s="78"/>
      <c r="C16" s="79"/>
      <c r="D16" s="80"/>
      <c r="E16" s="80"/>
      <c r="F16" s="78"/>
      <c r="G16" s="79"/>
      <c r="H16" s="80"/>
      <c r="I16" s="80"/>
      <c r="J16" s="78"/>
      <c r="K16" s="79"/>
      <c r="L16" s="80"/>
      <c r="M16" s="80"/>
    </row>
    <row r="17" customFormat="false" ht="15" hidden="false" customHeight="false" outlineLevel="0" collapsed="false">
      <c r="A17" s="81" t="s">
        <v>14369</v>
      </c>
      <c r="B17" s="82"/>
      <c r="C17" s="83"/>
      <c r="D17" s="84"/>
      <c r="E17" s="84"/>
      <c r="F17" s="82"/>
      <c r="G17" s="83"/>
      <c r="H17" s="84"/>
      <c r="I17" s="84"/>
      <c r="J17" s="82"/>
      <c r="K17" s="83"/>
      <c r="L17" s="84"/>
      <c r="M17" s="84"/>
    </row>
    <row r="18" customFormat="false" ht="15" hidden="false" customHeight="false" outlineLevel="0" collapsed="false">
      <c r="A18" s="85" t="s">
        <v>14370</v>
      </c>
      <c r="B18" s="86"/>
      <c r="C18" s="87"/>
      <c r="D18" s="88"/>
      <c r="E18" s="88"/>
      <c r="F18" s="86"/>
      <c r="G18" s="87"/>
      <c r="H18" s="88"/>
      <c r="I18" s="88"/>
      <c r="J18" s="86"/>
      <c r="K18" s="87"/>
      <c r="L18" s="88"/>
      <c r="M18" s="88"/>
    </row>
    <row r="19" customFormat="false" ht="13.5" hidden="false" customHeight="false" outlineLevel="0" collapsed="false">
      <c r="A19" s="89"/>
      <c r="B19" s="89"/>
      <c r="C19" s="89"/>
      <c r="D19" s="89"/>
      <c r="E19" s="89"/>
      <c r="F19" s="89"/>
      <c r="G19" s="89"/>
      <c r="H19" s="89"/>
      <c r="I19" s="89"/>
      <c r="J19" s="89"/>
      <c r="K19" s="89"/>
      <c r="L19" s="89"/>
      <c r="M19" s="89"/>
    </row>
    <row r="20" customFormat="false" ht="15" hidden="false" customHeight="false" outlineLevel="0" collapsed="false">
      <c r="A20" s="90" t="s">
        <v>14374</v>
      </c>
      <c r="B20" s="90"/>
      <c r="C20" s="90"/>
      <c r="D20" s="90"/>
      <c r="E20" s="90"/>
      <c r="F20" s="90"/>
      <c r="G20" s="90"/>
      <c r="H20" s="90"/>
      <c r="I20" s="90"/>
      <c r="J20" s="90"/>
      <c r="K20" s="90"/>
      <c r="L20" s="90"/>
      <c r="M20" s="90"/>
    </row>
    <row r="21" customFormat="false" ht="15" hidden="false" customHeight="true" outlineLevel="0" collapsed="false">
      <c r="A21" s="91" t="s">
        <v>14375</v>
      </c>
      <c r="B21" s="91"/>
      <c r="C21" s="91"/>
      <c r="D21" s="92"/>
      <c r="E21" s="92"/>
      <c r="F21" s="92"/>
      <c r="G21" s="92"/>
      <c r="H21" s="92"/>
      <c r="I21" s="93"/>
      <c r="J21" s="93"/>
      <c r="K21" s="93"/>
      <c r="L21" s="93"/>
      <c r="M21" s="93"/>
    </row>
    <row r="22" customFormat="false" ht="15" hidden="false" customHeight="true" outlineLevel="0" collapsed="false">
      <c r="A22" s="94" t="s">
        <v>14350</v>
      </c>
      <c r="B22" s="94"/>
      <c r="C22" s="94"/>
      <c r="D22" s="95"/>
      <c r="E22" s="95"/>
      <c r="F22" s="95"/>
      <c r="G22" s="95"/>
      <c r="H22" s="95"/>
      <c r="I22" s="96"/>
      <c r="J22" s="96"/>
      <c r="K22" s="96"/>
      <c r="L22" s="96"/>
      <c r="M22" s="96"/>
    </row>
    <row r="23" customFormat="false" ht="14.25" hidden="false" customHeight="false" outlineLevel="0" collapsed="false">
      <c r="A23" s="94" t="s">
        <v>1468</v>
      </c>
      <c r="B23" s="94"/>
      <c r="C23" s="94"/>
      <c r="D23" s="97"/>
      <c r="E23" s="97"/>
      <c r="F23" s="97"/>
      <c r="G23" s="97"/>
      <c r="H23" s="97"/>
      <c r="I23" s="98"/>
      <c r="J23" s="98"/>
      <c r="K23" s="98"/>
      <c r="L23" s="98"/>
      <c r="M23" s="98"/>
    </row>
    <row r="24" customFormat="false" ht="14.25" hidden="false" customHeight="false" outlineLevel="0" collapsed="false">
      <c r="A24" s="94" t="s">
        <v>14376</v>
      </c>
      <c r="B24" s="94"/>
      <c r="C24" s="94"/>
      <c r="D24" s="97"/>
      <c r="E24" s="97"/>
      <c r="F24" s="97"/>
      <c r="G24" s="97"/>
      <c r="H24" s="97"/>
      <c r="I24" s="98"/>
      <c r="J24" s="98"/>
      <c r="K24" s="98"/>
      <c r="L24" s="98"/>
      <c r="M24" s="98"/>
    </row>
    <row r="25" customFormat="false" ht="14.25" hidden="false" customHeight="false" outlineLevel="0" collapsed="false">
      <c r="A25" s="94" t="s">
        <v>14377</v>
      </c>
      <c r="B25" s="94"/>
      <c r="C25" s="94"/>
      <c r="D25" s="97"/>
      <c r="E25" s="97"/>
      <c r="F25" s="97"/>
      <c r="G25" s="97"/>
      <c r="H25" s="97"/>
      <c r="I25" s="98"/>
      <c r="J25" s="98"/>
      <c r="K25" s="98"/>
      <c r="L25" s="98"/>
      <c r="M25" s="98"/>
    </row>
    <row r="26" customFormat="false" ht="14.25" hidden="false" customHeight="false" outlineLevel="0" collapsed="false">
      <c r="A26" s="94" t="s">
        <v>14378</v>
      </c>
      <c r="B26" s="94"/>
      <c r="C26" s="94"/>
      <c r="D26" s="97"/>
      <c r="E26" s="97"/>
      <c r="F26" s="97"/>
      <c r="G26" s="97"/>
      <c r="H26" s="97"/>
      <c r="I26" s="98"/>
      <c r="J26" s="98"/>
      <c r="K26" s="98"/>
      <c r="L26" s="98"/>
      <c r="M26" s="98"/>
    </row>
    <row r="27" customFormat="false" ht="14.25" hidden="false" customHeight="false" outlineLevel="0" collapsed="false">
      <c r="A27" s="94" t="s">
        <v>1472</v>
      </c>
      <c r="B27" s="94"/>
      <c r="C27" s="94"/>
      <c r="D27" s="99"/>
      <c r="E27" s="99"/>
      <c r="F27" s="99"/>
      <c r="G27" s="99"/>
      <c r="H27" s="99"/>
      <c r="I27" s="100"/>
      <c r="J27" s="100"/>
      <c r="K27" s="100"/>
      <c r="L27" s="100"/>
      <c r="M27" s="100"/>
    </row>
    <row r="28" customFormat="false" ht="14.25" hidden="false" customHeight="false" outlineLevel="0" collapsed="false">
      <c r="A28" s="94" t="s">
        <v>1473</v>
      </c>
      <c r="B28" s="94"/>
      <c r="C28" s="94"/>
      <c r="D28" s="99"/>
      <c r="E28" s="99"/>
      <c r="F28" s="99"/>
      <c r="G28" s="99"/>
      <c r="H28" s="99"/>
      <c r="I28" s="100"/>
      <c r="J28" s="100"/>
      <c r="K28" s="100"/>
      <c r="L28" s="100"/>
      <c r="M28" s="100"/>
    </row>
    <row r="29" customFormat="false" ht="14.25" hidden="false" customHeight="false" outlineLevel="0" collapsed="false">
      <c r="A29" s="94" t="s">
        <v>1474</v>
      </c>
      <c r="B29" s="94"/>
      <c r="C29" s="94"/>
      <c r="D29" s="101"/>
      <c r="E29" s="101"/>
      <c r="F29" s="101"/>
      <c r="G29" s="101"/>
      <c r="H29" s="101"/>
      <c r="I29" s="102"/>
      <c r="J29" s="102"/>
      <c r="K29" s="102"/>
      <c r="L29" s="102"/>
      <c r="M29" s="102"/>
    </row>
    <row r="30" customFormat="false" ht="14.25" hidden="false" customHeight="false" outlineLevel="0" collapsed="false">
      <c r="A30" s="94" t="s">
        <v>1475</v>
      </c>
      <c r="B30" s="94"/>
      <c r="C30" s="94"/>
      <c r="D30" s="101"/>
      <c r="E30" s="101"/>
      <c r="F30" s="101"/>
      <c r="G30" s="101"/>
      <c r="H30" s="101"/>
      <c r="I30" s="102"/>
      <c r="J30" s="102"/>
      <c r="K30" s="102"/>
      <c r="L30" s="102"/>
      <c r="M30" s="102"/>
    </row>
    <row r="31" customFormat="false" ht="14.25" hidden="false" customHeight="false" outlineLevel="0" collapsed="false">
      <c r="A31" s="94" t="s">
        <v>1477</v>
      </c>
      <c r="B31" s="94"/>
      <c r="C31" s="94"/>
      <c r="D31" s="101"/>
      <c r="E31" s="101"/>
      <c r="F31" s="101"/>
      <c r="G31" s="101"/>
      <c r="H31" s="101"/>
      <c r="I31" s="102"/>
      <c r="J31" s="102"/>
      <c r="K31" s="102"/>
      <c r="L31" s="102"/>
      <c r="M31" s="102"/>
    </row>
    <row r="32" customFormat="false" ht="15.75" hidden="false" customHeight="true" outlineLevel="0" collapsed="false">
      <c r="A32" s="94" t="s">
        <v>14379</v>
      </c>
      <c r="B32" s="94"/>
      <c r="C32" s="94"/>
      <c r="D32" s="103"/>
      <c r="E32" s="103"/>
      <c r="F32" s="103"/>
      <c r="G32" s="103"/>
      <c r="H32" s="103"/>
      <c r="I32" s="104"/>
      <c r="J32" s="104"/>
      <c r="K32" s="104"/>
      <c r="L32" s="104"/>
      <c r="M32" s="104"/>
    </row>
    <row r="33" customFormat="false" ht="15" hidden="false" customHeight="false" outlineLevel="0" collapsed="false">
      <c r="A33" s="105" t="s">
        <v>14380</v>
      </c>
      <c r="B33" s="105"/>
      <c r="C33" s="105"/>
      <c r="D33" s="106"/>
      <c r="E33" s="106"/>
      <c r="F33" s="106"/>
      <c r="G33" s="106"/>
      <c r="H33" s="106"/>
      <c r="I33" s="107"/>
      <c r="J33" s="107"/>
      <c r="K33" s="107"/>
      <c r="L33" s="107"/>
      <c r="M33" s="107"/>
    </row>
    <row r="34" customFormat="false" ht="15" hidden="false" customHeight="false" outlineLevel="0" collapsed="false">
      <c r="A34" s="108"/>
      <c r="B34" s="109"/>
      <c r="C34" s="109"/>
      <c r="D34" s="110"/>
      <c r="E34" s="110"/>
      <c r="F34" s="110"/>
      <c r="G34" s="110"/>
      <c r="H34" s="110"/>
      <c r="I34" s="110"/>
      <c r="J34" s="110"/>
      <c r="K34" s="110"/>
      <c r="L34" s="110"/>
      <c r="M34" s="111"/>
    </row>
    <row r="35" customFormat="false" ht="15" hidden="false" customHeight="false" outlineLevel="0" collapsed="false">
      <c r="A35" s="66" t="s">
        <v>14381</v>
      </c>
      <c r="B35" s="66"/>
      <c r="C35" s="66"/>
      <c r="D35" s="66"/>
      <c r="E35" s="66"/>
      <c r="F35" s="66"/>
      <c r="G35" s="66"/>
      <c r="H35" s="66"/>
      <c r="I35" s="66"/>
      <c r="J35" s="66"/>
      <c r="K35" s="66"/>
      <c r="L35" s="66"/>
      <c r="M35" s="66"/>
    </row>
    <row r="36" customFormat="false" ht="14.25" hidden="false" customHeight="false" outlineLevel="0" collapsed="false">
      <c r="A36" s="112" t="s">
        <v>14375</v>
      </c>
      <c r="B36" s="112"/>
      <c r="C36" s="112"/>
      <c r="D36" s="113"/>
      <c r="E36" s="113"/>
      <c r="F36" s="113"/>
      <c r="G36" s="113"/>
      <c r="H36" s="113"/>
      <c r="I36" s="113"/>
      <c r="J36" s="113"/>
      <c r="K36" s="113"/>
      <c r="L36" s="113"/>
      <c r="M36" s="113"/>
    </row>
    <row r="37" customFormat="false" ht="14.25" hidden="false" customHeight="false" outlineLevel="0" collapsed="false">
      <c r="A37" s="114" t="s">
        <v>14350</v>
      </c>
      <c r="B37" s="114"/>
      <c r="C37" s="114"/>
      <c r="D37" s="104"/>
      <c r="E37" s="104"/>
      <c r="F37" s="104"/>
      <c r="G37" s="104"/>
      <c r="H37" s="104"/>
      <c r="I37" s="104"/>
      <c r="J37" s="104"/>
      <c r="K37" s="104"/>
      <c r="L37" s="104"/>
      <c r="M37" s="104"/>
    </row>
    <row r="38" customFormat="false" ht="14.25" hidden="false" customHeight="false" outlineLevel="0" collapsed="false">
      <c r="A38" s="114" t="s">
        <v>1468</v>
      </c>
      <c r="B38" s="114"/>
      <c r="C38" s="114"/>
      <c r="D38" s="104"/>
      <c r="E38" s="104"/>
      <c r="F38" s="104"/>
      <c r="G38" s="104"/>
      <c r="H38" s="104"/>
      <c r="I38" s="104"/>
      <c r="J38" s="104"/>
      <c r="K38" s="104"/>
      <c r="L38" s="104"/>
      <c r="M38" s="104"/>
    </row>
    <row r="39" customFormat="false" ht="14.25" hidden="false" customHeight="false" outlineLevel="0" collapsed="false">
      <c r="A39" s="114" t="s">
        <v>14376</v>
      </c>
      <c r="B39" s="114"/>
      <c r="C39" s="114"/>
      <c r="D39" s="98"/>
      <c r="E39" s="98"/>
      <c r="F39" s="98"/>
      <c r="G39" s="98"/>
      <c r="H39" s="98"/>
      <c r="I39" s="98"/>
      <c r="J39" s="98"/>
      <c r="K39" s="98"/>
      <c r="L39" s="98"/>
      <c r="M39" s="98"/>
    </row>
    <row r="40" customFormat="false" ht="14.25" hidden="false" customHeight="false" outlineLevel="0" collapsed="false">
      <c r="A40" s="114" t="s">
        <v>14377</v>
      </c>
      <c r="B40" s="114"/>
      <c r="C40" s="114"/>
      <c r="D40" s="98"/>
      <c r="E40" s="98"/>
      <c r="F40" s="98"/>
      <c r="G40" s="98"/>
      <c r="H40" s="98"/>
      <c r="I40" s="98"/>
      <c r="J40" s="98"/>
      <c r="K40" s="98"/>
      <c r="L40" s="98"/>
      <c r="M40" s="98"/>
    </row>
    <row r="41" customFormat="false" ht="14.25" hidden="false" customHeight="false" outlineLevel="0" collapsed="false">
      <c r="A41" s="94" t="s">
        <v>14378</v>
      </c>
      <c r="B41" s="94"/>
      <c r="C41" s="94"/>
      <c r="D41" s="97"/>
      <c r="E41" s="97"/>
      <c r="F41" s="97"/>
      <c r="G41" s="97"/>
      <c r="H41" s="97"/>
      <c r="I41" s="98"/>
      <c r="J41" s="98"/>
      <c r="K41" s="98"/>
      <c r="L41" s="98"/>
      <c r="M41" s="98"/>
    </row>
    <row r="42" customFormat="false" ht="14.25" hidden="false" customHeight="false" outlineLevel="0" collapsed="false">
      <c r="A42" s="114" t="s">
        <v>1472</v>
      </c>
      <c r="B42" s="114"/>
      <c r="C42" s="114"/>
      <c r="D42" s="102"/>
      <c r="E42" s="102"/>
      <c r="F42" s="102"/>
      <c r="G42" s="102"/>
      <c r="H42" s="102"/>
      <c r="I42" s="102"/>
      <c r="J42" s="102"/>
      <c r="K42" s="102"/>
      <c r="L42" s="102"/>
      <c r="M42" s="102"/>
    </row>
    <row r="43" customFormat="false" ht="14.25" hidden="false" customHeight="false" outlineLevel="0" collapsed="false">
      <c r="A43" s="114" t="s">
        <v>1473</v>
      </c>
      <c r="B43" s="114"/>
      <c r="C43" s="114"/>
      <c r="D43" s="115"/>
      <c r="E43" s="115"/>
      <c r="F43" s="115"/>
      <c r="G43" s="115"/>
      <c r="H43" s="115"/>
      <c r="I43" s="115"/>
      <c r="J43" s="115"/>
      <c r="K43" s="115"/>
      <c r="L43" s="115"/>
      <c r="M43" s="115"/>
    </row>
    <row r="44" customFormat="false" ht="14.25" hidden="false" customHeight="false" outlineLevel="0" collapsed="false">
      <c r="A44" s="114" t="s">
        <v>1474</v>
      </c>
      <c r="B44" s="114"/>
      <c r="C44" s="114"/>
      <c r="D44" s="115"/>
      <c r="E44" s="115"/>
      <c r="F44" s="115"/>
      <c r="G44" s="115"/>
      <c r="H44" s="115"/>
      <c r="I44" s="116"/>
      <c r="J44" s="116"/>
      <c r="K44" s="116"/>
      <c r="L44" s="116"/>
      <c r="M44" s="116"/>
    </row>
    <row r="45" customFormat="false" ht="14.25" hidden="false" customHeight="false" outlineLevel="0" collapsed="false">
      <c r="A45" s="114" t="s">
        <v>1475</v>
      </c>
      <c r="B45" s="114"/>
      <c r="C45" s="114"/>
      <c r="D45" s="115"/>
      <c r="E45" s="115"/>
      <c r="F45" s="115"/>
      <c r="G45" s="115"/>
      <c r="H45" s="115"/>
      <c r="I45" s="116"/>
      <c r="J45" s="116"/>
      <c r="K45" s="116"/>
      <c r="L45" s="116"/>
      <c r="M45" s="116"/>
    </row>
    <row r="46" customFormat="false" ht="14.25" hidden="false" customHeight="false" outlineLevel="0" collapsed="false">
      <c r="A46" s="114" t="s">
        <v>1477</v>
      </c>
      <c r="B46" s="114"/>
      <c r="C46" s="114"/>
      <c r="D46" s="115"/>
      <c r="E46" s="115"/>
      <c r="F46" s="115"/>
      <c r="G46" s="115"/>
      <c r="H46" s="115"/>
      <c r="I46" s="116"/>
      <c r="J46" s="116"/>
      <c r="K46" s="116"/>
      <c r="L46" s="116"/>
      <c r="M46" s="116"/>
    </row>
    <row r="47" customFormat="false" ht="14.25" hidden="false" customHeight="false" outlineLevel="0" collapsed="false">
      <c r="A47" s="114" t="s">
        <v>14379</v>
      </c>
      <c r="B47" s="114"/>
      <c r="C47" s="114"/>
      <c r="D47" s="103"/>
      <c r="E47" s="117"/>
      <c r="F47" s="117"/>
      <c r="G47" s="117"/>
      <c r="H47" s="118"/>
      <c r="I47" s="103"/>
      <c r="J47" s="117"/>
      <c r="K47" s="117"/>
      <c r="L47" s="117"/>
      <c r="M47" s="118"/>
    </row>
    <row r="48" customFormat="false" ht="15" hidden="false" customHeight="false" outlineLevel="0" collapsed="false">
      <c r="A48" s="119" t="s">
        <v>14380</v>
      </c>
      <c r="B48" s="119"/>
      <c r="C48" s="119"/>
      <c r="D48" s="106"/>
      <c r="E48" s="120"/>
      <c r="F48" s="120"/>
      <c r="G48" s="120"/>
      <c r="H48" s="121"/>
      <c r="I48" s="106"/>
      <c r="J48" s="120"/>
      <c r="K48" s="120"/>
      <c r="L48" s="120"/>
      <c r="M48" s="121"/>
    </row>
    <row r="49" customFormat="false" ht="15" hidden="false" customHeight="false" outlineLevel="0" collapsed="false">
      <c r="A49" s="108"/>
      <c r="B49" s="109"/>
      <c r="C49" s="109"/>
      <c r="D49" s="110"/>
      <c r="E49" s="110"/>
      <c r="F49" s="110"/>
      <c r="G49" s="110"/>
      <c r="H49" s="110"/>
      <c r="I49" s="110"/>
      <c r="J49" s="110"/>
      <c r="K49" s="110"/>
      <c r="L49" s="110"/>
      <c r="M49" s="111"/>
    </row>
    <row r="50" customFormat="false" ht="15" hidden="false" customHeight="false" outlineLevel="0" collapsed="false">
      <c r="A50" s="66" t="s">
        <v>14382</v>
      </c>
      <c r="B50" s="66"/>
      <c r="C50" s="66"/>
      <c r="D50" s="66"/>
      <c r="E50" s="66"/>
      <c r="F50" s="66"/>
      <c r="G50" s="66"/>
      <c r="H50" s="66"/>
      <c r="I50" s="66"/>
      <c r="J50" s="66"/>
      <c r="K50" s="66"/>
      <c r="L50" s="66"/>
      <c r="M50" s="66"/>
    </row>
    <row r="51" customFormat="false" ht="14.25" hidden="false" customHeight="false" outlineLevel="0" collapsed="false">
      <c r="A51" s="112" t="s">
        <v>14375</v>
      </c>
      <c r="B51" s="112"/>
      <c r="C51" s="112"/>
      <c r="D51" s="113"/>
      <c r="E51" s="113"/>
      <c r="F51" s="113"/>
      <c r="G51" s="113"/>
      <c r="H51" s="113"/>
      <c r="I51" s="113"/>
      <c r="J51" s="113"/>
      <c r="K51" s="113"/>
      <c r="L51" s="113"/>
      <c r="M51" s="113"/>
    </row>
    <row r="52" customFormat="false" ht="14.25" hidden="false" customHeight="false" outlineLevel="0" collapsed="false">
      <c r="A52" s="114" t="s">
        <v>14350</v>
      </c>
      <c r="B52" s="114"/>
      <c r="C52" s="114"/>
      <c r="D52" s="104"/>
      <c r="E52" s="104"/>
      <c r="F52" s="104"/>
      <c r="G52" s="104"/>
      <c r="H52" s="104"/>
      <c r="I52" s="104"/>
      <c r="J52" s="104"/>
      <c r="K52" s="104"/>
      <c r="L52" s="104"/>
      <c r="M52" s="104"/>
    </row>
    <row r="53" customFormat="false" ht="14.25" hidden="false" customHeight="false" outlineLevel="0" collapsed="false">
      <c r="A53" s="114" t="s">
        <v>1468</v>
      </c>
      <c r="B53" s="114"/>
      <c r="C53" s="114"/>
      <c r="D53" s="104"/>
      <c r="E53" s="104"/>
      <c r="F53" s="104"/>
      <c r="G53" s="104"/>
      <c r="H53" s="104"/>
      <c r="I53" s="104"/>
      <c r="J53" s="104"/>
      <c r="K53" s="104"/>
      <c r="L53" s="104"/>
      <c r="M53" s="104"/>
    </row>
    <row r="54" customFormat="false" ht="14.25" hidden="false" customHeight="false" outlineLevel="0" collapsed="false">
      <c r="A54" s="114" t="s">
        <v>14376</v>
      </c>
      <c r="B54" s="114"/>
      <c r="C54" s="114"/>
      <c r="D54" s="98"/>
      <c r="E54" s="98"/>
      <c r="F54" s="98"/>
      <c r="G54" s="98"/>
      <c r="H54" s="98"/>
      <c r="I54" s="98"/>
      <c r="J54" s="98"/>
      <c r="K54" s="98"/>
      <c r="L54" s="98"/>
      <c r="M54" s="98"/>
    </row>
    <row r="55" customFormat="false" ht="14.25" hidden="false" customHeight="false" outlineLevel="0" collapsed="false">
      <c r="A55" s="114" t="s">
        <v>14377</v>
      </c>
      <c r="B55" s="114"/>
      <c r="C55" s="114"/>
      <c r="D55" s="98"/>
      <c r="E55" s="98"/>
      <c r="F55" s="98"/>
      <c r="G55" s="98"/>
      <c r="H55" s="98"/>
      <c r="I55" s="98"/>
      <c r="J55" s="98"/>
      <c r="K55" s="98"/>
      <c r="L55" s="98"/>
      <c r="M55" s="98"/>
    </row>
    <row r="56" customFormat="false" ht="14.25" hidden="false" customHeight="false" outlineLevel="0" collapsed="false">
      <c r="A56" s="94" t="s">
        <v>14378</v>
      </c>
      <c r="B56" s="94"/>
      <c r="C56" s="94"/>
      <c r="D56" s="97"/>
      <c r="E56" s="97"/>
      <c r="F56" s="97"/>
      <c r="G56" s="97"/>
      <c r="H56" s="97"/>
      <c r="I56" s="98"/>
      <c r="J56" s="98"/>
      <c r="K56" s="98"/>
      <c r="L56" s="98"/>
      <c r="M56" s="98"/>
    </row>
    <row r="57" customFormat="false" ht="14.25" hidden="false" customHeight="false" outlineLevel="0" collapsed="false">
      <c r="A57" s="114" t="s">
        <v>1472</v>
      </c>
      <c r="B57" s="114"/>
      <c r="C57" s="114"/>
      <c r="D57" s="102"/>
      <c r="E57" s="102"/>
      <c r="F57" s="102"/>
      <c r="G57" s="102"/>
      <c r="H57" s="102"/>
      <c r="I57" s="102"/>
      <c r="J57" s="102"/>
      <c r="K57" s="102"/>
      <c r="L57" s="102"/>
      <c r="M57" s="102"/>
    </row>
    <row r="58" customFormat="false" ht="14.25" hidden="false" customHeight="false" outlineLevel="0" collapsed="false">
      <c r="A58" s="114" t="s">
        <v>1473</v>
      </c>
      <c r="B58" s="114"/>
      <c r="C58" s="114"/>
      <c r="D58" s="115"/>
      <c r="E58" s="115"/>
      <c r="F58" s="115"/>
      <c r="G58" s="115"/>
      <c r="H58" s="115"/>
      <c r="I58" s="115"/>
      <c r="J58" s="115"/>
      <c r="K58" s="115"/>
      <c r="L58" s="115"/>
      <c r="M58" s="115"/>
    </row>
    <row r="59" customFormat="false" ht="14.25" hidden="false" customHeight="false" outlineLevel="0" collapsed="false">
      <c r="A59" s="114" t="s">
        <v>1474</v>
      </c>
      <c r="B59" s="114"/>
      <c r="C59" s="114"/>
      <c r="D59" s="115"/>
      <c r="E59" s="115"/>
      <c r="F59" s="115"/>
      <c r="G59" s="115"/>
      <c r="H59" s="115"/>
      <c r="I59" s="116"/>
      <c r="J59" s="116"/>
      <c r="K59" s="116"/>
      <c r="L59" s="116"/>
      <c r="M59" s="116"/>
    </row>
    <row r="60" customFormat="false" ht="14.25" hidden="false" customHeight="false" outlineLevel="0" collapsed="false">
      <c r="A60" s="114" t="s">
        <v>1475</v>
      </c>
      <c r="B60" s="114"/>
      <c r="C60" s="114"/>
      <c r="D60" s="115"/>
      <c r="E60" s="115"/>
      <c r="F60" s="115"/>
      <c r="G60" s="115"/>
      <c r="H60" s="115"/>
      <c r="I60" s="116"/>
      <c r="J60" s="116"/>
      <c r="K60" s="116"/>
      <c r="L60" s="116"/>
      <c r="M60" s="116"/>
    </row>
    <row r="61" customFormat="false" ht="14.25" hidden="false" customHeight="false" outlineLevel="0" collapsed="false">
      <c r="A61" s="114" t="s">
        <v>1477</v>
      </c>
      <c r="B61" s="114"/>
      <c r="C61" s="114"/>
      <c r="D61" s="115"/>
      <c r="E61" s="115"/>
      <c r="F61" s="115"/>
      <c r="G61" s="115"/>
      <c r="H61" s="115"/>
      <c r="I61" s="116"/>
      <c r="J61" s="116"/>
      <c r="K61" s="116"/>
      <c r="L61" s="116"/>
      <c r="M61" s="116"/>
    </row>
    <row r="62" customFormat="false" ht="14.25" hidden="false" customHeight="false" outlineLevel="0" collapsed="false">
      <c r="A62" s="114" t="s">
        <v>14379</v>
      </c>
      <c r="B62" s="114"/>
      <c r="C62" s="114"/>
      <c r="D62" s="103"/>
      <c r="E62" s="117"/>
      <c r="F62" s="117"/>
      <c r="G62" s="117"/>
      <c r="H62" s="118"/>
      <c r="I62" s="103"/>
      <c r="J62" s="117"/>
      <c r="K62" s="117"/>
      <c r="L62" s="117"/>
      <c r="M62" s="118"/>
    </row>
    <row r="63" customFormat="false" ht="15" hidden="false" customHeight="false" outlineLevel="0" collapsed="false">
      <c r="A63" s="119" t="s">
        <v>14380</v>
      </c>
      <c r="B63" s="119"/>
      <c r="C63" s="119"/>
      <c r="D63" s="106"/>
      <c r="E63" s="120"/>
      <c r="F63" s="120"/>
      <c r="G63" s="120"/>
      <c r="H63" s="121"/>
      <c r="I63" s="106"/>
      <c r="J63" s="120"/>
      <c r="K63" s="120"/>
      <c r="L63" s="120"/>
      <c r="M63" s="121"/>
    </row>
    <row r="64" customFormat="false" ht="13.5" hidden="false" customHeight="false" outlineLevel="0" collapsed="false">
      <c r="A64" s="122"/>
      <c r="B64" s="122"/>
      <c r="C64" s="122"/>
      <c r="D64" s="122"/>
      <c r="E64" s="122"/>
      <c r="F64" s="122"/>
      <c r="G64" s="122"/>
      <c r="H64" s="122"/>
      <c r="I64" s="122"/>
      <c r="J64" s="122"/>
      <c r="K64" s="122"/>
      <c r="L64" s="122"/>
      <c r="M64" s="122"/>
    </row>
    <row r="65" customFormat="false" ht="12.75" hidden="false" customHeight="true" outlineLevel="0" collapsed="false">
      <c r="A65" s="57" t="s">
        <v>1</v>
      </c>
      <c r="B65" s="57"/>
      <c r="C65" s="57"/>
      <c r="D65" s="58" t="s">
        <v>14359</v>
      </c>
      <c r="E65" s="58"/>
      <c r="F65" s="58"/>
      <c r="G65" s="58"/>
      <c r="H65" s="58"/>
      <c r="I65" s="58"/>
      <c r="J65" s="58"/>
      <c r="K65" s="58"/>
      <c r="L65" s="59"/>
      <c r="M65" s="60"/>
    </row>
    <row r="66" customFormat="false" ht="12.75" hidden="false" customHeight="true" outlineLevel="0" collapsed="false">
      <c r="A66" s="57"/>
      <c r="B66" s="57"/>
      <c r="C66" s="57"/>
      <c r="D66" s="58"/>
      <c r="E66" s="58"/>
      <c r="F66" s="58"/>
      <c r="G66" s="58"/>
      <c r="H66" s="58"/>
      <c r="I66" s="58"/>
      <c r="J66" s="58"/>
      <c r="K66" s="58"/>
      <c r="L66" s="61"/>
      <c r="M66" s="62"/>
    </row>
    <row r="67" customFormat="false" ht="15" hidden="false" customHeight="true" outlineLevel="0" collapsed="false">
      <c r="A67" s="63" t="n">
        <f aca="false">A3</f>
        <v>0</v>
      </c>
      <c r="B67" s="63"/>
      <c r="C67" s="63"/>
      <c r="D67" s="58"/>
      <c r="E67" s="58"/>
      <c r="F67" s="58"/>
      <c r="G67" s="58"/>
      <c r="H67" s="58"/>
      <c r="I67" s="58"/>
      <c r="J67" s="58"/>
      <c r="K67" s="58"/>
      <c r="L67" s="61"/>
      <c r="M67" s="62"/>
    </row>
    <row r="68" customFormat="false" ht="15" hidden="false" customHeight="true" outlineLevel="0" collapsed="false">
      <c r="A68" s="63"/>
      <c r="B68" s="63"/>
      <c r="C68" s="63"/>
      <c r="D68" s="58"/>
      <c r="E68" s="58"/>
      <c r="F68" s="58"/>
      <c r="G68" s="58"/>
      <c r="H68" s="58"/>
      <c r="I68" s="58"/>
      <c r="J68" s="58"/>
      <c r="K68" s="58"/>
      <c r="L68" s="61"/>
      <c r="M68" s="62"/>
    </row>
    <row r="69" customFormat="false" ht="15.75" hidden="false" customHeight="true" outlineLevel="0" collapsed="false">
      <c r="A69" s="63"/>
      <c r="B69" s="63"/>
      <c r="C69" s="63"/>
      <c r="D69" s="58"/>
      <c r="E69" s="58"/>
      <c r="F69" s="58"/>
      <c r="G69" s="58"/>
      <c r="H69" s="58"/>
      <c r="I69" s="58"/>
      <c r="J69" s="58"/>
      <c r="K69" s="58"/>
      <c r="L69" s="64"/>
      <c r="M69" s="65"/>
    </row>
    <row r="70" customFormat="false" ht="15" hidden="false" customHeight="false" outlineLevel="0" collapsed="false">
      <c r="A70" s="66" t="s">
        <v>14360</v>
      </c>
      <c r="B70" s="66"/>
      <c r="C70" s="66"/>
      <c r="D70" s="66"/>
      <c r="E70" s="66"/>
      <c r="F70" s="66"/>
      <c r="G70" s="66"/>
      <c r="H70" s="66"/>
      <c r="I70" s="66"/>
      <c r="J70" s="66"/>
      <c r="K70" s="66"/>
      <c r="L70" s="66"/>
      <c r="M70" s="66"/>
    </row>
    <row r="71" customFormat="false" ht="15" hidden="false" customHeight="false" outlineLevel="0" collapsed="false">
      <c r="A71" s="67"/>
      <c r="B71" s="68" t="s">
        <v>14361</v>
      </c>
      <c r="C71" s="68"/>
      <c r="D71" s="68"/>
      <c r="E71" s="68"/>
      <c r="F71" s="68" t="s">
        <v>14362</v>
      </c>
      <c r="G71" s="68"/>
      <c r="H71" s="68"/>
      <c r="I71" s="68"/>
      <c r="J71" s="68" t="s">
        <v>14363</v>
      </c>
      <c r="K71" s="68"/>
      <c r="L71" s="68"/>
      <c r="M71" s="68"/>
    </row>
    <row r="72" customFormat="false" ht="13.5" hidden="false" customHeight="false" outlineLevel="0" collapsed="false">
      <c r="A72" s="69" t="s">
        <v>47</v>
      </c>
      <c r="B72" s="70" t="s">
        <v>14364</v>
      </c>
      <c r="C72" s="71" t="s">
        <v>14360</v>
      </c>
      <c r="D72" s="72" t="s">
        <v>14365</v>
      </c>
      <c r="E72" s="72"/>
      <c r="F72" s="70" t="s">
        <v>14364</v>
      </c>
      <c r="G72" s="71" t="s">
        <v>14360</v>
      </c>
      <c r="H72" s="72" t="s">
        <v>14365</v>
      </c>
      <c r="I72" s="72"/>
      <c r="J72" s="70" t="s">
        <v>14364</v>
      </c>
      <c r="K72" s="71" t="s">
        <v>14360</v>
      </c>
      <c r="L72" s="72" t="s">
        <v>14366</v>
      </c>
      <c r="M72" s="72"/>
    </row>
    <row r="73" customFormat="false" ht="14.25" hidden="false" customHeight="false" outlineLevel="0" collapsed="false">
      <c r="A73" s="73" t="s">
        <v>14367</v>
      </c>
      <c r="B73" s="74" t="n">
        <f aca="false">B9</f>
        <v>0</v>
      </c>
      <c r="C73" s="75" t="n">
        <f aca="false">C9</f>
        <v>0</v>
      </c>
      <c r="D73" s="76" t="n">
        <f aca="false">D9</f>
        <v>0</v>
      </c>
      <c r="E73" s="76"/>
      <c r="F73" s="74" t="n">
        <f aca="false">F9</f>
        <v>0</v>
      </c>
      <c r="G73" s="75" t="n">
        <f aca="false">G9</f>
        <v>0</v>
      </c>
      <c r="H73" s="76" t="n">
        <f aca="false">H9</f>
        <v>0</v>
      </c>
      <c r="I73" s="76"/>
      <c r="J73" s="74" t="n">
        <f aca="false">J9</f>
        <v>0</v>
      </c>
      <c r="K73" s="75" t="n">
        <f aca="false">K9</f>
        <v>0</v>
      </c>
      <c r="L73" s="76" t="n">
        <f aca="false">L9</f>
        <v>0</v>
      </c>
      <c r="M73" s="76"/>
    </row>
    <row r="74" customFormat="false" ht="14.25" hidden="false" customHeight="false" outlineLevel="0" collapsed="false">
      <c r="A74" s="77" t="s">
        <v>14368</v>
      </c>
      <c r="B74" s="78" t="n">
        <f aca="false">B10</f>
        <v>0</v>
      </c>
      <c r="C74" s="79" t="n">
        <f aca="false">C10</f>
        <v>0</v>
      </c>
      <c r="D74" s="80" t="n">
        <f aca="false">D10</f>
        <v>0</v>
      </c>
      <c r="E74" s="80"/>
      <c r="F74" s="78" t="n">
        <f aca="false">F10</f>
        <v>0</v>
      </c>
      <c r="G74" s="79" t="n">
        <f aca="false">G10</f>
        <v>0</v>
      </c>
      <c r="H74" s="80" t="n">
        <f aca="false">H10</f>
        <v>0</v>
      </c>
      <c r="I74" s="80"/>
      <c r="J74" s="78" t="n">
        <f aca="false">J10</f>
        <v>0</v>
      </c>
      <c r="K74" s="79" t="n">
        <f aca="false">K10</f>
        <v>0</v>
      </c>
      <c r="L74" s="80" t="n">
        <f aca="false">L10</f>
        <v>0</v>
      </c>
      <c r="M74" s="80"/>
    </row>
    <row r="75" customFormat="false" ht="15" hidden="false" customHeight="false" outlineLevel="0" collapsed="false">
      <c r="A75" s="81" t="s">
        <v>14369</v>
      </c>
      <c r="B75" s="82" t="n">
        <f aca="false">B11</f>
        <v>0</v>
      </c>
      <c r="C75" s="83" t="n">
        <f aca="false">C11</f>
        <v>0</v>
      </c>
      <c r="D75" s="84" t="n">
        <f aca="false">D11</f>
        <v>0</v>
      </c>
      <c r="E75" s="84"/>
      <c r="F75" s="82" t="n">
        <f aca="false">F11</f>
        <v>0</v>
      </c>
      <c r="G75" s="83" t="n">
        <f aca="false">G11</f>
        <v>0</v>
      </c>
      <c r="H75" s="84" t="n">
        <f aca="false">H11</f>
        <v>0</v>
      </c>
      <c r="I75" s="84"/>
      <c r="J75" s="82" t="n">
        <f aca="false">J11</f>
        <v>0</v>
      </c>
      <c r="K75" s="83" t="n">
        <f aca="false">K11</f>
        <v>0</v>
      </c>
      <c r="L75" s="84" t="n">
        <f aca="false">L11</f>
        <v>0</v>
      </c>
      <c r="M75" s="84"/>
    </row>
    <row r="76" customFormat="false" ht="15" hidden="false" customHeight="false" outlineLevel="0" collapsed="false">
      <c r="A76" s="85" t="s">
        <v>14370</v>
      </c>
      <c r="B76" s="86"/>
      <c r="C76" s="87"/>
      <c r="D76" s="88"/>
      <c r="E76" s="88"/>
      <c r="F76" s="86"/>
      <c r="G76" s="87"/>
      <c r="H76" s="88"/>
      <c r="I76" s="88"/>
      <c r="J76" s="86"/>
      <c r="K76" s="87"/>
      <c r="L76" s="88"/>
      <c r="M76" s="88"/>
    </row>
    <row r="77" customFormat="false" ht="15" hidden="false" customHeight="false" outlineLevel="0" collapsed="false">
      <c r="A77" s="67"/>
      <c r="B77" s="68" t="s">
        <v>14371</v>
      </c>
      <c r="C77" s="68"/>
      <c r="D77" s="68"/>
      <c r="E77" s="68"/>
      <c r="F77" s="68" t="s">
        <v>14372</v>
      </c>
      <c r="G77" s="68"/>
      <c r="H77" s="68"/>
      <c r="I77" s="68"/>
      <c r="J77" s="68" t="s">
        <v>14373</v>
      </c>
      <c r="K77" s="68"/>
      <c r="L77" s="68"/>
      <c r="M77" s="68"/>
    </row>
    <row r="78" customFormat="false" ht="13.5" hidden="false" customHeight="false" outlineLevel="0" collapsed="false">
      <c r="A78" s="69" t="s">
        <v>47</v>
      </c>
      <c r="B78" s="70" t="s">
        <v>14364</v>
      </c>
      <c r="C78" s="71" t="s">
        <v>14360</v>
      </c>
      <c r="D78" s="72" t="s">
        <v>14366</v>
      </c>
      <c r="E78" s="72"/>
      <c r="F78" s="70" t="s">
        <v>14364</v>
      </c>
      <c r="G78" s="71" t="s">
        <v>14360</v>
      </c>
      <c r="H78" s="72" t="s">
        <v>14366</v>
      </c>
      <c r="I78" s="72"/>
      <c r="J78" s="70" t="s">
        <v>14364</v>
      </c>
      <c r="K78" s="71" t="s">
        <v>14360</v>
      </c>
      <c r="L78" s="72" t="s">
        <v>14366</v>
      </c>
      <c r="M78" s="72"/>
    </row>
    <row r="79" customFormat="false" ht="14.25" hidden="false" customHeight="false" outlineLevel="0" collapsed="false">
      <c r="A79" s="73" t="s">
        <v>14367</v>
      </c>
      <c r="B79" s="74" t="n">
        <f aca="false">B15</f>
        <v>0</v>
      </c>
      <c r="C79" s="75" t="n">
        <f aca="false">C15</f>
        <v>0</v>
      </c>
      <c r="D79" s="76" t="n">
        <f aca="false">D15</f>
        <v>0</v>
      </c>
      <c r="E79" s="76"/>
      <c r="F79" s="74" t="n">
        <f aca="false">F15</f>
        <v>0</v>
      </c>
      <c r="G79" s="75" t="n">
        <f aca="false">G15</f>
        <v>0</v>
      </c>
      <c r="H79" s="76" t="n">
        <f aca="false">H15</f>
        <v>0</v>
      </c>
      <c r="I79" s="76"/>
      <c r="J79" s="74" t="n">
        <f aca="false">J15</f>
        <v>0</v>
      </c>
      <c r="K79" s="75" t="n">
        <f aca="false">K15</f>
        <v>0</v>
      </c>
      <c r="L79" s="76" t="n">
        <f aca="false">L15</f>
        <v>0</v>
      </c>
      <c r="M79" s="76"/>
    </row>
    <row r="80" customFormat="false" ht="14.25" hidden="false" customHeight="false" outlineLevel="0" collapsed="false">
      <c r="A80" s="77" t="s">
        <v>14368</v>
      </c>
      <c r="B80" s="78" t="n">
        <f aca="false">B16</f>
        <v>0</v>
      </c>
      <c r="C80" s="79" t="n">
        <f aca="false">C16</f>
        <v>0</v>
      </c>
      <c r="D80" s="80" t="n">
        <f aca="false">D16</f>
        <v>0</v>
      </c>
      <c r="E80" s="80"/>
      <c r="F80" s="78" t="n">
        <f aca="false">F16</f>
        <v>0</v>
      </c>
      <c r="G80" s="79" t="n">
        <f aca="false">G16</f>
        <v>0</v>
      </c>
      <c r="H80" s="80" t="n">
        <f aca="false">H16</f>
        <v>0</v>
      </c>
      <c r="I80" s="80"/>
      <c r="J80" s="78" t="n">
        <f aca="false">J16</f>
        <v>0</v>
      </c>
      <c r="K80" s="79" t="n">
        <f aca="false">K16</f>
        <v>0</v>
      </c>
      <c r="L80" s="80" t="n">
        <f aca="false">L16</f>
        <v>0</v>
      </c>
      <c r="M80" s="80"/>
    </row>
    <row r="81" customFormat="false" ht="15" hidden="false" customHeight="false" outlineLevel="0" collapsed="false">
      <c r="A81" s="81" t="s">
        <v>14369</v>
      </c>
      <c r="B81" s="82" t="n">
        <f aca="false">B17</f>
        <v>0</v>
      </c>
      <c r="C81" s="83" t="n">
        <f aca="false">C17</f>
        <v>0</v>
      </c>
      <c r="D81" s="84" t="n">
        <f aca="false">D17</f>
        <v>0</v>
      </c>
      <c r="E81" s="84"/>
      <c r="F81" s="82" t="n">
        <f aca="false">F17</f>
        <v>0</v>
      </c>
      <c r="G81" s="83" t="n">
        <f aca="false">G17</f>
        <v>0</v>
      </c>
      <c r="H81" s="84" t="n">
        <f aca="false">H17</f>
        <v>0</v>
      </c>
      <c r="I81" s="84"/>
      <c r="J81" s="82" t="n">
        <f aca="false">J17</f>
        <v>0</v>
      </c>
      <c r="K81" s="83" t="n">
        <f aca="false">K17</f>
        <v>0</v>
      </c>
      <c r="L81" s="84" t="n">
        <f aca="false">L17</f>
        <v>0</v>
      </c>
      <c r="M81" s="84"/>
    </row>
    <row r="82" customFormat="false" ht="15" hidden="false" customHeight="false" outlineLevel="0" collapsed="false">
      <c r="A82" s="85" t="s">
        <v>14370</v>
      </c>
      <c r="B82" s="86"/>
      <c r="C82" s="87"/>
      <c r="D82" s="88"/>
      <c r="E82" s="88"/>
      <c r="F82" s="86"/>
      <c r="G82" s="87"/>
      <c r="H82" s="88"/>
      <c r="I82" s="88"/>
      <c r="J82" s="86"/>
      <c r="K82" s="87"/>
      <c r="L82" s="88"/>
      <c r="M82" s="88"/>
    </row>
    <row r="83" customFormat="false" ht="13.5" hidden="false" customHeight="false" outlineLevel="0" collapsed="false">
      <c r="A83" s="89"/>
      <c r="B83" s="89"/>
      <c r="C83" s="89"/>
      <c r="D83" s="89"/>
      <c r="E83" s="89"/>
      <c r="F83" s="89"/>
      <c r="G83" s="89"/>
      <c r="H83" s="89"/>
      <c r="I83" s="89"/>
      <c r="J83" s="89"/>
      <c r="K83" s="89"/>
      <c r="L83" s="89"/>
      <c r="M83" s="89"/>
    </row>
    <row r="84" customFormat="false" ht="15" hidden="false" customHeight="false" outlineLevel="0" collapsed="false">
      <c r="A84" s="90" t="s">
        <v>14374</v>
      </c>
      <c r="B84" s="90"/>
      <c r="C84" s="90"/>
      <c r="D84" s="90"/>
      <c r="E84" s="90"/>
      <c r="F84" s="90"/>
      <c r="G84" s="90"/>
      <c r="H84" s="90"/>
      <c r="I84" s="90"/>
      <c r="J84" s="90"/>
      <c r="K84" s="90"/>
      <c r="L84" s="90"/>
      <c r="M84" s="90"/>
    </row>
    <row r="85" customFormat="false" ht="15" hidden="false" customHeight="true" outlineLevel="0" collapsed="false">
      <c r="A85" s="91" t="s">
        <v>14375</v>
      </c>
      <c r="B85" s="91"/>
      <c r="C85" s="91"/>
      <c r="D85" s="92"/>
      <c r="E85" s="92"/>
      <c r="F85" s="92"/>
      <c r="G85" s="92"/>
      <c r="H85" s="92"/>
      <c r="I85" s="93"/>
      <c r="J85" s="93"/>
      <c r="K85" s="93"/>
      <c r="L85" s="93"/>
      <c r="M85" s="93"/>
    </row>
    <row r="86" customFormat="false" ht="15" hidden="false" customHeight="true" outlineLevel="0" collapsed="false">
      <c r="A86" s="94" t="s">
        <v>14350</v>
      </c>
      <c r="B86" s="94"/>
      <c r="C86" s="94"/>
      <c r="D86" s="95"/>
      <c r="E86" s="95"/>
      <c r="F86" s="95"/>
      <c r="G86" s="95"/>
      <c r="H86" s="95"/>
      <c r="I86" s="96"/>
      <c r="J86" s="96"/>
      <c r="K86" s="96"/>
      <c r="L86" s="96"/>
      <c r="M86" s="96"/>
    </row>
    <row r="87" customFormat="false" ht="14.25" hidden="false" customHeight="false" outlineLevel="0" collapsed="false">
      <c r="A87" s="94" t="s">
        <v>1468</v>
      </c>
      <c r="B87" s="94"/>
      <c r="C87" s="94"/>
      <c r="D87" s="97"/>
      <c r="E87" s="97"/>
      <c r="F87" s="97"/>
      <c r="G87" s="97"/>
      <c r="H87" s="97"/>
      <c r="I87" s="98"/>
      <c r="J87" s="98"/>
      <c r="K87" s="98"/>
      <c r="L87" s="98"/>
      <c r="M87" s="98"/>
    </row>
    <row r="88" customFormat="false" ht="14.25" hidden="false" customHeight="false" outlineLevel="0" collapsed="false">
      <c r="A88" s="94" t="s">
        <v>14376</v>
      </c>
      <c r="B88" s="94"/>
      <c r="C88" s="94"/>
      <c r="D88" s="97"/>
      <c r="E88" s="97"/>
      <c r="F88" s="97"/>
      <c r="G88" s="97"/>
      <c r="H88" s="97"/>
      <c r="I88" s="98"/>
      <c r="J88" s="98"/>
      <c r="K88" s="98"/>
      <c r="L88" s="98"/>
      <c r="M88" s="98"/>
    </row>
    <row r="89" customFormat="false" ht="14.25" hidden="false" customHeight="false" outlineLevel="0" collapsed="false">
      <c r="A89" s="94" t="s">
        <v>14377</v>
      </c>
      <c r="B89" s="94"/>
      <c r="C89" s="94"/>
      <c r="D89" s="97"/>
      <c r="E89" s="97"/>
      <c r="F89" s="97"/>
      <c r="G89" s="97"/>
      <c r="H89" s="97"/>
      <c r="I89" s="98"/>
      <c r="J89" s="98"/>
      <c r="K89" s="98"/>
      <c r="L89" s="98"/>
      <c r="M89" s="98"/>
    </row>
    <row r="90" customFormat="false" ht="14.25" hidden="false" customHeight="false" outlineLevel="0" collapsed="false">
      <c r="A90" s="94" t="s">
        <v>14378</v>
      </c>
      <c r="B90" s="94"/>
      <c r="C90" s="94"/>
      <c r="D90" s="97"/>
      <c r="E90" s="97"/>
      <c r="F90" s="97"/>
      <c r="G90" s="97"/>
      <c r="H90" s="97"/>
      <c r="I90" s="98"/>
      <c r="J90" s="98"/>
      <c r="K90" s="98"/>
      <c r="L90" s="98"/>
      <c r="M90" s="98"/>
    </row>
    <row r="91" customFormat="false" ht="14.25" hidden="false" customHeight="false" outlineLevel="0" collapsed="false">
      <c r="A91" s="94" t="s">
        <v>1472</v>
      </c>
      <c r="B91" s="94"/>
      <c r="C91" s="94"/>
      <c r="D91" s="99"/>
      <c r="E91" s="99"/>
      <c r="F91" s="99"/>
      <c r="G91" s="99"/>
      <c r="H91" s="99"/>
      <c r="I91" s="100"/>
      <c r="J91" s="100"/>
      <c r="K91" s="100"/>
      <c r="L91" s="100"/>
      <c r="M91" s="100"/>
    </row>
    <row r="92" customFormat="false" ht="14.25" hidden="false" customHeight="false" outlineLevel="0" collapsed="false">
      <c r="A92" s="94" t="s">
        <v>1473</v>
      </c>
      <c r="B92" s="94"/>
      <c r="C92" s="94"/>
      <c r="D92" s="99"/>
      <c r="E92" s="99"/>
      <c r="F92" s="99"/>
      <c r="G92" s="99"/>
      <c r="H92" s="99"/>
      <c r="I92" s="100"/>
      <c r="J92" s="100"/>
      <c r="K92" s="100"/>
      <c r="L92" s="100"/>
      <c r="M92" s="100"/>
    </row>
    <row r="93" customFormat="false" ht="14.25" hidden="false" customHeight="false" outlineLevel="0" collapsed="false">
      <c r="A93" s="94" t="s">
        <v>1474</v>
      </c>
      <c r="B93" s="94"/>
      <c r="C93" s="94"/>
      <c r="D93" s="101"/>
      <c r="E93" s="101"/>
      <c r="F93" s="101"/>
      <c r="G93" s="101"/>
      <c r="H93" s="101"/>
      <c r="I93" s="102"/>
      <c r="J93" s="102"/>
      <c r="K93" s="102"/>
      <c r="L93" s="102"/>
      <c r="M93" s="102"/>
    </row>
    <row r="94" customFormat="false" ht="14.25" hidden="false" customHeight="false" outlineLevel="0" collapsed="false">
      <c r="A94" s="94" t="s">
        <v>1475</v>
      </c>
      <c r="B94" s="94"/>
      <c r="C94" s="94"/>
      <c r="D94" s="101"/>
      <c r="E94" s="101"/>
      <c r="F94" s="101"/>
      <c r="G94" s="101"/>
      <c r="H94" s="101"/>
      <c r="I94" s="102"/>
      <c r="J94" s="102"/>
      <c r="K94" s="102"/>
      <c r="L94" s="102"/>
      <c r="M94" s="102"/>
    </row>
    <row r="95" customFormat="false" ht="14.25" hidden="false" customHeight="false" outlineLevel="0" collapsed="false">
      <c r="A95" s="94" t="s">
        <v>1477</v>
      </c>
      <c r="B95" s="94"/>
      <c r="C95" s="94"/>
      <c r="D95" s="101"/>
      <c r="E95" s="101"/>
      <c r="F95" s="101"/>
      <c r="G95" s="101"/>
      <c r="H95" s="101"/>
      <c r="I95" s="102"/>
      <c r="J95" s="102"/>
      <c r="K95" s="102"/>
      <c r="L95" s="102"/>
      <c r="M95" s="102"/>
    </row>
    <row r="96" customFormat="false" ht="15.75" hidden="false" customHeight="true" outlineLevel="0" collapsed="false">
      <c r="A96" s="94" t="s">
        <v>14379</v>
      </c>
      <c r="B96" s="94"/>
      <c r="C96" s="94"/>
      <c r="D96" s="103"/>
      <c r="E96" s="103"/>
      <c r="F96" s="103"/>
      <c r="G96" s="103"/>
      <c r="H96" s="103"/>
      <c r="I96" s="104"/>
      <c r="J96" s="104"/>
      <c r="K96" s="104"/>
      <c r="L96" s="104"/>
      <c r="M96" s="104"/>
    </row>
    <row r="97" customFormat="false" ht="15" hidden="false" customHeight="false" outlineLevel="0" collapsed="false">
      <c r="A97" s="105" t="s">
        <v>14380</v>
      </c>
      <c r="B97" s="105"/>
      <c r="C97" s="105"/>
      <c r="D97" s="106"/>
      <c r="E97" s="106"/>
      <c r="F97" s="106"/>
      <c r="G97" s="106"/>
      <c r="H97" s="106"/>
      <c r="I97" s="107"/>
      <c r="J97" s="107"/>
      <c r="K97" s="107"/>
      <c r="L97" s="107"/>
      <c r="M97" s="107"/>
    </row>
    <row r="98" customFormat="false" ht="15" hidden="false" customHeight="false" outlineLevel="0" collapsed="false">
      <c r="A98" s="108"/>
      <c r="B98" s="109"/>
      <c r="C98" s="109"/>
      <c r="D98" s="110"/>
      <c r="E98" s="110"/>
      <c r="F98" s="110"/>
      <c r="G98" s="110"/>
      <c r="H98" s="110"/>
      <c r="I98" s="110"/>
      <c r="J98" s="110"/>
      <c r="K98" s="110"/>
      <c r="L98" s="110"/>
      <c r="M98" s="111"/>
    </row>
    <row r="99" customFormat="false" ht="15" hidden="false" customHeight="false" outlineLevel="0" collapsed="false">
      <c r="A99" s="66" t="s">
        <v>14381</v>
      </c>
      <c r="B99" s="66"/>
      <c r="C99" s="66"/>
      <c r="D99" s="66"/>
      <c r="E99" s="66"/>
      <c r="F99" s="66"/>
      <c r="G99" s="66"/>
      <c r="H99" s="66"/>
      <c r="I99" s="66"/>
      <c r="J99" s="66"/>
      <c r="K99" s="66"/>
      <c r="L99" s="66"/>
      <c r="M99" s="66"/>
    </row>
    <row r="100" customFormat="false" ht="14.25" hidden="false" customHeight="false" outlineLevel="0" collapsed="false">
      <c r="A100" s="112" t="s">
        <v>14375</v>
      </c>
      <c r="B100" s="112"/>
      <c r="C100" s="112"/>
      <c r="D100" s="113"/>
      <c r="E100" s="113"/>
      <c r="F100" s="113"/>
      <c r="G100" s="113"/>
      <c r="H100" s="113"/>
      <c r="I100" s="113"/>
      <c r="J100" s="113"/>
      <c r="K100" s="113"/>
      <c r="L100" s="113"/>
      <c r="M100" s="113"/>
    </row>
    <row r="101" customFormat="false" ht="14.25" hidden="false" customHeight="false" outlineLevel="0" collapsed="false">
      <c r="A101" s="114" t="s">
        <v>14350</v>
      </c>
      <c r="B101" s="114"/>
      <c r="C101" s="114"/>
      <c r="D101" s="104"/>
      <c r="E101" s="104"/>
      <c r="F101" s="104"/>
      <c r="G101" s="104"/>
      <c r="H101" s="104"/>
      <c r="I101" s="104"/>
      <c r="J101" s="104"/>
      <c r="K101" s="104"/>
      <c r="L101" s="104"/>
      <c r="M101" s="104"/>
    </row>
    <row r="102" customFormat="false" ht="14.25" hidden="false" customHeight="false" outlineLevel="0" collapsed="false">
      <c r="A102" s="114" t="s">
        <v>1468</v>
      </c>
      <c r="B102" s="114"/>
      <c r="C102" s="114"/>
      <c r="D102" s="104"/>
      <c r="E102" s="104"/>
      <c r="F102" s="104"/>
      <c r="G102" s="104"/>
      <c r="H102" s="104"/>
      <c r="I102" s="104"/>
      <c r="J102" s="104"/>
      <c r="K102" s="104"/>
      <c r="L102" s="104"/>
      <c r="M102" s="104"/>
    </row>
    <row r="103" customFormat="false" ht="14.25" hidden="false" customHeight="false" outlineLevel="0" collapsed="false">
      <c r="A103" s="114" t="s">
        <v>14376</v>
      </c>
      <c r="B103" s="114"/>
      <c r="C103" s="114"/>
      <c r="D103" s="98"/>
      <c r="E103" s="98"/>
      <c r="F103" s="98"/>
      <c r="G103" s="98"/>
      <c r="H103" s="98"/>
      <c r="I103" s="98"/>
      <c r="J103" s="98"/>
      <c r="K103" s="98"/>
      <c r="L103" s="98"/>
      <c r="M103" s="98"/>
    </row>
    <row r="104" customFormat="false" ht="14.25" hidden="false" customHeight="false" outlineLevel="0" collapsed="false">
      <c r="A104" s="114" t="s">
        <v>14377</v>
      </c>
      <c r="B104" s="114"/>
      <c r="C104" s="114"/>
      <c r="D104" s="98"/>
      <c r="E104" s="98"/>
      <c r="F104" s="98"/>
      <c r="G104" s="98"/>
      <c r="H104" s="98"/>
      <c r="I104" s="98"/>
      <c r="J104" s="98"/>
      <c r="K104" s="98"/>
      <c r="L104" s="98"/>
      <c r="M104" s="98"/>
    </row>
    <row r="105" customFormat="false" ht="14.25" hidden="false" customHeight="false" outlineLevel="0" collapsed="false">
      <c r="A105" s="94" t="s">
        <v>14378</v>
      </c>
      <c r="B105" s="94"/>
      <c r="C105" s="94"/>
      <c r="D105" s="97"/>
      <c r="E105" s="97"/>
      <c r="F105" s="97"/>
      <c r="G105" s="97"/>
      <c r="H105" s="97"/>
      <c r="I105" s="98"/>
      <c r="J105" s="98"/>
      <c r="K105" s="98"/>
      <c r="L105" s="98"/>
      <c r="M105" s="98"/>
    </row>
    <row r="106" customFormat="false" ht="14.25" hidden="false" customHeight="false" outlineLevel="0" collapsed="false">
      <c r="A106" s="114" t="s">
        <v>1472</v>
      </c>
      <c r="B106" s="114"/>
      <c r="C106" s="114"/>
      <c r="D106" s="102"/>
      <c r="E106" s="102"/>
      <c r="F106" s="102"/>
      <c r="G106" s="102"/>
      <c r="H106" s="102"/>
      <c r="I106" s="102"/>
      <c r="J106" s="102"/>
      <c r="K106" s="102"/>
      <c r="L106" s="102"/>
      <c r="M106" s="102"/>
    </row>
    <row r="107" customFormat="false" ht="14.25" hidden="false" customHeight="false" outlineLevel="0" collapsed="false">
      <c r="A107" s="114" t="s">
        <v>1473</v>
      </c>
      <c r="B107" s="114"/>
      <c r="C107" s="114"/>
      <c r="D107" s="115"/>
      <c r="E107" s="115"/>
      <c r="F107" s="115"/>
      <c r="G107" s="115"/>
      <c r="H107" s="115"/>
      <c r="I107" s="115"/>
      <c r="J107" s="115"/>
      <c r="K107" s="115"/>
      <c r="L107" s="115"/>
      <c r="M107" s="115"/>
    </row>
    <row r="108" customFormat="false" ht="14.25" hidden="false" customHeight="false" outlineLevel="0" collapsed="false">
      <c r="A108" s="114" t="s">
        <v>1474</v>
      </c>
      <c r="B108" s="114"/>
      <c r="C108" s="114"/>
      <c r="D108" s="115"/>
      <c r="E108" s="115"/>
      <c r="F108" s="115"/>
      <c r="G108" s="115"/>
      <c r="H108" s="115"/>
      <c r="I108" s="116"/>
      <c r="J108" s="116"/>
      <c r="K108" s="116"/>
      <c r="L108" s="116"/>
      <c r="M108" s="116"/>
    </row>
    <row r="109" customFormat="false" ht="14.25" hidden="false" customHeight="false" outlineLevel="0" collapsed="false">
      <c r="A109" s="114" t="s">
        <v>1475</v>
      </c>
      <c r="B109" s="114"/>
      <c r="C109" s="114"/>
      <c r="D109" s="115"/>
      <c r="E109" s="115"/>
      <c r="F109" s="115"/>
      <c r="G109" s="115"/>
      <c r="H109" s="115"/>
      <c r="I109" s="116"/>
      <c r="J109" s="116"/>
      <c r="K109" s="116"/>
      <c r="L109" s="116"/>
      <c r="M109" s="116"/>
    </row>
    <row r="110" customFormat="false" ht="14.25" hidden="false" customHeight="false" outlineLevel="0" collapsed="false">
      <c r="A110" s="114" t="s">
        <v>1477</v>
      </c>
      <c r="B110" s="114"/>
      <c r="C110" s="114"/>
      <c r="D110" s="115"/>
      <c r="E110" s="115"/>
      <c r="F110" s="115"/>
      <c r="G110" s="115"/>
      <c r="H110" s="115"/>
      <c r="I110" s="116"/>
      <c r="J110" s="116"/>
      <c r="K110" s="116"/>
      <c r="L110" s="116"/>
      <c r="M110" s="116"/>
    </row>
    <row r="111" customFormat="false" ht="14.25" hidden="false" customHeight="false" outlineLevel="0" collapsed="false">
      <c r="A111" s="114" t="s">
        <v>14379</v>
      </c>
      <c r="B111" s="114"/>
      <c r="C111" s="114"/>
      <c r="D111" s="103"/>
      <c r="E111" s="117"/>
      <c r="F111" s="117"/>
      <c r="G111" s="117"/>
      <c r="H111" s="118"/>
      <c r="I111" s="103"/>
      <c r="J111" s="117"/>
      <c r="K111" s="117"/>
      <c r="L111" s="117"/>
      <c r="M111" s="118"/>
    </row>
    <row r="112" customFormat="false" ht="15" hidden="false" customHeight="false" outlineLevel="0" collapsed="false">
      <c r="A112" s="119" t="s">
        <v>14380</v>
      </c>
      <c r="B112" s="119"/>
      <c r="C112" s="119"/>
      <c r="D112" s="106"/>
      <c r="E112" s="120"/>
      <c r="F112" s="120"/>
      <c r="G112" s="120"/>
      <c r="H112" s="121"/>
      <c r="I112" s="106"/>
      <c r="J112" s="120"/>
      <c r="K112" s="120"/>
      <c r="L112" s="120"/>
      <c r="M112" s="121"/>
    </row>
    <row r="113" customFormat="false" ht="15" hidden="false" customHeight="false" outlineLevel="0" collapsed="false">
      <c r="A113" s="108"/>
      <c r="B113" s="109"/>
      <c r="C113" s="109"/>
      <c r="D113" s="110"/>
      <c r="E113" s="110"/>
      <c r="F113" s="110"/>
      <c r="G113" s="110"/>
      <c r="H113" s="110"/>
      <c r="I113" s="110"/>
      <c r="J113" s="110"/>
      <c r="K113" s="110"/>
      <c r="L113" s="110"/>
      <c r="M113" s="111"/>
    </row>
    <row r="114" customFormat="false" ht="15" hidden="false" customHeight="false" outlineLevel="0" collapsed="false">
      <c r="A114" s="66" t="s">
        <v>14382</v>
      </c>
      <c r="B114" s="66"/>
      <c r="C114" s="66"/>
      <c r="D114" s="66"/>
      <c r="E114" s="66"/>
      <c r="F114" s="66"/>
      <c r="G114" s="66"/>
      <c r="H114" s="66"/>
      <c r="I114" s="66"/>
      <c r="J114" s="66"/>
      <c r="K114" s="66"/>
      <c r="L114" s="66"/>
      <c r="M114" s="66"/>
    </row>
    <row r="115" customFormat="false" ht="14.25" hidden="false" customHeight="false" outlineLevel="0" collapsed="false">
      <c r="A115" s="112" t="s">
        <v>14375</v>
      </c>
      <c r="B115" s="112"/>
      <c r="C115" s="112"/>
      <c r="D115" s="113"/>
      <c r="E115" s="113"/>
      <c r="F115" s="113"/>
      <c r="G115" s="113"/>
      <c r="H115" s="113"/>
      <c r="I115" s="113"/>
      <c r="J115" s="113"/>
      <c r="K115" s="113"/>
      <c r="L115" s="113"/>
      <c r="M115" s="113"/>
    </row>
    <row r="116" customFormat="false" ht="14.25" hidden="false" customHeight="false" outlineLevel="0" collapsed="false">
      <c r="A116" s="114" t="s">
        <v>14350</v>
      </c>
      <c r="B116" s="114"/>
      <c r="C116" s="114"/>
      <c r="D116" s="104"/>
      <c r="E116" s="104"/>
      <c r="F116" s="104"/>
      <c r="G116" s="104"/>
      <c r="H116" s="104"/>
      <c r="I116" s="104"/>
      <c r="J116" s="104"/>
      <c r="K116" s="104"/>
      <c r="L116" s="104"/>
      <c r="M116" s="104"/>
    </row>
    <row r="117" customFormat="false" ht="14.25" hidden="false" customHeight="false" outlineLevel="0" collapsed="false">
      <c r="A117" s="114" t="s">
        <v>1468</v>
      </c>
      <c r="B117" s="114"/>
      <c r="C117" s="114"/>
      <c r="D117" s="104"/>
      <c r="E117" s="104"/>
      <c r="F117" s="104"/>
      <c r="G117" s="104"/>
      <c r="H117" s="104"/>
      <c r="I117" s="104"/>
      <c r="J117" s="104"/>
      <c r="K117" s="104"/>
      <c r="L117" s="104"/>
      <c r="M117" s="104"/>
    </row>
    <row r="118" customFormat="false" ht="14.25" hidden="false" customHeight="false" outlineLevel="0" collapsed="false">
      <c r="A118" s="114" t="s">
        <v>14376</v>
      </c>
      <c r="B118" s="114"/>
      <c r="C118" s="114"/>
      <c r="D118" s="98"/>
      <c r="E118" s="98"/>
      <c r="F118" s="98"/>
      <c r="G118" s="98"/>
      <c r="H118" s="98"/>
      <c r="I118" s="98"/>
      <c r="J118" s="98"/>
      <c r="K118" s="98"/>
      <c r="L118" s="98"/>
      <c r="M118" s="98"/>
    </row>
    <row r="119" customFormat="false" ht="14.25" hidden="false" customHeight="false" outlineLevel="0" collapsed="false">
      <c r="A119" s="114" t="s">
        <v>14377</v>
      </c>
      <c r="B119" s="114"/>
      <c r="C119" s="114"/>
      <c r="D119" s="98"/>
      <c r="E119" s="98"/>
      <c r="F119" s="98"/>
      <c r="G119" s="98"/>
      <c r="H119" s="98"/>
      <c r="I119" s="98"/>
      <c r="J119" s="98"/>
      <c r="K119" s="98"/>
      <c r="L119" s="98"/>
      <c r="M119" s="98"/>
    </row>
    <row r="120" customFormat="false" ht="14.25" hidden="false" customHeight="false" outlineLevel="0" collapsed="false">
      <c r="A120" s="94" t="s">
        <v>14378</v>
      </c>
      <c r="B120" s="94"/>
      <c r="C120" s="94"/>
      <c r="D120" s="97"/>
      <c r="E120" s="97"/>
      <c r="F120" s="97"/>
      <c r="G120" s="97"/>
      <c r="H120" s="97"/>
      <c r="I120" s="98"/>
      <c r="J120" s="98"/>
      <c r="K120" s="98"/>
      <c r="L120" s="98"/>
      <c r="M120" s="98"/>
    </row>
    <row r="121" customFormat="false" ht="14.25" hidden="false" customHeight="false" outlineLevel="0" collapsed="false">
      <c r="A121" s="114" t="s">
        <v>1472</v>
      </c>
      <c r="B121" s="114"/>
      <c r="C121" s="114"/>
      <c r="D121" s="102"/>
      <c r="E121" s="102"/>
      <c r="F121" s="102"/>
      <c r="G121" s="102"/>
      <c r="H121" s="102"/>
      <c r="I121" s="102"/>
      <c r="J121" s="102"/>
      <c r="K121" s="102"/>
      <c r="L121" s="102"/>
      <c r="M121" s="102"/>
    </row>
    <row r="122" customFormat="false" ht="14.25" hidden="false" customHeight="false" outlineLevel="0" collapsed="false">
      <c r="A122" s="114" t="s">
        <v>1473</v>
      </c>
      <c r="B122" s="114"/>
      <c r="C122" s="114"/>
      <c r="D122" s="115"/>
      <c r="E122" s="115"/>
      <c r="F122" s="115"/>
      <c r="G122" s="115"/>
      <c r="H122" s="115"/>
      <c r="I122" s="115"/>
      <c r="J122" s="115"/>
      <c r="K122" s="115"/>
      <c r="L122" s="115"/>
      <c r="M122" s="115"/>
    </row>
    <row r="123" customFormat="false" ht="14.25" hidden="false" customHeight="false" outlineLevel="0" collapsed="false">
      <c r="A123" s="114" t="s">
        <v>1474</v>
      </c>
      <c r="B123" s="114"/>
      <c r="C123" s="114"/>
      <c r="D123" s="115"/>
      <c r="E123" s="115"/>
      <c r="F123" s="115"/>
      <c r="G123" s="115"/>
      <c r="H123" s="115"/>
      <c r="I123" s="116"/>
      <c r="J123" s="116"/>
      <c r="K123" s="116"/>
      <c r="L123" s="116"/>
      <c r="M123" s="116"/>
    </row>
    <row r="124" customFormat="false" ht="14.25" hidden="false" customHeight="false" outlineLevel="0" collapsed="false">
      <c r="A124" s="114" t="s">
        <v>1475</v>
      </c>
      <c r="B124" s="114"/>
      <c r="C124" s="114"/>
      <c r="D124" s="115"/>
      <c r="E124" s="115"/>
      <c r="F124" s="115"/>
      <c r="G124" s="115"/>
      <c r="H124" s="115"/>
      <c r="I124" s="116"/>
      <c r="J124" s="116"/>
      <c r="K124" s="116"/>
      <c r="L124" s="116"/>
      <c r="M124" s="116"/>
    </row>
    <row r="125" customFormat="false" ht="14.25" hidden="false" customHeight="false" outlineLevel="0" collapsed="false">
      <c r="A125" s="114" t="s">
        <v>1477</v>
      </c>
      <c r="B125" s="114"/>
      <c r="C125" s="114"/>
      <c r="D125" s="115"/>
      <c r="E125" s="115"/>
      <c r="F125" s="115"/>
      <c r="G125" s="115"/>
      <c r="H125" s="115"/>
      <c r="I125" s="116"/>
      <c r="J125" s="116"/>
      <c r="K125" s="116"/>
      <c r="L125" s="116"/>
      <c r="M125" s="116"/>
    </row>
    <row r="126" customFormat="false" ht="14.25" hidden="false" customHeight="false" outlineLevel="0" collapsed="false">
      <c r="A126" s="114" t="s">
        <v>14379</v>
      </c>
      <c r="B126" s="114"/>
      <c r="C126" s="114"/>
      <c r="D126" s="103"/>
      <c r="E126" s="117"/>
      <c r="F126" s="117"/>
      <c r="G126" s="117"/>
      <c r="H126" s="118"/>
      <c r="I126" s="103"/>
      <c r="J126" s="117"/>
      <c r="K126" s="117"/>
      <c r="L126" s="117"/>
      <c r="M126" s="118"/>
    </row>
    <row r="127" customFormat="false" ht="15" hidden="false" customHeight="false" outlineLevel="0" collapsed="false">
      <c r="A127" s="119" t="s">
        <v>14380</v>
      </c>
      <c r="B127" s="119"/>
      <c r="C127" s="119"/>
      <c r="D127" s="106"/>
      <c r="E127" s="120"/>
      <c r="F127" s="120"/>
      <c r="G127" s="120"/>
      <c r="H127" s="121"/>
      <c r="I127" s="106"/>
      <c r="J127" s="120"/>
      <c r="K127" s="120"/>
      <c r="L127" s="120"/>
      <c r="M127" s="121"/>
    </row>
    <row r="128" customFormat="false" ht="13.5" hidden="false" customHeight="false" outlineLevel="0" collapsed="false">
      <c r="A128" s="122"/>
      <c r="B128" s="122"/>
      <c r="C128" s="122"/>
      <c r="D128" s="122"/>
      <c r="E128" s="122"/>
      <c r="F128" s="122"/>
      <c r="G128" s="122"/>
      <c r="H128" s="122"/>
      <c r="I128" s="122"/>
      <c r="J128" s="122"/>
      <c r="K128" s="122"/>
      <c r="L128" s="122"/>
      <c r="M128" s="122"/>
    </row>
  </sheetData>
  <mergeCells count="308">
    <mergeCell ref="A1:C2"/>
    <mergeCell ref="D1:K5"/>
    <mergeCell ref="A3:C5"/>
    <mergeCell ref="A6:M6"/>
    <mergeCell ref="B7:E7"/>
    <mergeCell ref="F7:I7"/>
    <mergeCell ref="J7:M7"/>
    <mergeCell ref="D8:E8"/>
    <mergeCell ref="H8:I8"/>
    <mergeCell ref="L8:M8"/>
    <mergeCell ref="D9:E9"/>
    <mergeCell ref="H9:I9"/>
    <mergeCell ref="L9:M9"/>
    <mergeCell ref="D10:E10"/>
    <mergeCell ref="H10:I10"/>
    <mergeCell ref="L10:M10"/>
    <mergeCell ref="D11:E11"/>
    <mergeCell ref="H11:I11"/>
    <mergeCell ref="L11:M11"/>
    <mergeCell ref="D12:E12"/>
    <mergeCell ref="H12:I12"/>
    <mergeCell ref="L12:M12"/>
    <mergeCell ref="B13:E13"/>
    <mergeCell ref="F13:I13"/>
    <mergeCell ref="J13:M13"/>
    <mergeCell ref="D14:E14"/>
    <mergeCell ref="H14:I14"/>
    <mergeCell ref="L14:M14"/>
    <mergeCell ref="D15:E15"/>
    <mergeCell ref="H15:I15"/>
    <mergeCell ref="L15:M15"/>
    <mergeCell ref="D16:E16"/>
    <mergeCell ref="H16:I16"/>
    <mergeCell ref="L16:M16"/>
    <mergeCell ref="D17:E17"/>
    <mergeCell ref="H17:I17"/>
    <mergeCell ref="L17:M17"/>
    <mergeCell ref="D18:E18"/>
    <mergeCell ref="H18:I18"/>
    <mergeCell ref="L18:M18"/>
    <mergeCell ref="A19:M19"/>
    <mergeCell ref="A20:M20"/>
    <mergeCell ref="A21:C21"/>
    <mergeCell ref="D21:H21"/>
    <mergeCell ref="I21:M21"/>
    <mergeCell ref="A22:C22"/>
    <mergeCell ref="D22:H22"/>
    <mergeCell ref="I22:M22"/>
    <mergeCell ref="A23:C23"/>
    <mergeCell ref="D23:H23"/>
    <mergeCell ref="I23:M23"/>
    <mergeCell ref="A24:C24"/>
    <mergeCell ref="D24:H24"/>
    <mergeCell ref="I24:M24"/>
    <mergeCell ref="A25:C25"/>
    <mergeCell ref="D25:H25"/>
    <mergeCell ref="I25:M25"/>
    <mergeCell ref="A26:C26"/>
    <mergeCell ref="D26:H26"/>
    <mergeCell ref="I26:M26"/>
    <mergeCell ref="A27:C27"/>
    <mergeCell ref="D27:H27"/>
    <mergeCell ref="I27:M27"/>
    <mergeCell ref="A28:C28"/>
    <mergeCell ref="D28:H28"/>
    <mergeCell ref="I28:M28"/>
    <mergeCell ref="A29:C29"/>
    <mergeCell ref="D29:H29"/>
    <mergeCell ref="I29:M29"/>
    <mergeCell ref="A30:C30"/>
    <mergeCell ref="D30:H30"/>
    <mergeCell ref="I30:M30"/>
    <mergeCell ref="A31:C31"/>
    <mergeCell ref="D31:H31"/>
    <mergeCell ref="I31:M31"/>
    <mergeCell ref="A32:C32"/>
    <mergeCell ref="D32:H32"/>
    <mergeCell ref="I32:M32"/>
    <mergeCell ref="A33:C33"/>
    <mergeCell ref="D33:H33"/>
    <mergeCell ref="I33:M33"/>
    <mergeCell ref="A35:M35"/>
    <mergeCell ref="A36:C36"/>
    <mergeCell ref="D36:H36"/>
    <mergeCell ref="I36:M36"/>
    <mergeCell ref="A37:C37"/>
    <mergeCell ref="D37:H37"/>
    <mergeCell ref="I37:M37"/>
    <mergeCell ref="A38:C38"/>
    <mergeCell ref="D38:H38"/>
    <mergeCell ref="I38:M38"/>
    <mergeCell ref="A39:C39"/>
    <mergeCell ref="D39:H39"/>
    <mergeCell ref="I39:M39"/>
    <mergeCell ref="A40:C40"/>
    <mergeCell ref="D40:H40"/>
    <mergeCell ref="I40:M40"/>
    <mergeCell ref="A41:C41"/>
    <mergeCell ref="D41:H41"/>
    <mergeCell ref="I41:M41"/>
    <mergeCell ref="A42:C42"/>
    <mergeCell ref="D42:H42"/>
    <mergeCell ref="I42:M42"/>
    <mergeCell ref="A43:C43"/>
    <mergeCell ref="D43:H43"/>
    <mergeCell ref="I43:M43"/>
    <mergeCell ref="A44:C44"/>
    <mergeCell ref="D44:H44"/>
    <mergeCell ref="I44:M44"/>
    <mergeCell ref="A45:C45"/>
    <mergeCell ref="D45:H45"/>
    <mergeCell ref="I45:M45"/>
    <mergeCell ref="A46:C46"/>
    <mergeCell ref="D46:H46"/>
    <mergeCell ref="I46:M46"/>
    <mergeCell ref="A47:C47"/>
    <mergeCell ref="A48:C48"/>
    <mergeCell ref="A50:M50"/>
    <mergeCell ref="A51:C51"/>
    <mergeCell ref="D51:H51"/>
    <mergeCell ref="I51:M51"/>
    <mergeCell ref="A52:C52"/>
    <mergeCell ref="D52:H52"/>
    <mergeCell ref="I52:M52"/>
    <mergeCell ref="A53:C53"/>
    <mergeCell ref="D53:H53"/>
    <mergeCell ref="I53:M53"/>
    <mergeCell ref="A54:C54"/>
    <mergeCell ref="D54:H54"/>
    <mergeCell ref="I54:M54"/>
    <mergeCell ref="A55:C55"/>
    <mergeCell ref="D55:H55"/>
    <mergeCell ref="I55:M55"/>
    <mergeCell ref="A56:C56"/>
    <mergeCell ref="D56:H56"/>
    <mergeCell ref="I56:M56"/>
    <mergeCell ref="A57:C57"/>
    <mergeCell ref="D57:H57"/>
    <mergeCell ref="I57:M57"/>
    <mergeCell ref="A58:C58"/>
    <mergeCell ref="D58:H58"/>
    <mergeCell ref="I58:M58"/>
    <mergeCell ref="A59:C59"/>
    <mergeCell ref="D59:H59"/>
    <mergeCell ref="I59:M59"/>
    <mergeCell ref="A60:C60"/>
    <mergeCell ref="D60:H60"/>
    <mergeCell ref="I60:M60"/>
    <mergeCell ref="A61:C61"/>
    <mergeCell ref="D61:H61"/>
    <mergeCell ref="I61:M61"/>
    <mergeCell ref="A62:C62"/>
    <mergeCell ref="A63:C63"/>
    <mergeCell ref="A64:M64"/>
    <mergeCell ref="A65:C66"/>
    <mergeCell ref="D65:K69"/>
    <mergeCell ref="A67:C69"/>
    <mergeCell ref="A70:M70"/>
    <mergeCell ref="B71:E71"/>
    <mergeCell ref="F71:I71"/>
    <mergeCell ref="J71:M71"/>
    <mergeCell ref="D72:E72"/>
    <mergeCell ref="H72:I72"/>
    <mergeCell ref="L72:M72"/>
    <mergeCell ref="D73:E73"/>
    <mergeCell ref="H73:I73"/>
    <mergeCell ref="L73:M73"/>
    <mergeCell ref="D74:E74"/>
    <mergeCell ref="H74:I74"/>
    <mergeCell ref="L74:M74"/>
    <mergeCell ref="D75:E75"/>
    <mergeCell ref="H75:I75"/>
    <mergeCell ref="L75:M75"/>
    <mergeCell ref="D76:E76"/>
    <mergeCell ref="H76:I76"/>
    <mergeCell ref="L76:M76"/>
    <mergeCell ref="B77:E77"/>
    <mergeCell ref="F77:I77"/>
    <mergeCell ref="J77:M77"/>
    <mergeCell ref="D78:E78"/>
    <mergeCell ref="H78:I78"/>
    <mergeCell ref="L78:M78"/>
    <mergeCell ref="D79:E79"/>
    <mergeCell ref="H79:I79"/>
    <mergeCell ref="L79:M79"/>
    <mergeCell ref="D80:E80"/>
    <mergeCell ref="H80:I80"/>
    <mergeCell ref="L80:M80"/>
    <mergeCell ref="D81:E81"/>
    <mergeCell ref="H81:I81"/>
    <mergeCell ref="L81:M81"/>
    <mergeCell ref="D82:E82"/>
    <mergeCell ref="H82:I82"/>
    <mergeCell ref="L82:M82"/>
    <mergeCell ref="A83:M83"/>
    <mergeCell ref="A84:M84"/>
    <mergeCell ref="A85:C85"/>
    <mergeCell ref="D85:H85"/>
    <mergeCell ref="I85:M85"/>
    <mergeCell ref="A86:C86"/>
    <mergeCell ref="D86:H86"/>
    <mergeCell ref="I86:M86"/>
    <mergeCell ref="A87:C87"/>
    <mergeCell ref="D87:H87"/>
    <mergeCell ref="I87:M87"/>
    <mergeCell ref="A88:C88"/>
    <mergeCell ref="D88:H88"/>
    <mergeCell ref="I88:M88"/>
    <mergeCell ref="A89:C89"/>
    <mergeCell ref="D89:H89"/>
    <mergeCell ref="I89:M89"/>
    <mergeCell ref="A90:C90"/>
    <mergeCell ref="D90:H90"/>
    <mergeCell ref="I90:M90"/>
    <mergeCell ref="A91:C91"/>
    <mergeCell ref="D91:H91"/>
    <mergeCell ref="I91:M91"/>
    <mergeCell ref="A92:C92"/>
    <mergeCell ref="D92:H92"/>
    <mergeCell ref="I92:M92"/>
    <mergeCell ref="A93:C93"/>
    <mergeCell ref="D93:H93"/>
    <mergeCell ref="I93:M93"/>
    <mergeCell ref="A94:C94"/>
    <mergeCell ref="D94:H94"/>
    <mergeCell ref="I94:M94"/>
    <mergeCell ref="A95:C95"/>
    <mergeCell ref="D95:H95"/>
    <mergeCell ref="I95:M95"/>
    <mergeCell ref="A96:C96"/>
    <mergeCell ref="D96:H96"/>
    <mergeCell ref="I96:M96"/>
    <mergeCell ref="A97:C97"/>
    <mergeCell ref="D97:H97"/>
    <mergeCell ref="I97:M97"/>
    <mergeCell ref="A99:M99"/>
    <mergeCell ref="A100:C100"/>
    <mergeCell ref="D100:H100"/>
    <mergeCell ref="I100:M100"/>
    <mergeCell ref="A101:C101"/>
    <mergeCell ref="D101:H101"/>
    <mergeCell ref="I101:M101"/>
    <mergeCell ref="A102:C102"/>
    <mergeCell ref="D102:H102"/>
    <mergeCell ref="I102:M102"/>
    <mergeCell ref="A103:C103"/>
    <mergeCell ref="D103:H103"/>
    <mergeCell ref="I103:M103"/>
    <mergeCell ref="A104:C104"/>
    <mergeCell ref="D104:H104"/>
    <mergeCell ref="I104:M104"/>
    <mergeCell ref="A105:C105"/>
    <mergeCell ref="D105:H105"/>
    <mergeCell ref="I105:M105"/>
    <mergeCell ref="A106:C106"/>
    <mergeCell ref="D106:H106"/>
    <mergeCell ref="I106:M106"/>
    <mergeCell ref="A107:C107"/>
    <mergeCell ref="D107:H107"/>
    <mergeCell ref="I107:M107"/>
    <mergeCell ref="A108:C108"/>
    <mergeCell ref="D108:H108"/>
    <mergeCell ref="I108:M108"/>
    <mergeCell ref="A109:C109"/>
    <mergeCell ref="D109:H109"/>
    <mergeCell ref="I109:M109"/>
    <mergeCell ref="A110:C110"/>
    <mergeCell ref="D110:H110"/>
    <mergeCell ref="I110:M110"/>
    <mergeCell ref="A111:C111"/>
    <mergeCell ref="A112:C112"/>
    <mergeCell ref="A114:M114"/>
    <mergeCell ref="A115:C115"/>
    <mergeCell ref="D115:H115"/>
    <mergeCell ref="I115:M115"/>
    <mergeCell ref="A116:C116"/>
    <mergeCell ref="D116:H116"/>
    <mergeCell ref="I116:M116"/>
    <mergeCell ref="A117:C117"/>
    <mergeCell ref="D117:H117"/>
    <mergeCell ref="I117:M117"/>
    <mergeCell ref="A118:C118"/>
    <mergeCell ref="D118:H118"/>
    <mergeCell ref="I118:M118"/>
    <mergeCell ref="A119:C119"/>
    <mergeCell ref="D119:H119"/>
    <mergeCell ref="I119:M119"/>
    <mergeCell ref="A120:C120"/>
    <mergeCell ref="D120:H120"/>
    <mergeCell ref="I120:M120"/>
    <mergeCell ref="A121:C121"/>
    <mergeCell ref="D121:H121"/>
    <mergeCell ref="I121:M121"/>
    <mergeCell ref="A122:C122"/>
    <mergeCell ref="D122:H122"/>
    <mergeCell ref="I122:M122"/>
    <mergeCell ref="A123:C123"/>
    <mergeCell ref="D123:H123"/>
    <mergeCell ref="I123:M123"/>
    <mergeCell ref="A124:C124"/>
    <mergeCell ref="D124:H124"/>
    <mergeCell ref="I124:M124"/>
    <mergeCell ref="A125:C125"/>
    <mergeCell ref="D125:H125"/>
    <mergeCell ref="I125:M125"/>
    <mergeCell ref="A126:C126"/>
    <mergeCell ref="A127:C127"/>
    <mergeCell ref="A128:M128"/>
  </mergeCells>
  <printOptions headings="false" gridLines="false" gridLinesSet="true" horizontalCentered="true" verticalCentered="false"/>
  <pageMargins left="0.25" right="0.25" top="0.75" bottom="0.75" header="0.511811023622047" footer="0.3"/>
  <pageSetup paperSize="9" scale="76" fitToWidth="1" fitToHeight="1" pageOrder="downThenOver" orientation="portrait" blackAndWhite="false" draft="false" cellComments="none" horizontalDpi="300" verticalDpi="300" copies="1"/>
  <headerFooter differentFirst="false" differentOddEven="false">
    <oddHeader/>
    <oddFooter>&amp;R&amp;1#&amp;"Arial,Regular"&amp;10Confidential C</oddFooter>
  </headerFooter>
  <rowBreaks count="1" manualBreakCount="1">
    <brk id="64" man="true" max="16383" min="0"/>
  </rowBreaks>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M192"/>
  <sheetViews>
    <sheetView showFormulas="false" showGridLines="true" showRowColHeaders="true" showZeros="true" rightToLeft="false" tabSelected="false" showOutlineSymbols="true" defaultGridColor="true" view="normal" topLeftCell="A148" colorId="64" zoomScale="100" zoomScaleNormal="100" zoomScalePageLayoutView="100" workbookViewId="0">
      <selection pane="topLeft" activeCell="G12" activeCellId="0" sqref="G12"/>
    </sheetView>
  </sheetViews>
  <sheetFormatPr defaultColWidth="9.14453125" defaultRowHeight="12.75" zeroHeight="false" outlineLevelRow="0" outlineLevelCol="0"/>
  <cols>
    <col collapsed="false" customWidth="true" hidden="false" outlineLevel="0" max="1" min="1" style="56" width="6.28"/>
    <col collapsed="false" customWidth="true" hidden="false" outlineLevel="0" max="2" min="2" style="56" width="7.28"/>
    <col collapsed="false" customWidth="true" hidden="false" outlineLevel="0" max="3" min="3" style="56" width="9.7"/>
    <col collapsed="false" customWidth="true" hidden="false" outlineLevel="0" max="5" min="4" style="56" width="7.7"/>
    <col collapsed="false" customWidth="true" hidden="false" outlineLevel="0" max="6" min="6" style="56" width="7.28"/>
    <col collapsed="false" customWidth="true" hidden="false" outlineLevel="0" max="7" min="7" style="56" width="9.7"/>
    <col collapsed="false" customWidth="true" hidden="false" outlineLevel="0" max="8" min="8" style="56" width="8.14"/>
    <col collapsed="false" customWidth="true" hidden="false" outlineLevel="0" max="9" min="9" style="56" width="7.7"/>
    <col collapsed="false" customWidth="true" hidden="false" outlineLevel="0" max="10" min="10" style="56" width="7.28"/>
    <col collapsed="false" customWidth="true" hidden="false" outlineLevel="0" max="11" min="11" style="56" width="9.7"/>
    <col collapsed="false" customWidth="true" hidden="false" outlineLevel="0" max="12" min="12" style="56" width="7.28"/>
    <col collapsed="false" customWidth="true" hidden="false" outlineLevel="0" max="13" min="13" style="56" width="7.7"/>
    <col collapsed="false" customWidth="false" hidden="false" outlineLevel="0" max="18" min="14" style="56" width="9.14"/>
    <col collapsed="false" customWidth="true" hidden="false" outlineLevel="0" max="19" min="19" style="56" width="11.71"/>
    <col collapsed="false" customWidth="false" hidden="false" outlineLevel="0" max="256" min="20" style="56" width="9.14"/>
    <col collapsed="false" customWidth="true" hidden="false" outlineLevel="0" max="257" min="257" style="56" width="7.7"/>
    <col collapsed="false" customWidth="true" hidden="false" outlineLevel="0" max="258" min="258" style="56" width="11.85"/>
    <col collapsed="false" customWidth="true" hidden="false" outlineLevel="0" max="259" min="259" style="56" width="9.7"/>
    <col collapsed="false" customWidth="true" hidden="false" outlineLevel="0" max="269" min="260" style="56" width="7.7"/>
    <col collapsed="false" customWidth="false" hidden="false" outlineLevel="0" max="274" min="270" style="56" width="9.14"/>
    <col collapsed="false" customWidth="true" hidden="false" outlineLevel="0" max="275" min="275" style="56" width="11.71"/>
    <col collapsed="false" customWidth="false" hidden="false" outlineLevel="0" max="512" min="276" style="56" width="9.14"/>
    <col collapsed="false" customWidth="true" hidden="false" outlineLevel="0" max="513" min="513" style="56" width="7.7"/>
    <col collapsed="false" customWidth="true" hidden="false" outlineLevel="0" max="514" min="514" style="56" width="11.85"/>
    <col collapsed="false" customWidth="true" hidden="false" outlineLevel="0" max="515" min="515" style="56" width="9.7"/>
    <col collapsed="false" customWidth="true" hidden="false" outlineLevel="0" max="525" min="516" style="56" width="7.7"/>
    <col collapsed="false" customWidth="false" hidden="false" outlineLevel="0" max="530" min="526" style="56" width="9.14"/>
    <col collapsed="false" customWidth="true" hidden="false" outlineLevel="0" max="531" min="531" style="56" width="11.71"/>
    <col collapsed="false" customWidth="false" hidden="false" outlineLevel="0" max="768" min="532" style="56" width="9.14"/>
    <col collapsed="false" customWidth="true" hidden="false" outlineLevel="0" max="769" min="769" style="56" width="7.7"/>
    <col collapsed="false" customWidth="true" hidden="false" outlineLevel="0" max="770" min="770" style="56" width="11.85"/>
    <col collapsed="false" customWidth="true" hidden="false" outlineLevel="0" max="771" min="771" style="56" width="9.7"/>
    <col collapsed="false" customWidth="true" hidden="false" outlineLevel="0" max="781" min="772" style="56" width="7.7"/>
    <col collapsed="false" customWidth="false" hidden="false" outlineLevel="0" max="786" min="782" style="56" width="9.14"/>
    <col collapsed="false" customWidth="true" hidden="false" outlineLevel="0" max="787" min="787" style="56" width="11.71"/>
    <col collapsed="false" customWidth="false" hidden="false" outlineLevel="0" max="1024" min="788" style="56" width="9.14"/>
  </cols>
  <sheetData>
    <row r="1" customFormat="false" ht="12.75" hidden="false" customHeight="true" outlineLevel="0" collapsed="false">
      <c r="A1" s="57" t="s">
        <v>1</v>
      </c>
      <c r="B1" s="57"/>
      <c r="C1" s="57"/>
      <c r="D1" s="58" t="s">
        <v>14359</v>
      </c>
      <c r="E1" s="58"/>
      <c r="F1" s="58"/>
      <c r="G1" s="58"/>
      <c r="H1" s="58"/>
      <c r="I1" s="58"/>
      <c r="J1" s="58"/>
      <c r="K1" s="58"/>
      <c r="L1" s="59"/>
      <c r="M1" s="60"/>
    </row>
    <row r="2" customFormat="false" ht="12.75" hidden="false" customHeight="true" outlineLevel="0" collapsed="false">
      <c r="A2" s="57"/>
      <c r="B2" s="57"/>
      <c r="C2" s="57"/>
      <c r="D2" s="58"/>
      <c r="E2" s="58"/>
      <c r="F2" s="58"/>
      <c r="G2" s="58"/>
      <c r="H2" s="58"/>
      <c r="I2" s="58"/>
      <c r="J2" s="58"/>
      <c r="K2" s="58"/>
      <c r="L2" s="61"/>
      <c r="M2" s="62"/>
    </row>
    <row r="3" customFormat="false" ht="15" hidden="false" customHeight="true" outlineLevel="0" collapsed="false">
      <c r="A3" s="63"/>
      <c r="B3" s="63"/>
      <c r="C3" s="63"/>
      <c r="D3" s="58"/>
      <c r="E3" s="58"/>
      <c r="F3" s="58"/>
      <c r="G3" s="58"/>
      <c r="H3" s="58"/>
      <c r="I3" s="58"/>
      <c r="J3" s="58"/>
      <c r="K3" s="58"/>
      <c r="L3" s="61"/>
      <c r="M3" s="62"/>
    </row>
    <row r="4" customFormat="false" ht="15" hidden="false" customHeight="true" outlineLevel="0" collapsed="false">
      <c r="A4" s="63"/>
      <c r="B4" s="63"/>
      <c r="C4" s="63"/>
      <c r="D4" s="58"/>
      <c r="E4" s="58"/>
      <c r="F4" s="58"/>
      <c r="G4" s="58"/>
      <c r="H4" s="58"/>
      <c r="I4" s="58"/>
      <c r="J4" s="58"/>
      <c r="K4" s="58"/>
      <c r="L4" s="61"/>
      <c r="M4" s="62"/>
    </row>
    <row r="5" customFormat="false" ht="15.75" hidden="false" customHeight="true" outlineLevel="0" collapsed="false">
      <c r="A5" s="63"/>
      <c r="B5" s="63"/>
      <c r="C5" s="63"/>
      <c r="D5" s="58"/>
      <c r="E5" s="58"/>
      <c r="F5" s="58"/>
      <c r="G5" s="58"/>
      <c r="H5" s="58"/>
      <c r="I5" s="58"/>
      <c r="J5" s="58"/>
      <c r="K5" s="58"/>
      <c r="L5" s="64"/>
      <c r="M5" s="65"/>
    </row>
    <row r="6" customFormat="false" ht="15" hidden="false" customHeight="false" outlineLevel="0" collapsed="false">
      <c r="A6" s="66" t="s">
        <v>14360</v>
      </c>
      <c r="B6" s="66"/>
      <c r="C6" s="66"/>
      <c r="D6" s="66"/>
      <c r="E6" s="66"/>
      <c r="F6" s="66"/>
      <c r="G6" s="66"/>
      <c r="H6" s="66"/>
      <c r="I6" s="66"/>
      <c r="J6" s="66"/>
      <c r="K6" s="66"/>
      <c r="L6" s="66"/>
      <c r="M6" s="66"/>
    </row>
    <row r="7" customFormat="false" ht="15" hidden="false" customHeight="false" outlineLevel="0" collapsed="false">
      <c r="A7" s="67"/>
      <c r="B7" s="68" t="s">
        <v>14361</v>
      </c>
      <c r="C7" s="68"/>
      <c r="D7" s="68"/>
      <c r="E7" s="68"/>
      <c r="F7" s="68" t="s">
        <v>14362</v>
      </c>
      <c r="G7" s="68"/>
      <c r="H7" s="68"/>
      <c r="I7" s="68"/>
      <c r="J7" s="68" t="s">
        <v>14363</v>
      </c>
      <c r="K7" s="68"/>
      <c r="L7" s="68"/>
      <c r="M7" s="68"/>
    </row>
    <row r="8" customFormat="false" ht="13.5" hidden="false" customHeight="false" outlineLevel="0" collapsed="false">
      <c r="A8" s="69" t="s">
        <v>47</v>
      </c>
      <c r="B8" s="70" t="s">
        <v>14364</v>
      </c>
      <c r="C8" s="71" t="s">
        <v>14360</v>
      </c>
      <c r="D8" s="72" t="s">
        <v>14365</v>
      </c>
      <c r="E8" s="72"/>
      <c r="F8" s="70" t="s">
        <v>14364</v>
      </c>
      <c r="G8" s="71" t="s">
        <v>14360</v>
      </c>
      <c r="H8" s="72" t="s">
        <v>14365</v>
      </c>
      <c r="I8" s="72"/>
      <c r="J8" s="70" t="s">
        <v>14364</v>
      </c>
      <c r="K8" s="71" t="s">
        <v>14360</v>
      </c>
      <c r="L8" s="72" t="s">
        <v>14366</v>
      </c>
      <c r="M8" s="72"/>
    </row>
    <row r="9" customFormat="false" ht="14.25" hidden="false" customHeight="false" outlineLevel="0" collapsed="false">
      <c r="A9" s="73" t="s">
        <v>14367</v>
      </c>
      <c r="B9" s="74"/>
      <c r="C9" s="75"/>
      <c r="D9" s="76"/>
      <c r="E9" s="76"/>
      <c r="F9" s="74"/>
      <c r="G9" s="75"/>
      <c r="H9" s="76"/>
      <c r="I9" s="76"/>
      <c r="J9" s="74"/>
      <c r="K9" s="75"/>
      <c r="L9" s="76"/>
      <c r="M9" s="76"/>
    </row>
    <row r="10" customFormat="false" ht="14.25" hidden="false" customHeight="false" outlineLevel="0" collapsed="false">
      <c r="A10" s="77" t="s">
        <v>14368</v>
      </c>
      <c r="B10" s="78"/>
      <c r="C10" s="79"/>
      <c r="D10" s="80"/>
      <c r="E10" s="80"/>
      <c r="F10" s="78"/>
      <c r="G10" s="79"/>
      <c r="H10" s="80"/>
      <c r="I10" s="80"/>
      <c r="J10" s="78"/>
      <c r="K10" s="79"/>
      <c r="L10" s="80"/>
      <c r="M10" s="80"/>
    </row>
    <row r="11" customFormat="false" ht="15" hidden="false" customHeight="false" outlineLevel="0" collapsed="false">
      <c r="A11" s="81" t="s">
        <v>14369</v>
      </c>
      <c r="B11" s="82"/>
      <c r="C11" s="83"/>
      <c r="D11" s="84"/>
      <c r="E11" s="84"/>
      <c r="F11" s="82"/>
      <c r="G11" s="83"/>
      <c r="H11" s="84"/>
      <c r="I11" s="84"/>
      <c r="J11" s="82"/>
      <c r="K11" s="83"/>
      <c r="L11" s="84"/>
      <c r="M11" s="84"/>
    </row>
    <row r="12" customFormat="false" ht="15" hidden="false" customHeight="false" outlineLevel="0" collapsed="false">
      <c r="A12" s="85" t="s">
        <v>14370</v>
      </c>
      <c r="B12" s="86"/>
      <c r="C12" s="87"/>
      <c r="D12" s="88"/>
      <c r="E12" s="88"/>
      <c r="F12" s="86"/>
      <c r="G12" s="87"/>
      <c r="H12" s="88"/>
      <c r="I12" s="88"/>
      <c r="J12" s="86"/>
      <c r="K12" s="87"/>
      <c r="L12" s="88"/>
      <c r="M12" s="88"/>
    </row>
    <row r="13" customFormat="false" ht="15" hidden="false" customHeight="false" outlineLevel="0" collapsed="false">
      <c r="A13" s="67"/>
      <c r="B13" s="68" t="s">
        <v>14371</v>
      </c>
      <c r="C13" s="68"/>
      <c r="D13" s="68"/>
      <c r="E13" s="68"/>
      <c r="F13" s="68" t="s">
        <v>14372</v>
      </c>
      <c r="G13" s="68"/>
      <c r="H13" s="68"/>
      <c r="I13" s="68"/>
      <c r="J13" s="68" t="s">
        <v>14373</v>
      </c>
      <c r="K13" s="68"/>
      <c r="L13" s="68"/>
      <c r="M13" s="68"/>
    </row>
    <row r="14" customFormat="false" ht="13.5" hidden="false" customHeight="false" outlineLevel="0" collapsed="false">
      <c r="A14" s="69" t="s">
        <v>47</v>
      </c>
      <c r="B14" s="70" t="s">
        <v>14364</v>
      </c>
      <c r="C14" s="71" t="s">
        <v>14360</v>
      </c>
      <c r="D14" s="72" t="s">
        <v>14366</v>
      </c>
      <c r="E14" s="72"/>
      <c r="F14" s="70" t="s">
        <v>14364</v>
      </c>
      <c r="G14" s="71" t="s">
        <v>14360</v>
      </c>
      <c r="H14" s="72" t="s">
        <v>14366</v>
      </c>
      <c r="I14" s="72"/>
      <c r="J14" s="70" t="s">
        <v>14364</v>
      </c>
      <c r="K14" s="71" t="s">
        <v>14360</v>
      </c>
      <c r="L14" s="72" t="s">
        <v>14366</v>
      </c>
      <c r="M14" s="72"/>
    </row>
    <row r="15" customFormat="false" ht="14.25" hidden="false" customHeight="false" outlineLevel="0" collapsed="false">
      <c r="A15" s="73" t="s">
        <v>14367</v>
      </c>
      <c r="B15" s="74"/>
      <c r="C15" s="75"/>
      <c r="D15" s="76"/>
      <c r="E15" s="76"/>
      <c r="F15" s="74"/>
      <c r="G15" s="75"/>
      <c r="H15" s="76"/>
      <c r="I15" s="76"/>
      <c r="J15" s="74"/>
      <c r="K15" s="75"/>
      <c r="L15" s="76"/>
      <c r="M15" s="76"/>
    </row>
    <row r="16" customFormat="false" ht="14.25" hidden="false" customHeight="false" outlineLevel="0" collapsed="false">
      <c r="A16" s="77" t="s">
        <v>14368</v>
      </c>
      <c r="B16" s="78"/>
      <c r="C16" s="79"/>
      <c r="D16" s="80"/>
      <c r="E16" s="80"/>
      <c r="F16" s="78"/>
      <c r="G16" s="79"/>
      <c r="H16" s="80"/>
      <c r="I16" s="80"/>
      <c r="J16" s="78"/>
      <c r="K16" s="79"/>
      <c r="L16" s="80"/>
      <c r="M16" s="80"/>
    </row>
    <row r="17" customFormat="false" ht="15" hidden="false" customHeight="false" outlineLevel="0" collapsed="false">
      <c r="A17" s="81" t="s">
        <v>14369</v>
      </c>
      <c r="B17" s="82"/>
      <c r="C17" s="83"/>
      <c r="D17" s="84"/>
      <c r="E17" s="84"/>
      <c r="F17" s="82"/>
      <c r="G17" s="83"/>
      <c r="H17" s="84"/>
      <c r="I17" s="84"/>
      <c r="J17" s="82"/>
      <c r="K17" s="83"/>
      <c r="L17" s="84"/>
      <c r="M17" s="84"/>
    </row>
    <row r="18" customFormat="false" ht="15" hidden="false" customHeight="false" outlineLevel="0" collapsed="false">
      <c r="A18" s="85" t="s">
        <v>14370</v>
      </c>
      <c r="B18" s="86"/>
      <c r="C18" s="87"/>
      <c r="D18" s="88"/>
      <c r="E18" s="88"/>
      <c r="F18" s="86"/>
      <c r="G18" s="87"/>
      <c r="H18" s="88"/>
      <c r="I18" s="88"/>
      <c r="J18" s="86"/>
      <c r="K18" s="87"/>
      <c r="L18" s="88"/>
      <c r="M18" s="88"/>
    </row>
    <row r="19" customFormat="false" ht="13.5" hidden="false" customHeight="false" outlineLevel="0" collapsed="false">
      <c r="A19" s="89"/>
      <c r="B19" s="89"/>
      <c r="C19" s="89"/>
      <c r="D19" s="89"/>
      <c r="E19" s="89"/>
      <c r="F19" s="89"/>
      <c r="G19" s="89"/>
      <c r="H19" s="89"/>
      <c r="I19" s="89"/>
      <c r="J19" s="89"/>
      <c r="K19" s="89"/>
      <c r="L19" s="89"/>
      <c r="M19" s="89"/>
    </row>
    <row r="20" customFormat="false" ht="15" hidden="false" customHeight="false" outlineLevel="0" collapsed="false">
      <c r="A20" s="90" t="s">
        <v>14374</v>
      </c>
      <c r="B20" s="90"/>
      <c r="C20" s="90"/>
      <c r="D20" s="90"/>
      <c r="E20" s="90"/>
      <c r="F20" s="90"/>
      <c r="G20" s="90"/>
      <c r="H20" s="90"/>
      <c r="I20" s="90"/>
      <c r="J20" s="90"/>
      <c r="K20" s="90"/>
      <c r="L20" s="90"/>
      <c r="M20" s="90"/>
    </row>
    <row r="21" customFormat="false" ht="15" hidden="false" customHeight="true" outlineLevel="0" collapsed="false">
      <c r="A21" s="91" t="s">
        <v>14375</v>
      </c>
      <c r="B21" s="91"/>
      <c r="C21" s="91"/>
      <c r="D21" s="92"/>
      <c r="E21" s="92"/>
      <c r="F21" s="92"/>
      <c r="G21" s="92"/>
      <c r="H21" s="92"/>
      <c r="I21" s="93"/>
      <c r="J21" s="93"/>
      <c r="K21" s="93"/>
      <c r="L21" s="93"/>
      <c r="M21" s="93"/>
    </row>
    <row r="22" customFormat="false" ht="15" hidden="false" customHeight="true" outlineLevel="0" collapsed="false">
      <c r="A22" s="94" t="s">
        <v>14350</v>
      </c>
      <c r="B22" s="94"/>
      <c r="C22" s="94"/>
      <c r="D22" s="95"/>
      <c r="E22" s="95"/>
      <c r="F22" s="95"/>
      <c r="G22" s="95"/>
      <c r="H22" s="95"/>
      <c r="I22" s="96"/>
      <c r="J22" s="96"/>
      <c r="K22" s="96"/>
      <c r="L22" s="96"/>
      <c r="M22" s="96"/>
    </row>
    <row r="23" customFormat="false" ht="14.25" hidden="false" customHeight="false" outlineLevel="0" collapsed="false">
      <c r="A23" s="94" t="s">
        <v>1468</v>
      </c>
      <c r="B23" s="94"/>
      <c r="C23" s="94"/>
      <c r="D23" s="97"/>
      <c r="E23" s="97"/>
      <c r="F23" s="97"/>
      <c r="G23" s="97"/>
      <c r="H23" s="97"/>
      <c r="I23" s="98"/>
      <c r="J23" s="98"/>
      <c r="K23" s="98"/>
      <c r="L23" s="98"/>
      <c r="M23" s="98"/>
    </row>
    <row r="24" customFormat="false" ht="14.25" hidden="false" customHeight="false" outlineLevel="0" collapsed="false">
      <c r="A24" s="94" t="s">
        <v>14376</v>
      </c>
      <c r="B24" s="94"/>
      <c r="C24" s="94"/>
      <c r="D24" s="97"/>
      <c r="E24" s="97"/>
      <c r="F24" s="97"/>
      <c r="G24" s="97"/>
      <c r="H24" s="97"/>
      <c r="I24" s="98"/>
      <c r="J24" s="98"/>
      <c r="K24" s="98"/>
      <c r="L24" s="98"/>
      <c r="M24" s="98"/>
    </row>
    <row r="25" customFormat="false" ht="14.25" hidden="false" customHeight="false" outlineLevel="0" collapsed="false">
      <c r="A25" s="94" t="s">
        <v>14377</v>
      </c>
      <c r="B25" s="94"/>
      <c r="C25" s="94"/>
      <c r="D25" s="97"/>
      <c r="E25" s="97"/>
      <c r="F25" s="97"/>
      <c r="G25" s="97"/>
      <c r="H25" s="97"/>
      <c r="I25" s="98"/>
      <c r="J25" s="98"/>
      <c r="K25" s="98"/>
      <c r="L25" s="98"/>
      <c r="M25" s="98"/>
    </row>
    <row r="26" customFormat="false" ht="14.25" hidden="false" customHeight="false" outlineLevel="0" collapsed="false">
      <c r="A26" s="94" t="s">
        <v>14378</v>
      </c>
      <c r="B26" s="94"/>
      <c r="C26" s="94"/>
      <c r="D26" s="97"/>
      <c r="E26" s="97"/>
      <c r="F26" s="97"/>
      <c r="G26" s="97"/>
      <c r="H26" s="97"/>
      <c r="I26" s="98"/>
      <c r="J26" s="98"/>
      <c r="K26" s="98"/>
      <c r="L26" s="98"/>
      <c r="M26" s="98"/>
    </row>
    <row r="27" customFormat="false" ht="14.25" hidden="false" customHeight="false" outlineLevel="0" collapsed="false">
      <c r="A27" s="94" t="s">
        <v>1472</v>
      </c>
      <c r="B27" s="94"/>
      <c r="C27" s="94"/>
      <c r="D27" s="99"/>
      <c r="E27" s="99"/>
      <c r="F27" s="99"/>
      <c r="G27" s="99"/>
      <c r="H27" s="99"/>
      <c r="I27" s="100"/>
      <c r="J27" s="100"/>
      <c r="K27" s="100"/>
      <c r="L27" s="100"/>
      <c r="M27" s="100"/>
    </row>
    <row r="28" customFormat="false" ht="14.25" hidden="false" customHeight="false" outlineLevel="0" collapsed="false">
      <c r="A28" s="94" t="s">
        <v>1473</v>
      </c>
      <c r="B28" s="94"/>
      <c r="C28" s="94"/>
      <c r="D28" s="99"/>
      <c r="E28" s="99"/>
      <c r="F28" s="99"/>
      <c r="G28" s="99"/>
      <c r="H28" s="99"/>
      <c r="I28" s="100"/>
      <c r="J28" s="100"/>
      <c r="K28" s="100"/>
      <c r="L28" s="100"/>
      <c r="M28" s="100"/>
    </row>
    <row r="29" customFormat="false" ht="14.25" hidden="false" customHeight="false" outlineLevel="0" collapsed="false">
      <c r="A29" s="94" t="s">
        <v>1474</v>
      </c>
      <c r="B29" s="94"/>
      <c r="C29" s="94"/>
      <c r="D29" s="101"/>
      <c r="E29" s="101"/>
      <c r="F29" s="101"/>
      <c r="G29" s="101"/>
      <c r="H29" s="101"/>
      <c r="I29" s="102"/>
      <c r="J29" s="102"/>
      <c r="K29" s="102"/>
      <c r="L29" s="102"/>
      <c r="M29" s="102"/>
    </row>
    <row r="30" customFormat="false" ht="14.25" hidden="false" customHeight="false" outlineLevel="0" collapsed="false">
      <c r="A30" s="94" t="s">
        <v>1475</v>
      </c>
      <c r="B30" s="94"/>
      <c r="C30" s="94"/>
      <c r="D30" s="101"/>
      <c r="E30" s="101"/>
      <c r="F30" s="101"/>
      <c r="G30" s="101"/>
      <c r="H30" s="101"/>
      <c r="I30" s="102"/>
      <c r="J30" s="102"/>
      <c r="K30" s="102"/>
      <c r="L30" s="102"/>
      <c r="M30" s="102"/>
    </row>
    <row r="31" customFormat="false" ht="14.25" hidden="false" customHeight="false" outlineLevel="0" collapsed="false">
      <c r="A31" s="94" t="s">
        <v>1477</v>
      </c>
      <c r="B31" s="94"/>
      <c r="C31" s="94"/>
      <c r="D31" s="101"/>
      <c r="E31" s="101"/>
      <c r="F31" s="101"/>
      <c r="G31" s="101"/>
      <c r="H31" s="101"/>
      <c r="I31" s="102"/>
      <c r="J31" s="102"/>
      <c r="K31" s="102"/>
      <c r="L31" s="102"/>
      <c r="M31" s="102"/>
    </row>
    <row r="32" customFormat="false" ht="15.75" hidden="false" customHeight="true" outlineLevel="0" collapsed="false">
      <c r="A32" s="94" t="s">
        <v>14379</v>
      </c>
      <c r="B32" s="94"/>
      <c r="C32" s="94"/>
      <c r="D32" s="103"/>
      <c r="E32" s="103"/>
      <c r="F32" s="103"/>
      <c r="G32" s="103"/>
      <c r="H32" s="103"/>
      <c r="I32" s="104"/>
      <c r="J32" s="104"/>
      <c r="K32" s="104"/>
      <c r="L32" s="104"/>
      <c r="M32" s="104"/>
    </row>
    <row r="33" customFormat="false" ht="15" hidden="false" customHeight="false" outlineLevel="0" collapsed="false">
      <c r="A33" s="105" t="s">
        <v>14380</v>
      </c>
      <c r="B33" s="105"/>
      <c r="C33" s="105"/>
      <c r="D33" s="106"/>
      <c r="E33" s="106"/>
      <c r="F33" s="106"/>
      <c r="G33" s="106"/>
      <c r="H33" s="106"/>
      <c r="I33" s="107"/>
      <c r="J33" s="107"/>
      <c r="K33" s="107"/>
      <c r="L33" s="107"/>
      <c r="M33" s="107"/>
    </row>
    <row r="34" customFormat="false" ht="15" hidden="false" customHeight="false" outlineLevel="0" collapsed="false">
      <c r="A34" s="108"/>
      <c r="B34" s="109"/>
      <c r="C34" s="109"/>
      <c r="D34" s="110"/>
      <c r="E34" s="110"/>
      <c r="F34" s="110"/>
      <c r="G34" s="110"/>
      <c r="H34" s="110"/>
      <c r="I34" s="110"/>
      <c r="J34" s="110"/>
      <c r="K34" s="110"/>
      <c r="L34" s="110"/>
      <c r="M34" s="111"/>
    </row>
    <row r="35" customFormat="false" ht="15" hidden="false" customHeight="false" outlineLevel="0" collapsed="false">
      <c r="A35" s="66" t="s">
        <v>14381</v>
      </c>
      <c r="B35" s="66"/>
      <c r="C35" s="66"/>
      <c r="D35" s="66"/>
      <c r="E35" s="66"/>
      <c r="F35" s="66"/>
      <c r="G35" s="66"/>
      <c r="H35" s="66"/>
      <c r="I35" s="66"/>
      <c r="J35" s="66"/>
      <c r="K35" s="66"/>
      <c r="L35" s="66"/>
      <c r="M35" s="66"/>
    </row>
    <row r="36" customFormat="false" ht="14.25" hidden="false" customHeight="false" outlineLevel="0" collapsed="false">
      <c r="A36" s="112" t="s">
        <v>14375</v>
      </c>
      <c r="B36" s="112"/>
      <c r="C36" s="112"/>
      <c r="D36" s="113"/>
      <c r="E36" s="113"/>
      <c r="F36" s="113"/>
      <c r="G36" s="113"/>
      <c r="H36" s="113"/>
      <c r="I36" s="113"/>
      <c r="J36" s="113"/>
      <c r="K36" s="113"/>
      <c r="L36" s="113"/>
      <c r="M36" s="113"/>
    </row>
    <row r="37" customFormat="false" ht="14.25" hidden="false" customHeight="false" outlineLevel="0" collapsed="false">
      <c r="A37" s="114" t="s">
        <v>14350</v>
      </c>
      <c r="B37" s="114"/>
      <c r="C37" s="114"/>
      <c r="D37" s="104"/>
      <c r="E37" s="104"/>
      <c r="F37" s="104"/>
      <c r="G37" s="104"/>
      <c r="H37" s="104"/>
      <c r="I37" s="104"/>
      <c r="J37" s="104"/>
      <c r="K37" s="104"/>
      <c r="L37" s="104"/>
      <c r="M37" s="104"/>
    </row>
    <row r="38" customFormat="false" ht="14.25" hidden="false" customHeight="false" outlineLevel="0" collapsed="false">
      <c r="A38" s="114" t="s">
        <v>1468</v>
      </c>
      <c r="B38" s="114"/>
      <c r="C38" s="114"/>
      <c r="D38" s="104"/>
      <c r="E38" s="104"/>
      <c r="F38" s="104"/>
      <c r="G38" s="104"/>
      <c r="H38" s="104"/>
      <c r="I38" s="104"/>
      <c r="J38" s="104"/>
      <c r="K38" s="104"/>
      <c r="L38" s="104"/>
      <c r="M38" s="104"/>
    </row>
    <row r="39" customFormat="false" ht="14.25" hidden="false" customHeight="false" outlineLevel="0" collapsed="false">
      <c r="A39" s="114" t="s">
        <v>14376</v>
      </c>
      <c r="B39" s="114"/>
      <c r="C39" s="114"/>
      <c r="D39" s="98"/>
      <c r="E39" s="98"/>
      <c r="F39" s="98"/>
      <c r="G39" s="98"/>
      <c r="H39" s="98"/>
      <c r="I39" s="98"/>
      <c r="J39" s="98"/>
      <c r="K39" s="98"/>
      <c r="L39" s="98"/>
      <c r="M39" s="98"/>
    </row>
    <row r="40" customFormat="false" ht="14.25" hidden="false" customHeight="false" outlineLevel="0" collapsed="false">
      <c r="A40" s="114" t="s">
        <v>14377</v>
      </c>
      <c r="B40" s="114"/>
      <c r="C40" s="114"/>
      <c r="D40" s="98"/>
      <c r="E40" s="98"/>
      <c r="F40" s="98"/>
      <c r="G40" s="98"/>
      <c r="H40" s="98"/>
      <c r="I40" s="98"/>
      <c r="J40" s="98"/>
      <c r="K40" s="98"/>
      <c r="L40" s="98"/>
      <c r="M40" s="98"/>
    </row>
    <row r="41" customFormat="false" ht="14.25" hidden="false" customHeight="false" outlineLevel="0" collapsed="false">
      <c r="A41" s="94" t="s">
        <v>14378</v>
      </c>
      <c r="B41" s="94"/>
      <c r="C41" s="94"/>
      <c r="D41" s="97"/>
      <c r="E41" s="97"/>
      <c r="F41" s="97"/>
      <c r="G41" s="97"/>
      <c r="H41" s="97"/>
      <c r="I41" s="98"/>
      <c r="J41" s="98"/>
      <c r="K41" s="98"/>
      <c r="L41" s="98"/>
      <c r="M41" s="98"/>
    </row>
    <row r="42" customFormat="false" ht="14.25" hidden="false" customHeight="false" outlineLevel="0" collapsed="false">
      <c r="A42" s="114" t="s">
        <v>1472</v>
      </c>
      <c r="B42" s="114"/>
      <c r="C42" s="114"/>
      <c r="D42" s="102"/>
      <c r="E42" s="102"/>
      <c r="F42" s="102"/>
      <c r="G42" s="102"/>
      <c r="H42" s="102"/>
      <c r="I42" s="102"/>
      <c r="J42" s="102"/>
      <c r="K42" s="102"/>
      <c r="L42" s="102"/>
      <c r="M42" s="102"/>
    </row>
    <row r="43" customFormat="false" ht="14.25" hidden="false" customHeight="false" outlineLevel="0" collapsed="false">
      <c r="A43" s="114" t="s">
        <v>1473</v>
      </c>
      <c r="B43" s="114"/>
      <c r="C43" s="114"/>
      <c r="D43" s="115"/>
      <c r="E43" s="115"/>
      <c r="F43" s="115"/>
      <c r="G43" s="115"/>
      <c r="H43" s="115"/>
      <c r="I43" s="115"/>
      <c r="J43" s="115"/>
      <c r="K43" s="115"/>
      <c r="L43" s="115"/>
      <c r="M43" s="115"/>
    </row>
    <row r="44" customFormat="false" ht="14.25" hidden="false" customHeight="false" outlineLevel="0" collapsed="false">
      <c r="A44" s="114" t="s">
        <v>1474</v>
      </c>
      <c r="B44" s="114"/>
      <c r="C44" s="114"/>
      <c r="D44" s="115"/>
      <c r="E44" s="115"/>
      <c r="F44" s="115"/>
      <c r="G44" s="115"/>
      <c r="H44" s="115"/>
      <c r="I44" s="116"/>
      <c r="J44" s="116"/>
      <c r="K44" s="116"/>
      <c r="L44" s="116"/>
      <c r="M44" s="116"/>
    </row>
    <row r="45" customFormat="false" ht="14.25" hidden="false" customHeight="false" outlineLevel="0" collapsed="false">
      <c r="A45" s="114" t="s">
        <v>1475</v>
      </c>
      <c r="B45" s="114"/>
      <c r="C45" s="114"/>
      <c r="D45" s="115"/>
      <c r="E45" s="115"/>
      <c r="F45" s="115"/>
      <c r="G45" s="115"/>
      <c r="H45" s="115"/>
      <c r="I45" s="116"/>
      <c r="J45" s="116"/>
      <c r="K45" s="116"/>
      <c r="L45" s="116"/>
      <c r="M45" s="116"/>
    </row>
    <row r="46" customFormat="false" ht="14.25" hidden="false" customHeight="false" outlineLevel="0" collapsed="false">
      <c r="A46" s="114" t="s">
        <v>1477</v>
      </c>
      <c r="B46" s="114"/>
      <c r="C46" s="114"/>
      <c r="D46" s="115"/>
      <c r="E46" s="115"/>
      <c r="F46" s="115"/>
      <c r="G46" s="115"/>
      <c r="H46" s="115"/>
      <c r="I46" s="116"/>
      <c r="J46" s="116"/>
      <c r="K46" s="116"/>
      <c r="L46" s="116"/>
      <c r="M46" s="116"/>
    </row>
    <row r="47" customFormat="false" ht="14.25" hidden="false" customHeight="false" outlineLevel="0" collapsed="false">
      <c r="A47" s="114" t="s">
        <v>14379</v>
      </c>
      <c r="B47" s="114"/>
      <c r="C47" s="114"/>
      <c r="D47" s="103"/>
      <c r="E47" s="117"/>
      <c r="F47" s="117"/>
      <c r="G47" s="117"/>
      <c r="H47" s="118"/>
      <c r="I47" s="103"/>
      <c r="J47" s="117"/>
      <c r="K47" s="117"/>
      <c r="L47" s="117"/>
      <c r="M47" s="118"/>
    </row>
    <row r="48" customFormat="false" ht="15" hidden="false" customHeight="false" outlineLevel="0" collapsed="false">
      <c r="A48" s="119" t="s">
        <v>14380</v>
      </c>
      <c r="B48" s="119"/>
      <c r="C48" s="119"/>
      <c r="D48" s="106"/>
      <c r="E48" s="120"/>
      <c r="F48" s="120"/>
      <c r="G48" s="120"/>
      <c r="H48" s="121"/>
      <c r="I48" s="106"/>
      <c r="J48" s="120"/>
      <c r="K48" s="120"/>
      <c r="L48" s="120"/>
      <c r="M48" s="121"/>
    </row>
    <row r="49" customFormat="false" ht="15" hidden="false" customHeight="false" outlineLevel="0" collapsed="false">
      <c r="A49" s="108"/>
      <c r="B49" s="109"/>
      <c r="C49" s="109"/>
      <c r="D49" s="110"/>
      <c r="E49" s="110"/>
      <c r="F49" s="110"/>
      <c r="G49" s="110"/>
      <c r="H49" s="110"/>
      <c r="I49" s="110"/>
      <c r="J49" s="110"/>
      <c r="K49" s="110"/>
      <c r="L49" s="110"/>
      <c r="M49" s="111"/>
    </row>
    <row r="50" customFormat="false" ht="15" hidden="false" customHeight="false" outlineLevel="0" collapsed="false">
      <c r="A50" s="66" t="s">
        <v>14382</v>
      </c>
      <c r="B50" s="66"/>
      <c r="C50" s="66"/>
      <c r="D50" s="66"/>
      <c r="E50" s="66"/>
      <c r="F50" s="66"/>
      <c r="G50" s="66"/>
      <c r="H50" s="66"/>
      <c r="I50" s="66"/>
      <c r="J50" s="66"/>
      <c r="K50" s="66"/>
      <c r="L50" s="66"/>
      <c r="M50" s="66"/>
    </row>
    <row r="51" customFormat="false" ht="14.25" hidden="false" customHeight="false" outlineLevel="0" collapsed="false">
      <c r="A51" s="112" t="s">
        <v>14375</v>
      </c>
      <c r="B51" s="112"/>
      <c r="C51" s="112"/>
      <c r="D51" s="113"/>
      <c r="E51" s="113"/>
      <c r="F51" s="113"/>
      <c r="G51" s="113"/>
      <c r="H51" s="113"/>
      <c r="I51" s="113"/>
      <c r="J51" s="113"/>
      <c r="K51" s="113"/>
      <c r="L51" s="113"/>
      <c r="M51" s="113"/>
    </row>
    <row r="52" customFormat="false" ht="14.25" hidden="false" customHeight="false" outlineLevel="0" collapsed="false">
      <c r="A52" s="114" t="s">
        <v>14350</v>
      </c>
      <c r="B52" s="114"/>
      <c r="C52" s="114"/>
      <c r="D52" s="104"/>
      <c r="E52" s="104"/>
      <c r="F52" s="104"/>
      <c r="G52" s="104"/>
      <c r="H52" s="104"/>
      <c r="I52" s="104"/>
      <c r="J52" s="104"/>
      <c r="K52" s="104"/>
      <c r="L52" s="104"/>
      <c r="M52" s="104"/>
    </row>
    <row r="53" customFormat="false" ht="14.25" hidden="false" customHeight="false" outlineLevel="0" collapsed="false">
      <c r="A53" s="114" t="s">
        <v>1468</v>
      </c>
      <c r="B53" s="114"/>
      <c r="C53" s="114"/>
      <c r="D53" s="104"/>
      <c r="E53" s="104"/>
      <c r="F53" s="104"/>
      <c r="G53" s="104"/>
      <c r="H53" s="104"/>
      <c r="I53" s="104"/>
      <c r="J53" s="104"/>
      <c r="K53" s="104"/>
      <c r="L53" s="104"/>
      <c r="M53" s="104"/>
    </row>
    <row r="54" customFormat="false" ht="14.25" hidden="false" customHeight="false" outlineLevel="0" collapsed="false">
      <c r="A54" s="114" t="s">
        <v>14376</v>
      </c>
      <c r="B54" s="114"/>
      <c r="C54" s="114"/>
      <c r="D54" s="98"/>
      <c r="E54" s="98"/>
      <c r="F54" s="98"/>
      <c r="G54" s="98"/>
      <c r="H54" s="98"/>
      <c r="I54" s="98"/>
      <c r="J54" s="98"/>
      <c r="K54" s="98"/>
      <c r="L54" s="98"/>
      <c r="M54" s="98"/>
    </row>
    <row r="55" customFormat="false" ht="14.25" hidden="false" customHeight="false" outlineLevel="0" collapsed="false">
      <c r="A55" s="114" t="s">
        <v>14377</v>
      </c>
      <c r="B55" s="114"/>
      <c r="C55" s="114"/>
      <c r="D55" s="98"/>
      <c r="E55" s="98"/>
      <c r="F55" s="98"/>
      <c r="G55" s="98"/>
      <c r="H55" s="98"/>
      <c r="I55" s="98"/>
      <c r="J55" s="98"/>
      <c r="K55" s="98"/>
      <c r="L55" s="98"/>
      <c r="M55" s="98"/>
    </row>
    <row r="56" customFormat="false" ht="14.25" hidden="false" customHeight="false" outlineLevel="0" collapsed="false">
      <c r="A56" s="94" t="s">
        <v>14378</v>
      </c>
      <c r="B56" s="94"/>
      <c r="C56" s="94"/>
      <c r="D56" s="97"/>
      <c r="E56" s="97"/>
      <c r="F56" s="97"/>
      <c r="G56" s="97"/>
      <c r="H56" s="97"/>
      <c r="I56" s="98"/>
      <c r="J56" s="98"/>
      <c r="K56" s="98"/>
      <c r="L56" s="98"/>
      <c r="M56" s="98"/>
    </row>
    <row r="57" customFormat="false" ht="14.25" hidden="false" customHeight="false" outlineLevel="0" collapsed="false">
      <c r="A57" s="114" t="s">
        <v>1472</v>
      </c>
      <c r="B57" s="114"/>
      <c r="C57" s="114"/>
      <c r="D57" s="102"/>
      <c r="E57" s="102"/>
      <c r="F57" s="102"/>
      <c r="G57" s="102"/>
      <c r="H57" s="102"/>
      <c r="I57" s="102"/>
      <c r="J57" s="102"/>
      <c r="K57" s="102"/>
      <c r="L57" s="102"/>
      <c r="M57" s="102"/>
    </row>
    <row r="58" customFormat="false" ht="14.25" hidden="false" customHeight="false" outlineLevel="0" collapsed="false">
      <c r="A58" s="114" t="s">
        <v>1473</v>
      </c>
      <c r="B58" s="114"/>
      <c r="C58" s="114"/>
      <c r="D58" s="115"/>
      <c r="E58" s="115"/>
      <c r="F58" s="115"/>
      <c r="G58" s="115"/>
      <c r="H58" s="115"/>
      <c r="I58" s="115"/>
      <c r="J58" s="115"/>
      <c r="K58" s="115"/>
      <c r="L58" s="115"/>
      <c r="M58" s="115"/>
    </row>
    <row r="59" customFormat="false" ht="14.25" hidden="false" customHeight="false" outlineLevel="0" collapsed="false">
      <c r="A59" s="114" t="s">
        <v>1474</v>
      </c>
      <c r="B59" s="114"/>
      <c r="C59" s="114"/>
      <c r="D59" s="115"/>
      <c r="E59" s="115"/>
      <c r="F59" s="115"/>
      <c r="G59" s="115"/>
      <c r="H59" s="115"/>
      <c r="I59" s="116"/>
      <c r="J59" s="116"/>
      <c r="K59" s="116"/>
      <c r="L59" s="116"/>
      <c r="M59" s="116"/>
    </row>
    <row r="60" customFormat="false" ht="14.25" hidden="false" customHeight="false" outlineLevel="0" collapsed="false">
      <c r="A60" s="114" t="s">
        <v>1475</v>
      </c>
      <c r="B60" s="114"/>
      <c r="C60" s="114"/>
      <c r="D60" s="115"/>
      <c r="E60" s="115"/>
      <c r="F60" s="115"/>
      <c r="G60" s="115"/>
      <c r="H60" s="115"/>
      <c r="I60" s="116"/>
      <c r="J60" s="116"/>
      <c r="K60" s="116"/>
      <c r="L60" s="116"/>
      <c r="M60" s="116"/>
    </row>
    <row r="61" customFormat="false" ht="14.25" hidden="false" customHeight="false" outlineLevel="0" collapsed="false">
      <c r="A61" s="114" t="s">
        <v>1477</v>
      </c>
      <c r="B61" s="114"/>
      <c r="C61" s="114"/>
      <c r="D61" s="115"/>
      <c r="E61" s="115"/>
      <c r="F61" s="115"/>
      <c r="G61" s="115"/>
      <c r="H61" s="115"/>
      <c r="I61" s="116"/>
      <c r="J61" s="116"/>
      <c r="K61" s="116"/>
      <c r="L61" s="116"/>
      <c r="M61" s="116"/>
    </row>
    <row r="62" customFormat="false" ht="14.25" hidden="false" customHeight="false" outlineLevel="0" collapsed="false">
      <c r="A62" s="114" t="s">
        <v>14379</v>
      </c>
      <c r="B62" s="114"/>
      <c r="C62" s="114"/>
      <c r="D62" s="103"/>
      <c r="E62" s="117"/>
      <c r="F62" s="117"/>
      <c r="G62" s="117"/>
      <c r="H62" s="118"/>
      <c r="I62" s="103"/>
      <c r="J62" s="117"/>
      <c r="K62" s="117"/>
      <c r="L62" s="117"/>
      <c r="M62" s="118"/>
    </row>
    <row r="63" customFormat="false" ht="15" hidden="false" customHeight="false" outlineLevel="0" collapsed="false">
      <c r="A63" s="119" t="s">
        <v>14380</v>
      </c>
      <c r="B63" s="119"/>
      <c r="C63" s="119"/>
      <c r="D63" s="106"/>
      <c r="E63" s="120"/>
      <c r="F63" s="120"/>
      <c r="G63" s="120"/>
      <c r="H63" s="121"/>
      <c r="I63" s="106"/>
      <c r="J63" s="120"/>
      <c r="K63" s="120"/>
      <c r="L63" s="120"/>
      <c r="M63" s="121"/>
    </row>
    <row r="64" customFormat="false" ht="13.5" hidden="false" customHeight="false" outlineLevel="0" collapsed="false">
      <c r="A64" s="122"/>
      <c r="B64" s="122"/>
      <c r="C64" s="122"/>
      <c r="D64" s="122"/>
      <c r="E64" s="122"/>
      <c r="F64" s="122"/>
      <c r="G64" s="122"/>
      <c r="H64" s="122"/>
      <c r="I64" s="122"/>
      <c r="J64" s="122"/>
      <c r="K64" s="122"/>
      <c r="L64" s="122"/>
      <c r="M64" s="122"/>
    </row>
    <row r="65" customFormat="false" ht="12.75" hidden="false" customHeight="true" outlineLevel="0" collapsed="false">
      <c r="A65" s="57" t="s">
        <v>1</v>
      </c>
      <c r="B65" s="57"/>
      <c r="C65" s="57"/>
      <c r="D65" s="58" t="s">
        <v>14359</v>
      </c>
      <c r="E65" s="58"/>
      <c r="F65" s="58"/>
      <c r="G65" s="58"/>
      <c r="H65" s="58"/>
      <c r="I65" s="58"/>
      <c r="J65" s="58"/>
      <c r="K65" s="58"/>
      <c r="L65" s="59"/>
      <c r="M65" s="60"/>
    </row>
    <row r="66" customFormat="false" ht="12.75" hidden="false" customHeight="true" outlineLevel="0" collapsed="false">
      <c r="A66" s="57"/>
      <c r="B66" s="57"/>
      <c r="C66" s="57"/>
      <c r="D66" s="58"/>
      <c r="E66" s="58"/>
      <c r="F66" s="58"/>
      <c r="G66" s="58"/>
      <c r="H66" s="58"/>
      <c r="I66" s="58"/>
      <c r="J66" s="58"/>
      <c r="K66" s="58"/>
      <c r="L66" s="61"/>
      <c r="M66" s="62"/>
    </row>
    <row r="67" customFormat="false" ht="15" hidden="false" customHeight="true" outlineLevel="0" collapsed="false">
      <c r="A67" s="63" t="n">
        <f aca="false">A3</f>
        <v>0</v>
      </c>
      <c r="B67" s="63"/>
      <c r="C67" s="63"/>
      <c r="D67" s="58"/>
      <c r="E67" s="58"/>
      <c r="F67" s="58"/>
      <c r="G67" s="58"/>
      <c r="H67" s="58"/>
      <c r="I67" s="58"/>
      <c r="J67" s="58"/>
      <c r="K67" s="58"/>
      <c r="L67" s="61"/>
      <c r="M67" s="62"/>
    </row>
    <row r="68" customFormat="false" ht="15" hidden="false" customHeight="true" outlineLevel="0" collapsed="false">
      <c r="A68" s="63"/>
      <c r="B68" s="63"/>
      <c r="C68" s="63"/>
      <c r="D68" s="58"/>
      <c r="E68" s="58"/>
      <c r="F68" s="58"/>
      <c r="G68" s="58"/>
      <c r="H68" s="58"/>
      <c r="I68" s="58"/>
      <c r="J68" s="58"/>
      <c r="K68" s="58"/>
      <c r="L68" s="61"/>
      <c r="M68" s="62"/>
    </row>
    <row r="69" customFormat="false" ht="15.75" hidden="false" customHeight="true" outlineLevel="0" collapsed="false">
      <c r="A69" s="63"/>
      <c r="B69" s="63"/>
      <c r="C69" s="63"/>
      <c r="D69" s="58"/>
      <c r="E69" s="58"/>
      <c r="F69" s="58"/>
      <c r="G69" s="58"/>
      <c r="H69" s="58"/>
      <c r="I69" s="58"/>
      <c r="J69" s="58"/>
      <c r="K69" s="58"/>
      <c r="L69" s="64"/>
      <c r="M69" s="65"/>
    </row>
    <row r="70" customFormat="false" ht="15" hidden="false" customHeight="false" outlineLevel="0" collapsed="false">
      <c r="A70" s="66" t="s">
        <v>14360</v>
      </c>
      <c r="B70" s="66"/>
      <c r="C70" s="66"/>
      <c r="D70" s="66"/>
      <c r="E70" s="66"/>
      <c r="F70" s="66"/>
      <c r="G70" s="66"/>
      <c r="H70" s="66"/>
      <c r="I70" s="66"/>
      <c r="J70" s="66"/>
      <c r="K70" s="66"/>
      <c r="L70" s="66"/>
      <c r="M70" s="66"/>
    </row>
    <row r="71" customFormat="false" ht="15" hidden="false" customHeight="false" outlineLevel="0" collapsed="false">
      <c r="A71" s="67"/>
      <c r="B71" s="68" t="s">
        <v>14361</v>
      </c>
      <c r="C71" s="68"/>
      <c r="D71" s="68"/>
      <c r="E71" s="68"/>
      <c r="F71" s="68" t="s">
        <v>14362</v>
      </c>
      <c r="G71" s="68"/>
      <c r="H71" s="68"/>
      <c r="I71" s="68"/>
      <c r="J71" s="68" t="s">
        <v>14363</v>
      </c>
      <c r="K71" s="68"/>
      <c r="L71" s="68"/>
      <c r="M71" s="68"/>
    </row>
    <row r="72" customFormat="false" ht="13.5" hidden="false" customHeight="false" outlineLevel="0" collapsed="false">
      <c r="A72" s="69" t="s">
        <v>47</v>
      </c>
      <c r="B72" s="70" t="s">
        <v>14364</v>
      </c>
      <c r="C72" s="71" t="s">
        <v>14360</v>
      </c>
      <c r="D72" s="72" t="s">
        <v>14365</v>
      </c>
      <c r="E72" s="72"/>
      <c r="F72" s="70" t="s">
        <v>14364</v>
      </c>
      <c r="G72" s="71" t="s">
        <v>14360</v>
      </c>
      <c r="H72" s="72" t="s">
        <v>14365</v>
      </c>
      <c r="I72" s="72"/>
      <c r="J72" s="70" t="s">
        <v>14364</v>
      </c>
      <c r="K72" s="71" t="s">
        <v>14360</v>
      </c>
      <c r="L72" s="72" t="s">
        <v>14366</v>
      </c>
      <c r="M72" s="72"/>
    </row>
    <row r="73" customFormat="false" ht="14.25" hidden="false" customHeight="false" outlineLevel="0" collapsed="false">
      <c r="A73" s="73" t="s">
        <v>14367</v>
      </c>
      <c r="B73" s="74" t="n">
        <f aca="false">B9</f>
        <v>0</v>
      </c>
      <c r="C73" s="75" t="n">
        <f aca="false">C9</f>
        <v>0</v>
      </c>
      <c r="D73" s="76" t="n">
        <f aca="false">D9</f>
        <v>0</v>
      </c>
      <c r="E73" s="76"/>
      <c r="F73" s="74" t="n">
        <f aca="false">F9</f>
        <v>0</v>
      </c>
      <c r="G73" s="75" t="n">
        <f aca="false">G9</f>
        <v>0</v>
      </c>
      <c r="H73" s="76" t="n">
        <f aca="false">H9</f>
        <v>0</v>
      </c>
      <c r="I73" s="76"/>
      <c r="J73" s="74" t="n">
        <f aca="false">J9</f>
        <v>0</v>
      </c>
      <c r="K73" s="75" t="n">
        <f aca="false">K9</f>
        <v>0</v>
      </c>
      <c r="L73" s="76" t="n">
        <f aca="false">L9</f>
        <v>0</v>
      </c>
      <c r="M73" s="76"/>
    </row>
    <row r="74" customFormat="false" ht="14.25" hidden="false" customHeight="false" outlineLevel="0" collapsed="false">
      <c r="A74" s="77" t="s">
        <v>14368</v>
      </c>
      <c r="B74" s="78" t="n">
        <f aca="false">B10</f>
        <v>0</v>
      </c>
      <c r="C74" s="79" t="n">
        <f aca="false">C10</f>
        <v>0</v>
      </c>
      <c r="D74" s="80" t="n">
        <f aca="false">D10</f>
        <v>0</v>
      </c>
      <c r="E74" s="80"/>
      <c r="F74" s="78" t="n">
        <f aca="false">F10</f>
        <v>0</v>
      </c>
      <c r="G74" s="79" t="n">
        <f aca="false">G10</f>
        <v>0</v>
      </c>
      <c r="H74" s="80" t="n">
        <f aca="false">H10</f>
        <v>0</v>
      </c>
      <c r="I74" s="80"/>
      <c r="J74" s="78" t="n">
        <f aca="false">J10</f>
        <v>0</v>
      </c>
      <c r="K74" s="79" t="n">
        <f aca="false">K10</f>
        <v>0</v>
      </c>
      <c r="L74" s="80" t="n">
        <f aca="false">L10</f>
        <v>0</v>
      </c>
      <c r="M74" s="80"/>
    </row>
    <row r="75" customFormat="false" ht="15" hidden="false" customHeight="false" outlineLevel="0" collapsed="false">
      <c r="A75" s="81" t="s">
        <v>14369</v>
      </c>
      <c r="B75" s="82" t="n">
        <f aca="false">B11</f>
        <v>0</v>
      </c>
      <c r="C75" s="83" t="n">
        <f aca="false">C11</f>
        <v>0</v>
      </c>
      <c r="D75" s="84" t="n">
        <f aca="false">D11</f>
        <v>0</v>
      </c>
      <c r="E75" s="84"/>
      <c r="F75" s="82" t="n">
        <f aca="false">F11</f>
        <v>0</v>
      </c>
      <c r="G75" s="83" t="n">
        <f aca="false">G11</f>
        <v>0</v>
      </c>
      <c r="H75" s="84" t="n">
        <f aca="false">H11</f>
        <v>0</v>
      </c>
      <c r="I75" s="84"/>
      <c r="J75" s="82" t="n">
        <f aca="false">J11</f>
        <v>0</v>
      </c>
      <c r="K75" s="83" t="n">
        <f aca="false">K11</f>
        <v>0</v>
      </c>
      <c r="L75" s="84" t="n">
        <f aca="false">L11</f>
        <v>0</v>
      </c>
      <c r="M75" s="84"/>
    </row>
    <row r="76" customFormat="false" ht="15" hidden="false" customHeight="false" outlineLevel="0" collapsed="false">
      <c r="A76" s="85" t="s">
        <v>14370</v>
      </c>
      <c r="B76" s="86"/>
      <c r="C76" s="87"/>
      <c r="D76" s="88"/>
      <c r="E76" s="88"/>
      <c r="F76" s="86"/>
      <c r="G76" s="87"/>
      <c r="H76" s="88"/>
      <c r="I76" s="88"/>
      <c r="J76" s="86"/>
      <c r="K76" s="87"/>
      <c r="L76" s="88"/>
      <c r="M76" s="88"/>
    </row>
    <row r="77" customFormat="false" ht="15" hidden="false" customHeight="false" outlineLevel="0" collapsed="false">
      <c r="A77" s="67"/>
      <c r="B77" s="68" t="s">
        <v>14371</v>
      </c>
      <c r="C77" s="68"/>
      <c r="D77" s="68"/>
      <c r="E77" s="68"/>
      <c r="F77" s="68" t="s">
        <v>14372</v>
      </c>
      <c r="G77" s="68"/>
      <c r="H77" s="68"/>
      <c r="I77" s="68"/>
      <c r="J77" s="68" t="s">
        <v>14373</v>
      </c>
      <c r="K77" s="68"/>
      <c r="L77" s="68"/>
      <c r="M77" s="68"/>
    </row>
    <row r="78" customFormat="false" ht="13.5" hidden="false" customHeight="false" outlineLevel="0" collapsed="false">
      <c r="A78" s="69" t="s">
        <v>47</v>
      </c>
      <c r="B78" s="70" t="s">
        <v>14364</v>
      </c>
      <c r="C78" s="71" t="s">
        <v>14360</v>
      </c>
      <c r="D78" s="72" t="s">
        <v>14366</v>
      </c>
      <c r="E78" s="72"/>
      <c r="F78" s="70" t="s">
        <v>14364</v>
      </c>
      <c r="G78" s="71" t="s">
        <v>14360</v>
      </c>
      <c r="H78" s="72" t="s">
        <v>14366</v>
      </c>
      <c r="I78" s="72"/>
      <c r="J78" s="70" t="s">
        <v>14364</v>
      </c>
      <c r="K78" s="71" t="s">
        <v>14360</v>
      </c>
      <c r="L78" s="72" t="s">
        <v>14366</v>
      </c>
      <c r="M78" s="72"/>
    </row>
    <row r="79" customFormat="false" ht="14.25" hidden="false" customHeight="false" outlineLevel="0" collapsed="false">
      <c r="A79" s="73" t="s">
        <v>14367</v>
      </c>
      <c r="B79" s="74" t="n">
        <f aca="false">B15</f>
        <v>0</v>
      </c>
      <c r="C79" s="75" t="n">
        <f aca="false">C15</f>
        <v>0</v>
      </c>
      <c r="D79" s="76" t="n">
        <f aca="false">D15</f>
        <v>0</v>
      </c>
      <c r="E79" s="76"/>
      <c r="F79" s="74" t="n">
        <f aca="false">F15</f>
        <v>0</v>
      </c>
      <c r="G79" s="75" t="n">
        <f aca="false">G15</f>
        <v>0</v>
      </c>
      <c r="H79" s="76" t="n">
        <f aca="false">H15</f>
        <v>0</v>
      </c>
      <c r="I79" s="76"/>
      <c r="J79" s="74" t="n">
        <f aca="false">J15</f>
        <v>0</v>
      </c>
      <c r="K79" s="75" t="n">
        <f aca="false">K15</f>
        <v>0</v>
      </c>
      <c r="L79" s="76" t="n">
        <f aca="false">L15</f>
        <v>0</v>
      </c>
      <c r="M79" s="76"/>
    </row>
    <row r="80" customFormat="false" ht="14.25" hidden="false" customHeight="false" outlineLevel="0" collapsed="false">
      <c r="A80" s="77" t="s">
        <v>14368</v>
      </c>
      <c r="B80" s="78" t="n">
        <f aca="false">B16</f>
        <v>0</v>
      </c>
      <c r="C80" s="79" t="n">
        <f aca="false">C16</f>
        <v>0</v>
      </c>
      <c r="D80" s="80" t="n">
        <f aca="false">D16</f>
        <v>0</v>
      </c>
      <c r="E80" s="80"/>
      <c r="F80" s="78" t="n">
        <f aca="false">F16</f>
        <v>0</v>
      </c>
      <c r="G80" s="79" t="n">
        <f aca="false">G16</f>
        <v>0</v>
      </c>
      <c r="H80" s="80" t="n">
        <f aca="false">H16</f>
        <v>0</v>
      </c>
      <c r="I80" s="80"/>
      <c r="J80" s="78" t="n">
        <f aca="false">J16</f>
        <v>0</v>
      </c>
      <c r="K80" s="79" t="n">
        <f aca="false">K16</f>
        <v>0</v>
      </c>
      <c r="L80" s="80" t="n">
        <f aca="false">L16</f>
        <v>0</v>
      </c>
      <c r="M80" s="80"/>
    </row>
    <row r="81" customFormat="false" ht="15" hidden="false" customHeight="false" outlineLevel="0" collapsed="false">
      <c r="A81" s="81" t="s">
        <v>14369</v>
      </c>
      <c r="B81" s="82" t="n">
        <f aca="false">B17</f>
        <v>0</v>
      </c>
      <c r="C81" s="83" t="n">
        <f aca="false">C17</f>
        <v>0</v>
      </c>
      <c r="D81" s="84" t="n">
        <f aca="false">D17</f>
        <v>0</v>
      </c>
      <c r="E81" s="84"/>
      <c r="F81" s="82" t="n">
        <f aca="false">F17</f>
        <v>0</v>
      </c>
      <c r="G81" s="83" t="n">
        <f aca="false">G17</f>
        <v>0</v>
      </c>
      <c r="H81" s="84" t="n">
        <f aca="false">H17</f>
        <v>0</v>
      </c>
      <c r="I81" s="84"/>
      <c r="J81" s="82" t="n">
        <f aca="false">J17</f>
        <v>0</v>
      </c>
      <c r="K81" s="83" t="n">
        <f aca="false">K17</f>
        <v>0</v>
      </c>
      <c r="L81" s="84" t="n">
        <f aca="false">L17</f>
        <v>0</v>
      </c>
      <c r="M81" s="84"/>
    </row>
    <row r="82" customFormat="false" ht="15" hidden="false" customHeight="false" outlineLevel="0" collapsed="false">
      <c r="A82" s="85" t="s">
        <v>14370</v>
      </c>
      <c r="B82" s="86"/>
      <c r="C82" s="87"/>
      <c r="D82" s="88"/>
      <c r="E82" s="88"/>
      <c r="F82" s="86"/>
      <c r="G82" s="87"/>
      <c r="H82" s="88"/>
      <c r="I82" s="88"/>
      <c r="J82" s="86"/>
      <c r="K82" s="87"/>
      <c r="L82" s="88"/>
      <c r="M82" s="88"/>
    </row>
    <row r="83" customFormat="false" ht="13.5" hidden="false" customHeight="false" outlineLevel="0" collapsed="false">
      <c r="A83" s="89"/>
      <c r="B83" s="89"/>
      <c r="C83" s="89"/>
      <c r="D83" s="89"/>
      <c r="E83" s="89"/>
      <c r="F83" s="89"/>
      <c r="G83" s="89"/>
      <c r="H83" s="89"/>
      <c r="I83" s="89"/>
      <c r="J83" s="89"/>
      <c r="K83" s="89"/>
      <c r="L83" s="89"/>
      <c r="M83" s="89"/>
    </row>
    <row r="84" customFormat="false" ht="15" hidden="false" customHeight="false" outlineLevel="0" collapsed="false">
      <c r="A84" s="90" t="s">
        <v>14374</v>
      </c>
      <c r="B84" s="90"/>
      <c r="C84" s="90"/>
      <c r="D84" s="90"/>
      <c r="E84" s="90"/>
      <c r="F84" s="90"/>
      <c r="G84" s="90"/>
      <c r="H84" s="90"/>
      <c r="I84" s="90"/>
      <c r="J84" s="90"/>
      <c r="K84" s="90"/>
      <c r="L84" s="90"/>
      <c r="M84" s="90"/>
    </row>
    <row r="85" customFormat="false" ht="15" hidden="false" customHeight="true" outlineLevel="0" collapsed="false">
      <c r="A85" s="91" t="s">
        <v>14375</v>
      </c>
      <c r="B85" s="91"/>
      <c r="C85" s="91"/>
      <c r="D85" s="92"/>
      <c r="E85" s="92"/>
      <c r="F85" s="92"/>
      <c r="G85" s="92"/>
      <c r="H85" s="92"/>
      <c r="I85" s="93"/>
      <c r="J85" s="93"/>
      <c r="K85" s="93"/>
      <c r="L85" s="93"/>
      <c r="M85" s="93"/>
    </row>
    <row r="86" customFormat="false" ht="15" hidden="false" customHeight="true" outlineLevel="0" collapsed="false">
      <c r="A86" s="94" t="s">
        <v>14350</v>
      </c>
      <c r="B86" s="94"/>
      <c r="C86" s="94"/>
      <c r="D86" s="95"/>
      <c r="E86" s="95"/>
      <c r="F86" s="95"/>
      <c r="G86" s="95"/>
      <c r="H86" s="95"/>
      <c r="I86" s="96"/>
      <c r="J86" s="96"/>
      <c r="K86" s="96"/>
      <c r="L86" s="96"/>
      <c r="M86" s="96"/>
    </row>
    <row r="87" customFormat="false" ht="14.25" hidden="false" customHeight="false" outlineLevel="0" collapsed="false">
      <c r="A87" s="94" t="s">
        <v>1468</v>
      </c>
      <c r="B87" s="94"/>
      <c r="C87" s="94"/>
      <c r="D87" s="97"/>
      <c r="E87" s="97"/>
      <c r="F87" s="97"/>
      <c r="G87" s="97"/>
      <c r="H87" s="97"/>
      <c r="I87" s="98"/>
      <c r="J87" s="98"/>
      <c r="K87" s="98"/>
      <c r="L87" s="98"/>
      <c r="M87" s="98"/>
    </row>
    <row r="88" customFormat="false" ht="14.25" hidden="false" customHeight="false" outlineLevel="0" collapsed="false">
      <c r="A88" s="94" t="s">
        <v>14376</v>
      </c>
      <c r="B88" s="94"/>
      <c r="C88" s="94"/>
      <c r="D88" s="97"/>
      <c r="E88" s="97"/>
      <c r="F88" s="97"/>
      <c r="G88" s="97"/>
      <c r="H88" s="97"/>
      <c r="I88" s="98"/>
      <c r="J88" s="98"/>
      <c r="K88" s="98"/>
      <c r="L88" s="98"/>
      <c r="M88" s="98"/>
    </row>
    <row r="89" customFormat="false" ht="14.25" hidden="false" customHeight="false" outlineLevel="0" collapsed="false">
      <c r="A89" s="94" t="s">
        <v>14377</v>
      </c>
      <c r="B89" s="94"/>
      <c r="C89" s="94"/>
      <c r="D89" s="97"/>
      <c r="E89" s="97"/>
      <c r="F89" s="97"/>
      <c r="G89" s="97"/>
      <c r="H89" s="97"/>
      <c r="I89" s="98"/>
      <c r="J89" s="98"/>
      <c r="K89" s="98"/>
      <c r="L89" s="98"/>
      <c r="M89" s="98"/>
    </row>
    <row r="90" customFormat="false" ht="14.25" hidden="false" customHeight="false" outlineLevel="0" collapsed="false">
      <c r="A90" s="94" t="s">
        <v>14378</v>
      </c>
      <c r="B90" s="94"/>
      <c r="C90" s="94"/>
      <c r="D90" s="97"/>
      <c r="E90" s="97"/>
      <c r="F90" s="97"/>
      <c r="G90" s="97"/>
      <c r="H90" s="97"/>
      <c r="I90" s="98"/>
      <c r="J90" s="98"/>
      <c r="K90" s="98"/>
      <c r="L90" s="98"/>
      <c r="M90" s="98"/>
    </row>
    <row r="91" customFormat="false" ht="14.25" hidden="false" customHeight="false" outlineLevel="0" collapsed="false">
      <c r="A91" s="94" t="s">
        <v>1472</v>
      </c>
      <c r="B91" s="94"/>
      <c r="C91" s="94"/>
      <c r="D91" s="99"/>
      <c r="E91" s="99"/>
      <c r="F91" s="99"/>
      <c r="G91" s="99"/>
      <c r="H91" s="99"/>
      <c r="I91" s="100"/>
      <c r="J91" s="100"/>
      <c r="K91" s="100"/>
      <c r="L91" s="100"/>
      <c r="M91" s="100"/>
    </row>
    <row r="92" customFormat="false" ht="14.25" hidden="false" customHeight="false" outlineLevel="0" collapsed="false">
      <c r="A92" s="94" t="s">
        <v>1473</v>
      </c>
      <c r="B92" s="94"/>
      <c r="C92" s="94"/>
      <c r="D92" s="99"/>
      <c r="E92" s="99"/>
      <c r="F92" s="99"/>
      <c r="G92" s="99"/>
      <c r="H92" s="99"/>
      <c r="I92" s="100"/>
      <c r="J92" s="100"/>
      <c r="K92" s="100"/>
      <c r="L92" s="100"/>
      <c r="M92" s="100"/>
    </row>
    <row r="93" customFormat="false" ht="14.25" hidden="false" customHeight="false" outlineLevel="0" collapsed="false">
      <c r="A93" s="94" t="s">
        <v>1474</v>
      </c>
      <c r="B93" s="94"/>
      <c r="C93" s="94"/>
      <c r="D93" s="101"/>
      <c r="E93" s="101"/>
      <c r="F93" s="101"/>
      <c r="G93" s="101"/>
      <c r="H93" s="101"/>
      <c r="I93" s="102"/>
      <c r="J93" s="102"/>
      <c r="K93" s="102"/>
      <c r="L93" s="102"/>
      <c r="M93" s="102"/>
    </row>
    <row r="94" customFormat="false" ht="14.25" hidden="false" customHeight="false" outlineLevel="0" collapsed="false">
      <c r="A94" s="94" t="s">
        <v>1475</v>
      </c>
      <c r="B94" s="94"/>
      <c r="C94" s="94"/>
      <c r="D94" s="101"/>
      <c r="E94" s="101"/>
      <c r="F94" s="101"/>
      <c r="G94" s="101"/>
      <c r="H94" s="101"/>
      <c r="I94" s="102"/>
      <c r="J94" s="102"/>
      <c r="K94" s="102"/>
      <c r="L94" s="102"/>
      <c r="M94" s="102"/>
    </row>
    <row r="95" customFormat="false" ht="14.25" hidden="false" customHeight="false" outlineLevel="0" collapsed="false">
      <c r="A95" s="94" t="s">
        <v>1477</v>
      </c>
      <c r="B95" s="94"/>
      <c r="C95" s="94"/>
      <c r="D95" s="101"/>
      <c r="E95" s="101"/>
      <c r="F95" s="101"/>
      <c r="G95" s="101"/>
      <c r="H95" s="101"/>
      <c r="I95" s="102"/>
      <c r="J95" s="102"/>
      <c r="K95" s="102"/>
      <c r="L95" s="102"/>
      <c r="M95" s="102"/>
    </row>
    <row r="96" customFormat="false" ht="15.75" hidden="false" customHeight="true" outlineLevel="0" collapsed="false">
      <c r="A96" s="94" t="s">
        <v>14379</v>
      </c>
      <c r="B96" s="94"/>
      <c r="C96" s="94"/>
      <c r="D96" s="103"/>
      <c r="E96" s="103"/>
      <c r="F96" s="103"/>
      <c r="G96" s="103"/>
      <c r="H96" s="103"/>
      <c r="I96" s="104"/>
      <c r="J96" s="104"/>
      <c r="K96" s="104"/>
      <c r="L96" s="104"/>
      <c r="M96" s="104"/>
    </row>
    <row r="97" customFormat="false" ht="15" hidden="false" customHeight="false" outlineLevel="0" collapsed="false">
      <c r="A97" s="105" t="s">
        <v>14380</v>
      </c>
      <c r="B97" s="105"/>
      <c r="C97" s="105"/>
      <c r="D97" s="106"/>
      <c r="E97" s="106"/>
      <c r="F97" s="106"/>
      <c r="G97" s="106"/>
      <c r="H97" s="106"/>
      <c r="I97" s="107"/>
      <c r="J97" s="107"/>
      <c r="K97" s="107"/>
      <c r="L97" s="107"/>
      <c r="M97" s="107"/>
    </row>
    <row r="98" customFormat="false" ht="15" hidden="false" customHeight="false" outlineLevel="0" collapsed="false">
      <c r="A98" s="108"/>
      <c r="B98" s="109"/>
      <c r="C98" s="109"/>
      <c r="D98" s="110"/>
      <c r="E98" s="110"/>
      <c r="F98" s="110"/>
      <c r="G98" s="110"/>
      <c r="H98" s="110"/>
      <c r="I98" s="110"/>
      <c r="J98" s="110"/>
      <c r="K98" s="110"/>
      <c r="L98" s="110"/>
      <c r="M98" s="111"/>
    </row>
    <row r="99" customFormat="false" ht="15" hidden="false" customHeight="false" outlineLevel="0" collapsed="false">
      <c r="A99" s="66" t="s">
        <v>14381</v>
      </c>
      <c r="B99" s="66"/>
      <c r="C99" s="66"/>
      <c r="D99" s="66"/>
      <c r="E99" s="66"/>
      <c r="F99" s="66"/>
      <c r="G99" s="66"/>
      <c r="H99" s="66"/>
      <c r="I99" s="66"/>
      <c r="J99" s="66"/>
      <c r="K99" s="66"/>
      <c r="L99" s="66"/>
      <c r="M99" s="66"/>
    </row>
    <row r="100" customFormat="false" ht="14.25" hidden="false" customHeight="false" outlineLevel="0" collapsed="false">
      <c r="A100" s="112" t="s">
        <v>14375</v>
      </c>
      <c r="B100" s="112"/>
      <c r="C100" s="112"/>
      <c r="D100" s="113"/>
      <c r="E100" s="113"/>
      <c r="F100" s="113"/>
      <c r="G100" s="113"/>
      <c r="H100" s="113"/>
      <c r="I100" s="113"/>
      <c r="J100" s="113"/>
      <c r="K100" s="113"/>
      <c r="L100" s="113"/>
      <c r="M100" s="113"/>
    </row>
    <row r="101" customFormat="false" ht="14.25" hidden="false" customHeight="false" outlineLevel="0" collapsed="false">
      <c r="A101" s="114" t="s">
        <v>14350</v>
      </c>
      <c r="B101" s="114"/>
      <c r="C101" s="114"/>
      <c r="D101" s="104"/>
      <c r="E101" s="104"/>
      <c r="F101" s="104"/>
      <c r="G101" s="104"/>
      <c r="H101" s="104"/>
      <c r="I101" s="104"/>
      <c r="J101" s="104"/>
      <c r="K101" s="104"/>
      <c r="L101" s="104"/>
      <c r="M101" s="104"/>
    </row>
    <row r="102" customFormat="false" ht="14.25" hidden="false" customHeight="false" outlineLevel="0" collapsed="false">
      <c r="A102" s="114" t="s">
        <v>1468</v>
      </c>
      <c r="B102" s="114"/>
      <c r="C102" s="114"/>
      <c r="D102" s="104"/>
      <c r="E102" s="104"/>
      <c r="F102" s="104"/>
      <c r="G102" s="104"/>
      <c r="H102" s="104"/>
      <c r="I102" s="104"/>
      <c r="J102" s="104"/>
      <c r="K102" s="104"/>
      <c r="L102" s="104"/>
      <c r="M102" s="104"/>
    </row>
    <row r="103" customFormat="false" ht="14.25" hidden="false" customHeight="false" outlineLevel="0" collapsed="false">
      <c r="A103" s="114" t="s">
        <v>14376</v>
      </c>
      <c r="B103" s="114"/>
      <c r="C103" s="114"/>
      <c r="D103" s="98"/>
      <c r="E103" s="98"/>
      <c r="F103" s="98"/>
      <c r="G103" s="98"/>
      <c r="H103" s="98"/>
      <c r="I103" s="98"/>
      <c r="J103" s="98"/>
      <c r="K103" s="98"/>
      <c r="L103" s="98"/>
      <c r="M103" s="98"/>
    </row>
    <row r="104" customFormat="false" ht="14.25" hidden="false" customHeight="false" outlineLevel="0" collapsed="false">
      <c r="A104" s="114" t="s">
        <v>14377</v>
      </c>
      <c r="B104" s="114"/>
      <c r="C104" s="114"/>
      <c r="D104" s="98"/>
      <c r="E104" s="98"/>
      <c r="F104" s="98"/>
      <c r="G104" s="98"/>
      <c r="H104" s="98"/>
      <c r="I104" s="98"/>
      <c r="J104" s="98"/>
      <c r="K104" s="98"/>
      <c r="L104" s="98"/>
      <c r="M104" s="98"/>
    </row>
    <row r="105" customFormat="false" ht="14.25" hidden="false" customHeight="false" outlineLevel="0" collapsed="false">
      <c r="A105" s="94" t="s">
        <v>14378</v>
      </c>
      <c r="B105" s="94"/>
      <c r="C105" s="94"/>
      <c r="D105" s="97"/>
      <c r="E105" s="97"/>
      <c r="F105" s="97"/>
      <c r="G105" s="97"/>
      <c r="H105" s="97"/>
      <c r="I105" s="98"/>
      <c r="J105" s="98"/>
      <c r="K105" s="98"/>
      <c r="L105" s="98"/>
      <c r="M105" s="98"/>
    </row>
    <row r="106" customFormat="false" ht="14.25" hidden="false" customHeight="false" outlineLevel="0" collapsed="false">
      <c r="A106" s="114" t="s">
        <v>1472</v>
      </c>
      <c r="B106" s="114"/>
      <c r="C106" s="114"/>
      <c r="D106" s="102"/>
      <c r="E106" s="102"/>
      <c r="F106" s="102"/>
      <c r="G106" s="102"/>
      <c r="H106" s="102"/>
      <c r="I106" s="102"/>
      <c r="J106" s="102"/>
      <c r="K106" s="102"/>
      <c r="L106" s="102"/>
      <c r="M106" s="102"/>
    </row>
    <row r="107" customFormat="false" ht="14.25" hidden="false" customHeight="false" outlineLevel="0" collapsed="false">
      <c r="A107" s="114" t="s">
        <v>1473</v>
      </c>
      <c r="B107" s="114"/>
      <c r="C107" s="114"/>
      <c r="D107" s="115"/>
      <c r="E107" s="115"/>
      <c r="F107" s="115"/>
      <c r="G107" s="115"/>
      <c r="H107" s="115"/>
      <c r="I107" s="115"/>
      <c r="J107" s="115"/>
      <c r="K107" s="115"/>
      <c r="L107" s="115"/>
      <c r="M107" s="115"/>
    </row>
    <row r="108" customFormat="false" ht="14.25" hidden="false" customHeight="false" outlineLevel="0" collapsed="false">
      <c r="A108" s="114" t="s">
        <v>1474</v>
      </c>
      <c r="B108" s="114"/>
      <c r="C108" s="114"/>
      <c r="D108" s="115"/>
      <c r="E108" s="115"/>
      <c r="F108" s="115"/>
      <c r="G108" s="115"/>
      <c r="H108" s="115"/>
      <c r="I108" s="116"/>
      <c r="J108" s="116"/>
      <c r="K108" s="116"/>
      <c r="L108" s="116"/>
      <c r="M108" s="116"/>
    </row>
    <row r="109" customFormat="false" ht="14.25" hidden="false" customHeight="false" outlineLevel="0" collapsed="false">
      <c r="A109" s="114" t="s">
        <v>1475</v>
      </c>
      <c r="B109" s="114"/>
      <c r="C109" s="114"/>
      <c r="D109" s="115"/>
      <c r="E109" s="115"/>
      <c r="F109" s="115"/>
      <c r="G109" s="115"/>
      <c r="H109" s="115"/>
      <c r="I109" s="116"/>
      <c r="J109" s="116"/>
      <c r="K109" s="116"/>
      <c r="L109" s="116"/>
      <c r="M109" s="116"/>
    </row>
    <row r="110" customFormat="false" ht="14.25" hidden="false" customHeight="false" outlineLevel="0" collapsed="false">
      <c r="A110" s="114" t="s">
        <v>1477</v>
      </c>
      <c r="B110" s="114"/>
      <c r="C110" s="114"/>
      <c r="D110" s="115"/>
      <c r="E110" s="115"/>
      <c r="F110" s="115"/>
      <c r="G110" s="115"/>
      <c r="H110" s="115"/>
      <c r="I110" s="116"/>
      <c r="J110" s="116"/>
      <c r="K110" s="116"/>
      <c r="L110" s="116"/>
      <c r="M110" s="116"/>
    </row>
    <row r="111" customFormat="false" ht="14.25" hidden="false" customHeight="false" outlineLevel="0" collapsed="false">
      <c r="A111" s="114" t="s">
        <v>14379</v>
      </c>
      <c r="B111" s="114"/>
      <c r="C111" s="114"/>
      <c r="D111" s="103"/>
      <c r="E111" s="117"/>
      <c r="F111" s="117"/>
      <c r="G111" s="117"/>
      <c r="H111" s="118"/>
      <c r="I111" s="103"/>
      <c r="J111" s="117"/>
      <c r="K111" s="117"/>
      <c r="L111" s="117"/>
      <c r="M111" s="118"/>
    </row>
    <row r="112" customFormat="false" ht="15" hidden="false" customHeight="false" outlineLevel="0" collapsed="false">
      <c r="A112" s="119" t="s">
        <v>14380</v>
      </c>
      <c r="B112" s="119"/>
      <c r="C112" s="119"/>
      <c r="D112" s="106"/>
      <c r="E112" s="120"/>
      <c r="F112" s="120"/>
      <c r="G112" s="120"/>
      <c r="H112" s="121"/>
      <c r="I112" s="106"/>
      <c r="J112" s="120"/>
      <c r="K112" s="120"/>
      <c r="L112" s="120"/>
      <c r="M112" s="121"/>
    </row>
    <row r="113" customFormat="false" ht="15" hidden="false" customHeight="false" outlineLevel="0" collapsed="false">
      <c r="A113" s="108"/>
      <c r="B113" s="109"/>
      <c r="C113" s="109"/>
      <c r="D113" s="110"/>
      <c r="E113" s="110"/>
      <c r="F113" s="110"/>
      <c r="G113" s="110"/>
      <c r="H113" s="110"/>
      <c r="I113" s="110"/>
      <c r="J113" s="110"/>
      <c r="K113" s="110"/>
      <c r="L113" s="110"/>
      <c r="M113" s="111"/>
    </row>
    <row r="114" customFormat="false" ht="15" hidden="false" customHeight="false" outlineLevel="0" collapsed="false">
      <c r="A114" s="66" t="s">
        <v>14382</v>
      </c>
      <c r="B114" s="66"/>
      <c r="C114" s="66"/>
      <c r="D114" s="66"/>
      <c r="E114" s="66"/>
      <c r="F114" s="66"/>
      <c r="G114" s="66"/>
      <c r="H114" s="66"/>
      <c r="I114" s="66"/>
      <c r="J114" s="66"/>
      <c r="K114" s="66"/>
      <c r="L114" s="66"/>
      <c r="M114" s="66"/>
    </row>
    <row r="115" customFormat="false" ht="14.25" hidden="false" customHeight="false" outlineLevel="0" collapsed="false">
      <c r="A115" s="112" t="s">
        <v>14375</v>
      </c>
      <c r="B115" s="112"/>
      <c r="C115" s="112"/>
      <c r="D115" s="113"/>
      <c r="E115" s="113"/>
      <c r="F115" s="113"/>
      <c r="G115" s="113"/>
      <c r="H115" s="113"/>
      <c r="I115" s="113"/>
      <c r="J115" s="113"/>
      <c r="K115" s="113"/>
      <c r="L115" s="113"/>
      <c r="M115" s="113"/>
    </row>
    <row r="116" customFormat="false" ht="14.25" hidden="false" customHeight="false" outlineLevel="0" collapsed="false">
      <c r="A116" s="114" t="s">
        <v>14350</v>
      </c>
      <c r="B116" s="114"/>
      <c r="C116" s="114"/>
      <c r="D116" s="104"/>
      <c r="E116" s="104"/>
      <c r="F116" s="104"/>
      <c r="G116" s="104"/>
      <c r="H116" s="104"/>
      <c r="I116" s="104"/>
      <c r="J116" s="104"/>
      <c r="K116" s="104"/>
      <c r="L116" s="104"/>
      <c r="M116" s="104"/>
    </row>
    <row r="117" customFormat="false" ht="14.25" hidden="false" customHeight="false" outlineLevel="0" collapsed="false">
      <c r="A117" s="114" t="s">
        <v>1468</v>
      </c>
      <c r="B117" s="114"/>
      <c r="C117" s="114"/>
      <c r="D117" s="104"/>
      <c r="E117" s="104"/>
      <c r="F117" s="104"/>
      <c r="G117" s="104"/>
      <c r="H117" s="104"/>
      <c r="I117" s="104"/>
      <c r="J117" s="104"/>
      <c r="K117" s="104"/>
      <c r="L117" s="104"/>
      <c r="M117" s="104"/>
    </row>
    <row r="118" customFormat="false" ht="14.25" hidden="false" customHeight="false" outlineLevel="0" collapsed="false">
      <c r="A118" s="114" t="s">
        <v>14376</v>
      </c>
      <c r="B118" s="114"/>
      <c r="C118" s="114"/>
      <c r="D118" s="98"/>
      <c r="E118" s="98"/>
      <c r="F118" s="98"/>
      <c r="G118" s="98"/>
      <c r="H118" s="98"/>
      <c r="I118" s="98"/>
      <c r="J118" s="98"/>
      <c r="K118" s="98"/>
      <c r="L118" s="98"/>
      <c r="M118" s="98"/>
    </row>
    <row r="119" customFormat="false" ht="14.25" hidden="false" customHeight="false" outlineLevel="0" collapsed="false">
      <c r="A119" s="114" t="s">
        <v>14377</v>
      </c>
      <c r="B119" s="114"/>
      <c r="C119" s="114"/>
      <c r="D119" s="98"/>
      <c r="E119" s="98"/>
      <c r="F119" s="98"/>
      <c r="G119" s="98"/>
      <c r="H119" s="98"/>
      <c r="I119" s="98"/>
      <c r="J119" s="98"/>
      <c r="K119" s="98"/>
      <c r="L119" s="98"/>
      <c r="M119" s="98"/>
    </row>
    <row r="120" customFormat="false" ht="14.25" hidden="false" customHeight="false" outlineLevel="0" collapsed="false">
      <c r="A120" s="94" t="s">
        <v>14378</v>
      </c>
      <c r="B120" s="94"/>
      <c r="C120" s="94"/>
      <c r="D120" s="97"/>
      <c r="E120" s="97"/>
      <c r="F120" s="97"/>
      <c r="G120" s="97"/>
      <c r="H120" s="97"/>
      <c r="I120" s="98"/>
      <c r="J120" s="98"/>
      <c r="K120" s="98"/>
      <c r="L120" s="98"/>
      <c r="M120" s="98"/>
    </row>
    <row r="121" customFormat="false" ht="14.25" hidden="false" customHeight="false" outlineLevel="0" collapsed="false">
      <c r="A121" s="114" t="s">
        <v>1472</v>
      </c>
      <c r="B121" s="114"/>
      <c r="C121" s="114"/>
      <c r="D121" s="102"/>
      <c r="E121" s="102"/>
      <c r="F121" s="102"/>
      <c r="G121" s="102"/>
      <c r="H121" s="102"/>
      <c r="I121" s="102"/>
      <c r="J121" s="102"/>
      <c r="K121" s="102"/>
      <c r="L121" s="102"/>
      <c r="M121" s="102"/>
    </row>
    <row r="122" customFormat="false" ht="14.25" hidden="false" customHeight="false" outlineLevel="0" collapsed="false">
      <c r="A122" s="114" t="s">
        <v>1473</v>
      </c>
      <c r="B122" s="114"/>
      <c r="C122" s="114"/>
      <c r="D122" s="115"/>
      <c r="E122" s="115"/>
      <c r="F122" s="115"/>
      <c r="G122" s="115"/>
      <c r="H122" s="115"/>
      <c r="I122" s="115"/>
      <c r="J122" s="115"/>
      <c r="K122" s="115"/>
      <c r="L122" s="115"/>
      <c r="M122" s="115"/>
    </row>
    <row r="123" customFormat="false" ht="14.25" hidden="false" customHeight="false" outlineLevel="0" collapsed="false">
      <c r="A123" s="114" t="s">
        <v>1474</v>
      </c>
      <c r="B123" s="114"/>
      <c r="C123" s="114"/>
      <c r="D123" s="115"/>
      <c r="E123" s="115"/>
      <c r="F123" s="115"/>
      <c r="G123" s="115"/>
      <c r="H123" s="115"/>
      <c r="I123" s="116"/>
      <c r="J123" s="116"/>
      <c r="K123" s="116"/>
      <c r="L123" s="116"/>
      <c r="M123" s="116"/>
    </row>
    <row r="124" customFormat="false" ht="14.25" hidden="false" customHeight="false" outlineLevel="0" collapsed="false">
      <c r="A124" s="114" t="s">
        <v>1475</v>
      </c>
      <c r="B124" s="114"/>
      <c r="C124" s="114"/>
      <c r="D124" s="115"/>
      <c r="E124" s="115"/>
      <c r="F124" s="115"/>
      <c r="G124" s="115"/>
      <c r="H124" s="115"/>
      <c r="I124" s="116"/>
      <c r="J124" s="116"/>
      <c r="K124" s="116"/>
      <c r="L124" s="116"/>
      <c r="M124" s="116"/>
    </row>
    <row r="125" customFormat="false" ht="14.25" hidden="false" customHeight="false" outlineLevel="0" collapsed="false">
      <c r="A125" s="114" t="s">
        <v>1477</v>
      </c>
      <c r="B125" s="114"/>
      <c r="C125" s="114"/>
      <c r="D125" s="115"/>
      <c r="E125" s="115"/>
      <c r="F125" s="115"/>
      <c r="G125" s="115"/>
      <c r="H125" s="115"/>
      <c r="I125" s="116"/>
      <c r="J125" s="116"/>
      <c r="K125" s="116"/>
      <c r="L125" s="116"/>
      <c r="M125" s="116"/>
    </row>
    <row r="126" customFormat="false" ht="14.25" hidden="false" customHeight="false" outlineLevel="0" collapsed="false">
      <c r="A126" s="114" t="s">
        <v>14379</v>
      </c>
      <c r="B126" s="114"/>
      <c r="C126" s="114"/>
      <c r="D126" s="103"/>
      <c r="E126" s="117"/>
      <c r="F126" s="117"/>
      <c r="G126" s="117"/>
      <c r="H126" s="118"/>
      <c r="I126" s="103"/>
      <c r="J126" s="117"/>
      <c r="K126" s="117"/>
      <c r="L126" s="117"/>
      <c r="M126" s="118"/>
    </row>
    <row r="127" customFormat="false" ht="15" hidden="false" customHeight="false" outlineLevel="0" collapsed="false">
      <c r="A127" s="119" t="s">
        <v>14380</v>
      </c>
      <c r="B127" s="119"/>
      <c r="C127" s="119"/>
      <c r="D127" s="106"/>
      <c r="E127" s="120"/>
      <c r="F127" s="120"/>
      <c r="G127" s="120"/>
      <c r="H127" s="121"/>
      <c r="I127" s="106"/>
      <c r="J127" s="120"/>
      <c r="K127" s="120"/>
      <c r="L127" s="120"/>
      <c r="M127" s="121"/>
    </row>
    <row r="128" customFormat="false" ht="13.5" hidden="false" customHeight="false" outlineLevel="0" collapsed="false">
      <c r="A128" s="122"/>
      <c r="B128" s="122"/>
      <c r="C128" s="122"/>
      <c r="D128" s="122"/>
      <c r="E128" s="122"/>
      <c r="F128" s="122"/>
      <c r="G128" s="122"/>
      <c r="H128" s="122"/>
      <c r="I128" s="122"/>
      <c r="J128" s="122"/>
      <c r="K128" s="122"/>
      <c r="L128" s="122"/>
      <c r="M128" s="122"/>
    </row>
    <row r="129" customFormat="false" ht="12.75" hidden="false" customHeight="true" outlineLevel="0" collapsed="false">
      <c r="A129" s="57" t="s">
        <v>1</v>
      </c>
      <c r="B129" s="57"/>
      <c r="C129" s="57"/>
      <c r="D129" s="58" t="s">
        <v>14359</v>
      </c>
      <c r="E129" s="58"/>
      <c r="F129" s="58"/>
      <c r="G129" s="58"/>
      <c r="H129" s="58"/>
      <c r="I129" s="58"/>
      <c r="J129" s="58"/>
      <c r="K129" s="58"/>
      <c r="L129" s="59"/>
      <c r="M129" s="60"/>
    </row>
    <row r="130" customFormat="false" ht="12.75" hidden="false" customHeight="true" outlineLevel="0" collapsed="false">
      <c r="A130" s="57"/>
      <c r="B130" s="57"/>
      <c r="C130" s="57"/>
      <c r="D130" s="58"/>
      <c r="E130" s="58"/>
      <c r="F130" s="58"/>
      <c r="G130" s="58"/>
      <c r="H130" s="58"/>
      <c r="I130" s="58"/>
      <c r="J130" s="58"/>
      <c r="K130" s="58"/>
      <c r="L130" s="61"/>
      <c r="M130" s="62"/>
    </row>
    <row r="131" customFormat="false" ht="15" hidden="false" customHeight="true" outlineLevel="0" collapsed="false">
      <c r="A131" s="63" t="n">
        <f aca="false">A67</f>
        <v>0</v>
      </c>
      <c r="B131" s="63"/>
      <c r="C131" s="63"/>
      <c r="D131" s="58"/>
      <c r="E131" s="58"/>
      <c r="F131" s="58"/>
      <c r="G131" s="58"/>
      <c r="H131" s="58"/>
      <c r="I131" s="58"/>
      <c r="J131" s="58"/>
      <c r="K131" s="58"/>
      <c r="L131" s="61"/>
      <c r="M131" s="62"/>
    </row>
    <row r="132" customFormat="false" ht="15" hidden="false" customHeight="true" outlineLevel="0" collapsed="false">
      <c r="A132" s="63"/>
      <c r="B132" s="63"/>
      <c r="C132" s="63"/>
      <c r="D132" s="58"/>
      <c r="E132" s="58"/>
      <c r="F132" s="58"/>
      <c r="G132" s="58"/>
      <c r="H132" s="58"/>
      <c r="I132" s="58"/>
      <c r="J132" s="58"/>
      <c r="K132" s="58"/>
      <c r="L132" s="61"/>
      <c r="M132" s="62"/>
    </row>
    <row r="133" customFormat="false" ht="15.75" hidden="false" customHeight="true" outlineLevel="0" collapsed="false">
      <c r="A133" s="63"/>
      <c r="B133" s="63"/>
      <c r="C133" s="63"/>
      <c r="D133" s="58"/>
      <c r="E133" s="58"/>
      <c r="F133" s="58"/>
      <c r="G133" s="58"/>
      <c r="H133" s="58"/>
      <c r="I133" s="58"/>
      <c r="J133" s="58"/>
      <c r="K133" s="58"/>
      <c r="L133" s="64"/>
      <c r="M133" s="65"/>
    </row>
    <row r="134" customFormat="false" ht="15" hidden="false" customHeight="false" outlineLevel="0" collapsed="false">
      <c r="A134" s="66" t="s">
        <v>14360</v>
      </c>
      <c r="B134" s="66"/>
      <c r="C134" s="66"/>
      <c r="D134" s="66"/>
      <c r="E134" s="66"/>
      <c r="F134" s="66"/>
      <c r="G134" s="66"/>
      <c r="H134" s="66"/>
      <c r="I134" s="66"/>
      <c r="J134" s="66"/>
      <c r="K134" s="66"/>
      <c r="L134" s="66"/>
      <c r="M134" s="66"/>
    </row>
    <row r="135" customFormat="false" ht="15" hidden="false" customHeight="false" outlineLevel="0" collapsed="false">
      <c r="A135" s="67"/>
      <c r="B135" s="68" t="s">
        <v>14361</v>
      </c>
      <c r="C135" s="68"/>
      <c r="D135" s="68"/>
      <c r="E135" s="68"/>
      <c r="F135" s="68" t="s">
        <v>14362</v>
      </c>
      <c r="G135" s="68"/>
      <c r="H135" s="68"/>
      <c r="I135" s="68"/>
      <c r="J135" s="68" t="s">
        <v>14363</v>
      </c>
      <c r="K135" s="68"/>
      <c r="L135" s="68"/>
      <c r="M135" s="68"/>
    </row>
    <row r="136" customFormat="false" ht="13.5" hidden="false" customHeight="false" outlineLevel="0" collapsed="false">
      <c r="A136" s="69" t="s">
        <v>47</v>
      </c>
      <c r="B136" s="70" t="s">
        <v>14364</v>
      </c>
      <c r="C136" s="71" t="s">
        <v>14360</v>
      </c>
      <c r="D136" s="72" t="s">
        <v>14365</v>
      </c>
      <c r="E136" s="72"/>
      <c r="F136" s="70" t="s">
        <v>14364</v>
      </c>
      <c r="G136" s="71" t="s">
        <v>14360</v>
      </c>
      <c r="H136" s="72" t="s">
        <v>14365</v>
      </c>
      <c r="I136" s="72"/>
      <c r="J136" s="70" t="s">
        <v>14364</v>
      </c>
      <c r="K136" s="71" t="s">
        <v>14360</v>
      </c>
      <c r="L136" s="72" t="s">
        <v>14366</v>
      </c>
      <c r="M136" s="72"/>
    </row>
    <row r="137" customFormat="false" ht="14.25" hidden="false" customHeight="false" outlineLevel="0" collapsed="false">
      <c r="A137" s="73" t="s">
        <v>14367</v>
      </c>
      <c r="B137" s="74" t="n">
        <f aca="false">B73</f>
        <v>0</v>
      </c>
      <c r="C137" s="75" t="n">
        <f aca="false">C73</f>
        <v>0</v>
      </c>
      <c r="D137" s="76" t="n">
        <f aca="false">D73</f>
        <v>0</v>
      </c>
      <c r="E137" s="76"/>
      <c r="F137" s="74" t="n">
        <f aca="false">F73</f>
        <v>0</v>
      </c>
      <c r="G137" s="75" t="n">
        <f aca="false">G73</f>
        <v>0</v>
      </c>
      <c r="H137" s="76" t="n">
        <f aca="false">H73</f>
        <v>0</v>
      </c>
      <c r="I137" s="76"/>
      <c r="J137" s="74" t="n">
        <f aca="false">J73</f>
        <v>0</v>
      </c>
      <c r="K137" s="75" t="n">
        <f aca="false">K73</f>
        <v>0</v>
      </c>
      <c r="L137" s="76" t="n">
        <f aca="false">L73</f>
        <v>0</v>
      </c>
      <c r="M137" s="76"/>
    </row>
    <row r="138" customFormat="false" ht="14.25" hidden="false" customHeight="false" outlineLevel="0" collapsed="false">
      <c r="A138" s="77" t="s">
        <v>14368</v>
      </c>
      <c r="B138" s="78" t="n">
        <f aca="false">B74</f>
        <v>0</v>
      </c>
      <c r="C138" s="79" t="n">
        <f aca="false">C74</f>
        <v>0</v>
      </c>
      <c r="D138" s="80" t="n">
        <f aca="false">D74</f>
        <v>0</v>
      </c>
      <c r="E138" s="80"/>
      <c r="F138" s="78" t="n">
        <f aca="false">F74</f>
        <v>0</v>
      </c>
      <c r="G138" s="79" t="n">
        <f aca="false">G74</f>
        <v>0</v>
      </c>
      <c r="H138" s="80" t="n">
        <f aca="false">H74</f>
        <v>0</v>
      </c>
      <c r="I138" s="80"/>
      <c r="J138" s="78" t="n">
        <f aca="false">J74</f>
        <v>0</v>
      </c>
      <c r="K138" s="79" t="n">
        <f aca="false">K74</f>
        <v>0</v>
      </c>
      <c r="L138" s="80" t="n">
        <f aca="false">L74</f>
        <v>0</v>
      </c>
      <c r="M138" s="80"/>
    </row>
    <row r="139" customFormat="false" ht="15" hidden="false" customHeight="false" outlineLevel="0" collapsed="false">
      <c r="A139" s="81" t="s">
        <v>14369</v>
      </c>
      <c r="B139" s="82" t="n">
        <f aca="false">B75</f>
        <v>0</v>
      </c>
      <c r="C139" s="83" t="n">
        <f aca="false">C75</f>
        <v>0</v>
      </c>
      <c r="D139" s="84" t="n">
        <f aca="false">D75</f>
        <v>0</v>
      </c>
      <c r="E139" s="84"/>
      <c r="F139" s="82" t="n">
        <f aca="false">F75</f>
        <v>0</v>
      </c>
      <c r="G139" s="83" t="n">
        <f aca="false">G75</f>
        <v>0</v>
      </c>
      <c r="H139" s="84" t="n">
        <f aca="false">H75</f>
        <v>0</v>
      </c>
      <c r="I139" s="84"/>
      <c r="J139" s="82" t="n">
        <f aca="false">J75</f>
        <v>0</v>
      </c>
      <c r="K139" s="83" t="n">
        <f aca="false">K75</f>
        <v>0</v>
      </c>
      <c r="L139" s="84" t="n">
        <f aca="false">L75</f>
        <v>0</v>
      </c>
      <c r="M139" s="84"/>
    </row>
    <row r="140" customFormat="false" ht="15" hidden="false" customHeight="false" outlineLevel="0" collapsed="false">
      <c r="A140" s="85" t="s">
        <v>14370</v>
      </c>
      <c r="B140" s="86"/>
      <c r="C140" s="87"/>
      <c r="D140" s="88"/>
      <c r="E140" s="88"/>
      <c r="F140" s="86"/>
      <c r="G140" s="87"/>
      <c r="H140" s="88"/>
      <c r="I140" s="88"/>
      <c r="J140" s="86"/>
      <c r="K140" s="87"/>
      <c r="L140" s="88"/>
      <c r="M140" s="88"/>
    </row>
    <row r="141" customFormat="false" ht="15" hidden="false" customHeight="false" outlineLevel="0" collapsed="false">
      <c r="A141" s="67"/>
      <c r="B141" s="68" t="s">
        <v>14371</v>
      </c>
      <c r="C141" s="68"/>
      <c r="D141" s="68"/>
      <c r="E141" s="68"/>
      <c r="F141" s="68" t="s">
        <v>14372</v>
      </c>
      <c r="G141" s="68"/>
      <c r="H141" s="68"/>
      <c r="I141" s="68"/>
      <c r="J141" s="68" t="s">
        <v>14373</v>
      </c>
      <c r="K141" s="68"/>
      <c r="L141" s="68"/>
      <c r="M141" s="68"/>
    </row>
    <row r="142" customFormat="false" ht="13.5" hidden="false" customHeight="false" outlineLevel="0" collapsed="false">
      <c r="A142" s="69" t="s">
        <v>47</v>
      </c>
      <c r="B142" s="70" t="s">
        <v>14364</v>
      </c>
      <c r="C142" s="71" t="s">
        <v>14360</v>
      </c>
      <c r="D142" s="72" t="s">
        <v>14366</v>
      </c>
      <c r="E142" s="72"/>
      <c r="F142" s="70" t="s">
        <v>14364</v>
      </c>
      <c r="G142" s="71" t="s">
        <v>14360</v>
      </c>
      <c r="H142" s="72" t="s">
        <v>14366</v>
      </c>
      <c r="I142" s="72"/>
      <c r="J142" s="70" t="s">
        <v>14364</v>
      </c>
      <c r="K142" s="71" t="s">
        <v>14360</v>
      </c>
      <c r="L142" s="72" t="s">
        <v>14366</v>
      </c>
      <c r="M142" s="72"/>
    </row>
    <row r="143" customFormat="false" ht="14.25" hidden="false" customHeight="false" outlineLevel="0" collapsed="false">
      <c r="A143" s="73" t="s">
        <v>14367</v>
      </c>
      <c r="B143" s="74" t="n">
        <f aca="false">B79</f>
        <v>0</v>
      </c>
      <c r="C143" s="75" t="n">
        <f aca="false">C79</f>
        <v>0</v>
      </c>
      <c r="D143" s="76" t="n">
        <f aca="false">D79</f>
        <v>0</v>
      </c>
      <c r="E143" s="76"/>
      <c r="F143" s="74" t="n">
        <f aca="false">F79</f>
        <v>0</v>
      </c>
      <c r="G143" s="75" t="n">
        <f aca="false">G79</f>
        <v>0</v>
      </c>
      <c r="H143" s="76" t="n">
        <f aca="false">H79</f>
        <v>0</v>
      </c>
      <c r="I143" s="76"/>
      <c r="J143" s="74" t="n">
        <f aca="false">J79</f>
        <v>0</v>
      </c>
      <c r="K143" s="75" t="n">
        <f aca="false">K79</f>
        <v>0</v>
      </c>
      <c r="L143" s="76" t="n">
        <f aca="false">L79</f>
        <v>0</v>
      </c>
      <c r="M143" s="76"/>
    </row>
    <row r="144" customFormat="false" ht="14.25" hidden="false" customHeight="false" outlineLevel="0" collapsed="false">
      <c r="A144" s="77" t="s">
        <v>14368</v>
      </c>
      <c r="B144" s="78" t="n">
        <f aca="false">B80</f>
        <v>0</v>
      </c>
      <c r="C144" s="79" t="n">
        <f aca="false">C80</f>
        <v>0</v>
      </c>
      <c r="D144" s="80" t="n">
        <f aca="false">D80</f>
        <v>0</v>
      </c>
      <c r="E144" s="80"/>
      <c r="F144" s="78" t="n">
        <f aca="false">F80</f>
        <v>0</v>
      </c>
      <c r="G144" s="79" t="n">
        <f aca="false">G80</f>
        <v>0</v>
      </c>
      <c r="H144" s="80" t="n">
        <f aca="false">H80</f>
        <v>0</v>
      </c>
      <c r="I144" s="80"/>
      <c r="J144" s="78" t="n">
        <f aca="false">J80</f>
        <v>0</v>
      </c>
      <c r="K144" s="79" t="n">
        <f aca="false">K80</f>
        <v>0</v>
      </c>
      <c r="L144" s="80" t="n">
        <f aca="false">L80</f>
        <v>0</v>
      </c>
      <c r="M144" s="80"/>
    </row>
    <row r="145" customFormat="false" ht="15" hidden="false" customHeight="false" outlineLevel="0" collapsed="false">
      <c r="A145" s="81" t="s">
        <v>14369</v>
      </c>
      <c r="B145" s="82" t="n">
        <f aca="false">B81</f>
        <v>0</v>
      </c>
      <c r="C145" s="83" t="n">
        <f aca="false">C81</f>
        <v>0</v>
      </c>
      <c r="D145" s="84" t="n">
        <f aca="false">D81</f>
        <v>0</v>
      </c>
      <c r="E145" s="84"/>
      <c r="F145" s="82" t="n">
        <f aca="false">F81</f>
        <v>0</v>
      </c>
      <c r="G145" s="83" t="n">
        <f aca="false">G81</f>
        <v>0</v>
      </c>
      <c r="H145" s="84" t="n">
        <f aca="false">H81</f>
        <v>0</v>
      </c>
      <c r="I145" s="84"/>
      <c r="J145" s="82" t="n">
        <f aca="false">J81</f>
        <v>0</v>
      </c>
      <c r="K145" s="83" t="n">
        <f aca="false">K81</f>
        <v>0</v>
      </c>
      <c r="L145" s="84" t="n">
        <f aca="false">L81</f>
        <v>0</v>
      </c>
      <c r="M145" s="84"/>
    </row>
    <row r="146" customFormat="false" ht="15" hidden="false" customHeight="false" outlineLevel="0" collapsed="false">
      <c r="A146" s="85" t="s">
        <v>14370</v>
      </c>
      <c r="B146" s="86"/>
      <c r="C146" s="87"/>
      <c r="D146" s="88"/>
      <c r="E146" s="88"/>
      <c r="F146" s="86"/>
      <c r="G146" s="87"/>
      <c r="H146" s="88"/>
      <c r="I146" s="88"/>
      <c r="J146" s="86"/>
      <c r="K146" s="87"/>
      <c r="L146" s="88"/>
      <c r="M146" s="88"/>
    </row>
    <row r="147" customFormat="false" ht="13.5" hidden="false" customHeight="false" outlineLevel="0" collapsed="false">
      <c r="A147" s="89"/>
      <c r="B147" s="89"/>
      <c r="C147" s="89"/>
      <c r="D147" s="89"/>
      <c r="E147" s="89"/>
      <c r="F147" s="89"/>
      <c r="G147" s="89"/>
      <c r="H147" s="89"/>
      <c r="I147" s="89"/>
      <c r="J147" s="89"/>
      <c r="K147" s="89"/>
      <c r="L147" s="89"/>
      <c r="M147" s="89"/>
    </row>
    <row r="148" customFormat="false" ht="15" hidden="false" customHeight="false" outlineLevel="0" collapsed="false">
      <c r="A148" s="90" t="s">
        <v>14374</v>
      </c>
      <c r="B148" s="90"/>
      <c r="C148" s="90"/>
      <c r="D148" s="90"/>
      <c r="E148" s="90"/>
      <c r="F148" s="90"/>
      <c r="G148" s="90"/>
      <c r="H148" s="90"/>
      <c r="I148" s="90"/>
      <c r="J148" s="90"/>
      <c r="K148" s="90"/>
      <c r="L148" s="90"/>
      <c r="M148" s="90"/>
    </row>
    <row r="149" customFormat="false" ht="15" hidden="false" customHeight="true" outlineLevel="0" collapsed="false">
      <c r="A149" s="91" t="s">
        <v>14375</v>
      </c>
      <c r="B149" s="91"/>
      <c r="C149" s="91"/>
      <c r="D149" s="92"/>
      <c r="E149" s="92"/>
      <c r="F149" s="92"/>
      <c r="G149" s="92"/>
      <c r="H149" s="92"/>
      <c r="I149" s="93"/>
      <c r="J149" s="93"/>
      <c r="K149" s="93"/>
      <c r="L149" s="93"/>
      <c r="M149" s="93"/>
    </row>
    <row r="150" customFormat="false" ht="15" hidden="false" customHeight="true" outlineLevel="0" collapsed="false">
      <c r="A150" s="94" t="s">
        <v>14350</v>
      </c>
      <c r="B150" s="94"/>
      <c r="C150" s="94"/>
      <c r="D150" s="95"/>
      <c r="E150" s="95"/>
      <c r="F150" s="95"/>
      <c r="G150" s="95"/>
      <c r="H150" s="95"/>
      <c r="I150" s="96"/>
      <c r="J150" s="96"/>
      <c r="K150" s="96"/>
      <c r="L150" s="96"/>
      <c r="M150" s="96"/>
    </row>
    <row r="151" customFormat="false" ht="14.25" hidden="false" customHeight="false" outlineLevel="0" collapsed="false">
      <c r="A151" s="94" t="s">
        <v>1468</v>
      </c>
      <c r="B151" s="94"/>
      <c r="C151" s="94"/>
      <c r="D151" s="97"/>
      <c r="E151" s="97"/>
      <c r="F151" s="97"/>
      <c r="G151" s="97"/>
      <c r="H151" s="97"/>
      <c r="I151" s="98"/>
      <c r="J151" s="98"/>
      <c r="K151" s="98"/>
      <c r="L151" s="98"/>
      <c r="M151" s="98"/>
    </row>
    <row r="152" customFormat="false" ht="14.25" hidden="false" customHeight="false" outlineLevel="0" collapsed="false">
      <c r="A152" s="94" t="s">
        <v>14376</v>
      </c>
      <c r="B152" s="94"/>
      <c r="C152" s="94"/>
      <c r="D152" s="97"/>
      <c r="E152" s="97"/>
      <c r="F152" s="97"/>
      <c r="G152" s="97"/>
      <c r="H152" s="97"/>
      <c r="I152" s="98"/>
      <c r="J152" s="98"/>
      <c r="K152" s="98"/>
      <c r="L152" s="98"/>
      <c r="M152" s="98"/>
    </row>
    <row r="153" customFormat="false" ht="14.25" hidden="false" customHeight="false" outlineLevel="0" collapsed="false">
      <c r="A153" s="94" t="s">
        <v>14377</v>
      </c>
      <c r="B153" s="94"/>
      <c r="C153" s="94"/>
      <c r="D153" s="97"/>
      <c r="E153" s="97"/>
      <c r="F153" s="97"/>
      <c r="G153" s="97"/>
      <c r="H153" s="97"/>
      <c r="I153" s="98"/>
      <c r="J153" s="98"/>
      <c r="K153" s="98"/>
      <c r="L153" s="98"/>
      <c r="M153" s="98"/>
    </row>
    <row r="154" customFormat="false" ht="14.25" hidden="false" customHeight="false" outlineLevel="0" collapsed="false">
      <c r="A154" s="94" t="s">
        <v>14378</v>
      </c>
      <c r="B154" s="94"/>
      <c r="C154" s="94"/>
      <c r="D154" s="97"/>
      <c r="E154" s="97"/>
      <c r="F154" s="97"/>
      <c r="G154" s="97"/>
      <c r="H154" s="97"/>
      <c r="I154" s="98"/>
      <c r="J154" s="98"/>
      <c r="K154" s="98"/>
      <c r="L154" s="98"/>
      <c r="M154" s="98"/>
    </row>
    <row r="155" customFormat="false" ht="14.25" hidden="false" customHeight="false" outlineLevel="0" collapsed="false">
      <c r="A155" s="94" t="s">
        <v>1472</v>
      </c>
      <c r="B155" s="94"/>
      <c r="C155" s="94"/>
      <c r="D155" s="99"/>
      <c r="E155" s="99"/>
      <c r="F155" s="99"/>
      <c r="G155" s="99"/>
      <c r="H155" s="99"/>
      <c r="I155" s="100"/>
      <c r="J155" s="100"/>
      <c r="K155" s="100"/>
      <c r="L155" s="100"/>
      <c r="M155" s="100"/>
    </row>
    <row r="156" customFormat="false" ht="14.25" hidden="false" customHeight="false" outlineLevel="0" collapsed="false">
      <c r="A156" s="94" t="s">
        <v>1473</v>
      </c>
      <c r="B156" s="94"/>
      <c r="C156" s="94"/>
      <c r="D156" s="99"/>
      <c r="E156" s="99"/>
      <c r="F156" s="99"/>
      <c r="G156" s="99"/>
      <c r="H156" s="99"/>
      <c r="I156" s="100"/>
      <c r="J156" s="100"/>
      <c r="K156" s="100"/>
      <c r="L156" s="100"/>
      <c r="M156" s="100"/>
    </row>
    <row r="157" customFormat="false" ht="14.25" hidden="false" customHeight="false" outlineLevel="0" collapsed="false">
      <c r="A157" s="94" t="s">
        <v>1474</v>
      </c>
      <c r="B157" s="94"/>
      <c r="C157" s="94"/>
      <c r="D157" s="101"/>
      <c r="E157" s="101"/>
      <c r="F157" s="101"/>
      <c r="G157" s="101"/>
      <c r="H157" s="101"/>
      <c r="I157" s="102"/>
      <c r="J157" s="102"/>
      <c r="K157" s="102"/>
      <c r="L157" s="102"/>
      <c r="M157" s="102"/>
    </row>
    <row r="158" customFormat="false" ht="14.25" hidden="false" customHeight="false" outlineLevel="0" collapsed="false">
      <c r="A158" s="94" t="s">
        <v>1475</v>
      </c>
      <c r="B158" s="94"/>
      <c r="C158" s="94"/>
      <c r="D158" s="101"/>
      <c r="E158" s="101"/>
      <c r="F158" s="101"/>
      <c r="G158" s="101"/>
      <c r="H158" s="101"/>
      <c r="I158" s="102"/>
      <c r="J158" s="102"/>
      <c r="K158" s="102"/>
      <c r="L158" s="102"/>
      <c r="M158" s="102"/>
    </row>
    <row r="159" customFormat="false" ht="14.25" hidden="false" customHeight="false" outlineLevel="0" collapsed="false">
      <c r="A159" s="94" t="s">
        <v>1477</v>
      </c>
      <c r="B159" s="94"/>
      <c r="C159" s="94"/>
      <c r="D159" s="101"/>
      <c r="E159" s="101"/>
      <c r="F159" s="101"/>
      <c r="G159" s="101"/>
      <c r="H159" s="101"/>
      <c r="I159" s="102"/>
      <c r="J159" s="102"/>
      <c r="K159" s="102"/>
      <c r="L159" s="102"/>
      <c r="M159" s="102"/>
    </row>
    <row r="160" customFormat="false" ht="15.75" hidden="false" customHeight="true" outlineLevel="0" collapsed="false">
      <c r="A160" s="94" t="s">
        <v>14379</v>
      </c>
      <c r="B160" s="94"/>
      <c r="C160" s="94"/>
      <c r="D160" s="103"/>
      <c r="E160" s="103"/>
      <c r="F160" s="103"/>
      <c r="G160" s="103"/>
      <c r="H160" s="103"/>
      <c r="I160" s="104"/>
      <c r="J160" s="104"/>
      <c r="K160" s="104"/>
      <c r="L160" s="104"/>
      <c r="M160" s="104"/>
    </row>
    <row r="161" customFormat="false" ht="15" hidden="false" customHeight="false" outlineLevel="0" collapsed="false">
      <c r="A161" s="105" t="s">
        <v>14380</v>
      </c>
      <c r="B161" s="105"/>
      <c r="C161" s="105"/>
      <c r="D161" s="106"/>
      <c r="E161" s="106"/>
      <c r="F161" s="106"/>
      <c r="G161" s="106"/>
      <c r="H161" s="106"/>
      <c r="I161" s="107"/>
      <c r="J161" s="107"/>
      <c r="K161" s="107"/>
      <c r="L161" s="107"/>
      <c r="M161" s="107"/>
    </row>
    <row r="162" customFormat="false" ht="15" hidden="false" customHeight="false" outlineLevel="0" collapsed="false">
      <c r="A162" s="108"/>
      <c r="B162" s="109"/>
      <c r="C162" s="109"/>
      <c r="D162" s="110"/>
      <c r="E162" s="110"/>
      <c r="F162" s="110"/>
      <c r="G162" s="110"/>
      <c r="H162" s="110"/>
      <c r="I162" s="110"/>
      <c r="J162" s="110"/>
      <c r="K162" s="110"/>
      <c r="L162" s="110"/>
      <c r="M162" s="111"/>
    </row>
    <row r="163" customFormat="false" ht="15" hidden="false" customHeight="false" outlineLevel="0" collapsed="false">
      <c r="A163" s="66" t="s">
        <v>14381</v>
      </c>
      <c r="B163" s="66"/>
      <c r="C163" s="66"/>
      <c r="D163" s="66"/>
      <c r="E163" s="66"/>
      <c r="F163" s="66"/>
      <c r="G163" s="66"/>
      <c r="H163" s="66"/>
      <c r="I163" s="66"/>
      <c r="J163" s="66"/>
      <c r="K163" s="66"/>
      <c r="L163" s="66"/>
      <c r="M163" s="66"/>
    </row>
    <row r="164" customFormat="false" ht="14.25" hidden="false" customHeight="false" outlineLevel="0" collapsed="false">
      <c r="A164" s="112" t="s">
        <v>14375</v>
      </c>
      <c r="B164" s="112"/>
      <c r="C164" s="112"/>
      <c r="D164" s="113"/>
      <c r="E164" s="113"/>
      <c r="F164" s="113"/>
      <c r="G164" s="113"/>
      <c r="H164" s="113"/>
      <c r="I164" s="113"/>
      <c r="J164" s="113"/>
      <c r="K164" s="113"/>
      <c r="L164" s="113"/>
      <c r="M164" s="113"/>
    </row>
    <row r="165" customFormat="false" ht="14.25" hidden="false" customHeight="false" outlineLevel="0" collapsed="false">
      <c r="A165" s="114" t="s">
        <v>14350</v>
      </c>
      <c r="B165" s="114"/>
      <c r="C165" s="114"/>
      <c r="D165" s="104"/>
      <c r="E165" s="104"/>
      <c r="F165" s="104"/>
      <c r="G165" s="104"/>
      <c r="H165" s="104"/>
      <c r="I165" s="104"/>
      <c r="J165" s="104"/>
      <c r="K165" s="104"/>
      <c r="L165" s="104"/>
      <c r="M165" s="104"/>
    </row>
    <row r="166" customFormat="false" ht="14.25" hidden="false" customHeight="false" outlineLevel="0" collapsed="false">
      <c r="A166" s="114" t="s">
        <v>1468</v>
      </c>
      <c r="B166" s="114"/>
      <c r="C166" s="114"/>
      <c r="D166" s="104"/>
      <c r="E166" s="104"/>
      <c r="F166" s="104"/>
      <c r="G166" s="104"/>
      <c r="H166" s="104"/>
      <c r="I166" s="104"/>
      <c r="J166" s="104"/>
      <c r="K166" s="104"/>
      <c r="L166" s="104"/>
      <c r="M166" s="104"/>
    </row>
    <row r="167" customFormat="false" ht="14.25" hidden="false" customHeight="false" outlineLevel="0" collapsed="false">
      <c r="A167" s="114" t="s">
        <v>14376</v>
      </c>
      <c r="B167" s="114"/>
      <c r="C167" s="114"/>
      <c r="D167" s="98"/>
      <c r="E167" s="98"/>
      <c r="F167" s="98"/>
      <c r="G167" s="98"/>
      <c r="H167" s="98"/>
      <c r="I167" s="98"/>
      <c r="J167" s="98"/>
      <c r="K167" s="98"/>
      <c r="L167" s="98"/>
      <c r="M167" s="98"/>
    </row>
    <row r="168" customFormat="false" ht="14.25" hidden="false" customHeight="false" outlineLevel="0" collapsed="false">
      <c r="A168" s="114" t="s">
        <v>14377</v>
      </c>
      <c r="B168" s="114"/>
      <c r="C168" s="114"/>
      <c r="D168" s="98"/>
      <c r="E168" s="98"/>
      <c r="F168" s="98"/>
      <c r="G168" s="98"/>
      <c r="H168" s="98"/>
      <c r="I168" s="98"/>
      <c r="J168" s="98"/>
      <c r="K168" s="98"/>
      <c r="L168" s="98"/>
      <c r="M168" s="98"/>
    </row>
    <row r="169" customFormat="false" ht="14.25" hidden="false" customHeight="false" outlineLevel="0" collapsed="false">
      <c r="A169" s="94" t="s">
        <v>14378</v>
      </c>
      <c r="B169" s="94"/>
      <c r="C169" s="94"/>
      <c r="D169" s="97"/>
      <c r="E169" s="97"/>
      <c r="F169" s="97"/>
      <c r="G169" s="97"/>
      <c r="H169" s="97"/>
      <c r="I169" s="98"/>
      <c r="J169" s="98"/>
      <c r="K169" s="98"/>
      <c r="L169" s="98"/>
      <c r="M169" s="98"/>
    </row>
    <row r="170" customFormat="false" ht="14.25" hidden="false" customHeight="false" outlineLevel="0" collapsed="false">
      <c r="A170" s="114" t="s">
        <v>1472</v>
      </c>
      <c r="B170" s="114"/>
      <c r="C170" s="114"/>
      <c r="D170" s="102"/>
      <c r="E170" s="102"/>
      <c r="F170" s="102"/>
      <c r="G170" s="102"/>
      <c r="H170" s="102"/>
      <c r="I170" s="102"/>
      <c r="J170" s="102"/>
      <c r="K170" s="102"/>
      <c r="L170" s="102"/>
      <c r="M170" s="102"/>
    </row>
    <row r="171" customFormat="false" ht="14.25" hidden="false" customHeight="false" outlineLevel="0" collapsed="false">
      <c r="A171" s="114" t="s">
        <v>1473</v>
      </c>
      <c r="B171" s="114"/>
      <c r="C171" s="114"/>
      <c r="D171" s="115"/>
      <c r="E171" s="115"/>
      <c r="F171" s="115"/>
      <c r="G171" s="115"/>
      <c r="H171" s="115"/>
      <c r="I171" s="115"/>
      <c r="J171" s="115"/>
      <c r="K171" s="115"/>
      <c r="L171" s="115"/>
      <c r="M171" s="115"/>
    </row>
    <row r="172" customFormat="false" ht="14.25" hidden="false" customHeight="false" outlineLevel="0" collapsed="false">
      <c r="A172" s="114" t="s">
        <v>1474</v>
      </c>
      <c r="B172" s="114"/>
      <c r="C172" s="114"/>
      <c r="D172" s="115"/>
      <c r="E172" s="115"/>
      <c r="F172" s="115"/>
      <c r="G172" s="115"/>
      <c r="H172" s="115"/>
      <c r="I172" s="116"/>
      <c r="J172" s="116"/>
      <c r="K172" s="116"/>
      <c r="L172" s="116"/>
      <c r="M172" s="116"/>
    </row>
    <row r="173" customFormat="false" ht="14.25" hidden="false" customHeight="false" outlineLevel="0" collapsed="false">
      <c r="A173" s="114" t="s">
        <v>1475</v>
      </c>
      <c r="B173" s="114"/>
      <c r="C173" s="114"/>
      <c r="D173" s="115"/>
      <c r="E173" s="115"/>
      <c r="F173" s="115"/>
      <c r="G173" s="115"/>
      <c r="H173" s="115"/>
      <c r="I173" s="116"/>
      <c r="J173" s="116"/>
      <c r="K173" s="116"/>
      <c r="L173" s="116"/>
      <c r="M173" s="116"/>
    </row>
    <row r="174" customFormat="false" ht="14.25" hidden="false" customHeight="false" outlineLevel="0" collapsed="false">
      <c r="A174" s="114" t="s">
        <v>1477</v>
      </c>
      <c r="B174" s="114"/>
      <c r="C174" s="114"/>
      <c r="D174" s="115"/>
      <c r="E174" s="115"/>
      <c r="F174" s="115"/>
      <c r="G174" s="115"/>
      <c r="H174" s="115"/>
      <c r="I174" s="116"/>
      <c r="J174" s="116"/>
      <c r="K174" s="116"/>
      <c r="L174" s="116"/>
      <c r="M174" s="116"/>
    </row>
    <row r="175" customFormat="false" ht="14.25" hidden="false" customHeight="false" outlineLevel="0" collapsed="false">
      <c r="A175" s="114" t="s">
        <v>14379</v>
      </c>
      <c r="B175" s="114"/>
      <c r="C175" s="114"/>
      <c r="D175" s="103"/>
      <c r="E175" s="117"/>
      <c r="F175" s="117"/>
      <c r="G175" s="117"/>
      <c r="H175" s="118"/>
      <c r="I175" s="103"/>
      <c r="J175" s="117"/>
      <c r="K175" s="117"/>
      <c r="L175" s="117"/>
      <c r="M175" s="118"/>
    </row>
    <row r="176" customFormat="false" ht="15" hidden="false" customHeight="false" outlineLevel="0" collapsed="false">
      <c r="A176" s="119" t="s">
        <v>14380</v>
      </c>
      <c r="B176" s="119"/>
      <c r="C176" s="119"/>
      <c r="D176" s="106"/>
      <c r="E176" s="120"/>
      <c r="F176" s="120"/>
      <c r="G176" s="120"/>
      <c r="H176" s="121"/>
      <c r="I176" s="106"/>
      <c r="J176" s="120"/>
      <c r="K176" s="120"/>
      <c r="L176" s="120"/>
      <c r="M176" s="121"/>
    </row>
    <row r="177" customFormat="false" ht="15" hidden="false" customHeight="false" outlineLevel="0" collapsed="false">
      <c r="A177" s="108"/>
      <c r="B177" s="109"/>
      <c r="C177" s="109"/>
      <c r="D177" s="110"/>
      <c r="E177" s="110"/>
      <c r="F177" s="110"/>
      <c r="G177" s="110"/>
      <c r="H177" s="110"/>
      <c r="I177" s="110"/>
      <c r="J177" s="110"/>
      <c r="K177" s="110"/>
      <c r="L177" s="110"/>
      <c r="M177" s="111"/>
    </row>
    <row r="178" customFormat="false" ht="15" hidden="false" customHeight="false" outlineLevel="0" collapsed="false">
      <c r="A178" s="66" t="s">
        <v>14382</v>
      </c>
      <c r="B178" s="66"/>
      <c r="C178" s="66"/>
      <c r="D178" s="66"/>
      <c r="E178" s="66"/>
      <c r="F178" s="66"/>
      <c r="G178" s="66"/>
      <c r="H178" s="66"/>
      <c r="I178" s="66"/>
      <c r="J178" s="66"/>
      <c r="K178" s="66"/>
      <c r="L178" s="66"/>
      <c r="M178" s="66"/>
    </row>
    <row r="179" customFormat="false" ht="14.25" hidden="false" customHeight="false" outlineLevel="0" collapsed="false">
      <c r="A179" s="112" t="s">
        <v>14375</v>
      </c>
      <c r="B179" s="112"/>
      <c r="C179" s="112"/>
      <c r="D179" s="113"/>
      <c r="E179" s="113"/>
      <c r="F179" s="113"/>
      <c r="G179" s="113"/>
      <c r="H179" s="113"/>
      <c r="I179" s="113"/>
      <c r="J179" s="113"/>
      <c r="K179" s="113"/>
      <c r="L179" s="113"/>
      <c r="M179" s="113"/>
    </row>
    <row r="180" customFormat="false" ht="14.25" hidden="false" customHeight="false" outlineLevel="0" collapsed="false">
      <c r="A180" s="114" t="s">
        <v>14350</v>
      </c>
      <c r="B180" s="114"/>
      <c r="C180" s="114"/>
      <c r="D180" s="104"/>
      <c r="E180" s="104"/>
      <c r="F180" s="104"/>
      <c r="G180" s="104"/>
      <c r="H180" s="104"/>
      <c r="I180" s="104"/>
      <c r="J180" s="104"/>
      <c r="K180" s="104"/>
      <c r="L180" s="104"/>
      <c r="M180" s="104"/>
    </row>
    <row r="181" customFormat="false" ht="14.25" hidden="false" customHeight="false" outlineLevel="0" collapsed="false">
      <c r="A181" s="114" t="s">
        <v>1468</v>
      </c>
      <c r="B181" s="114"/>
      <c r="C181" s="114"/>
      <c r="D181" s="104"/>
      <c r="E181" s="104"/>
      <c r="F181" s="104"/>
      <c r="G181" s="104"/>
      <c r="H181" s="104"/>
      <c r="I181" s="104"/>
      <c r="J181" s="104"/>
      <c r="K181" s="104"/>
      <c r="L181" s="104"/>
      <c r="M181" s="104"/>
    </row>
    <row r="182" customFormat="false" ht="14.25" hidden="false" customHeight="false" outlineLevel="0" collapsed="false">
      <c r="A182" s="114" t="s">
        <v>14376</v>
      </c>
      <c r="B182" s="114"/>
      <c r="C182" s="114"/>
      <c r="D182" s="98"/>
      <c r="E182" s="98"/>
      <c r="F182" s="98"/>
      <c r="G182" s="98"/>
      <c r="H182" s="98"/>
      <c r="I182" s="98"/>
      <c r="J182" s="98"/>
      <c r="K182" s="98"/>
      <c r="L182" s="98"/>
      <c r="M182" s="98"/>
    </row>
    <row r="183" customFormat="false" ht="14.25" hidden="false" customHeight="false" outlineLevel="0" collapsed="false">
      <c r="A183" s="114" t="s">
        <v>14377</v>
      </c>
      <c r="B183" s="114"/>
      <c r="C183" s="114"/>
      <c r="D183" s="98"/>
      <c r="E183" s="98"/>
      <c r="F183" s="98"/>
      <c r="G183" s="98"/>
      <c r="H183" s="98"/>
      <c r="I183" s="98"/>
      <c r="J183" s="98"/>
      <c r="K183" s="98"/>
      <c r="L183" s="98"/>
      <c r="M183" s="98"/>
    </row>
    <row r="184" customFormat="false" ht="14.25" hidden="false" customHeight="false" outlineLevel="0" collapsed="false">
      <c r="A184" s="94" t="s">
        <v>14378</v>
      </c>
      <c r="B184" s="94"/>
      <c r="C184" s="94"/>
      <c r="D184" s="97"/>
      <c r="E184" s="97"/>
      <c r="F184" s="97"/>
      <c r="G184" s="97"/>
      <c r="H184" s="97"/>
      <c r="I184" s="98"/>
      <c r="J184" s="98"/>
      <c r="K184" s="98"/>
      <c r="L184" s="98"/>
      <c r="M184" s="98"/>
    </row>
    <row r="185" customFormat="false" ht="14.25" hidden="false" customHeight="false" outlineLevel="0" collapsed="false">
      <c r="A185" s="114" t="s">
        <v>1472</v>
      </c>
      <c r="B185" s="114"/>
      <c r="C185" s="114"/>
      <c r="D185" s="102"/>
      <c r="E185" s="102"/>
      <c r="F185" s="102"/>
      <c r="G185" s="102"/>
      <c r="H185" s="102"/>
      <c r="I185" s="102"/>
      <c r="J185" s="102"/>
      <c r="K185" s="102"/>
      <c r="L185" s="102"/>
      <c r="M185" s="102"/>
    </row>
    <row r="186" customFormat="false" ht="14.25" hidden="false" customHeight="false" outlineLevel="0" collapsed="false">
      <c r="A186" s="114" t="s">
        <v>1473</v>
      </c>
      <c r="B186" s="114"/>
      <c r="C186" s="114"/>
      <c r="D186" s="115"/>
      <c r="E186" s="115"/>
      <c r="F186" s="115"/>
      <c r="G186" s="115"/>
      <c r="H186" s="115"/>
      <c r="I186" s="115"/>
      <c r="J186" s="115"/>
      <c r="K186" s="115"/>
      <c r="L186" s="115"/>
      <c r="M186" s="115"/>
    </row>
    <row r="187" customFormat="false" ht="14.25" hidden="false" customHeight="false" outlineLevel="0" collapsed="false">
      <c r="A187" s="114" t="s">
        <v>1474</v>
      </c>
      <c r="B187" s="114"/>
      <c r="C187" s="114"/>
      <c r="D187" s="115"/>
      <c r="E187" s="115"/>
      <c r="F187" s="115"/>
      <c r="G187" s="115"/>
      <c r="H187" s="115"/>
      <c r="I187" s="116"/>
      <c r="J187" s="116"/>
      <c r="K187" s="116"/>
      <c r="L187" s="116"/>
      <c r="M187" s="116"/>
    </row>
    <row r="188" customFormat="false" ht="14.25" hidden="false" customHeight="false" outlineLevel="0" collapsed="false">
      <c r="A188" s="114" t="s">
        <v>1475</v>
      </c>
      <c r="B188" s="114"/>
      <c r="C188" s="114"/>
      <c r="D188" s="115"/>
      <c r="E188" s="115"/>
      <c r="F188" s="115"/>
      <c r="G188" s="115"/>
      <c r="H188" s="115"/>
      <c r="I188" s="116"/>
      <c r="J188" s="116"/>
      <c r="K188" s="116"/>
      <c r="L188" s="116"/>
      <c r="M188" s="116"/>
    </row>
    <row r="189" customFormat="false" ht="14.25" hidden="false" customHeight="false" outlineLevel="0" collapsed="false">
      <c r="A189" s="114" t="s">
        <v>1477</v>
      </c>
      <c r="B189" s="114"/>
      <c r="C189" s="114"/>
      <c r="D189" s="115"/>
      <c r="E189" s="115"/>
      <c r="F189" s="115"/>
      <c r="G189" s="115"/>
      <c r="H189" s="115"/>
      <c r="I189" s="116"/>
      <c r="J189" s="116"/>
      <c r="K189" s="116"/>
      <c r="L189" s="116"/>
      <c r="M189" s="116"/>
    </row>
    <row r="190" customFormat="false" ht="14.25" hidden="false" customHeight="false" outlineLevel="0" collapsed="false">
      <c r="A190" s="114" t="s">
        <v>14379</v>
      </c>
      <c r="B190" s="114"/>
      <c r="C190" s="114"/>
      <c r="D190" s="103"/>
      <c r="E190" s="117"/>
      <c r="F190" s="117"/>
      <c r="G190" s="117"/>
      <c r="H190" s="118"/>
      <c r="I190" s="103"/>
      <c r="J190" s="117"/>
      <c r="K190" s="117"/>
      <c r="L190" s="117"/>
      <c r="M190" s="118"/>
    </row>
    <row r="191" customFormat="false" ht="15" hidden="false" customHeight="false" outlineLevel="0" collapsed="false">
      <c r="A191" s="119" t="s">
        <v>14380</v>
      </c>
      <c r="B191" s="119"/>
      <c r="C191" s="119"/>
      <c r="D191" s="106"/>
      <c r="E191" s="120"/>
      <c r="F191" s="120"/>
      <c r="G191" s="120"/>
      <c r="H191" s="121"/>
      <c r="I191" s="106"/>
      <c r="J191" s="120"/>
      <c r="K191" s="120"/>
      <c r="L191" s="120"/>
      <c r="M191" s="121"/>
    </row>
    <row r="192" customFormat="false" ht="13.5" hidden="false" customHeight="false" outlineLevel="0" collapsed="false">
      <c r="A192" s="122"/>
      <c r="B192" s="122"/>
      <c r="C192" s="122"/>
      <c r="D192" s="122"/>
      <c r="E192" s="122"/>
      <c r="F192" s="122"/>
      <c r="G192" s="122"/>
      <c r="H192" s="122"/>
      <c r="I192" s="122"/>
      <c r="J192" s="122"/>
      <c r="K192" s="122"/>
      <c r="L192" s="122"/>
      <c r="M192" s="122"/>
    </row>
  </sheetData>
  <mergeCells count="462">
    <mergeCell ref="A1:C2"/>
    <mergeCell ref="D1:K5"/>
    <mergeCell ref="A3:C5"/>
    <mergeCell ref="A6:M6"/>
    <mergeCell ref="B7:E7"/>
    <mergeCell ref="F7:I7"/>
    <mergeCell ref="J7:M7"/>
    <mergeCell ref="D8:E8"/>
    <mergeCell ref="H8:I8"/>
    <mergeCell ref="L8:M8"/>
    <mergeCell ref="D9:E9"/>
    <mergeCell ref="H9:I9"/>
    <mergeCell ref="L9:M9"/>
    <mergeCell ref="D10:E10"/>
    <mergeCell ref="H10:I10"/>
    <mergeCell ref="L10:M10"/>
    <mergeCell ref="D11:E11"/>
    <mergeCell ref="H11:I11"/>
    <mergeCell ref="L11:M11"/>
    <mergeCell ref="D12:E12"/>
    <mergeCell ref="H12:I12"/>
    <mergeCell ref="L12:M12"/>
    <mergeCell ref="B13:E13"/>
    <mergeCell ref="F13:I13"/>
    <mergeCell ref="J13:M13"/>
    <mergeCell ref="D14:E14"/>
    <mergeCell ref="H14:I14"/>
    <mergeCell ref="L14:M14"/>
    <mergeCell ref="D15:E15"/>
    <mergeCell ref="H15:I15"/>
    <mergeCell ref="L15:M15"/>
    <mergeCell ref="D16:E16"/>
    <mergeCell ref="H16:I16"/>
    <mergeCell ref="L16:M16"/>
    <mergeCell ref="D17:E17"/>
    <mergeCell ref="H17:I17"/>
    <mergeCell ref="L17:M17"/>
    <mergeCell ref="D18:E18"/>
    <mergeCell ref="H18:I18"/>
    <mergeCell ref="L18:M18"/>
    <mergeCell ref="A19:M19"/>
    <mergeCell ref="A20:M20"/>
    <mergeCell ref="A21:C21"/>
    <mergeCell ref="D21:H21"/>
    <mergeCell ref="I21:M21"/>
    <mergeCell ref="A22:C22"/>
    <mergeCell ref="D22:H22"/>
    <mergeCell ref="I22:M22"/>
    <mergeCell ref="A23:C23"/>
    <mergeCell ref="D23:H23"/>
    <mergeCell ref="I23:M23"/>
    <mergeCell ref="A24:C24"/>
    <mergeCell ref="D24:H24"/>
    <mergeCell ref="I24:M24"/>
    <mergeCell ref="A25:C25"/>
    <mergeCell ref="D25:H25"/>
    <mergeCell ref="I25:M25"/>
    <mergeCell ref="A26:C26"/>
    <mergeCell ref="D26:H26"/>
    <mergeCell ref="I26:M26"/>
    <mergeCell ref="A27:C27"/>
    <mergeCell ref="D27:H27"/>
    <mergeCell ref="I27:M27"/>
    <mergeCell ref="A28:C28"/>
    <mergeCell ref="D28:H28"/>
    <mergeCell ref="I28:M28"/>
    <mergeCell ref="A29:C29"/>
    <mergeCell ref="D29:H29"/>
    <mergeCell ref="I29:M29"/>
    <mergeCell ref="A30:C30"/>
    <mergeCell ref="D30:H30"/>
    <mergeCell ref="I30:M30"/>
    <mergeCell ref="A31:C31"/>
    <mergeCell ref="D31:H31"/>
    <mergeCell ref="I31:M31"/>
    <mergeCell ref="A32:C32"/>
    <mergeCell ref="D32:H32"/>
    <mergeCell ref="I32:M32"/>
    <mergeCell ref="A33:C33"/>
    <mergeCell ref="D33:H33"/>
    <mergeCell ref="I33:M33"/>
    <mergeCell ref="A35:M35"/>
    <mergeCell ref="A36:C36"/>
    <mergeCell ref="D36:H36"/>
    <mergeCell ref="I36:M36"/>
    <mergeCell ref="A37:C37"/>
    <mergeCell ref="D37:H37"/>
    <mergeCell ref="I37:M37"/>
    <mergeCell ref="A38:C38"/>
    <mergeCell ref="D38:H38"/>
    <mergeCell ref="I38:M38"/>
    <mergeCell ref="A39:C39"/>
    <mergeCell ref="D39:H39"/>
    <mergeCell ref="I39:M39"/>
    <mergeCell ref="A40:C40"/>
    <mergeCell ref="D40:H40"/>
    <mergeCell ref="I40:M40"/>
    <mergeCell ref="A41:C41"/>
    <mergeCell ref="D41:H41"/>
    <mergeCell ref="I41:M41"/>
    <mergeCell ref="A42:C42"/>
    <mergeCell ref="D42:H42"/>
    <mergeCell ref="I42:M42"/>
    <mergeCell ref="A43:C43"/>
    <mergeCell ref="D43:H43"/>
    <mergeCell ref="I43:M43"/>
    <mergeCell ref="A44:C44"/>
    <mergeCell ref="D44:H44"/>
    <mergeCell ref="I44:M44"/>
    <mergeCell ref="A45:C45"/>
    <mergeCell ref="D45:H45"/>
    <mergeCell ref="I45:M45"/>
    <mergeCell ref="A46:C46"/>
    <mergeCell ref="D46:H46"/>
    <mergeCell ref="I46:M46"/>
    <mergeCell ref="A47:C47"/>
    <mergeCell ref="A48:C48"/>
    <mergeCell ref="A50:M50"/>
    <mergeCell ref="A51:C51"/>
    <mergeCell ref="D51:H51"/>
    <mergeCell ref="I51:M51"/>
    <mergeCell ref="A52:C52"/>
    <mergeCell ref="D52:H52"/>
    <mergeCell ref="I52:M52"/>
    <mergeCell ref="A53:C53"/>
    <mergeCell ref="D53:H53"/>
    <mergeCell ref="I53:M53"/>
    <mergeCell ref="A54:C54"/>
    <mergeCell ref="D54:H54"/>
    <mergeCell ref="I54:M54"/>
    <mergeCell ref="A55:C55"/>
    <mergeCell ref="D55:H55"/>
    <mergeCell ref="I55:M55"/>
    <mergeCell ref="A56:C56"/>
    <mergeCell ref="D56:H56"/>
    <mergeCell ref="I56:M56"/>
    <mergeCell ref="A57:C57"/>
    <mergeCell ref="D57:H57"/>
    <mergeCell ref="I57:M57"/>
    <mergeCell ref="A58:C58"/>
    <mergeCell ref="D58:H58"/>
    <mergeCell ref="I58:M58"/>
    <mergeCell ref="A59:C59"/>
    <mergeCell ref="D59:H59"/>
    <mergeCell ref="I59:M59"/>
    <mergeCell ref="A60:C60"/>
    <mergeCell ref="D60:H60"/>
    <mergeCell ref="I60:M60"/>
    <mergeCell ref="A61:C61"/>
    <mergeCell ref="D61:H61"/>
    <mergeCell ref="I61:M61"/>
    <mergeCell ref="A62:C62"/>
    <mergeCell ref="A63:C63"/>
    <mergeCell ref="A64:M64"/>
    <mergeCell ref="A65:C66"/>
    <mergeCell ref="D65:K69"/>
    <mergeCell ref="A67:C69"/>
    <mergeCell ref="A70:M70"/>
    <mergeCell ref="B71:E71"/>
    <mergeCell ref="F71:I71"/>
    <mergeCell ref="J71:M71"/>
    <mergeCell ref="D72:E72"/>
    <mergeCell ref="H72:I72"/>
    <mergeCell ref="L72:M72"/>
    <mergeCell ref="D73:E73"/>
    <mergeCell ref="H73:I73"/>
    <mergeCell ref="L73:M73"/>
    <mergeCell ref="D74:E74"/>
    <mergeCell ref="H74:I74"/>
    <mergeCell ref="L74:M74"/>
    <mergeCell ref="D75:E75"/>
    <mergeCell ref="H75:I75"/>
    <mergeCell ref="L75:M75"/>
    <mergeCell ref="D76:E76"/>
    <mergeCell ref="H76:I76"/>
    <mergeCell ref="L76:M76"/>
    <mergeCell ref="B77:E77"/>
    <mergeCell ref="F77:I77"/>
    <mergeCell ref="J77:M77"/>
    <mergeCell ref="D78:E78"/>
    <mergeCell ref="H78:I78"/>
    <mergeCell ref="L78:M78"/>
    <mergeCell ref="D79:E79"/>
    <mergeCell ref="H79:I79"/>
    <mergeCell ref="L79:M79"/>
    <mergeCell ref="D80:E80"/>
    <mergeCell ref="H80:I80"/>
    <mergeCell ref="L80:M80"/>
    <mergeCell ref="D81:E81"/>
    <mergeCell ref="H81:I81"/>
    <mergeCell ref="L81:M81"/>
    <mergeCell ref="D82:E82"/>
    <mergeCell ref="H82:I82"/>
    <mergeCell ref="L82:M82"/>
    <mergeCell ref="A83:M83"/>
    <mergeCell ref="A84:M84"/>
    <mergeCell ref="A85:C85"/>
    <mergeCell ref="D85:H85"/>
    <mergeCell ref="I85:M85"/>
    <mergeCell ref="A86:C86"/>
    <mergeCell ref="D86:H86"/>
    <mergeCell ref="I86:M86"/>
    <mergeCell ref="A87:C87"/>
    <mergeCell ref="D87:H87"/>
    <mergeCell ref="I87:M87"/>
    <mergeCell ref="A88:C88"/>
    <mergeCell ref="D88:H88"/>
    <mergeCell ref="I88:M88"/>
    <mergeCell ref="A89:C89"/>
    <mergeCell ref="D89:H89"/>
    <mergeCell ref="I89:M89"/>
    <mergeCell ref="A90:C90"/>
    <mergeCell ref="D90:H90"/>
    <mergeCell ref="I90:M90"/>
    <mergeCell ref="A91:C91"/>
    <mergeCell ref="D91:H91"/>
    <mergeCell ref="I91:M91"/>
    <mergeCell ref="A92:C92"/>
    <mergeCell ref="D92:H92"/>
    <mergeCell ref="I92:M92"/>
    <mergeCell ref="A93:C93"/>
    <mergeCell ref="D93:H93"/>
    <mergeCell ref="I93:M93"/>
    <mergeCell ref="A94:C94"/>
    <mergeCell ref="D94:H94"/>
    <mergeCell ref="I94:M94"/>
    <mergeCell ref="A95:C95"/>
    <mergeCell ref="D95:H95"/>
    <mergeCell ref="I95:M95"/>
    <mergeCell ref="A96:C96"/>
    <mergeCell ref="D96:H96"/>
    <mergeCell ref="I96:M96"/>
    <mergeCell ref="A97:C97"/>
    <mergeCell ref="D97:H97"/>
    <mergeCell ref="I97:M97"/>
    <mergeCell ref="A99:M99"/>
    <mergeCell ref="A100:C100"/>
    <mergeCell ref="D100:H100"/>
    <mergeCell ref="I100:M100"/>
    <mergeCell ref="A101:C101"/>
    <mergeCell ref="D101:H101"/>
    <mergeCell ref="I101:M101"/>
    <mergeCell ref="A102:C102"/>
    <mergeCell ref="D102:H102"/>
    <mergeCell ref="I102:M102"/>
    <mergeCell ref="A103:C103"/>
    <mergeCell ref="D103:H103"/>
    <mergeCell ref="I103:M103"/>
    <mergeCell ref="A104:C104"/>
    <mergeCell ref="D104:H104"/>
    <mergeCell ref="I104:M104"/>
    <mergeCell ref="A105:C105"/>
    <mergeCell ref="D105:H105"/>
    <mergeCell ref="I105:M105"/>
    <mergeCell ref="A106:C106"/>
    <mergeCell ref="D106:H106"/>
    <mergeCell ref="I106:M106"/>
    <mergeCell ref="A107:C107"/>
    <mergeCell ref="D107:H107"/>
    <mergeCell ref="I107:M107"/>
    <mergeCell ref="A108:C108"/>
    <mergeCell ref="D108:H108"/>
    <mergeCell ref="I108:M108"/>
    <mergeCell ref="A109:C109"/>
    <mergeCell ref="D109:H109"/>
    <mergeCell ref="I109:M109"/>
    <mergeCell ref="A110:C110"/>
    <mergeCell ref="D110:H110"/>
    <mergeCell ref="I110:M110"/>
    <mergeCell ref="A111:C111"/>
    <mergeCell ref="A112:C112"/>
    <mergeCell ref="A114:M114"/>
    <mergeCell ref="A115:C115"/>
    <mergeCell ref="D115:H115"/>
    <mergeCell ref="I115:M115"/>
    <mergeCell ref="A116:C116"/>
    <mergeCell ref="D116:H116"/>
    <mergeCell ref="I116:M116"/>
    <mergeCell ref="A117:C117"/>
    <mergeCell ref="D117:H117"/>
    <mergeCell ref="I117:M117"/>
    <mergeCell ref="A118:C118"/>
    <mergeCell ref="D118:H118"/>
    <mergeCell ref="I118:M118"/>
    <mergeCell ref="A119:C119"/>
    <mergeCell ref="D119:H119"/>
    <mergeCell ref="I119:M119"/>
    <mergeCell ref="A120:C120"/>
    <mergeCell ref="D120:H120"/>
    <mergeCell ref="I120:M120"/>
    <mergeCell ref="A121:C121"/>
    <mergeCell ref="D121:H121"/>
    <mergeCell ref="I121:M121"/>
    <mergeCell ref="A122:C122"/>
    <mergeCell ref="D122:H122"/>
    <mergeCell ref="I122:M122"/>
    <mergeCell ref="A123:C123"/>
    <mergeCell ref="D123:H123"/>
    <mergeCell ref="I123:M123"/>
    <mergeCell ref="A124:C124"/>
    <mergeCell ref="D124:H124"/>
    <mergeCell ref="I124:M124"/>
    <mergeCell ref="A125:C125"/>
    <mergeCell ref="D125:H125"/>
    <mergeCell ref="I125:M125"/>
    <mergeCell ref="A126:C126"/>
    <mergeCell ref="A127:C127"/>
    <mergeCell ref="A128:M128"/>
    <mergeCell ref="A129:C130"/>
    <mergeCell ref="D129:K133"/>
    <mergeCell ref="A131:C133"/>
    <mergeCell ref="A134:M134"/>
    <mergeCell ref="B135:E135"/>
    <mergeCell ref="F135:I135"/>
    <mergeCell ref="J135:M135"/>
    <mergeCell ref="D136:E136"/>
    <mergeCell ref="H136:I136"/>
    <mergeCell ref="L136:M136"/>
    <mergeCell ref="D137:E137"/>
    <mergeCell ref="H137:I137"/>
    <mergeCell ref="L137:M137"/>
    <mergeCell ref="D138:E138"/>
    <mergeCell ref="H138:I138"/>
    <mergeCell ref="L138:M138"/>
    <mergeCell ref="D139:E139"/>
    <mergeCell ref="H139:I139"/>
    <mergeCell ref="L139:M139"/>
    <mergeCell ref="D140:E140"/>
    <mergeCell ref="H140:I140"/>
    <mergeCell ref="L140:M140"/>
    <mergeCell ref="B141:E141"/>
    <mergeCell ref="F141:I141"/>
    <mergeCell ref="J141:M141"/>
    <mergeCell ref="D142:E142"/>
    <mergeCell ref="H142:I142"/>
    <mergeCell ref="L142:M142"/>
    <mergeCell ref="D143:E143"/>
    <mergeCell ref="H143:I143"/>
    <mergeCell ref="L143:M143"/>
    <mergeCell ref="D144:E144"/>
    <mergeCell ref="H144:I144"/>
    <mergeCell ref="L144:M144"/>
    <mergeCell ref="D145:E145"/>
    <mergeCell ref="H145:I145"/>
    <mergeCell ref="L145:M145"/>
    <mergeCell ref="D146:E146"/>
    <mergeCell ref="H146:I146"/>
    <mergeCell ref="L146:M146"/>
    <mergeCell ref="A147:M147"/>
    <mergeCell ref="A148:M148"/>
    <mergeCell ref="A149:C149"/>
    <mergeCell ref="D149:H149"/>
    <mergeCell ref="I149:M149"/>
    <mergeCell ref="A150:C150"/>
    <mergeCell ref="D150:H150"/>
    <mergeCell ref="I150:M150"/>
    <mergeCell ref="A151:C151"/>
    <mergeCell ref="D151:H151"/>
    <mergeCell ref="I151:M151"/>
    <mergeCell ref="A152:C152"/>
    <mergeCell ref="D152:H152"/>
    <mergeCell ref="I152:M152"/>
    <mergeCell ref="A153:C153"/>
    <mergeCell ref="D153:H153"/>
    <mergeCell ref="I153:M153"/>
    <mergeCell ref="A154:C154"/>
    <mergeCell ref="D154:H154"/>
    <mergeCell ref="I154:M154"/>
    <mergeCell ref="A155:C155"/>
    <mergeCell ref="D155:H155"/>
    <mergeCell ref="I155:M155"/>
    <mergeCell ref="A156:C156"/>
    <mergeCell ref="D156:H156"/>
    <mergeCell ref="I156:M156"/>
    <mergeCell ref="A157:C157"/>
    <mergeCell ref="D157:H157"/>
    <mergeCell ref="I157:M157"/>
    <mergeCell ref="A158:C158"/>
    <mergeCell ref="D158:H158"/>
    <mergeCell ref="I158:M158"/>
    <mergeCell ref="A159:C159"/>
    <mergeCell ref="D159:H159"/>
    <mergeCell ref="I159:M159"/>
    <mergeCell ref="A160:C160"/>
    <mergeCell ref="D160:H160"/>
    <mergeCell ref="I160:M160"/>
    <mergeCell ref="A161:C161"/>
    <mergeCell ref="D161:H161"/>
    <mergeCell ref="I161:M161"/>
    <mergeCell ref="A163:M163"/>
    <mergeCell ref="A164:C164"/>
    <mergeCell ref="D164:H164"/>
    <mergeCell ref="I164:M164"/>
    <mergeCell ref="A165:C165"/>
    <mergeCell ref="D165:H165"/>
    <mergeCell ref="I165:M165"/>
    <mergeCell ref="A166:C166"/>
    <mergeCell ref="D166:H166"/>
    <mergeCell ref="I166:M166"/>
    <mergeCell ref="A167:C167"/>
    <mergeCell ref="D167:H167"/>
    <mergeCell ref="I167:M167"/>
    <mergeCell ref="A168:C168"/>
    <mergeCell ref="D168:H168"/>
    <mergeCell ref="I168:M168"/>
    <mergeCell ref="A169:C169"/>
    <mergeCell ref="D169:H169"/>
    <mergeCell ref="I169:M169"/>
    <mergeCell ref="A170:C170"/>
    <mergeCell ref="D170:H170"/>
    <mergeCell ref="I170:M170"/>
    <mergeCell ref="A171:C171"/>
    <mergeCell ref="D171:H171"/>
    <mergeCell ref="I171:M171"/>
    <mergeCell ref="A172:C172"/>
    <mergeCell ref="D172:H172"/>
    <mergeCell ref="I172:M172"/>
    <mergeCell ref="A173:C173"/>
    <mergeCell ref="D173:H173"/>
    <mergeCell ref="I173:M173"/>
    <mergeCell ref="A174:C174"/>
    <mergeCell ref="D174:H174"/>
    <mergeCell ref="I174:M174"/>
    <mergeCell ref="A175:C175"/>
    <mergeCell ref="A176:C176"/>
    <mergeCell ref="A178:M178"/>
    <mergeCell ref="A179:C179"/>
    <mergeCell ref="D179:H179"/>
    <mergeCell ref="I179:M179"/>
    <mergeCell ref="A180:C180"/>
    <mergeCell ref="D180:H180"/>
    <mergeCell ref="I180:M180"/>
    <mergeCell ref="A181:C181"/>
    <mergeCell ref="D181:H181"/>
    <mergeCell ref="I181:M181"/>
    <mergeCell ref="A182:C182"/>
    <mergeCell ref="D182:H182"/>
    <mergeCell ref="I182:M182"/>
    <mergeCell ref="A183:C183"/>
    <mergeCell ref="D183:H183"/>
    <mergeCell ref="I183:M183"/>
    <mergeCell ref="A184:C184"/>
    <mergeCell ref="D184:H184"/>
    <mergeCell ref="I184:M184"/>
    <mergeCell ref="A185:C185"/>
    <mergeCell ref="D185:H185"/>
    <mergeCell ref="I185:M185"/>
    <mergeCell ref="A186:C186"/>
    <mergeCell ref="D186:H186"/>
    <mergeCell ref="I186:M186"/>
    <mergeCell ref="A187:C187"/>
    <mergeCell ref="D187:H187"/>
    <mergeCell ref="I187:M187"/>
    <mergeCell ref="A188:C188"/>
    <mergeCell ref="D188:H188"/>
    <mergeCell ref="I188:M188"/>
    <mergeCell ref="A189:C189"/>
    <mergeCell ref="D189:H189"/>
    <mergeCell ref="I189:M189"/>
    <mergeCell ref="A190:C190"/>
    <mergeCell ref="A191:C191"/>
    <mergeCell ref="A192:M192"/>
  </mergeCells>
  <printOptions headings="false" gridLines="false" gridLinesSet="true" horizontalCentered="true" verticalCentered="false"/>
  <pageMargins left="0.25" right="0.25" top="0.75" bottom="0.75" header="0.511811023622047" footer="0.3"/>
  <pageSetup paperSize="9" scale="76" fitToWidth="1" fitToHeight="1" pageOrder="downThenOver" orientation="portrait" blackAndWhite="false" draft="false" cellComments="none" horizontalDpi="300" verticalDpi="300" copies="1"/>
  <headerFooter differentFirst="false" differentOddEven="false">
    <oddHeader/>
    <oddFooter>&amp;R&amp;1#&amp;"Arial,Regular"&amp;10Confidential C</oddFooter>
  </headerFooter>
  <rowBreaks count="2" manualBreakCount="2">
    <brk id="64" man="true" max="16383" min="0"/>
    <brk id="128" man="true" max="16383" min="0"/>
  </rowBreaks>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W6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N16" activeCellId="0" sqref="N16"/>
    </sheetView>
  </sheetViews>
  <sheetFormatPr defaultColWidth="9.14453125" defaultRowHeight="12.75" zeroHeight="false" outlineLevelRow="0" outlineLevelCol="0"/>
  <cols>
    <col collapsed="false" customWidth="true" hidden="false" outlineLevel="0" max="1" min="1" style="56" width="6.28"/>
    <col collapsed="false" customWidth="true" hidden="false" outlineLevel="0" max="2" min="2" style="56" width="7.28"/>
    <col collapsed="false" customWidth="true" hidden="false" outlineLevel="0" max="3" min="3" style="56" width="9.7"/>
    <col collapsed="false" customWidth="true" hidden="false" outlineLevel="0" max="5" min="4" style="56" width="7.7"/>
    <col collapsed="false" customWidth="true" hidden="false" outlineLevel="0" max="6" min="6" style="56" width="7.28"/>
    <col collapsed="false" customWidth="true" hidden="false" outlineLevel="0" max="7" min="7" style="56" width="9.7"/>
    <col collapsed="false" customWidth="true" hidden="false" outlineLevel="0" max="8" min="8" style="56" width="8.14"/>
    <col collapsed="false" customWidth="true" hidden="false" outlineLevel="0" max="9" min="9" style="56" width="7.7"/>
    <col collapsed="false" customWidth="true" hidden="false" outlineLevel="0" max="10" min="10" style="56" width="7.28"/>
    <col collapsed="false" customWidth="true" hidden="false" outlineLevel="0" max="11" min="11" style="56" width="9.7"/>
    <col collapsed="false" customWidth="true" hidden="false" outlineLevel="0" max="12" min="12" style="56" width="7.28"/>
    <col collapsed="false" customWidth="true" hidden="false" outlineLevel="0" max="13" min="13" style="56" width="7.7"/>
    <col collapsed="false" customWidth="false" hidden="false" outlineLevel="0" max="18" min="14" style="56" width="9.14"/>
    <col collapsed="false" customWidth="true" hidden="false" outlineLevel="0" max="19" min="19" style="56" width="11.71"/>
    <col collapsed="false" customWidth="false" hidden="false" outlineLevel="0" max="256" min="20" style="56" width="9.14"/>
    <col collapsed="false" customWidth="true" hidden="false" outlineLevel="0" max="257" min="257" style="56" width="7.7"/>
    <col collapsed="false" customWidth="true" hidden="false" outlineLevel="0" max="258" min="258" style="56" width="11.85"/>
    <col collapsed="false" customWidth="true" hidden="false" outlineLevel="0" max="259" min="259" style="56" width="9.7"/>
    <col collapsed="false" customWidth="true" hidden="false" outlineLevel="0" max="269" min="260" style="56" width="7.7"/>
    <col collapsed="false" customWidth="false" hidden="false" outlineLevel="0" max="274" min="270" style="56" width="9.14"/>
    <col collapsed="false" customWidth="true" hidden="false" outlineLevel="0" max="275" min="275" style="56" width="11.71"/>
    <col collapsed="false" customWidth="false" hidden="false" outlineLevel="0" max="512" min="276" style="56" width="9.14"/>
    <col collapsed="false" customWidth="true" hidden="false" outlineLevel="0" max="513" min="513" style="56" width="7.7"/>
    <col collapsed="false" customWidth="true" hidden="false" outlineLevel="0" max="514" min="514" style="56" width="11.85"/>
    <col collapsed="false" customWidth="true" hidden="false" outlineLevel="0" max="515" min="515" style="56" width="9.7"/>
    <col collapsed="false" customWidth="true" hidden="false" outlineLevel="0" max="525" min="516" style="56" width="7.7"/>
    <col collapsed="false" customWidth="false" hidden="false" outlineLevel="0" max="530" min="526" style="56" width="9.14"/>
    <col collapsed="false" customWidth="true" hidden="false" outlineLevel="0" max="531" min="531" style="56" width="11.71"/>
    <col collapsed="false" customWidth="false" hidden="false" outlineLevel="0" max="768" min="532" style="56" width="9.14"/>
    <col collapsed="false" customWidth="true" hidden="false" outlineLevel="0" max="769" min="769" style="56" width="7.7"/>
    <col collapsed="false" customWidth="true" hidden="false" outlineLevel="0" max="770" min="770" style="56" width="11.85"/>
    <col collapsed="false" customWidth="true" hidden="false" outlineLevel="0" max="771" min="771" style="56" width="9.7"/>
    <col collapsed="false" customWidth="true" hidden="false" outlineLevel="0" max="781" min="772" style="56" width="7.7"/>
    <col collapsed="false" customWidth="false" hidden="false" outlineLevel="0" max="786" min="782" style="56" width="9.14"/>
    <col collapsed="false" customWidth="true" hidden="false" outlineLevel="0" max="787" min="787" style="56" width="11.71"/>
    <col collapsed="false" customWidth="false" hidden="false" outlineLevel="0" max="1024" min="788" style="56" width="9.14"/>
  </cols>
  <sheetData>
    <row r="1" customFormat="false" ht="12.75" hidden="false" customHeight="true" outlineLevel="0" collapsed="false">
      <c r="A1" s="57" t="s">
        <v>1</v>
      </c>
      <c r="B1" s="57"/>
      <c r="C1" s="57"/>
      <c r="D1" s="123" t="s">
        <v>14359</v>
      </c>
      <c r="E1" s="123"/>
      <c r="F1" s="123"/>
      <c r="G1" s="123"/>
      <c r="H1" s="123"/>
      <c r="I1" s="123"/>
      <c r="J1" s="123"/>
      <c r="K1" s="123"/>
      <c r="L1" s="123"/>
      <c r="M1" s="123"/>
      <c r="N1" s="123"/>
      <c r="O1" s="123"/>
      <c r="P1" s="123"/>
      <c r="Q1" s="123"/>
      <c r="R1" s="123"/>
      <c r="S1" s="123"/>
      <c r="T1" s="123"/>
      <c r="U1" s="123"/>
      <c r="V1" s="89"/>
      <c r="W1" s="89"/>
    </row>
    <row r="2" customFormat="false" ht="12.75" hidden="false" customHeight="true" outlineLevel="0" collapsed="false">
      <c r="A2" s="57"/>
      <c r="B2" s="57"/>
      <c r="C2" s="57"/>
      <c r="D2" s="123"/>
      <c r="E2" s="123"/>
      <c r="F2" s="123"/>
      <c r="G2" s="123"/>
      <c r="H2" s="123"/>
      <c r="I2" s="123"/>
      <c r="J2" s="123"/>
      <c r="K2" s="123"/>
      <c r="L2" s="123"/>
      <c r="M2" s="123"/>
      <c r="N2" s="123"/>
      <c r="O2" s="123"/>
      <c r="P2" s="123"/>
      <c r="Q2" s="123"/>
      <c r="R2" s="123"/>
      <c r="S2" s="123"/>
      <c r="T2" s="123"/>
      <c r="U2" s="123"/>
      <c r="V2" s="89"/>
      <c r="W2" s="89"/>
    </row>
    <row r="3" customFormat="false" ht="15" hidden="false" customHeight="true" outlineLevel="0" collapsed="false">
      <c r="A3" s="63" t="s">
        <v>14383</v>
      </c>
      <c r="B3" s="63"/>
      <c r="C3" s="63"/>
      <c r="D3" s="123"/>
      <c r="E3" s="123"/>
      <c r="F3" s="123"/>
      <c r="G3" s="123"/>
      <c r="H3" s="123"/>
      <c r="I3" s="123"/>
      <c r="J3" s="123"/>
      <c r="K3" s="123"/>
      <c r="L3" s="123"/>
      <c r="M3" s="123"/>
      <c r="N3" s="123"/>
      <c r="O3" s="123"/>
      <c r="P3" s="123"/>
      <c r="Q3" s="123"/>
      <c r="R3" s="123"/>
      <c r="S3" s="123"/>
      <c r="T3" s="123"/>
      <c r="U3" s="123"/>
      <c r="V3" s="89"/>
      <c r="W3" s="89"/>
    </row>
    <row r="4" customFormat="false" ht="15" hidden="false" customHeight="true" outlineLevel="0" collapsed="false">
      <c r="A4" s="63"/>
      <c r="B4" s="63"/>
      <c r="C4" s="63"/>
      <c r="D4" s="123"/>
      <c r="E4" s="123"/>
      <c r="F4" s="123"/>
      <c r="G4" s="123"/>
      <c r="H4" s="123"/>
      <c r="I4" s="123"/>
      <c r="J4" s="123"/>
      <c r="K4" s="123"/>
      <c r="L4" s="123"/>
      <c r="M4" s="123"/>
      <c r="N4" s="123"/>
      <c r="O4" s="123"/>
      <c r="P4" s="123"/>
      <c r="Q4" s="123"/>
      <c r="R4" s="123"/>
      <c r="S4" s="123"/>
      <c r="T4" s="123"/>
      <c r="U4" s="123"/>
      <c r="V4" s="89"/>
      <c r="W4" s="89"/>
    </row>
    <row r="5" customFormat="false" ht="15.75" hidden="false" customHeight="true" outlineLevel="0" collapsed="false">
      <c r="A5" s="63"/>
      <c r="B5" s="63"/>
      <c r="C5" s="63"/>
      <c r="D5" s="123"/>
      <c r="E5" s="123"/>
      <c r="F5" s="123"/>
      <c r="G5" s="123"/>
      <c r="H5" s="123"/>
      <c r="I5" s="123"/>
      <c r="J5" s="123"/>
      <c r="K5" s="123"/>
      <c r="L5" s="123"/>
      <c r="M5" s="123"/>
      <c r="N5" s="123"/>
      <c r="O5" s="123"/>
      <c r="P5" s="123"/>
      <c r="Q5" s="123"/>
      <c r="R5" s="123"/>
      <c r="S5" s="123"/>
      <c r="T5" s="123"/>
      <c r="U5" s="123"/>
      <c r="V5" s="89"/>
      <c r="W5" s="89"/>
    </row>
    <row r="6" customFormat="false" ht="15" hidden="false" customHeight="false" outlineLevel="0" collapsed="false">
      <c r="A6" s="66" t="s">
        <v>14360</v>
      </c>
      <c r="B6" s="66"/>
      <c r="C6" s="66"/>
      <c r="D6" s="66"/>
      <c r="E6" s="66"/>
      <c r="F6" s="66"/>
      <c r="G6" s="66"/>
      <c r="H6" s="66"/>
      <c r="I6" s="66"/>
      <c r="J6" s="66"/>
      <c r="K6" s="66"/>
      <c r="L6" s="66"/>
      <c r="M6" s="66"/>
      <c r="N6" s="66" t="s">
        <v>14384</v>
      </c>
      <c r="O6" s="66"/>
      <c r="P6" s="66"/>
      <c r="Q6" s="66"/>
      <c r="R6" s="66"/>
      <c r="S6" s="66"/>
      <c r="T6" s="66"/>
      <c r="U6" s="66"/>
      <c r="V6" s="66"/>
      <c r="W6" s="66"/>
    </row>
    <row r="7" customFormat="false" ht="15" hidden="false" customHeight="false" outlineLevel="0" collapsed="false">
      <c r="A7" s="67"/>
      <c r="B7" s="68" t="s">
        <v>14361</v>
      </c>
      <c r="C7" s="68"/>
      <c r="D7" s="68"/>
      <c r="E7" s="68"/>
      <c r="F7" s="68" t="s">
        <v>14362</v>
      </c>
      <c r="G7" s="68"/>
      <c r="H7" s="68"/>
      <c r="I7" s="68"/>
      <c r="J7" s="68" t="s">
        <v>14363</v>
      </c>
      <c r="K7" s="68"/>
      <c r="L7" s="68"/>
      <c r="M7" s="68"/>
      <c r="N7" s="124"/>
      <c r="O7" s="124"/>
      <c r="P7" s="124"/>
      <c r="Q7" s="124"/>
      <c r="R7" s="124"/>
      <c r="S7" s="124"/>
      <c r="T7" s="124"/>
      <c r="U7" s="124"/>
      <c r="V7" s="124"/>
      <c r="W7" s="124"/>
    </row>
    <row r="8" customFormat="false" ht="13.5" hidden="false" customHeight="false" outlineLevel="0" collapsed="false">
      <c r="A8" s="69" t="s">
        <v>47</v>
      </c>
      <c r="B8" s="70" t="s">
        <v>14364</v>
      </c>
      <c r="C8" s="71" t="s">
        <v>14360</v>
      </c>
      <c r="D8" s="72" t="s">
        <v>14365</v>
      </c>
      <c r="E8" s="72"/>
      <c r="F8" s="70" t="s">
        <v>14364</v>
      </c>
      <c r="G8" s="71" t="s">
        <v>14360</v>
      </c>
      <c r="H8" s="72" t="s">
        <v>14365</v>
      </c>
      <c r="I8" s="72"/>
      <c r="J8" s="70" t="s">
        <v>14364</v>
      </c>
      <c r="K8" s="71" t="s">
        <v>14360</v>
      </c>
      <c r="L8" s="72" t="s">
        <v>14366</v>
      </c>
      <c r="M8" s="72"/>
      <c r="N8" s="125"/>
      <c r="O8" s="125"/>
      <c r="P8" s="125"/>
      <c r="Q8" s="125"/>
      <c r="R8" s="125"/>
      <c r="S8" s="125"/>
      <c r="T8" s="125"/>
      <c r="U8" s="125"/>
      <c r="V8" s="125"/>
      <c r="W8" s="125"/>
    </row>
    <row r="9" customFormat="false" ht="14.25" hidden="false" customHeight="false" outlineLevel="0" collapsed="false">
      <c r="A9" s="73" t="s">
        <v>14367</v>
      </c>
      <c r="B9" s="74" t="n">
        <v>15</v>
      </c>
      <c r="C9" s="75" t="n">
        <v>10</v>
      </c>
      <c r="D9" s="76" t="s">
        <v>627</v>
      </c>
      <c r="E9" s="76"/>
      <c r="F9" s="74" t="n">
        <v>325</v>
      </c>
      <c r="G9" s="75" t="n">
        <v>32</v>
      </c>
      <c r="H9" s="76" t="s">
        <v>14385</v>
      </c>
      <c r="I9" s="76"/>
      <c r="J9" s="74" t="n">
        <v>321</v>
      </c>
      <c r="K9" s="75" t="n">
        <v>35</v>
      </c>
      <c r="L9" s="76" t="s">
        <v>353</v>
      </c>
      <c r="M9" s="76"/>
      <c r="N9" s="125"/>
      <c r="O9" s="125"/>
      <c r="P9" s="125"/>
      <c r="Q9" s="125"/>
      <c r="R9" s="125"/>
      <c r="S9" s="125"/>
      <c r="T9" s="125"/>
      <c r="U9" s="125"/>
      <c r="V9" s="125"/>
      <c r="W9" s="125"/>
    </row>
    <row r="10" customFormat="false" ht="14.25" hidden="false" customHeight="false" outlineLevel="0" collapsed="false">
      <c r="A10" s="77" t="s">
        <v>14368</v>
      </c>
      <c r="B10" s="78" t="n">
        <v>352</v>
      </c>
      <c r="C10" s="79" t="n">
        <v>32</v>
      </c>
      <c r="D10" s="80" t="s">
        <v>14386</v>
      </c>
      <c r="E10" s="80"/>
      <c r="F10" s="78" t="n">
        <v>362</v>
      </c>
      <c r="G10" s="79" t="n">
        <v>325</v>
      </c>
      <c r="H10" s="80" t="s">
        <v>403</v>
      </c>
      <c r="I10" s="80"/>
      <c r="J10" s="78" t="n">
        <v>201</v>
      </c>
      <c r="K10" s="79" t="n">
        <v>22</v>
      </c>
      <c r="L10" s="80" t="s">
        <v>353</v>
      </c>
      <c r="M10" s="80"/>
      <c r="N10" s="125"/>
      <c r="O10" s="125"/>
      <c r="P10" s="125"/>
      <c r="Q10" s="125"/>
      <c r="R10" s="125"/>
      <c r="S10" s="125"/>
      <c r="T10" s="125"/>
      <c r="U10" s="125"/>
      <c r="V10" s="125"/>
      <c r="W10" s="125"/>
    </row>
    <row r="11" customFormat="false" ht="15" hidden="false" customHeight="false" outlineLevel="0" collapsed="false">
      <c r="A11" s="81" t="s">
        <v>14369</v>
      </c>
      <c r="B11" s="82" t="n">
        <v>325</v>
      </c>
      <c r="C11" s="83" t="n">
        <v>23</v>
      </c>
      <c r="D11" s="84" t="s">
        <v>14387</v>
      </c>
      <c r="E11" s="84"/>
      <c r="F11" s="82" t="n">
        <v>0</v>
      </c>
      <c r="G11" s="83" t="n">
        <v>0</v>
      </c>
      <c r="H11" s="84"/>
      <c r="I11" s="84"/>
      <c r="J11" s="82" t="n">
        <v>351</v>
      </c>
      <c r="K11" s="83" t="n">
        <v>236</v>
      </c>
      <c r="L11" s="84" t="s">
        <v>371</v>
      </c>
      <c r="M11" s="84"/>
      <c r="N11" s="125"/>
      <c r="O11" s="125"/>
      <c r="P11" s="125"/>
      <c r="Q11" s="125"/>
      <c r="R11" s="125"/>
      <c r="S11" s="125"/>
      <c r="T11" s="125"/>
      <c r="U11" s="125"/>
      <c r="V11" s="125"/>
      <c r="W11" s="125"/>
    </row>
    <row r="12" customFormat="false" ht="15" hidden="false" customHeight="false" outlineLevel="0" collapsed="false">
      <c r="A12" s="85" t="s">
        <v>14370</v>
      </c>
      <c r="B12" s="86"/>
      <c r="C12" s="87"/>
      <c r="D12" s="88"/>
      <c r="E12" s="88"/>
      <c r="F12" s="86"/>
      <c r="G12" s="87"/>
      <c r="H12" s="88"/>
      <c r="I12" s="88"/>
      <c r="J12" s="86"/>
      <c r="K12" s="87"/>
      <c r="L12" s="88"/>
      <c r="M12" s="88"/>
      <c r="N12" s="125"/>
      <c r="O12" s="125"/>
      <c r="P12" s="125"/>
      <c r="Q12" s="125"/>
      <c r="R12" s="125"/>
      <c r="S12" s="125"/>
      <c r="T12" s="125"/>
      <c r="U12" s="125"/>
      <c r="V12" s="125"/>
      <c r="W12" s="125"/>
    </row>
    <row r="13" customFormat="false" ht="15" hidden="false" customHeight="false" outlineLevel="0" collapsed="false">
      <c r="A13" s="67"/>
      <c r="B13" s="68" t="s">
        <v>14371</v>
      </c>
      <c r="C13" s="68"/>
      <c r="D13" s="68"/>
      <c r="E13" s="68"/>
      <c r="F13" s="68" t="s">
        <v>14372</v>
      </c>
      <c r="G13" s="68"/>
      <c r="H13" s="68"/>
      <c r="I13" s="68"/>
      <c r="J13" s="68" t="s">
        <v>14373</v>
      </c>
      <c r="K13" s="68"/>
      <c r="L13" s="68"/>
      <c r="M13" s="68"/>
      <c r="N13" s="125"/>
      <c r="O13" s="125"/>
      <c r="P13" s="125"/>
      <c r="Q13" s="125"/>
      <c r="R13" s="125"/>
      <c r="S13" s="125"/>
      <c r="T13" s="125"/>
      <c r="U13" s="125"/>
      <c r="V13" s="125"/>
      <c r="W13" s="125"/>
    </row>
    <row r="14" customFormat="false" ht="13.5" hidden="false" customHeight="false" outlineLevel="0" collapsed="false">
      <c r="A14" s="69" t="s">
        <v>47</v>
      </c>
      <c r="B14" s="70" t="s">
        <v>14364</v>
      </c>
      <c r="C14" s="71" t="s">
        <v>14360</v>
      </c>
      <c r="D14" s="72" t="s">
        <v>14366</v>
      </c>
      <c r="E14" s="72"/>
      <c r="F14" s="70" t="s">
        <v>14364</v>
      </c>
      <c r="G14" s="71" t="s">
        <v>14360</v>
      </c>
      <c r="H14" s="72" t="s">
        <v>14366</v>
      </c>
      <c r="I14" s="72"/>
      <c r="J14" s="70" t="s">
        <v>14364</v>
      </c>
      <c r="K14" s="71" t="s">
        <v>14360</v>
      </c>
      <c r="L14" s="72" t="s">
        <v>14366</v>
      </c>
      <c r="M14" s="72"/>
      <c r="N14" s="125"/>
      <c r="O14" s="125"/>
      <c r="P14" s="125"/>
      <c r="Q14" s="125"/>
      <c r="R14" s="125"/>
      <c r="S14" s="125"/>
      <c r="T14" s="125"/>
      <c r="U14" s="125"/>
      <c r="V14" s="125"/>
      <c r="W14" s="125"/>
    </row>
    <row r="15" customFormat="false" ht="14.25" hidden="false" customHeight="false" outlineLevel="0" collapsed="false">
      <c r="A15" s="73" t="s">
        <v>14367</v>
      </c>
      <c r="B15" s="74" t="n">
        <v>325</v>
      </c>
      <c r="C15" s="75" t="n">
        <v>325</v>
      </c>
      <c r="D15" s="76" t="s">
        <v>110</v>
      </c>
      <c r="E15" s="76"/>
      <c r="F15" s="74" t="n">
        <v>325</v>
      </c>
      <c r="G15" s="75" t="n">
        <v>235</v>
      </c>
      <c r="H15" s="76" t="s">
        <v>694</v>
      </c>
      <c r="I15" s="76"/>
      <c r="J15" s="74" t="n">
        <v>325</v>
      </c>
      <c r="K15" s="75" t="n">
        <v>235</v>
      </c>
      <c r="L15" s="76" t="s">
        <v>694</v>
      </c>
      <c r="M15" s="76"/>
      <c r="N15" s="125"/>
      <c r="O15" s="125"/>
      <c r="P15" s="125"/>
      <c r="Q15" s="125"/>
      <c r="R15" s="125"/>
      <c r="S15" s="125"/>
      <c r="T15" s="125"/>
      <c r="U15" s="125"/>
      <c r="V15" s="125"/>
      <c r="W15" s="125"/>
    </row>
    <row r="16" customFormat="false" ht="14.25" hidden="false" customHeight="false" outlineLevel="0" collapsed="false">
      <c r="A16" s="77" t="s">
        <v>14368</v>
      </c>
      <c r="B16" s="78" t="n">
        <v>351</v>
      </c>
      <c r="C16" s="79" t="n">
        <v>22</v>
      </c>
      <c r="D16" s="80" t="s">
        <v>14388</v>
      </c>
      <c r="E16" s="80"/>
      <c r="F16" s="78" t="n">
        <v>221</v>
      </c>
      <c r="G16" s="79" t="n">
        <v>222</v>
      </c>
      <c r="H16" s="80" t="s">
        <v>14389</v>
      </c>
      <c r="I16" s="80"/>
      <c r="J16" s="78" t="n">
        <v>221</v>
      </c>
      <c r="K16" s="79" t="n">
        <v>222</v>
      </c>
      <c r="L16" s="80" t="s">
        <v>14389</v>
      </c>
      <c r="M16" s="80"/>
      <c r="N16" s="125"/>
      <c r="O16" s="125"/>
      <c r="P16" s="125"/>
      <c r="Q16" s="125"/>
      <c r="R16" s="125"/>
      <c r="S16" s="125"/>
      <c r="T16" s="125"/>
      <c r="U16" s="125"/>
      <c r="V16" s="125"/>
      <c r="W16" s="125"/>
    </row>
    <row r="17" customFormat="false" ht="15" hidden="false" customHeight="false" outlineLevel="0" collapsed="false">
      <c r="A17" s="81" t="s">
        <v>14369</v>
      </c>
      <c r="B17" s="82" t="n">
        <v>3215</v>
      </c>
      <c r="C17" s="83" t="n">
        <v>2235</v>
      </c>
      <c r="D17" s="84" t="s">
        <v>707</v>
      </c>
      <c r="E17" s="84"/>
      <c r="F17" s="82" t="n">
        <v>325</v>
      </c>
      <c r="G17" s="83" t="n">
        <v>235</v>
      </c>
      <c r="H17" s="84" t="s">
        <v>694</v>
      </c>
      <c r="I17" s="84"/>
      <c r="J17" s="82" t="n">
        <v>325</v>
      </c>
      <c r="K17" s="83" t="n">
        <v>235</v>
      </c>
      <c r="L17" s="84" t="s">
        <v>694</v>
      </c>
      <c r="M17" s="84"/>
      <c r="N17" s="125"/>
      <c r="O17" s="125"/>
      <c r="P17" s="125"/>
      <c r="Q17" s="125"/>
      <c r="R17" s="125"/>
      <c r="S17" s="125"/>
      <c r="T17" s="125"/>
      <c r="U17" s="125"/>
      <c r="V17" s="125"/>
      <c r="W17" s="125"/>
    </row>
    <row r="18" customFormat="false" ht="15" hidden="false" customHeight="false" outlineLevel="0" collapsed="false">
      <c r="A18" s="85" t="s">
        <v>14370</v>
      </c>
      <c r="B18" s="86"/>
      <c r="C18" s="87"/>
      <c r="D18" s="88"/>
      <c r="E18" s="88"/>
      <c r="F18" s="86"/>
      <c r="G18" s="87"/>
      <c r="H18" s="88"/>
      <c r="I18" s="88"/>
      <c r="J18" s="86"/>
      <c r="K18" s="87"/>
      <c r="L18" s="88"/>
      <c r="M18" s="88"/>
      <c r="N18" s="125"/>
      <c r="O18" s="125"/>
      <c r="P18" s="125"/>
      <c r="Q18" s="125"/>
      <c r="R18" s="125"/>
      <c r="S18" s="125"/>
      <c r="T18" s="125"/>
      <c r="U18" s="125"/>
      <c r="V18" s="125"/>
      <c r="W18" s="125"/>
    </row>
    <row r="19" customFormat="false" ht="13.5" hidden="false" customHeight="false" outlineLevel="0" collapsed="false">
      <c r="A19" s="89"/>
      <c r="B19" s="89"/>
      <c r="C19" s="89"/>
      <c r="D19" s="89"/>
      <c r="E19" s="89"/>
      <c r="F19" s="89"/>
      <c r="G19" s="89"/>
      <c r="H19" s="89"/>
      <c r="I19" s="89"/>
      <c r="J19" s="89"/>
      <c r="K19" s="89"/>
      <c r="L19" s="89"/>
      <c r="M19" s="89"/>
      <c r="N19" s="126"/>
      <c r="O19" s="126"/>
      <c r="P19" s="126"/>
      <c r="Q19" s="126"/>
      <c r="R19" s="126"/>
      <c r="S19" s="126"/>
      <c r="T19" s="126"/>
      <c r="U19" s="126"/>
      <c r="V19" s="126"/>
      <c r="W19" s="126"/>
    </row>
    <row r="20" customFormat="false" ht="15" hidden="false" customHeight="false" outlineLevel="0" collapsed="false">
      <c r="A20" s="66" t="s">
        <v>14374</v>
      </c>
      <c r="B20" s="66"/>
      <c r="C20" s="66"/>
      <c r="D20" s="66"/>
      <c r="E20" s="66"/>
      <c r="F20" s="66"/>
      <c r="G20" s="66"/>
      <c r="H20" s="66"/>
      <c r="I20" s="66"/>
      <c r="J20" s="66"/>
      <c r="K20" s="66"/>
      <c r="L20" s="66"/>
      <c r="M20" s="66"/>
      <c r="N20" s="66"/>
      <c r="O20" s="66"/>
      <c r="P20" s="66"/>
      <c r="Q20" s="66"/>
      <c r="R20" s="66"/>
      <c r="S20" s="66"/>
      <c r="T20" s="66"/>
      <c r="U20" s="66"/>
      <c r="V20" s="66"/>
      <c r="W20" s="66"/>
    </row>
    <row r="21" customFormat="false" ht="15" hidden="false" customHeight="true" outlineLevel="0" collapsed="false">
      <c r="A21" s="91" t="s">
        <v>14375</v>
      </c>
      <c r="B21" s="91"/>
      <c r="C21" s="91"/>
      <c r="D21" s="92" t="s">
        <v>14390</v>
      </c>
      <c r="E21" s="92"/>
      <c r="F21" s="92"/>
      <c r="G21" s="92"/>
      <c r="H21" s="92"/>
      <c r="I21" s="93"/>
      <c r="J21" s="93"/>
      <c r="K21" s="93"/>
      <c r="L21" s="93"/>
      <c r="M21" s="93"/>
      <c r="N21" s="93"/>
      <c r="O21" s="93"/>
      <c r="P21" s="93"/>
      <c r="Q21" s="93"/>
      <c r="R21" s="93"/>
      <c r="S21" s="93"/>
      <c r="T21" s="93"/>
      <c r="U21" s="93"/>
      <c r="V21" s="93"/>
      <c r="W21" s="93"/>
    </row>
    <row r="22" customFormat="false" ht="15" hidden="false" customHeight="true" outlineLevel="0" collapsed="false">
      <c r="A22" s="94" t="s">
        <v>14350</v>
      </c>
      <c r="B22" s="94"/>
      <c r="C22" s="94"/>
      <c r="D22" s="95" t="s">
        <v>37</v>
      </c>
      <c r="E22" s="95"/>
      <c r="F22" s="95"/>
      <c r="G22" s="95"/>
      <c r="H22" s="95"/>
      <c r="I22" s="96"/>
      <c r="J22" s="96"/>
      <c r="K22" s="96"/>
      <c r="L22" s="96"/>
      <c r="M22" s="96"/>
      <c r="N22" s="96"/>
      <c r="O22" s="96"/>
      <c r="P22" s="96"/>
      <c r="Q22" s="96"/>
      <c r="R22" s="96"/>
      <c r="S22" s="96"/>
      <c r="T22" s="96"/>
      <c r="U22" s="96"/>
      <c r="V22" s="96"/>
      <c r="W22" s="96"/>
    </row>
    <row r="23" customFormat="false" ht="14.25" hidden="false" customHeight="false" outlineLevel="0" collapsed="false">
      <c r="A23" s="94" t="s">
        <v>1468</v>
      </c>
      <c r="B23" s="94"/>
      <c r="C23" s="94"/>
      <c r="D23" s="97" t="s">
        <v>14391</v>
      </c>
      <c r="E23" s="97"/>
      <c r="F23" s="97"/>
      <c r="G23" s="97"/>
      <c r="H23" s="97"/>
      <c r="I23" s="98"/>
      <c r="J23" s="98"/>
      <c r="K23" s="98"/>
      <c r="L23" s="98"/>
      <c r="M23" s="98"/>
      <c r="N23" s="98"/>
      <c r="O23" s="98"/>
      <c r="P23" s="98"/>
      <c r="Q23" s="98"/>
      <c r="R23" s="98"/>
      <c r="S23" s="98"/>
      <c r="T23" s="98"/>
      <c r="U23" s="98"/>
      <c r="V23" s="98"/>
      <c r="W23" s="98"/>
    </row>
    <row r="24" customFormat="false" ht="14.25" hidden="false" customHeight="false" outlineLevel="0" collapsed="false">
      <c r="A24" s="94" t="s">
        <v>14376</v>
      </c>
      <c r="B24" s="94"/>
      <c r="C24" s="94"/>
      <c r="D24" s="97" t="n">
        <v>0.597916666666667</v>
      </c>
      <c r="E24" s="97"/>
      <c r="F24" s="97"/>
      <c r="G24" s="97"/>
      <c r="H24" s="97"/>
      <c r="I24" s="98"/>
      <c r="J24" s="98"/>
      <c r="K24" s="98"/>
      <c r="L24" s="98"/>
      <c r="M24" s="98"/>
      <c r="N24" s="98"/>
      <c r="O24" s="98"/>
      <c r="P24" s="98"/>
      <c r="Q24" s="98"/>
      <c r="R24" s="98"/>
      <c r="S24" s="98"/>
      <c r="T24" s="98"/>
      <c r="U24" s="98"/>
      <c r="V24" s="98"/>
      <c r="W24" s="98"/>
    </row>
    <row r="25" customFormat="false" ht="14.25" hidden="false" customHeight="false" outlineLevel="0" collapsed="false">
      <c r="A25" s="94" t="s">
        <v>14377</v>
      </c>
      <c r="B25" s="94"/>
      <c r="C25" s="94"/>
      <c r="D25" s="97" t="n">
        <v>0.625</v>
      </c>
      <c r="E25" s="97"/>
      <c r="F25" s="97"/>
      <c r="G25" s="97"/>
      <c r="H25" s="97"/>
      <c r="I25" s="98"/>
      <c r="J25" s="98"/>
      <c r="K25" s="98"/>
      <c r="L25" s="98"/>
      <c r="M25" s="98"/>
      <c r="N25" s="98"/>
      <c r="O25" s="98"/>
      <c r="P25" s="98"/>
      <c r="Q25" s="98"/>
      <c r="R25" s="98"/>
      <c r="S25" s="98"/>
      <c r="T25" s="98"/>
      <c r="U25" s="98"/>
      <c r="V25" s="98"/>
      <c r="W25" s="98"/>
    </row>
    <row r="26" customFormat="false" ht="14.25" hidden="false" customHeight="false" outlineLevel="0" collapsed="false">
      <c r="A26" s="94" t="s">
        <v>14378</v>
      </c>
      <c r="B26" s="94"/>
      <c r="C26" s="94"/>
      <c r="D26" s="97" t="n">
        <v>0.666666666666667</v>
      </c>
      <c r="E26" s="97"/>
      <c r="F26" s="97"/>
      <c r="G26" s="97"/>
      <c r="H26" s="97"/>
      <c r="I26" s="98"/>
      <c r="J26" s="98"/>
      <c r="K26" s="98"/>
      <c r="L26" s="98"/>
      <c r="M26" s="98"/>
      <c r="N26" s="98"/>
      <c r="O26" s="98"/>
      <c r="P26" s="98"/>
      <c r="Q26" s="98"/>
      <c r="R26" s="98"/>
      <c r="S26" s="98"/>
      <c r="T26" s="98"/>
      <c r="U26" s="98"/>
      <c r="V26" s="98"/>
      <c r="W26" s="98"/>
    </row>
    <row r="27" customFormat="false" ht="14.25" hidden="false" customHeight="false" outlineLevel="0" collapsed="false">
      <c r="A27" s="94" t="s">
        <v>1472</v>
      </c>
      <c r="B27" s="94"/>
      <c r="C27" s="94"/>
      <c r="D27" s="99" t="n">
        <v>76</v>
      </c>
      <c r="E27" s="99"/>
      <c r="F27" s="99"/>
      <c r="G27" s="99"/>
      <c r="H27" s="99"/>
      <c r="I27" s="100"/>
      <c r="J27" s="100"/>
      <c r="K27" s="100"/>
      <c r="L27" s="100"/>
      <c r="M27" s="100"/>
      <c r="N27" s="100"/>
      <c r="O27" s="100"/>
      <c r="P27" s="100"/>
      <c r="Q27" s="100"/>
      <c r="R27" s="100"/>
      <c r="S27" s="100"/>
      <c r="T27" s="100"/>
      <c r="U27" s="100"/>
      <c r="V27" s="100"/>
      <c r="W27" s="100"/>
    </row>
    <row r="28" customFormat="false" ht="14.25" hidden="false" customHeight="false" outlineLevel="0" collapsed="false">
      <c r="A28" s="94" t="s">
        <v>1473</v>
      </c>
      <c r="B28" s="94"/>
      <c r="C28" s="94"/>
      <c r="D28" s="99" t="n">
        <v>302</v>
      </c>
      <c r="E28" s="99"/>
      <c r="F28" s="99"/>
      <c r="G28" s="99"/>
      <c r="H28" s="99"/>
      <c r="I28" s="100"/>
      <c r="J28" s="100"/>
      <c r="K28" s="100"/>
      <c r="L28" s="100"/>
      <c r="M28" s="100"/>
      <c r="N28" s="100"/>
      <c r="O28" s="100"/>
      <c r="P28" s="100"/>
      <c r="Q28" s="100"/>
      <c r="R28" s="100"/>
      <c r="S28" s="100"/>
      <c r="T28" s="100"/>
      <c r="U28" s="100"/>
      <c r="V28" s="100"/>
      <c r="W28" s="100"/>
    </row>
    <row r="29" customFormat="false" ht="14.25" hidden="false" customHeight="true" outlineLevel="0" collapsed="false">
      <c r="A29" s="94" t="s">
        <v>1474</v>
      </c>
      <c r="B29" s="94"/>
      <c r="C29" s="94"/>
      <c r="D29" s="101" t="s">
        <v>14392</v>
      </c>
      <c r="E29" s="101"/>
      <c r="F29" s="101"/>
      <c r="G29" s="101"/>
      <c r="H29" s="101"/>
      <c r="I29" s="102"/>
      <c r="J29" s="102"/>
      <c r="K29" s="102"/>
      <c r="L29" s="102"/>
      <c r="M29" s="102"/>
      <c r="N29" s="102"/>
      <c r="O29" s="102"/>
      <c r="P29" s="102"/>
      <c r="Q29" s="102"/>
      <c r="R29" s="102"/>
      <c r="S29" s="102"/>
      <c r="T29" s="102"/>
      <c r="U29" s="102"/>
      <c r="V29" s="102"/>
      <c r="W29" s="102"/>
    </row>
    <row r="30" customFormat="false" ht="14.25" hidden="false" customHeight="true" outlineLevel="0" collapsed="false">
      <c r="A30" s="94" t="s">
        <v>1475</v>
      </c>
      <c r="B30" s="94"/>
      <c r="C30" s="94"/>
      <c r="D30" s="101" t="s">
        <v>14393</v>
      </c>
      <c r="E30" s="101"/>
      <c r="F30" s="101"/>
      <c r="G30" s="101"/>
      <c r="H30" s="101"/>
      <c r="I30" s="102"/>
      <c r="J30" s="102"/>
      <c r="K30" s="102"/>
      <c r="L30" s="102"/>
      <c r="M30" s="102"/>
      <c r="N30" s="102"/>
      <c r="O30" s="102"/>
      <c r="P30" s="102"/>
      <c r="Q30" s="102"/>
      <c r="R30" s="102"/>
      <c r="S30" s="102"/>
      <c r="T30" s="102"/>
      <c r="U30" s="102"/>
      <c r="V30" s="102"/>
      <c r="W30" s="102"/>
    </row>
    <row r="31" customFormat="false" ht="14.25" hidden="false" customHeight="true" outlineLevel="0" collapsed="false">
      <c r="A31" s="94" t="s">
        <v>1477</v>
      </c>
      <c r="B31" s="94"/>
      <c r="C31" s="94"/>
      <c r="D31" s="101" t="s">
        <v>14394</v>
      </c>
      <c r="E31" s="101"/>
      <c r="F31" s="101"/>
      <c r="G31" s="101"/>
      <c r="H31" s="101"/>
      <c r="I31" s="102"/>
      <c r="J31" s="102"/>
      <c r="K31" s="102"/>
      <c r="L31" s="102"/>
      <c r="M31" s="102"/>
      <c r="N31" s="102"/>
      <c r="O31" s="102"/>
      <c r="P31" s="102"/>
      <c r="Q31" s="102"/>
      <c r="R31" s="102"/>
      <c r="S31" s="102"/>
      <c r="T31" s="102"/>
      <c r="U31" s="102"/>
      <c r="V31" s="102"/>
      <c r="W31" s="102"/>
    </row>
    <row r="32" customFormat="false" ht="15.75" hidden="false" customHeight="true" outlineLevel="0" collapsed="false">
      <c r="A32" s="94" t="s">
        <v>14379</v>
      </c>
      <c r="B32" s="94"/>
      <c r="C32" s="94"/>
      <c r="D32" s="103" t="s">
        <v>14395</v>
      </c>
      <c r="E32" s="103"/>
      <c r="F32" s="103"/>
      <c r="G32" s="103"/>
      <c r="H32" s="103"/>
      <c r="I32" s="104"/>
      <c r="J32" s="104"/>
      <c r="K32" s="104"/>
      <c r="L32" s="104"/>
      <c r="M32" s="104"/>
      <c r="N32" s="104"/>
      <c r="O32" s="104"/>
      <c r="P32" s="104"/>
      <c r="Q32" s="104"/>
      <c r="R32" s="104"/>
      <c r="S32" s="104"/>
      <c r="T32" s="104"/>
      <c r="U32" s="104"/>
      <c r="V32" s="104"/>
      <c r="W32" s="104"/>
    </row>
    <row r="33" customFormat="false" ht="15" hidden="false" customHeight="true" outlineLevel="0" collapsed="false">
      <c r="A33" s="105" t="s">
        <v>14380</v>
      </c>
      <c r="B33" s="105"/>
      <c r="C33" s="105"/>
      <c r="D33" s="106" t="s">
        <v>14396</v>
      </c>
      <c r="E33" s="106"/>
      <c r="F33" s="106"/>
      <c r="G33" s="106"/>
      <c r="H33" s="106"/>
      <c r="I33" s="107"/>
      <c r="J33" s="107"/>
      <c r="K33" s="107"/>
      <c r="L33" s="107"/>
      <c r="M33" s="107"/>
      <c r="N33" s="107"/>
      <c r="O33" s="107"/>
      <c r="P33" s="107"/>
      <c r="Q33" s="107"/>
      <c r="R33" s="107"/>
      <c r="S33" s="107"/>
      <c r="T33" s="107"/>
      <c r="U33" s="107"/>
      <c r="V33" s="107"/>
      <c r="W33" s="107"/>
    </row>
    <row r="34" customFormat="false" ht="15.75" hidden="false" customHeight="true" outlineLevel="0" collapsed="false">
      <c r="A34" s="122"/>
      <c r="B34" s="122"/>
      <c r="C34" s="122"/>
      <c r="D34" s="122"/>
      <c r="E34" s="122"/>
      <c r="F34" s="122"/>
      <c r="G34" s="122"/>
      <c r="H34" s="122"/>
      <c r="I34" s="122"/>
      <c r="J34" s="122"/>
      <c r="K34" s="122"/>
      <c r="L34" s="122"/>
      <c r="M34" s="122"/>
      <c r="N34" s="122"/>
      <c r="O34" s="122"/>
      <c r="P34" s="122"/>
      <c r="Q34" s="122"/>
      <c r="R34" s="122"/>
      <c r="S34" s="122"/>
      <c r="T34" s="122"/>
      <c r="U34" s="122"/>
      <c r="V34" s="122"/>
      <c r="W34" s="122"/>
    </row>
    <row r="35" customFormat="false" ht="15" hidden="false" customHeight="false" outlineLevel="0" collapsed="false">
      <c r="A35" s="66" t="s">
        <v>14381</v>
      </c>
      <c r="B35" s="66"/>
      <c r="C35" s="66"/>
      <c r="D35" s="66"/>
      <c r="E35" s="66"/>
      <c r="F35" s="66"/>
      <c r="G35" s="66"/>
      <c r="H35" s="66"/>
      <c r="I35" s="66"/>
      <c r="J35" s="66"/>
      <c r="K35" s="66"/>
      <c r="L35" s="66"/>
      <c r="M35" s="66"/>
      <c r="N35" s="66"/>
      <c r="O35" s="66"/>
      <c r="P35" s="66"/>
      <c r="Q35" s="66"/>
      <c r="R35" s="66"/>
      <c r="S35" s="66"/>
      <c r="T35" s="66"/>
      <c r="U35" s="66"/>
      <c r="V35" s="66"/>
      <c r="W35" s="66"/>
    </row>
    <row r="36" customFormat="false" ht="14.25" hidden="false" customHeight="false" outlineLevel="0" collapsed="false">
      <c r="A36" s="112" t="s">
        <v>14375</v>
      </c>
      <c r="B36" s="112"/>
      <c r="C36" s="112"/>
      <c r="D36" s="113"/>
      <c r="E36" s="113"/>
      <c r="F36" s="113"/>
      <c r="G36" s="113"/>
      <c r="H36" s="113"/>
      <c r="I36" s="113"/>
      <c r="J36" s="113"/>
      <c r="K36" s="113"/>
      <c r="L36" s="113"/>
      <c r="M36" s="113"/>
      <c r="N36" s="113"/>
      <c r="O36" s="113"/>
      <c r="P36" s="113"/>
      <c r="Q36" s="113"/>
      <c r="R36" s="113"/>
      <c r="S36" s="113"/>
      <c r="T36" s="113"/>
      <c r="U36" s="113"/>
      <c r="V36" s="113"/>
      <c r="W36" s="113"/>
    </row>
    <row r="37" customFormat="false" ht="14.25" hidden="false" customHeight="false" outlineLevel="0" collapsed="false">
      <c r="A37" s="114" t="s">
        <v>14350</v>
      </c>
      <c r="B37" s="114"/>
      <c r="C37" s="114"/>
      <c r="D37" s="104"/>
      <c r="E37" s="104"/>
      <c r="F37" s="104"/>
      <c r="G37" s="104"/>
      <c r="H37" s="104"/>
      <c r="I37" s="104"/>
      <c r="J37" s="104"/>
      <c r="K37" s="104"/>
      <c r="L37" s="104"/>
      <c r="M37" s="104"/>
      <c r="N37" s="104"/>
      <c r="O37" s="104"/>
      <c r="P37" s="104"/>
      <c r="Q37" s="104"/>
      <c r="R37" s="104"/>
      <c r="S37" s="104"/>
      <c r="T37" s="104"/>
      <c r="U37" s="104"/>
      <c r="V37" s="104"/>
      <c r="W37" s="104"/>
    </row>
    <row r="38" customFormat="false" ht="14.25" hidden="false" customHeight="false" outlineLevel="0" collapsed="false">
      <c r="A38" s="114" t="s">
        <v>1468</v>
      </c>
      <c r="B38" s="114"/>
      <c r="C38" s="114"/>
      <c r="D38" s="104"/>
      <c r="E38" s="104"/>
      <c r="F38" s="104"/>
      <c r="G38" s="104"/>
      <c r="H38" s="104"/>
      <c r="I38" s="104"/>
      <c r="J38" s="104"/>
      <c r="K38" s="104"/>
      <c r="L38" s="104"/>
      <c r="M38" s="104"/>
      <c r="N38" s="104"/>
      <c r="O38" s="104"/>
      <c r="P38" s="104"/>
      <c r="Q38" s="104"/>
      <c r="R38" s="104"/>
      <c r="S38" s="104"/>
      <c r="T38" s="104"/>
      <c r="U38" s="104"/>
      <c r="V38" s="104"/>
      <c r="W38" s="104"/>
    </row>
    <row r="39" customFormat="false" ht="14.25" hidden="false" customHeight="false" outlineLevel="0" collapsed="false">
      <c r="A39" s="114" t="s">
        <v>14376</v>
      </c>
      <c r="B39" s="114"/>
      <c r="C39" s="114"/>
      <c r="D39" s="98"/>
      <c r="E39" s="98"/>
      <c r="F39" s="98"/>
      <c r="G39" s="98"/>
      <c r="H39" s="98"/>
      <c r="I39" s="98"/>
      <c r="J39" s="98"/>
      <c r="K39" s="98"/>
      <c r="L39" s="98"/>
      <c r="M39" s="98"/>
      <c r="N39" s="98"/>
      <c r="O39" s="98"/>
      <c r="P39" s="98"/>
      <c r="Q39" s="98"/>
      <c r="R39" s="98"/>
      <c r="S39" s="98"/>
      <c r="T39" s="98"/>
      <c r="U39" s="98"/>
      <c r="V39" s="98"/>
      <c r="W39" s="98"/>
    </row>
    <row r="40" customFormat="false" ht="14.25" hidden="false" customHeight="false" outlineLevel="0" collapsed="false">
      <c r="A40" s="114" t="s">
        <v>14377</v>
      </c>
      <c r="B40" s="114"/>
      <c r="C40" s="114"/>
      <c r="D40" s="98"/>
      <c r="E40" s="98"/>
      <c r="F40" s="98"/>
      <c r="G40" s="98"/>
      <c r="H40" s="98"/>
      <c r="I40" s="98"/>
      <c r="J40" s="98"/>
      <c r="K40" s="98"/>
      <c r="L40" s="98"/>
      <c r="M40" s="98"/>
      <c r="N40" s="98"/>
      <c r="O40" s="98"/>
      <c r="P40" s="98"/>
      <c r="Q40" s="98"/>
      <c r="R40" s="98"/>
      <c r="S40" s="98"/>
      <c r="T40" s="98"/>
      <c r="U40" s="98"/>
      <c r="V40" s="98"/>
      <c r="W40" s="98"/>
    </row>
    <row r="41" customFormat="false" ht="14.25" hidden="false" customHeight="false" outlineLevel="0" collapsed="false">
      <c r="A41" s="94" t="s">
        <v>14378</v>
      </c>
      <c r="B41" s="94"/>
      <c r="C41" s="94"/>
      <c r="D41" s="97"/>
      <c r="E41" s="97"/>
      <c r="F41" s="97"/>
      <c r="G41" s="97"/>
      <c r="H41" s="97"/>
      <c r="I41" s="98"/>
      <c r="J41" s="98"/>
      <c r="K41" s="98"/>
      <c r="L41" s="98"/>
      <c r="M41" s="98"/>
      <c r="N41" s="98"/>
      <c r="O41" s="98"/>
      <c r="P41" s="98"/>
      <c r="Q41" s="98"/>
      <c r="R41" s="98"/>
      <c r="S41" s="98"/>
      <c r="T41" s="98"/>
      <c r="U41" s="98"/>
      <c r="V41" s="98"/>
      <c r="W41" s="98"/>
    </row>
    <row r="42" customFormat="false" ht="14.25" hidden="false" customHeight="false" outlineLevel="0" collapsed="false">
      <c r="A42" s="114" t="s">
        <v>1472</v>
      </c>
      <c r="B42" s="114"/>
      <c r="C42" s="114"/>
      <c r="D42" s="102"/>
      <c r="E42" s="102"/>
      <c r="F42" s="102"/>
      <c r="G42" s="102"/>
      <c r="H42" s="102"/>
      <c r="I42" s="102"/>
      <c r="J42" s="102"/>
      <c r="K42" s="102"/>
      <c r="L42" s="102"/>
      <c r="M42" s="102"/>
      <c r="N42" s="102"/>
      <c r="O42" s="102"/>
      <c r="P42" s="102"/>
      <c r="Q42" s="102"/>
      <c r="R42" s="102"/>
      <c r="S42" s="102"/>
      <c r="T42" s="102"/>
      <c r="U42" s="102"/>
      <c r="V42" s="102"/>
      <c r="W42" s="102"/>
    </row>
    <row r="43" customFormat="false" ht="14.25" hidden="false" customHeight="false" outlineLevel="0" collapsed="false">
      <c r="A43" s="114" t="s">
        <v>1473</v>
      </c>
      <c r="B43" s="114"/>
      <c r="C43" s="114"/>
      <c r="D43" s="115"/>
      <c r="E43" s="115"/>
      <c r="F43" s="115"/>
      <c r="G43" s="115"/>
      <c r="H43" s="115"/>
      <c r="I43" s="115"/>
      <c r="J43" s="115"/>
      <c r="K43" s="115"/>
      <c r="L43" s="115"/>
      <c r="M43" s="115"/>
      <c r="N43" s="115"/>
      <c r="O43" s="115"/>
      <c r="P43" s="115"/>
      <c r="Q43" s="115"/>
      <c r="R43" s="115"/>
      <c r="S43" s="115"/>
      <c r="T43" s="115"/>
      <c r="U43" s="115"/>
      <c r="V43" s="115"/>
      <c r="W43" s="115"/>
    </row>
    <row r="44" customFormat="false" ht="14.25" hidden="false" customHeight="false" outlineLevel="0" collapsed="false">
      <c r="A44" s="114" t="s">
        <v>1474</v>
      </c>
      <c r="B44" s="114"/>
      <c r="C44" s="114"/>
      <c r="D44" s="115"/>
      <c r="E44" s="115"/>
      <c r="F44" s="115"/>
      <c r="G44" s="115"/>
      <c r="H44" s="115"/>
      <c r="I44" s="116"/>
      <c r="J44" s="116"/>
      <c r="K44" s="116"/>
      <c r="L44" s="116"/>
      <c r="M44" s="116"/>
      <c r="N44" s="116"/>
      <c r="O44" s="116"/>
      <c r="P44" s="116"/>
      <c r="Q44" s="116"/>
      <c r="R44" s="116"/>
      <c r="S44" s="116"/>
      <c r="T44" s="116"/>
      <c r="U44" s="116"/>
      <c r="V44" s="116"/>
      <c r="W44" s="116"/>
    </row>
    <row r="45" customFormat="false" ht="14.25" hidden="false" customHeight="false" outlineLevel="0" collapsed="false">
      <c r="A45" s="114" t="s">
        <v>1475</v>
      </c>
      <c r="B45" s="114"/>
      <c r="C45" s="114"/>
      <c r="D45" s="115"/>
      <c r="E45" s="115"/>
      <c r="F45" s="115"/>
      <c r="G45" s="115"/>
      <c r="H45" s="115"/>
      <c r="I45" s="116"/>
      <c r="J45" s="116"/>
      <c r="K45" s="116"/>
      <c r="L45" s="116"/>
      <c r="M45" s="116"/>
      <c r="N45" s="116"/>
      <c r="O45" s="116"/>
      <c r="P45" s="116"/>
      <c r="Q45" s="116"/>
      <c r="R45" s="116"/>
      <c r="S45" s="116"/>
      <c r="T45" s="116"/>
      <c r="U45" s="116"/>
      <c r="V45" s="116"/>
      <c r="W45" s="116"/>
    </row>
    <row r="46" customFormat="false" ht="14.25" hidden="false" customHeight="false" outlineLevel="0" collapsed="false">
      <c r="A46" s="114" t="s">
        <v>1477</v>
      </c>
      <c r="B46" s="114"/>
      <c r="C46" s="114"/>
      <c r="D46" s="115"/>
      <c r="E46" s="115"/>
      <c r="F46" s="115"/>
      <c r="G46" s="115"/>
      <c r="H46" s="115"/>
      <c r="I46" s="116"/>
      <c r="J46" s="116"/>
      <c r="K46" s="116"/>
      <c r="L46" s="116"/>
      <c r="M46" s="116"/>
      <c r="N46" s="116"/>
      <c r="O46" s="116"/>
      <c r="P46" s="116"/>
      <c r="Q46" s="116"/>
      <c r="R46" s="116"/>
      <c r="S46" s="116"/>
      <c r="T46" s="116"/>
      <c r="U46" s="116"/>
      <c r="V46" s="116"/>
      <c r="W46" s="116"/>
    </row>
    <row r="47" customFormat="false" ht="14.25" hidden="false" customHeight="false" outlineLevel="0" collapsed="false">
      <c r="A47" s="114" t="s">
        <v>14379</v>
      </c>
      <c r="B47" s="114"/>
      <c r="C47" s="114"/>
      <c r="D47" s="103"/>
      <c r="E47" s="117"/>
      <c r="F47" s="117"/>
      <c r="G47" s="117"/>
      <c r="H47" s="118"/>
      <c r="I47" s="103"/>
      <c r="J47" s="117"/>
      <c r="K47" s="117"/>
      <c r="L47" s="117"/>
      <c r="M47" s="118"/>
      <c r="N47" s="103"/>
      <c r="O47" s="117"/>
      <c r="P47" s="117"/>
      <c r="Q47" s="117"/>
      <c r="R47" s="118"/>
      <c r="S47" s="103"/>
      <c r="T47" s="117"/>
      <c r="U47" s="117"/>
      <c r="V47" s="117"/>
      <c r="W47" s="118"/>
    </row>
    <row r="48" customFormat="false" ht="15" hidden="false" customHeight="false" outlineLevel="0" collapsed="false">
      <c r="A48" s="119" t="s">
        <v>14380</v>
      </c>
      <c r="B48" s="119"/>
      <c r="C48" s="119"/>
      <c r="D48" s="106"/>
      <c r="E48" s="120"/>
      <c r="F48" s="120"/>
      <c r="G48" s="120"/>
      <c r="H48" s="121"/>
      <c r="I48" s="106"/>
      <c r="J48" s="120"/>
      <c r="K48" s="120"/>
      <c r="L48" s="120"/>
      <c r="M48" s="121"/>
      <c r="N48" s="106"/>
      <c r="O48" s="120"/>
      <c r="P48" s="120"/>
      <c r="Q48" s="120"/>
      <c r="R48" s="121"/>
      <c r="S48" s="106"/>
      <c r="T48" s="120"/>
      <c r="U48" s="120"/>
      <c r="V48" s="120"/>
      <c r="W48" s="121"/>
    </row>
    <row r="49" customFormat="false" ht="15" hidden="false" customHeight="false" outlineLevel="0" collapsed="false">
      <c r="A49" s="108"/>
      <c r="B49" s="109"/>
      <c r="C49" s="109"/>
      <c r="D49" s="110"/>
      <c r="E49" s="110"/>
      <c r="F49" s="110"/>
      <c r="G49" s="110"/>
      <c r="H49" s="110"/>
      <c r="I49" s="110"/>
      <c r="J49" s="110"/>
      <c r="K49" s="110"/>
      <c r="L49" s="110"/>
      <c r="M49" s="111"/>
      <c r="N49" s="110"/>
      <c r="O49" s="110"/>
      <c r="P49" s="110"/>
      <c r="Q49" s="110"/>
      <c r="R49" s="111"/>
      <c r="S49" s="110"/>
      <c r="T49" s="110"/>
      <c r="U49" s="110"/>
      <c r="V49" s="110"/>
      <c r="W49" s="111"/>
    </row>
    <row r="50" customFormat="false" ht="15" hidden="false" customHeight="false" outlineLevel="0" collapsed="false">
      <c r="A50" s="66" t="s">
        <v>14382</v>
      </c>
      <c r="B50" s="66"/>
      <c r="C50" s="66"/>
      <c r="D50" s="66"/>
      <c r="E50" s="66"/>
      <c r="F50" s="66"/>
      <c r="G50" s="66"/>
      <c r="H50" s="66"/>
      <c r="I50" s="66"/>
      <c r="J50" s="66"/>
      <c r="K50" s="66"/>
      <c r="L50" s="66"/>
      <c r="M50" s="66"/>
      <c r="N50" s="66"/>
      <c r="O50" s="66"/>
      <c r="P50" s="66"/>
      <c r="Q50" s="66"/>
      <c r="R50" s="66"/>
      <c r="S50" s="66"/>
      <c r="T50" s="66"/>
      <c r="U50" s="66"/>
      <c r="V50" s="66"/>
      <c r="W50" s="66"/>
    </row>
    <row r="51" customFormat="false" ht="14.25" hidden="false" customHeight="false" outlineLevel="0" collapsed="false">
      <c r="A51" s="112" t="s">
        <v>14375</v>
      </c>
      <c r="B51" s="112"/>
      <c r="C51" s="112"/>
      <c r="D51" s="113"/>
      <c r="E51" s="113"/>
      <c r="F51" s="113"/>
      <c r="G51" s="113"/>
      <c r="H51" s="113"/>
      <c r="I51" s="113"/>
      <c r="J51" s="113"/>
      <c r="K51" s="113"/>
      <c r="L51" s="113"/>
      <c r="M51" s="113"/>
      <c r="N51" s="113"/>
      <c r="O51" s="113"/>
      <c r="P51" s="113"/>
      <c r="Q51" s="113"/>
      <c r="R51" s="113"/>
      <c r="S51" s="113"/>
      <c r="T51" s="113"/>
      <c r="U51" s="113"/>
      <c r="V51" s="113"/>
      <c r="W51" s="113"/>
    </row>
    <row r="52" customFormat="false" ht="14.25" hidden="false" customHeight="false" outlineLevel="0" collapsed="false">
      <c r="A52" s="114" t="s">
        <v>14350</v>
      </c>
      <c r="B52" s="114"/>
      <c r="C52" s="114"/>
      <c r="D52" s="104"/>
      <c r="E52" s="104"/>
      <c r="F52" s="104"/>
      <c r="G52" s="104"/>
      <c r="H52" s="104"/>
      <c r="I52" s="104"/>
      <c r="J52" s="104"/>
      <c r="K52" s="104"/>
      <c r="L52" s="104"/>
      <c r="M52" s="104"/>
      <c r="N52" s="104"/>
      <c r="O52" s="104"/>
      <c r="P52" s="104"/>
      <c r="Q52" s="104"/>
      <c r="R52" s="104"/>
      <c r="S52" s="104"/>
      <c r="T52" s="104"/>
      <c r="U52" s="104"/>
      <c r="V52" s="104"/>
      <c r="W52" s="104"/>
    </row>
    <row r="53" customFormat="false" ht="14.25" hidden="false" customHeight="false" outlineLevel="0" collapsed="false">
      <c r="A53" s="114" t="s">
        <v>1468</v>
      </c>
      <c r="B53" s="114"/>
      <c r="C53" s="114"/>
      <c r="D53" s="104"/>
      <c r="E53" s="104"/>
      <c r="F53" s="104"/>
      <c r="G53" s="104"/>
      <c r="H53" s="104"/>
      <c r="I53" s="104"/>
      <c r="J53" s="104"/>
      <c r="K53" s="104"/>
      <c r="L53" s="104"/>
      <c r="M53" s="104"/>
      <c r="N53" s="104"/>
      <c r="O53" s="104"/>
      <c r="P53" s="104"/>
      <c r="Q53" s="104"/>
      <c r="R53" s="104"/>
      <c r="S53" s="104"/>
      <c r="T53" s="104"/>
      <c r="U53" s="104"/>
      <c r="V53" s="104"/>
      <c r="W53" s="104"/>
    </row>
    <row r="54" customFormat="false" ht="14.25" hidden="false" customHeight="false" outlineLevel="0" collapsed="false">
      <c r="A54" s="114" t="s">
        <v>14376</v>
      </c>
      <c r="B54" s="114"/>
      <c r="C54" s="114"/>
      <c r="D54" s="98"/>
      <c r="E54" s="98"/>
      <c r="F54" s="98"/>
      <c r="G54" s="98"/>
      <c r="H54" s="98"/>
      <c r="I54" s="98"/>
      <c r="J54" s="98"/>
      <c r="K54" s="98"/>
      <c r="L54" s="98"/>
      <c r="M54" s="98"/>
      <c r="N54" s="98"/>
      <c r="O54" s="98"/>
      <c r="P54" s="98"/>
      <c r="Q54" s="98"/>
      <c r="R54" s="98"/>
      <c r="S54" s="98"/>
      <c r="T54" s="98"/>
      <c r="U54" s="98"/>
      <c r="V54" s="98"/>
      <c r="W54" s="98"/>
    </row>
    <row r="55" customFormat="false" ht="14.25" hidden="false" customHeight="false" outlineLevel="0" collapsed="false">
      <c r="A55" s="114" t="s">
        <v>14377</v>
      </c>
      <c r="B55" s="114"/>
      <c r="C55" s="114"/>
      <c r="D55" s="98"/>
      <c r="E55" s="98"/>
      <c r="F55" s="98"/>
      <c r="G55" s="98"/>
      <c r="H55" s="98"/>
      <c r="I55" s="98"/>
      <c r="J55" s="98"/>
      <c r="K55" s="98"/>
      <c r="L55" s="98"/>
      <c r="M55" s="98"/>
      <c r="N55" s="98"/>
      <c r="O55" s="98"/>
      <c r="P55" s="98"/>
      <c r="Q55" s="98"/>
      <c r="R55" s="98"/>
      <c r="S55" s="98"/>
      <c r="T55" s="98"/>
      <c r="U55" s="98"/>
      <c r="V55" s="98"/>
      <c r="W55" s="98"/>
    </row>
    <row r="56" customFormat="false" ht="14.25" hidden="false" customHeight="false" outlineLevel="0" collapsed="false">
      <c r="A56" s="94" t="s">
        <v>14378</v>
      </c>
      <c r="B56" s="94"/>
      <c r="C56" s="94"/>
      <c r="D56" s="97"/>
      <c r="E56" s="97"/>
      <c r="F56" s="97"/>
      <c r="G56" s="97"/>
      <c r="H56" s="97"/>
      <c r="I56" s="98"/>
      <c r="J56" s="98"/>
      <c r="K56" s="98"/>
      <c r="L56" s="98"/>
      <c r="M56" s="98"/>
      <c r="N56" s="98"/>
      <c r="O56" s="98"/>
      <c r="P56" s="98"/>
      <c r="Q56" s="98"/>
      <c r="R56" s="98"/>
      <c r="S56" s="98"/>
      <c r="T56" s="98"/>
      <c r="U56" s="98"/>
      <c r="V56" s="98"/>
      <c r="W56" s="98"/>
    </row>
    <row r="57" customFormat="false" ht="14.25" hidden="false" customHeight="false" outlineLevel="0" collapsed="false">
      <c r="A57" s="114" t="s">
        <v>1472</v>
      </c>
      <c r="B57" s="114"/>
      <c r="C57" s="114"/>
      <c r="D57" s="102"/>
      <c r="E57" s="102"/>
      <c r="F57" s="102"/>
      <c r="G57" s="102"/>
      <c r="H57" s="102"/>
      <c r="I57" s="102"/>
      <c r="J57" s="102"/>
      <c r="K57" s="102"/>
      <c r="L57" s="102"/>
      <c r="M57" s="102"/>
      <c r="N57" s="102"/>
      <c r="O57" s="102"/>
      <c r="P57" s="102"/>
      <c r="Q57" s="102"/>
      <c r="R57" s="102"/>
      <c r="S57" s="102"/>
      <c r="T57" s="102"/>
      <c r="U57" s="102"/>
      <c r="V57" s="102"/>
      <c r="W57" s="102"/>
    </row>
    <row r="58" customFormat="false" ht="14.25" hidden="false" customHeight="false" outlineLevel="0" collapsed="false">
      <c r="A58" s="114" t="s">
        <v>1473</v>
      </c>
      <c r="B58" s="114"/>
      <c r="C58" s="114"/>
      <c r="D58" s="115"/>
      <c r="E58" s="115"/>
      <c r="F58" s="115"/>
      <c r="G58" s="115"/>
      <c r="H58" s="115"/>
      <c r="I58" s="115"/>
      <c r="J58" s="115"/>
      <c r="K58" s="115"/>
      <c r="L58" s="115"/>
      <c r="M58" s="115"/>
      <c r="N58" s="115"/>
      <c r="O58" s="115"/>
      <c r="P58" s="115"/>
      <c r="Q58" s="115"/>
      <c r="R58" s="115"/>
      <c r="S58" s="115"/>
      <c r="T58" s="115"/>
      <c r="U58" s="115"/>
      <c r="V58" s="115"/>
      <c r="W58" s="115"/>
    </row>
    <row r="59" customFormat="false" ht="14.25" hidden="false" customHeight="false" outlineLevel="0" collapsed="false">
      <c r="A59" s="114" t="s">
        <v>1474</v>
      </c>
      <c r="B59" s="114"/>
      <c r="C59" s="114"/>
      <c r="D59" s="115"/>
      <c r="E59" s="115"/>
      <c r="F59" s="115"/>
      <c r="G59" s="115"/>
      <c r="H59" s="115"/>
      <c r="I59" s="116"/>
      <c r="J59" s="116"/>
      <c r="K59" s="116"/>
      <c r="L59" s="116"/>
      <c r="M59" s="116"/>
      <c r="N59" s="116"/>
      <c r="O59" s="116"/>
      <c r="P59" s="116"/>
      <c r="Q59" s="116"/>
      <c r="R59" s="116"/>
      <c r="S59" s="116"/>
      <c r="T59" s="116"/>
      <c r="U59" s="116"/>
      <c r="V59" s="116"/>
      <c r="W59" s="116"/>
    </row>
    <row r="60" customFormat="false" ht="14.25" hidden="false" customHeight="false" outlineLevel="0" collapsed="false">
      <c r="A60" s="114" t="s">
        <v>1475</v>
      </c>
      <c r="B60" s="114"/>
      <c r="C60" s="114"/>
      <c r="D60" s="115"/>
      <c r="E60" s="115"/>
      <c r="F60" s="115"/>
      <c r="G60" s="115"/>
      <c r="H60" s="115"/>
      <c r="I60" s="116"/>
      <c r="J60" s="116"/>
      <c r="K60" s="116"/>
      <c r="L60" s="116"/>
      <c r="M60" s="116"/>
      <c r="N60" s="116"/>
      <c r="O60" s="116"/>
      <c r="P60" s="116"/>
      <c r="Q60" s="116"/>
      <c r="R60" s="116"/>
      <c r="S60" s="116"/>
      <c r="T60" s="116"/>
      <c r="U60" s="116"/>
      <c r="V60" s="116"/>
      <c r="W60" s="116"/>
    </row>
    <row r="61" customFormat="false" ht="14.25" hidden="false" customHeight="false" outlineLevel="0" collapsed="false">
      <c r="A61" s="114" t="s">
        <v>1477</v>
      </c>
      <c r="B61" s="114"/>
      <c r="C61" s="114"/>
      <c r="D61" s="115"/>
      <c r="E61" s="115"/>
      <c r="F61" s="115"/>
      <c r="G61" s="115"/>
      <c r="H61" s="115"/>
      <c r="I61" s="116"/>
      <c r="J61" s="116"/>
      <c r="K61" s="116"/>
      <c r="L61" s="116"/>
      <c r="M61" s="116"/>
      <c r="N61" s="116"/>
      <c r="O61" s="116"/>
      <c r="P61" s="116"/>
      <c r="Q61" s="116"/>
      <c r="R61" s="116"/>
      <c r="S61" s="116"/>
      <c r="T61" s="116"/>
      <c r="U61" s="116"/>
      <c r="V61" s="116"/>
      <c r="W61" s="116"/>
    </row>
    <row r="62" customFormat="false" ht="14.25" hidden="false" customHeight="false" outlineLevel="0" collapsed="false">
      <c r="A62" s="114" t="s">
        <v>14379</v>
      </c>
      <c r="B62" s="114"/>
      <c r="C62" s="114"/>
      <c r="D62" s="103"/>
      <c r="E62" s="117"/>
      <c r="F62" s="117"/>
      <c r="G62" s="117"/>
      <c r="H62" s="118"/>
      <c r="I62" s="103"/>
      <c r="J62" s="117"/>
      <c r="K62" s="117"/>
      <c r="L62" s="117"/>
      <c r="M62" s="118"/>
      <c r="N62" s="103"/>
      <c r="O62" s="117"/>
      <c r="P62" s="117"/>
      <c r="Q62" s="117"/>
      <c r="R62" s="118"/>
      <c r="S62" s="103"/>
      <c r="T62" s="117"/>
      <c r="U62" s="117"/>
      <c r="V62" s="117"/>
      <c r="W62" s="118"/>
    </row>
    <row r="63" customFormat="false" ht="15" hidden="false" customHeight="false" outlineLevel="0" collapsed="false">
      <c r="A63" s="119" t="s">
        <v>14380</v>
      </c>
      <c r="B63" s="119"/>
      <c r="C63" s="119"/>
      <c r="D63" s="106"/>
      <c r="E63" s="120"/>
      <c r="F63" s="120"/>
      <c r="G63" s="120"/>
      <c r="H63" s="121"/>
      <c r="I63" s="106"/>
      <c r="J63" s="120"/>
      <c r="K63" s="120"/>
      <c r="L63" s="120"/>
      <c r="M63" s="121"/>
      <c r="N63" s="106"/>
      <c r="O63" s="120"/>
      <c r="P63" s="120"/>
      <c r="Q63" s="120"/>
      <c r="R63" s="121"/>
      <c r="S63" s="106"/>
      <c r="T63" s="120"/>
      <c r="U63" s="120"/>
      <c r="V63" s="120"/>
      <c r="W63" s="121"/>
    </row>
    <row r="64" customFormat="false" ht="13.5" hidden="false" customHeight="false" outlineLevel="0" collapsed="false">
      <c r="A64" s="122"/>
      <c r="B64" s="122"/>
      <c r="C64" s="122"/>
      <c r="D64" s="122"/>
      <c r="E64" s="122"/>
      <c r="F64" s="122"/>
      <c r="G64" s="122"/>
      <c r="H64" s="122"/>
      <c r="I64" s="122"/>
      <c r="J64" s="122"/>
      <c r="K64" s="122"/>
      <c r="L64" s="122"/>
      <c r="M64" s="122"/>
    </row>
  </sheetData>
  <mergeCells count="240">
    <mergeCell ref="A1:C2"/>
    <mergeCell ref="D1:U5"/>
    <mergeCell ref="V1:W5"/>
    <mergeCell ref="A3:C5"/>
    <mergeCell ref="A6:M6"/>
    <mergeCell ref="N6:W6"/>
    <mergeCell ref="B7:E7"/>
    <mergeCell ref="F7:I7"/>
    <mergeCell ref="J7:M7"/>
    <mergeCell ref="N7:W7"/>
    <mergeCell ref="D8:E8"/>
    <mergeCell ref="H8:I8"/>
    <mergeCell ref="L8:M8"/>
    <mergeCell ref="N8:W8"/>
    <mergeCell ref="D9:E9"/>
    <mergeCell ref="H9:I9"/>
    <mergeCell ref="L9:M9"/>
    <mergeCell ref="N9:W9"/>
    <mergeCell ref="D10:E10"/>
    <mergeCell ref="H10:I10"/>
    <mergeCell ref="L10:M10"/>
    <mergeCell ref="N10:W10"/>
    <mergeCell ref="D11:E11"/>
    <mergeCell ref="H11:I11"/>
    <mergeCell ref="L11:M11"/>
    <mergeCell ref="N11:W11"/>
    <mergeCell ref="D12:E12"/>
    <mergeCell ref="H12:I12"/>
    <mergeCell ref="L12:M12"/>
    <mergeCell ref="N12:W12"/>
    <mergeCell ref="B13:E13"/>
    <mergeCell ref="F13:I13"/>
    <mergeCell ref="J13:M13"/>
    <mergeCell ref="N13:W13"/>
    <mergeCell ref="D14:E14"/>
    <mergeCell ref="H14:I14"/>
    <mergeCell ref="L14:M14"/>
    <mergeCell ref="N14:W14"/>
    <mergeCell ref="D15:E15"/>
    <mergeCell ref="H15:I15"/>
    <mergeCell ref="L15:M15"/>
    <mergeCell ref="N15:W15"/>
    <mergeCell ref="D16:E16"/>
    <mergeCell ref="H16:I16"/>
    <mergeCell ref="L16:M16"/>
    <mergeCell ref="N16:W16"/>
    <mergeCell ref="D17:E17"/>
    <mergeCell ref="H17:I17"/>
    <mergeCell ref="L17:M17"/>
    <mergeCell ref="N17:W17"/>
    <mergeCell ref="D18:E18"/>
    <mergeCell ref="H18:I18"/>
    <mergeCell ref="L18:M18"/>
    <mergeCell ref="N18:W18"/>
    <mergeCell ref="A19:M19"/>
    <mergeCell ref="N19:W19"/>
    <mergeCell ref="A20:W20"/>
    <mergeCell ref="A21:C21"/>
    <mergeCell ref="D21:H21"/>
    <mergeCell ref="I21:M21"/>
    <mergeCell ref="N21:R21"/>
    <mergeCell ref="S21:W21"/>
    <mergeCell ref="A22:C22"/>
    <mergeCell ref="D22:H22"/>
    <mergeCell ref="I22:M22"/>
    <mergeCell ref="N22:R22"/>
    <mergeCell ref="S22:W22"/>
    <mergeCell ref="A23:C23"/>
    <mergeCell ref="D23:H23"/>
    <mergeCell ref="I23:M23"/>
    <mergeCell ref="N23:R23"/>
    <mergeCell ref="S23:W23"/>
    <mergeCell ref="A24:C24"/>
    <mergeCell ref="D24:H24"/>
    <mergeCell ref="I24:M24"/>
    <mergeCell ref="N24:R24"/>
    <mergeCell ref="S24:W24"/>
    <mergeCell ref="A25:C25"/>
    <mergeCell ref="D25:H25"/>
    <mergeCell ref="I25:M25"/>
    <mergeCell ref="N25:R25"/>
    <mergeCell ref="S25:W25"/>
    <mergeCell ref="A26:C26"/>
    <mergeCell ref="D26:H26"/>
    <mergeCell ref="I26:M26"/>
    <mergeCell ref="N26:R26"/>
    <mergeCell ref="S26:W26"/>
    <mergeCell ref="A27:C27"/>
    <mergeCell ref="D27:H27"/>
    <mergeCell ref="I27:M27"/>
    <mergeCell ref="N27:R27"/>
    <mergeCell ref="S27:W27"/>
    <mergeCell ref="A28:C28"/>
    <mergeCell ref="D28:H28"/>
    <mergeCell ref="I28:M28"/>
    <mergeCell ref="N28:R28"/>
    <mergeCell ref="S28:W28"/>
    <mergeCell ref="A29:C29"/>
    <mergeCell ref="D29:H29"/>
    <mergeCell ref="I29:M29"/>
    <mergeCell ref="N29:R29"/>
    <mergeCell ref="S29:W29"/>
    <mergeCell ref="A30:C30"/>
    <mergeCell ref="D30:H30"/>
    <mergeCell ref="I30:M30"/>
    <mergeCell ref="N30:R30"/>
    <mergeCell ref="S30:W30"/>
    <mergeCell ref="A31:C31"/>
    <mergeCell ref="D31:H31"/>
    <mergeCell ref="I31:M31"/>
    <mergeCell ref="N31:R31"/>
    <mergeCell ref="S31:W31"/>
    <mergeCell ref="A32:C32"/>
    <mergeCell ref="D32:H32"/>
    <mergeCell ref="I32:M32"/>
    <mergeCell ref="N32:R32"/>
    <mergeCell ref="S32:W32"/>
    <mergeCell ref="A33:C33"/>
    <mergeCell ref="D33:H33"/>
    <mergeCell ref="I33:M33"/>
    <mergeCell ref="N33:R33"/>
    <mergeCell ref="S33:W33"/>
    <mergeCell ref="A34:W34"/>
    <mergeCell ref="A35:W35"/>
    <mergeCell ref="A36:C36"/>
    <mergeCell ref="D36:H36"/>
    <mergeCell ref="I36:M36"/>
    <mergeCell ref="N36:R36"/>
    <mergeCell ref="S36:W36"/>
    <mergeCell ref="A37:C37"/>
    <mergeCell ref="D37:H37"/>
    <mergeCell ref="I37:M37"/>
    <mergeCell ref="N37:R37"/>
    <mergeCell ref="S37:W37"/>
    <mergeCell ref="A38:C38"/>
    <mergeCell ref="D38:H38"/>
    <mergeCell ref="I38:M38"/>
    <mergeCell ref="N38:R38"/>
    <mergeCell ref="S38:W38"/>
    <mergeCell ref="A39:C39"/>
    <mergeCell ref="D39:H39"/>
    <mergeCell ref="I39:M39"/>
    <mergeCell ref="N39:R39"/>
    <mergeCell ref="S39:W39"/>
    <mergeCell ref="A40:C40"/>
    <mergeCell ref="D40:H40"/>
    <mergeCell ref="I40:M40"/>
    <mergeCell ref="N40:R40"/>
    <mergeCell ref="S40:W40"/>
    <mergeCell ref="A41:C41"/>
    <mergeCell ref="D41:H41"/>
    <mergeCell ref="I41:M41"/>
    <mergeCell ref="N41:R41"/>
    <mergeCell ref="S41:W41"/>
    <mergeCell ref="A42:C42"/>
    <mergeCell ref="D42:H42"/>
    <mergeCell ref="I42:M42"/>
    <mergeCell ref="N42:R42"/>
    <mergeCell ref="S42:W42"/>
    <mergeCell ref="A43:C43"/>
    <mergeCell ref="D43:H43"/>
    <mergeCell ref="I43:M43"/>
    <mergeCell ref="N43:R43"/>
    <mergeCell ref="S43:W43"/>
    <mergeCell ref="A44:C44"/>
    <mergeCell ref="D44:H44"/>
    <mergeCell ref="I44:M44"/>
    <mergeCell ref="N44:R44"/>
    <mergeCell ref="S44:W44"/>
    <mergeCell ref="A45:C45"/>
    <mergeCell ref="D45:H45"/>
    <mergeCell ref="I45:M45"/>
    <mergeCell ref="N45:R45"/>
    <mergeCell ref="S45:W45"/>
    <mergeCell ref="A46:C46"/>
    <mergeCell ref="D46:H46"/>
    <mergeCell ref="I46:M46"/>
    <mergeCell ref="N46:R46"/>
    <mergeCell ref="S46:W46"/>
    <mergeCell ref="A47:C47"/>
    <mergeCell ref="A48:C48"/>
    <mergeCell ref="A50:W50"/>
    <mergeCell ref="A51:C51"/>
    <mergeCell ref="D51:H51"/>
    <mergeCell ref="I51:M51"/>
    <mergeCell ref="N51:R51"/>
    <mergeCell ref="S51:W51"/>
    <mergeCell ref="A52:C52"/>
    <mergeCell ref="D52:H52"/>
    <mergeCell ref="I52:M52"/>
    <mergeCell ref="N52:R52"/>
    <mergeCell ref="S52:W52"/>
    <mergeCell ref="A53:C53"/>
    <mergeCell ref="D53:H53"/>
    <mergeCell ref="I53:M53"/>
    <mergeCell ref="N53:R53"/>
    <mergeCell ref="S53:W53"/>
    <mergeCell ref="A54:C54"/>
    <mergeCell ref="D54:H54"/>
    <mergeCell ref="I54:M54"/>
    <mergeCell ref="N54:R54"/>
    <mergeCell ref="S54:W54"/>
    <mergeCell ref="A55:C55"/>
    <mergeCell ref="D55:H55"/>
    <mergeCell ref="I55:M55"/>
    <mergeCell ref="N55:R55"/>
    <mergeCell ref="S55:W55"/>
    <mergeCell ref="A56:C56"/>
    <mergeCell ref="D56:H56"/>
    <mergeCell ref="I56:M56"/>
    <mergeCell ref="N56:R56"/>
    <mergeCell ref="S56:W56"/>
    <mergeCell ref="A57:C57"/>
    <mergeCell ref="D57:H57"/>
    <mergeCell ref="I57:M57"/>
    <mergeCell ref="N57:R57"/>
    <mergeCell ref="S57:W57"/>
    <mergeCell ref="A58:C58"/>
    <mergeCell ref="D58:H58"/>
    <mergeCell ref="I58:M58"/>
    <mergeCell ref="N58:R58"/>
    <mergeCell ref="S58:W58"/>
    <mergeCell ref="A59:C59"/>
    <mergeCell ref="D59:H59"/>
    <mergeCell ref="I59:M59"/>
    <mergeCell ref="N59:R59"/>
    <mergeCell ref="S59:W59"/>
    <mergeCell ref="A60:C60"/>
    <mergeCell ref="D60:H60"/>
    <mergeCell ref="I60:M60"/>
    <mergeCell ref="N60:R60"/>
    <mergeCell ref="S60:W60"/>
    <mergeCell ref="A61:C61"/>
    <mergeCell ref="D61:H61"/>
    <mergeCell ref="I61:M61"/>
    <mergeCell ref="N61:R61"/>
    <mergeCell ref="S61:W61"/>
    <mergeCell ref="A62:C62"/>
    <mergeCell ref="A63:C63"/>
    <mergeCell ref="A64:M64"/>
  </mergeCells>
  <printOptions headings="false" gridLines="false" gridLinesSet="true" horizontalCentered="true" verticalCentered="false"/>
  <pageMargins left="0.25" right="0.25" top="0.75" bottom="0.75" header="0.511811023622047" footer="0.3"/>
  <pageSetup paperSize="9" scale="52" fitToWidth="1" fitToHeight="1" pageOrder="downThenOver" orientation="landscape" blackAndWhite="false" draft="false" cellComments="none" horizontalDpi="300" verticalDpi="300" copies="1"/>
  <headerFooter differentFirst="false" differentOddEven="false">
    <oddHeader/>
    <oddFooter>&amp;R&amp;1#&amp;"Arial,Regular"&amp;10Confidential C</oddFooter>
  </headerFooter>
  <drawing r:id="rId1"/>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_rels/item4.xml.rels><?xml version="1.0" encoding="UTF-8"?>
<Relationships xmlns="http://schemas.openxmlformats.org/package/2006/relationships"><Relationship Id="rId1" Type="http://schemas.openxmlformats.org/officeDocument/2006/relationships/customXmlProps" Target="itemProps4.xml"/>
</Relationships>
</file>

<file path=customXml/item1.xml><?xml version="1.0" encoding="utf-8"?>
<p:properties xmlns:p="http://schemas.microsoft.com/office/2006/metadata/properties" xmlns:xsi="http://www.w3.org/2001/XMLSchema-instance" xmlns:pc="http://schemas.microsoft.com/office/infopath/2007/PartnerControls">
  <documentManagement>
    <_Flow_SignoffStatus xmlns="1e468447-af83-4da9-b78d-1998feb8d901" xsi:nil="true"/>
    <lcf76f155ced4ddcb4097134ff3c332f xmlns="1e468447-af83-4da9-b78d-1998feb8d901">
      <Terms xmlns="http://schemas.microsoft.com/office/infopath/2007/PartnerControls"/>
    </lcf76f155ced4ddcb4097134ff3c332f>
    <TaxCatchAll xmlns="36e04604-fc34-46d6-968b-3e30dd17d96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66385CF388D1BE41AB06314DAFAFE5C2" ma:contentTypeVersion="19" ma:contentTypeDescription="Crie um novo documento." ma:contentTypeScope="" ma:versionID="29e103654c45856e9f10dcb415f35b7b">
  <xsd:schema xmlns:xsd="http://www.w3.org/2001/XMLSchema" xmlns:xs="http://www.w3.org/2001/XMLSchema" xmlns:p="http://schemas.microsoft.com/office/2006/metadata/properties" xmlns:ns2="36e04604-fc34-46d6-968b-3e30dd17d962" xmlns:ns3="1e468447-af83-4da9-b78d-1998feb8d901" targetNamespace="http://schemas.microsoft.com/office/2006/metadata/properties" ma:root="true" ma:fieldsID="38626a0def7af958cd195466dd92ca34" ns2:_="" ns3:_="">
    <xsd:import namespace="36e04604-fc34-46d6-968b-3e30dd17d962"/>
    <xsd:import namespace="1e468447-af83-4da9-b78d-1998feb8d901"/>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DateTaken" minOccurs="0"/>
                <xsd:element ref="ns3:_Flow_SignoffStatus" minOccurs="0"/>
                <xsd:element ref="ns3:MediaServiceGenerationTime" minOccurs="0"/>
                <xsd:element ref="ns3:MediaServiceEventHashCode" minOccurs="0"/>
                <xsd:element ref="ns3:MediaServiceLocation" minOccurs="0"/>
                <xsd:element ref="ns3:MediaServiceAutoKeyPoints" minOccurs="0"/>
                <xsd:element ref="ns3:MediaServiceKeyPoints"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e04604-fc34-46d6-968b-3e30dd17d962" elementFormDefault="qualified">
    <xsd:import namespace="http://schemas.microsoft.com/office/2006/documentManagement/types"/>
    <xsd:import namespace="http://schemas.microsoft.com/office/infopath/2007/PartnerControls"/>
    <xsd:element name="SharedWithUsers" ma:index="8"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hes de Compartilhado Com" ma:internalName="SharedWithDetails" ma:readOnly="true">
      <xsd:simpleType>
        <xsd:restriction base="dms:Note">
          <xsd:maxLength value="255"/>
        </xsd:restriction>
      </xsd:simpleType>
    </xsd:element>
    <xsd:element name="TaxCatchAll" ma:index="24" nillable="true" ma:displayName="Taxonomy Catch All Column" ma:hidden="true" ma:list="{81fc707e-b2ea-4118-aa92-9ce5fe838511}" ma:internalName="TaxCatchAll" ma:showField="CatchAllData" ma:web="36e04604-fc34-46d6-968b-3e30dd17d96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468447-af83-4da9-b78d-1998feb8d90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MediaServiceAuto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_Flow_SignoffStatus" ma:index="15" nillable="true" ma:displayName="Status de liberação" ma:internalName="_x0024_Resources_x003a_core_x002c_Signoff_Status_x003b_">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Marcações de imagem" ma:readOnly="false" ma:fieldId="{5cf76f15-5ced-4ddc-b409-7134ff3c332f}" ma:taxonomyMulti="true" ma:sspId="2bbfa71a-d75e-4d15-90e8-ced09d00e477"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DataMashup xmlns="http://schemas.microsoft.com/DataMashup">AAAAAHgEAABQSwMEFAACAAgAxEbeUqKbr/KjAAAA9QAAABIAHABDb25maWcvUGFja2FnZS54bWwgohgAKKAUAAAAAAAAAAAAAAAAAAAAAAAAAAAAhY+xDoIwGIRfhXSnLdWBkJ+S6CqJ0cS4NqVCIxRCi+XdHHwkX0GMom6Od99dcne/3iAbmzq4qN7q1qQowhQFysi20KZM0eBOYYwyDlshz6JUwRQ2NhmtTlHlXJcQ4r3HfoHbviSM0ogc881eVqoRoTbWCSMV+rSK/y3E4fAawxmOlzim0yQgswe5Nl/OJvakPyash9oNveKdC1c7ILME8r7AH1BLAwQUAAIACADERt5S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xEbeUqo2Yd5zAQAAsgIAABMAHABGb3JtdWxhcy9TZWN0aW9uMS5tIKIYACigFAAAAAAAAAAAAAAAAAAAAAAAAAAAAHWRwWoCMRCG74LvENKLwlaqeGnFQ1kVSwuKu6UHlTLuTjGYzWyTrGjFQ5+mD+KLNavW0q7mkvD/k3++SQxGVpBiwWGvt8qlcsnMQWPMgnqDtZlEWy4xt3qkLDqhu4pQ1l5IL2ZEi0pPSKz5uaesqXD/bvJsUJtJmtRvb5vNyUBhR4slsmt2L6UAFeFkEJHWqCIBhjVuGvXaSpoVr3pMZVJ6zOoMq96hq4N4DeaI1nXeE2zGDxaTNncG9x6Fit0x9/l0O+6Ahenx4hX3YYa7L5BzMmyoKaGliMlwFxTCzEHvNYt9hNgBV06dPDY+Wg44iECCNu2caVo9ZYciJTePRQ0x/UaGGpR5I534JLNEhesUTeUiibfZ8KEEZYG7oV0ts7iyW49t+O5TY1HN5/sRY7C4F5/IIRZKu++ZSCFxn0IFr0/6FANqvdf8OST5KP/ksMaGoM8YgXDJSRHRh8xcUNkIxEfBGmEK+i/jtlouCXX+qVvfUEsBAi0AFAACAAgAxEbeUqKbr/KjAAAA9QAAABIAAAAAAAAAAAAAAAAAAAAAAENvbmZpZy9QYWNrYWdlLnhtbFBLAQItABQAAgAIAMRG3lIPyumrpAAAAOkAAAATAAAAAAAAAAAAAAAAAO8AAABbQ29udGVudF9UeXBlc10ueG1sUEsBAi0AFAACAAgAxEbeUqo2Yd5zAQAAsgIAABMAAAAAAAAAAAAAAAAA4AEAAEZvcm11bGFzL1NlY3Rpb24xLm1QSwUGAAAAAAMAAwDCAAAAoAMAAAAAEAEAAO+7vzw/eG1sIHZlcnNpb249IjEuMCIgZW5jb2Rpbmc9InV0Zi04Ij8+PFBlcm1pc3Npb25MaXN0IHhtbG5zOnhzaT0iaHR0cDovL3d3dy53My5vcmcvMjAwMS9YTUxTY2hlbWEtaW5zdGFuY2UiIHhtbG5zOnhzZD0iaHR0cDovL3d3dy53My5vcmcvMjAwMS9YTUxTY2hlbWEiPjxDYW5FdmFsdWF0ZUZ1dHVyZVBhY2thZ2VzPmZhbHNlPC9DYW5FdmFsdWF0ZUZ1dHVyZVBhY2thZ2VzPjxGaXJld2FsbEVuYWJsZWQ+dHJ1ZTwvRmlyZXdhbGxFbmFibGVkPjwvUGVybWlzc2lvbkxpc3Q+hwYAAAAAAABlBgAA77u/PD94bWwgdmVyc2lvbj0iMS4wIiBlbmNvZGluZz0idXRmLTgiPz48TG9jYWxQYWNrYWdlTWV0YWRhdGFGaWxlIHhtbG5zOnhzaT0iaHR0cDovL3d3dy53My5vcmcvMjAwMS9YTUxTY2hlbWEtaW5zdGFuY2UiIHhtbG5zOnhzZD0iaHR0cDovL3d3dy53My5vcmcvMjAwMS9YTUxTY2hlbWEiPjxJdGVtcz48SXRlbT48SXRlbUxvY2F0aW9uPjxJdGVtVHlwZT5BbGxGb3JtdWxhczwvSXRlbVR5cGU+PEl0ZW1QYXRoIC8+PC9JdGVtTG9jYXRpb24+PFN0YWJsZUVudHJpZXM+PEVudHJ5IFR5cGU9IlJlbGF0aW9uc2hpcHMiIFZhbHVlPSJzQUFBQUFBPT0iIC8+PC9TdGFibGVFbnRyaWVzPjwvSXRlbT48SXRlbT48SXRlbUxvY2F0aW9uPjxJdGVtVHlwZT5Gb3JtdWxhPC9JdGVtVHlwZT48SXRlbVBhdGg+U2VjdGlvbjEvUzEyPC9JdGVtUGF0aD48L0l0ZW1Mb2NhdGlvbj48U3RhYmxlRW50cmllcz48RW50cnkgVHlwZT0iSXNQcml2YXRlIiBWYWx1ZT0ibDAiIC8+PEVudHJ5IFR5cGU9IkZpbGxFbmFibGVkIiBWYWx1ZT0ibDAiIC8+PEVudHJ5IFR5cGU9IkZpbGxPYmplY3RUeXBlIiBWYWx1ZT0ic0Nvbm5lY3Rpb25Pbmx5IiAvPjxFbnRyeSBUeXBlPSJGaWxsVG9EYXRhTW9kZWxFbmFibGVkIiBWYWx1ZT0ibDAiIC8+PEVudHJ5IFR5cGU9Ik5hdmlnYXRpb25TdGVwTmFtZSIgVmFsdWU9InNOYXZlZ2HDp8OjbyIgLz48RW50cnkgVHlwZT0iUmVzdWx0VHlwZSIgVmFsdWU9InNUYWJsZSIgLz48RW50cnkgVHlwZT0iQnVmZmVyTmV4dFJlZnJlc2giIFZhbHVlPSJsMSIgLz48RW50cnkgVHlwZT0iRmlsbGVkQ29tcGxldGVSZXN1bHRUb1dvcmtzaGVldCIgVmFsdWU9ImwwIiAvPjxFbnRyeSBUeXBlPSJBZGRlZFRvRGF0YU1vZGVsIiBWYWx1ZT0ibDAiIC8+PEVudHJ5IFR5cGU9IkZpbGxFcnJvckNvZGUiIFZhbHVlPSJzVW5rbm93biIgLz48RW50cnkgVHlwZT0iRmlsbExhc3RVcGRhdGVkIiBWYWx1ZT0iZDIwMjEtMDYtMzBUMTE6NTQ6MDcuMzg0MjM0OVoiIC8+PEVudHJ5IFR5cGU9IkZpbGxTdGF0dXMiIFZhbHVlPSJzQ29tcGxldGUiIC8+PC9TdGFibGVFbnRyaWVzPjwvSXRlbT48SXRlbT48SXRlbUxvY2F0aW9uPjxJdGVtVHlwZT5Gb3JtdWxhPC9JdGVtVHlwZT48SXRlbVBhdGg+U2VjdGlvbjEvUzEyL0ZvbnRlPC9JdGVtUGF0aD48L0l0ZW1Mb2NhdGlvbj48U3RhYmxlRW50cmllcyAvPjwvSXRlbT48SXRlbT48SXRlbUxvY2F0aW9uPjxJdGVtVHlwZT5Gb3JtdWxhPC9JdGVtVHlwZT48SXRlbVBhdGg+U2VjdGlvbjEvUzEyL1MxMl9TaGVldDwvSXRlbVBhdGg+PC9JdGVtTG9jYXRpb24+PFN0YWJsZUVudHJpZXMgLz48L0l0ZW0+PEl0ZW0+PEl0ZW1Mb2NhdGlvbj48SXRlbVR5cGU+Rm9ybXVsYTwvSXRlbVR5cGU+PEl0ZW1QYXRoPlNlY3Rpb24xL1MxMi9DYWJlJUMzJUE3YWxob3MlMjBQcm9tb3ZpZG9zPC9JdGVtUGF0aD48L0l0ZW1Mb2NhdGlvbj48U3RhYmxlRW50cmllcyAvPjwvSXRlbT48SXRlbT48SXRlbUxvY2F0aW9uPjxJdGVtVHlwZT5Gb3JtdWxhPC9JdGVtVHlwZT48SXRlbVBhdGg+U2VjdGlvbjEvUzEyL1RpcG8lMjBBbHRlcmFkbzwvSXRlbVBhdGg+PC9JdGVtTG9jYXRpb24+PFN0YWJsZUVudHJpZXMgLz48L0l0ZW0+PC9JdGVtcz48L0xvY2FsUGFja2FnZU1ldGFkYXRhRmlsZT4WAAAAUEsFBgAAAAAAAAAAAAAAAAAAAAAAANoAAAABAAAA0Iyd3wEV0RGMegDAT8KX6wEAAADqVBA978ccTZF4ER3numaYAAAAAAIAAAAAAANmAADAAAAAEAAAAL6hp5hL62kkB+jnZn20H2wAAAAABIAAAKAAAAAQAAAAG+gxUdA4ULUXcYV6Z11NAFAAAACfjneuTf1OJmPFaKV3LfFWOTaAs7Z9CyS+Jl3e9/+UQtCHCRvMqSn49s1Dasy09TDxNJcYijsrTmkm9q5oHf9JbFZNvqOAhRiLRQsUEEH/uRQAAABtnHANVDDGdJi+aZerarcKPwuVlw==</DataMashup>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84A780-9CEC-4126-8628-F6656D83C51D}"/>
</file>

<file path=customXml/itemProps2.xml><?xml version="1.0" encoding="utf-8"?>
<ds:datastoreItem xmlns:ds="http://schemas.openxmlformats.org/officeDocument/2006/customXml" ds:itemID="{CF9F521F-1D92-43E5-A94D-40C0284E1D41}"/>
</file>

<file path=customXml/itemProps3.xml><?xml version="1.0" encoding="utf-8"?>
<ds:datastoreItem xmlns:ds="http://schemas.openxmlformats.org/officeDocument/2006/customXml" ds:itemID="{E0908F85-4A18-47D2-A489-EEAC6E2F2526}"/>
</file>

<file path=customXml/itemProps4.xml><?xml version="1.0" encoding="utf-8"?>
<ds:datastoreItem xmlns:ds="http://schemas.openxmlformats.org/officeDocument/2006/customXml" ds:itemID="{103DCBB1-64C1-4B7F-9840-ADFBBD10EB03}"/>
</file>

<file path=docProps/app.xml><?xml version="1.0" encoding="utf-8"?>
<Properties xmlns="http://schemas.openxmlformats.org/officeDocument/2006/extended-properties" xmlns:vt="http://schemas.openxmlformats.org/officeDocument/2006/docPropsVTypes">
  <Template/>
  <TotalTime>1303</TotalTime>
  <Application>LibreOffice/7.3.5.2$Linux_X86_64 LibreOffice_project/30$Build-2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2017-01-31T11:27:23Z</dcterms:created>
  <dc:creator>MANGANELLI Thiago</dc:creator>
  <dc:description/>
  <dc:language>en-US</dc:language>
  <cp:lastModifiedBy/>
  <dcterms:modified xsi:type="dcterms:W3CDTF">2022-08-17T10:43:56Z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0x01010066385CF388D1BE41AB06314DAFAFE5C2</vt:lpwstr>
  </property>
  <property fmtid="{D5CDD505-2E9C-101B-9397-08002B2CF9AE}" pid="3" name="MSIP_Label_fd1c0902-ed92-4fed-896d-2e7725de02d4_ActionId">
    <vt:lpwstr>4605d734-45ea-472c-a230-7ff3ef460a6e</vt:lpwstr>
  </property>
  <property fmtid="{D5CDD505-2E9C-101B-9397-08002B2CF9AE}" pid="4" name="MSIP_Label_fd1c0902-ed92-4fed-896d-2e7725de02d4_ContentBits">
    <vt:lpwstr>2</vt:lpwstr>
  </property>
  <property fmtid="{D5CDD505-2E9C-101B-9397-08002B2CF9AE}" pid="5" name="MSIP_Label_fd1c0902-ed92-4fed-896d-2e7725de02d4_Enabled">
    <vt:lpwstr>true</vt:lpwstr>
  </property>
  <property fmtid="{D5CDD505-2E9C-101B-9397-08002B2CF9AE}" pid="6" name="MSIP_Label_fd1c0902-ed92-4fed-896d-2e7725de02d4_Method">
    <vt:lpwstr>Standard</vt:lpwstr>
  </property>
  <property fmtid="{D5CDD505-2E9C-101B-9397-08002B2CF9AE}" pid="7" name="MSIP_Label_fd1c0902-ed92-4fed-896d-2e7725de02d4_Name">
    <vt:lpwstr>Anyone (not protected)</vt:lpwstr>
  </property>
  <property fmtid="{D5CDD505-2E9C-101B-9397-08002B2CF9AE}" pid="8" name="MSIP_Label_fd1c0902-ed92-4fed-896d-2e7725de02d4_SetDate">
    <vt:lpwstr>2022-01-20T15:04:27Z</vt:lpwstr>
  </property>
  <property fmtid="{D5CDD505-2E9C-101B-9397-08002B2CF9AE}" pid="9" name="MSIP_Label_fd1c0902-ed92-4fed-896d-2e7725de02d4_SiteId">
    <vt:lpwstr>d6b0bbee-7cd9-4d60-bce6-4a67b543e2ae</vt:lpwstr>
  </property>
  <property fmtid="{D5CDD505-2E9C-101B-9397-08002B2CF9AE}" pid="10" name="MediaServiceImageTags">
    <vt:lpwstr/>
  </property>
</Properties>
</file>